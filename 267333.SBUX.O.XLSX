
<file path=[Content_Types].xml><?xml version="1.0" encoding="utf-8"?>
<Types xmlns="http://schemas.openxmlformats.org/package/2006/content-types">
  <Default ContentType="application/vnd.openxmlformats-officedocument.spreadsheetml.printerSettings" Extension="bin"/>
  <Default ContentType="image/gif" Extension="gif"/>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765" windowWidth="20730" windowHeight="10815" tabRatio="912"/>
  </bookViews>
  <sheets>
    <sheet name="ImportantDisclosures" sheetId="75" r:id="rId1"/>
    <sheet name="Intro" sheetId="1" r:id="rId2"/>
    <sheet name="MW-Cache" sheetId="37" state="veryHidden" r:id="rId3"/>
    <sheet name="IS" sheetId="2" r:id="rId4"/>
    <sheet name="BS" sheetId="3" r:id="rId5"/>
    <sheet name="CF" sheetId="4" r:id="rId6"/>
    <sheet name="IndexInformation" sheetId="76" r:id="rId7"/>
    <sheet name="ModPubIndex" sheetId="77" r:id="rId8"/>
  </sheets>
  <definedNames>
    <definedName name="__FDS_HYPERLINK_TOGGLE_STATE__" hidden="1">"ON"</definedName>
    <definedName name="AdditionalInstructions">IndexInformation!$B$42</definedName>
    <definedName name="Address" localSheetId="0">ImportantDisclosures!$A$2:$A$2</definedName>
    <definedName name="ANA" localSheetId="7">ModPubIndex!$A$7</definedName>
    <definedName name="Authors" localSheetId="0">ImportantDisclosures!$A$7</definedName>
    <definedName name="Authors" localSheetId="6">IndexInformation!$B$18</definedName>
    <definedName name="BRO" localSheetId="7">ModPubIndex!$A$1</definedName>
    <definedName name="CopyrightStamp">ImportantDisclosures!$A$27</definedName>
    <definedName name="COU" localSheetId="7">ModPubIndex!$A$5</definedName>
    <definedName name="CQEnd" localSheetId="6">IndexInformation!$B$31</definedName>
    <definedName name="Currency" localSheetId="6">IndexInformation!$B$24</definedName>
    <definedName name="CurrentStockPrice" localSheetId="6">IndexInformation!$B$23</definedName>
    <definedName name="CurrQtrEPS" localSheetId="6">IndexInformation!$B$29</definedName>
    <definedName name="CurrYearEPS" localSheetId="6">IndexInformation!$B$11</definedName>
    <definedName name="CurrYearTotalRevenue" localSheetId="6">IndexInformation!$B$10</definedName>
    <definedName name="CurrYearTotalRevenueActual" localSheetId="6">IndexInformation!$B$32</definedName>
    <definedName name="CUSIP" localSheetId="6">IndexInformation!$B$20</definedName>
    <definedName name="CYEnd" localSheetId="6">IndexInformation!$B$30</definedName>
    <definedName name="Date" localSheetId="0">ImportantDisclosures!$A$8</definedName>
    <definedName name="Deleted" localSheetId="6">IndexInformation!$B$27</definedName>
    <definedName name="Description" localSheetId="6">IndexInformation!$B$7</definedName>
    <definedName name="Discipline" localSheetId="6">IndexInformation!$B$3</definedName>
    <definedName name="DISCIPLINE" localSheetId="7">ModPubIndex!$A$12</definedName>
    <definedName name="DisclosuresText">ImportantDisclosures!$A$22</definedName>
    <definedName name="Distribution" localSheetId="6">IndexInformation!$B$26</definedName>
    <definedName name="DistTable" localSheetId="0">ImportantDisclosures!#REF!</definedName>
    <definedName name="DistTablePreamble" localSheetId="0">ImportantDisclosures!#REF!</definedName>
    <definedName name="DOCDAT" localSheetId="7">ModPubIndex!$A$2</definedName>
    <definedName name="DOCTIME" localSheetId="7">ModPubIndex!$A$3</definedName>
    <definedName name="DocType" localSheetId="6">IndexInformation!$B$5</definedName>
    <definedName name="EMAIL_ALERT" localSheetId="7">ModPubIndex!$A$10</definedName>
    <definedName name="EmailAlert" localSheetId="6">IndexInformation!$B$28</definedName>
    <definedName name="FiveYearGrowthRate" localSheetId="6">IndexInformation!$B$16</definedName>
    <definedName name="FollowingYearEPS" localSheetId="6">IndexInformation!$B$15</definedName>
    <definedName name="FollowingYearTotalRevenue" localSheetId="6">IndexInformation!$B$14</definedName>
    <definedName name="FollowingYearTotalRevenueActual" localSheetId="6">IndexInformation!$B$34</definedName>
    <definedName name="HL" localSheetId="7">ModPubIndex!$A$8</definedName>
    <definedName name="IND" localSheetId="7">ModPubIndex!$A$9</definedName>
    <definedName name="Industry" localSheetId="0">ImportantDisclosures!$A$12</definedName>
    <definedName name="IndustryId">IndexInformation!$B$40</definedName>
    <definedName name="IndustryRating" localSheetId="0">ImportantDisclosures!$A$13</definedName>
    <definedName name="KeepVersions" localSheetId="6">IndexInformation!$B$8</definedName>
    <definedName name="LanguageCode">IndexInformation!$B$38</definedName>
    <definedName name="LastCell" localSheetId="0">ImportantDisclosures!$A$22</definedName>
    <definedName name="Linking_1">IS!$A$7:$DM$109</definedName>
    <definedName name="Linking_10">IS!$A$7:$DR$109</definedName>
    <definedName name="Linking_11">CF!$A$7:$DR$78</definedName>
    <definedName name="Linking_12">IS!$A$7:$DW$109</definedName>
    <definedName name="Linking_2">BS!$A$6:$DM$70</definedName>
    <definedName name="Linking_3">CF!$A$7:$DM$95</definedName>
    <definedName name="Linking_4">IS!$A$5:$DM$82</definedName>
    <definedName name="Linking_5">BS!$A$5:$DM$57</definedName>
    <definedName name="Linking_6">CF!$A$5:$DM$95</definedName>
    <definedName name="Linking_7">IS!$A$7:$DR$108</definedName>
    <definedName name="Linking_8">BS!$A$6:$DR$57</definedName>
    <definedName name="Linking_9">CF!$A$9:$DR$78</definedName>
    <definedName name="Linking_Range_1">IS!$A$7:$DC$100</definedName>
    <definedName name="Linking_Range_12">BS!$A$5:$DC$75</definedName>
    <definedName name="Linking_Range_13">CF!$A$5:$DC$90</definedName>
    <definedName name="Linking_Range_15">IS!$A$5:$DH$82</definedName>
    <definedName name="Linking_Range_16">BS!$A$5:$DH$57</definedName>
    <definedName name="Linking_Range_17">CF!$A$5:$DH$78</definedName>
    <definedName name="Linking_Range_18">IS!$A$5:$DH$109</definedName>
    <definedName name="Linking_Range_19">BS!$A$5:$DH$70</definedName>
    <definedName name="Linking_Range_2">BS!$A$6:$DC$68</definedName>
    <definedName name="Linking_Range_20">IS!$A$7:$DM$82</definedName>
    <definedName name="Linking_Range_21">CF!$A$5:$DH$95</definedName>
    <definedName name="Linking_Range_22">IS!$A$5:$DM$109</definedName>
    <definedName name="Linking_Range_3">CF!$A$7:$DC$80</definedName>
    <definedName name="Linking_Range_4">BS!$A$6:$DC$69</definedName>
    <definedName name="Linking_Range_5">CF!$A$7:$DC$85</definedName>
    <definedName name="Linking_Range_6">IS!$A$5:$DC$100</definedName>
    <definedName name="Linking_Range_7">BS!$A$5:$DC$69</definedName>
    <definedName name="Linking_Range_8">CF!$A$7:$DC$90</definedName>
    <definedName name="Linking_Text_1">0.0527132299404847</definedName>
    <definedName name="MacroVersion" localSheetId="6">IndexInformation!$B$1</definedName>
    <definedName name="ModelPrice" localSheetId="0">ImportantDisclosures!$A$14</definedName>
    <definedName name="Multiplier" localSheetId="6">IndexInformation!$B$35</definedName>
    <definedName name="NextYearEPS" localSheetId="6">IndexInformation!$B$13</definedName>
    <definedName name="NextYearTotalRevenue" localSheetId="6">IndexInformation!$B$12</definedName>
    <definedName name="NextYearTotalRevenueActual" localSheetId="6">IndexInformation!$B$33</definedName>
    <definedName name="ObjectType">IndexInformation!$B$37</definedName>
    <definedName name="PANA" localSheetId="7">ModPubIndex!$A$11</definedName>
    <definedName name="PathName" localSheetId="6">IndexInformation!$B$25</definedName>
    <definedName name="PRODUCT" localSheetId="7">ModPubIndex!$A$6</definedName>
    <definedName name="PSYM" localSheetId="7">ModPubIndex!$A$4</definedName>
    <definedName name="PublishDate" localSheetId="6">IndexInformation!$B$2</definedName>
    <definedName name="Rating" localSheetId="6">IndexInformation!$B$9</definedName>
    <definedName name="RatingsDefined" localSheetId="0">ImportantDisclosures!$A$21</definedName>
    <definedName name="RatingsDefs" localSheetId="0">ImportantDisclosures!#REF!</definedName>
    <definedName name="RegACDisclosure" localSheetId="0">ImportantDisclosures!#REF!</definedName>
    <definedName name="ResearchTopic" localSheetId="6">IndexInformation!$B$4</definedName>
    <definedName name="RIC" localSheetId="6">IndexInformation!$B$21</definedName>
    <definedName name="SECSettlement" localSheetId="0">ImportantDisclosures!#REF!</definedName>
    <definedName name="SEDOL" localSheetId="6">IndexInformation!$B$22</definedName>
    <definedName name="SourceDefined" localSheetId="0">ImportantDisclosures!$A$19</definedName>
    <definedName name="StockRating" localSheetId="0">ImportantDisclosures!$A$11</definedName>
    <definedName name="SubjectCode" localSheetId="6">IndexInformation!$B$6</definedName>
    <definedName name="SubmitterUserId">IndexInformation!$B$39</definedName>
    <definedName name="SUPPRESSED" localSheetId="7">ModPubIndex!$A$13</definedName>
    <definedName name="TargetPrice" localSheetId="0">ImportantDisclosures!$A$15</definedName>
    <definedName name="TemplateRegion">IndexInformation!$B$36</definedName>
    <definedName name="Ticker" localSheetId="0">ImportantDisclosures!$A$10</definedName>
    <definedName name="TickerRegion">IndexInformation!$B$41</definedName>
    <definedName name="Tickers" localSheetId="6">IndexInformation!$B$19</definedName>
    <definedName name="UpdateReason" localSheetId="6">IndexInformation!$B$17</definedName>
    <definedName name="USRegDisclosures" localSheetId="0">ImportantDisclosures!#REF!</definedName>
  </definedNames>
  <calcPr calcId="145621" iterate="1" iterateDelta="1.0000000000000002E-3"/>
</workbook>
</file>

<file path=xl/calcChain.xml><?xml version="1.0" encoding="utf-8"?>
<calcChain xmlns="http://schemas.openxmlformats.org/spreadsheetml/2006/main">
  <c r="DO5" i="2" l="1"/>
  <c r="DM43" i="2" l="1"/>
  <c r="DR43" i="2"/>
  <c r="DN45" i="2"/>
  <c r="DN38" i="2"/>
  <c r="DR38" i="2" s="1"/>
  <c r="DN35" i="2"/>
  <c r="DN15" i="2"/>
  <c r="DN17" i="2" s="1"/>
  <c r="DN64" i="2" s="1"/>
  <c r="FH54" i="2"/>
  <c r="FH51" i="2"/>
  <c r="FH43" i="2"/>
  <c r="FH42" i="2"/>
  <c r="FH40" i="2"/>
  <c r="FH38" i="2"/>
  <c r="FH36" i="2"/>
  <c r="FH34" i="2"/>
  <c r="FH33" i="2"/>
  <c r="FH27" i="2"/>
  <c r="FH26" i="2"/>
  <c r="FH25" i="2"/>
  <c r="FH24" i="2"/>
  <c r="FH23" i="2"/>
  <c r="FH22" i="2"/>
  <c r="FH21" i="2"/>
  <c r="FH16" i="2"/>
  <c r="FH14" i="2"/>
  <c r="FH13" i="2"/>
  <c r="FH12" i="2"/>
  <c r="FH11" i="2"/>
  <c r="FH10" i="2"/>
  <c r="FH7" i="2"/>
  <c r="FE51" i="2"/>
  <c r="FE43" i="2"/>
  <c r="FE42" i="2"/>
  <c r="FE36" i="2"/>
  <c r="FE26" i="2"/>
  <c r="FE16" i="2"/>
  <c r="FE14" i="2"/>
  <c r="FE12" i="2"/>
  <c r="FE11" i="2"/>
  <c r="FE7" i="2"/>
  <c r="FE38" i="2" l="1"/>
  <c r="D26" i="1"/>
  <c r="D27" i="1" s="1"/>
  <c r="EQ80" i="4"/>
  <c r="ER80" i="4"/>
  <c r="DL40" i="3" l="1"/>
  <c r="DX66" i="2" l="1"/>
  <c r="DL35" i="2" l="1"/>
  <c r="DL45" i="2"/>
  <c r="DL59" i="2"/>
  <c r="DL15" i="2"/>
  <c r="DL60" i="2" s="1"/>
  <c r="N24" i="1" l="1"/>
  <c r="O24" i="1"/>
  <c r="P24" i="1"/>
  <c r="Q24" i="1"/>
  <c r="R24" i="1"/>
  <c r="N31" i="1"/>
  <c r="O31" i="1"/>
  <c r="P31" i="1"/>
  <c r="Q31" i="1"/>
  <c r="DK145" i="2" l="1"/>
  <c r="DK65" i="4" l="1"/>
  <c r="DK63" i="4"/>
  <c r="DK58" i="4"/>
  <c r="DK56" i="4"/>
  <c r="DK57" i="4" s="1"/>
  <c r="DJ64" i="4"/>
  <c r="DK36" i="4"/>
  <c r="DK16" i="4"/>
  <c r="DL16" i="4" s="1"/>
  <c r="DK14" i="4"/>
  <c r="DL14" i="4" s="1"/>
  <c r="DL120" i="3"/>
  <c r="DN120" i="3" s="1"/>
  <c r="DO120" i="3" s="1"/>
  <c r="DP120" i="3" s="1"/>
  <c r="DQ120" i="3" s="1"/>
  <c r="DS120" i="3" s="1"/>
  <c r="DT120" i="3" s="1"/>
  <c r="DU120" i="3" s="1"/>
  <c r="DV120" i="3" s="1"/>
  <c r="DX120" i="3" s="1"/>
  <c r="DY120" i="3" s="1"/>
  <c r="DZ120" i="3" s="1"/>
  <c r="EA120" i="3" s="1"/>
  <c r="DK110" i="3"/>
  <c r="DK95" i="3"/>
  <c r="DJ95" i="3"/>
  <c r="DK56" i="3"/>
  <c r="DK55" i="3"/>
  <c r="DK47" i="3"/>
  <c r="DK40" i="3"/>
  <c r="DK41" i="3" s="1"/>
  <c r="DK16" i="3"/>
  <c r="DK64" i="4" l="1"/>
  <c r="DL64" i="4" s="1"/>
  <c r="DK48" i="3"/>
  <c r="CR150" i="2"/>
  <c r="DN148" i="2"/>
  <c r="CS149" i="2"/>
  <c r="CW150" i="2"/>
  <c r="DH149" i="2"/>
  <c r="DC149" i="2"/>
  <c r="CX149" i="2"/>
  <c r="A149" i="2"/>
  <c r="DK154" i="2"/>
  <c r="DJ154" i="2"/>
  <c r="DI154" i="2"/>
  <c r="DG154" i="2"/>
  <c r="DF154" i="2"/>
  <c r="DE154" i="2"/>
  <c r="DD154" i="2"/>
  <c r="DB154" i="2"/>
  <c r="DA154" i="2"/>
  <c r="CZ154" i="2"/>
  <c r="CY154" i="2"/>
  <c r="CW154" i="2"/>
  <c r="CV154" i="2"/>
  <c r="CU154" i="2"/>
  <c r="CT154" i="2"/>
  <c r="CR154" i="2"/>
  <c r="CQ154" i="2"/>
  <c r="CP154" i="2"/>
  <c r="CO154" i="2"/>
  <c r="DK84" i="2"/>
  <c r="DJ84" i="2"/>
  <c r="DI84" i="2"/>
  <c r="DG84" i="2"/>
  <c r="DF84" i="2"/>
  <c r="DE84" i="2"/>
  <c r="DD84" i="2"/>
  <c r="DB84" i="2"/>
  <c r="DA84" i="2"/>
  <c r="CZ84" i="2"/>
  <c r="CY84" i="2"/>
  <c r="CW84" i="2"/>
  <c r="CV84" i="2"/>
  <c r="CU84" i="2"/>
  <c r="CT84" i="2"/>
  <c r="CR84" i="2"/>
  <c r="CQ84" i="2"/>
  <c r="CP84" i="2"/>
  <c r="CO84" i="2"/>
  <c r="CM84" i="2"/>
  <c r="CL84" i="2"/>
  <c r="CK84" i="2"/>
  <c r="CJ84" i="2"/>
  <c r="CH84" i="2"/>
  <c r="CG84" i="2"/>
  <c r="CF84" i="2"/>
  <c r="CE84" i="2"/>
  <c r="CC84" i="2"/>
  <c r="CB84" i="2"/>
  <c r="CA84" i="2"/>
  <c r="BZ84" i="2"/>
  <c r="BX84" i="2"/>
  <c r="BW84" i="2"/>
  <c r="BV84" i="2"/>
  <c r="BU84" i="2"/>
  <c r="BS84" i="2"/>
  <c r="BR84" i="2"/>
  <c r="BQ84" i="2"/>
  <c r="BP84" i="2"/>
  <c r="BN84" i="2"/>
  <c r="BM84" i="2"/>
  <c r="BL84" i="2"/>
  <c r="BK84" i="2"/>
  <c r="BI84" i="2"/>
  <c r="BF84" i="2"/>
  <c r="BE84" i="2"/>
  <c r="BD84" i="2"/>
  <c r="EB150" i="2" l="1"/>
  <c r="DW150" i="2"/>
  <c r="DR150" i="2"/>
  <c r="DH150" i="2"/>
  <c r="DC150" i="2"/>
  <c r="CX150" i="2"/>
  <c r="CS150" i="2"/>
  <c r="DM150" i="2"/>
  <c r="DK148" i="2" l="1"/>
  <c r="DK151" i="2" s="1"/>
  <c r="DK45" i="2" l="1"/>
  <c r="DK59" i="2" l="1"/>
  <c r="DK115" i="2" l="1"/>
  <c r="DG113" i="2"/>
  <c r="DF113" i="2"/>
  <c r="DJ124" i="2" l="1"/>
  <c r="DI124" i="2"/>
  <c r="DI118" i="2"/>
  <c r="DD116" i="2"/>
  <c r="DI116" i="2"/>
  <c r="DL105" i="3"/>
  <c r="DM105" i="3" s="1"/>
  <c r="DN105" i="3" s="1"/>
  <c r="DO105" i="3" s="1"/>
  <c r="DP105" i="3" s="1"/>
  <c r="DQ105" i="3" s="1"/>
  <c r="DR105" i="3" s="1"/>
  <c r="DS105" i="3" s="1"/>
  <c r="DT105" i="3" s="1"/>
  <c r="DU105" i="3" s="1"/>
  <c r="DV105" i="3" s="1"/>
  <c r="DW105" i="3" s="1"/>
  <c r="DX105" i="3" s="1"/>
  <c r="DY105" i="3" s="1"/>
  <c r="DZ105" i="3" s="1"/>
  <c r="EA105" i="3" s="1"/>
  <c r="EB105" i="3" s="1"/>
  <c r="DJ145" i="2"/>
  <c r="DJ146" i="2" s="1"/>
  <c r="DJ86" i="4"/>
  <c r="DJ72" i="4"/>
  <c r="DJ68" i="4"/>
  <c r="DJ67" i="4"/>
  <c r="DJ61" i="4"/>
  <c r="DJ60" i="4"/>
  <c r="DJ51" i="4"/>
  <c r="DJ50" i="4"/>
  <c r="DJ44" i="4"/>
  <c r="DJ43" i="4"/>
  <c r="DJ29" i="4"/>
  <c r="DJ35" i="4"/>
  <c r="DJ30" i="4"/>
  <c r="DJ28" i="4"/>
  <c r="DJ27" i="4"/>
  <c r="DJ24" i="4"/>
  <c r="DJ23" i="4"/>
  <c r="DJ21" i="4"/>
  <c r="DJ20" i="4"/>
  <c r="DJ18" i="4"/>
  <c r="DJ17" i="4"/>
  <c r="DJ12" i="4"/>
  <c r="DJ10" i="4"/>
  <c r="DJ40" i="3"/>
  <c r="DK18" i="4" l="1"/>
  <c r="DL18" i="4" s="1"/>
  <c r="DK10" i="4"/>
  <c r="DL10" i="4" s="1"/>
  <c r="DK20" i="4"/>
  <c r="DL20" i="4" s="1"/>
  <c r="DK27" i="4"/>
  <c r="DL27" i="4" s="1"/>
  <c r="DK29" i="4"/>
  <c r="DL29" i="4" s="1"/>
  <c r="DK51" i="4"/>
  <c r="DL51" i="4" s="1"/>
  <c r="DK68" i="4"/>
  <c r="DL68" i="4" s="1"/>
  <c r="DK24" i="4"/>
  <c r="DL24" i="4" s="1"/>
  <c r="DK35" i="4"/>
  <c r="DL35" i="4" s="1"/>
  <c r="DK12" i="4"/>
  <c r="DL12" i="4" s="1"/>
  <c r="DK21" i="4"/>
  <c r="DL21" i="4" s="1"/>
  <c r="DK28" i="4"/>
  <c r="DL28" i="4" s="1"/>
  <c r="DK72" i="4"/>
  <c r="DL72" i="4" s="1"/>
  <c r="DK17" i="4"/>
  <c r="DL17" i="4" s="1"/>
  <c r="DK23" i="4"/>
  <c r="DL23" i="4" s="1"/>
  <c r="DK30" i="4"/>
  <c r="DL30" i="4" s="1"/>
  <c r="DK44" i="4"/>
  <c r="DL44" i="4" s="1"/>
  <c r="DK61" i="4"/>
  <c r="DL61" i="4" s="1"/>
  <c r="DK43" i="4"/>
  <c r="DJ118" i="2"/>
  <c r="DK60" i="4"/>
  <c r="DL60" i="4" s="1"/>
  <c r="DJ84" i="4"/>
  <c r="DK50" i="4"/>
  <c r="DL50" i="4" s="1"/>
  <c r="DJ101" i="4"/>
  <c r="DK67" i="4"/>
  <c r="DK101" i="4" s="1"/>
  <c r="DJ89" i="4"/>
  <c r="DK37" i="4" l="1"/>
  <c r="DK39" i="4" s="1"/>
  <c r="DL67" i="4"/>
  <c r="DL101" i="4" s="1"/>
  <c r="DL37" i="4"/>
  <c r="DL43" i="4"/>
  <c r="DM43" i="4" s="1"/>
  <c r="DJ148" i="2"/>
  <c r="DJ151" i="2" l="1"/>
  <c r="DJ152" i="2" s="1"/>
  <c r="DJ59" i="2" l="1"/>
  <c r="DJ35" i="2"/>
  <c r="DI95" i="3" l="1"/>
  <c r="DI101" i="4"/>
  <c r="DD101" i="4"/>
  <c r="DI89" i="4"/>
  <c r="DI86" i="4"/>
  <c r="DI84" i="4"/>
  <c r="DI66" i="4"/>
  <c r="DJ66" i="4" s="1"/>
  <c r="DI42" i="4"/>
  <c r="DJ42" i="4" s="1"/>
  <c r="DK42" i="4" l="1"/>
  <c r="DK53" i="4" s="1"/>
  <c r="DK66" i="4"/>
  <c r="DK70" i="4" s="1"/>
  <c r="DI102" i="4"/>
  <c r="DI40" i="3"/>
  <c r="DL42" i="4" l="1"/>
  <c r="DL66" i="4"/>
  <c r="DI148" i="2" l="1"/>
  <c r="DI145" i="2"/>
  <c r="DI151" i="2" l="1"/>
  <c r="DI152" i="2" s="1"/>
  <c r="DI59" i="2" l="1"/>
  <c r="FH59" i="2" s="1"/>
  <c r="DI35" i="2"/>
  <c r="FH35" i="2" s="1"/>
  <c r="DI15" i="2"/>
  <c r="DI60" i="2" l="1"/>
  <c r="FH60" i="2" s="1"/>
  <c r="FH15" i="2"/>
  <c r="FB43" i="2" l="1"/>
  <c r="FB42" i="2"/>
  <c r="FB38" i="2"/>
  <c r="FB37" i="2"/>
  <c r="FB36" i="2"/>
  <c r="FB26" i="2"/>
  <c r="DC129" i="2" l="1"/>
  <c r="DB40" i="3" l="1"/>
  <c r="EB107" i="3" l="1"/>
  <c r="EB106" i="3"/>
  <c r="DW107" i="3"/>
  <c r="DW106" i="3"/>
  <c r="DR107" i="3"/>
  <c r="DR106" i="3"/>
  <c r="DM107" i="3"/>
  <c r="DM106" i="3"/>
  <c r="DH107" i="3"/>
  <c r="DR103" i="3" l="1"/>
  <c r="DK122" i="3"/>
  <c r="DL122" i="3" s="1"/>
  <c r="DN122" i="3" s="1"/>
  <c r="DO122" i="3" s="1"/>
  <c r="DP122" i="3" s="1"/>
  <c r="DQ122" i="3" s="1"/>
  <c r="DS122" i="3" s="1"/>
  <c r="DT122" i="3" s="1"/>
  <c r="DU122" i="3" s="1"/>
  <c r="DV122" i="3" s="1"/>
  <c r="DX122" i="3" s="1"/>
  <c r="DY122" i="3" s="1"/>
  <c r="DZ122" i="3" s="1"/>
  <c r="EA122" i="3" s="1"/>
  <c r="DK121" i="3"/>
  <c r="DL121" i="3" s="1"/>
  <c r="DN121" i="3" s="1"/>
  <c r="DO121" i="3" s="1"/>
  <c r="DP121" i="3" s="1"/>
  <c r="DQ121" i="3" s="1"/>
  <c r="DS121" i="3" s="1"/>
  <c r="DT121" i="3" s="1"/>
  <c r="DU121" i="3" s="1"/>
  <c r="DV121" i="3" s="1"/>
  <c r="DX121" i="3" s="1"/>
  <c r="DY121" i="3" s="1"/>
  <c r="DZ121" i="3" s="1"/>
  <c r="EA121" i="3" s="1"/>
  <c r="DF121" i="3"/>
  <c r="DG121" i="3"/>
  <c r="DG106" i="3"/>
  <c r="DH106" i="3" s="1"/>
  <c r="DH94" i="3"/>
  <c r="DH93" i="3"/>
  <c r="DH92" i="3"/>
  <c r="DH91" i="3"/>
  <c r="DG95" i="3"/>
  <c r="DG124" i="2"/>
  <c r="DG122" i="2"/>
  <c r="DG120" i="2"/>
  <c r="DG116" i="2"/>
  <c r="DH89" i="4"/>
  <c r="DH86" i="4"/>
  <c r="DH84" i="4"/>
  <c r="DG86" i="4"/>
  <c r="DG63" i="4"/>
  <c r="DG58" i="4"/>
  <c r="DG56" i="4"/>
  <c r="DG57" i="4" s="1"/>
  <c r="DH66" i="4"/>
  <c r="DG15" i="4"/>
  <c r="DG40" i="3"/>
  <c r="DB122" i="2"/>
  <c r="DG148" i="2"/>
  <c r="DG151" i="2" s="1"/>
  <c r="DF148" i="2"/>
  <c r="DF151" i="2" s="1"/>
  <c r="DG145" i="2"/>
  <c r="DF145" i="2"/>
  <c r="DF146" i="2" s="1"/>
  <c r="DH95" i="3" l="1"/>
  <c r="DG123" i="2"/>
  <c r="DG45" i="2" l="1"/>
  <c r="DG59" i="2"/>
  <c r="DG15" i="2"/>
  <c r="DG60" i="2" l="1"/>
  <c r="DG17" i="2"/>
  <c r="DG58" i="2" l="1"/>
  <c r="DG61" i="2"/>
  <c r="DG62" i="2"/>
  <c r="DG57" i="2"/>
  <c r="DG56" i="2"/>
  <c r="DG29" i="2"/>
  <c r="DG30" i="2" l="1"/>
  <c r="DG63" i="2"/>
  <c r="DL78" i="2" l="1"/>
  <c r="DG64" i="2"/>
  <c r="DG32" i="2"/>
  <c r="DF124" i="2"/>
  <c r="DE124" i="2"/>
  <c r="DD124" i="2"/>
  <c r="DF116" i="2" l="1"/>
  <c r="DE116" i="2"/>
  <c r="DD113" i="2"/>
  <c r="DF40" i="3" l="1"/>
  <c r="DF106" i="3"/>
  <c r="DF95" i="3"/>
  <c r="DH43" i="2" l="1"/>
  <c r="DF45" i="2"/>
  <c r="DF35" i="2"/>
  <c r="DF59" i="2"/>
  <c r="DF15" i="2"/>
  <c r="DF52" i="2" l="1"/>
  <c r="DF60" i="2"/>
  <c r="DF17" i="2"/>
  <c r="DF56" i="2" l="1"/>
  <c r="DF62" i="2"/>
  <c r="DF58" i="2"/>
  <c r="DF61" i="2"/>
  <c r="DF57" i="2"/>
  <c r="DE72" i="4" l="1"/>
  <c r="DF72" i="4" s="1"/>
  <c r="DG72" i="4" s="1"/>
  <c r="DE64" i="4"/>
  <c r="DF64" i="4" s="1"/>
  <c r="DG64" i="4" s="1"/>
  <c r="DE57" i="4"/>
  <c r="DF57" i="4" s="1"/>
  <c r="DE68" i="4"/>
  <c r="DE67" i="4"/>
  <c r="DE63" i="4"/>
  <c r="DE65" i="4"/>
  <c r="DF65" i="4" s="1"/>
  <c r="DG65" i="4" s="1"/>
  <c r="DE62" i="4"/>
  <c r="DE61" i="4"/>
  <c r="DF61" i="4" s="1"/>
  <c r="DG61" i="4" s="1"/>
  <c r="DE60" i="4"/>
  <c r="DE58" i="4"/>
  <c r="DE59" i="4"/>
  <c r="DE56" i="4"/>
  <c r="DE48" i="4"/>
  <c r="DE46" i="4"/>
  <c r="DF46" i="4" s="1"/>
  <c r="DE45" i="4"/>
  <c r="DE51" i="4"/>
  <c r="DG51" i="4" s="1"/>
  <c r="DE49" i="4"/>
  <c r="DF49" i="4" s="1"/>
  <c r="DG49" i="4" s="1"/>
  <c r="DE42" i="4"/>
  <c r="DF42" i="4" s="1"/>
  <c r="DG42" i="4" s="1"/>
  <c r="DE47" i="4"/>
  <c r="DF47" i="4" s="1"/>
  <c r="DG47" i="4" s="1"/>
  <c r="DE50" i="4"/>
  <c r="DE44" i="4"/>
  <c r="DF44" i="4" s="1"/>
  <c r="DG44" i="4" s="1"/>
  <c r="DE43" i="4"/>
  <c r="DF43" i="4" s="1"/>
  <c r="DG43" i="4" s="1"/>
  <c r="DE14" i="4"/>
  <c r="DF14" i="4" s="1"/>
  <c r="DG14" i="4" s="1"/>
  <c r="DE36" i="4"/>
  <c r="DF36" i="4" s="1"/>
  <c r="DG36" i="4" s="1"/>
  <c r="DE35" i="4"/>
  <c r="DF35" i="4" s="1"/>
  <c r="DG35" i="4" s="1"/>
  <c r="DE33" i="4"/>
  <c r="DF33" i="4" s="1"/>
  <c r="DE30" i="4"/>
  <c r="DF30" i="4" s="1"/>
  <c r="DG30" i="4" s="1"/>
  <c r="DE29" i="4"/>
  <c r="DF29" i="4" s="1"/>
  <c r="DG29" i="4" s="1"/>
  <c r="DE28" i="4"/>
  <c r="DF28" i="4" s="1"/>
  <c r="DG28" i="4" s="1"/>
  <c r="DE27" i="4"/>
  <c r="DE24" i="4"/>
  <c r="DF24" i="4" s="1"/>
  <c r="DG24" i="4" s="1"/>
  <c r="DE23" i="4"/>
  <c r="DF23" i="4" s="1"/>
  <c r="DG23" i="4" s="1"/>
  <c r="DE21" i="4"/>
  <c r="DF21" i="4" s="1"/>
  <c r="DG21" i="4" s="1"/>
  <c r="DE20" i="4"/>
  <c r="DF20" i="4" s="1"/>
  <c r="DG20" i="4" s="1"/>
  <c r="DE18" i="4"/>
  <c r="DF18" i="4" s="1"/>
  <c r="DG18" i="4" s="1"/>
  <c r="DE17" i="4"/>
  <c r="DF17" i="4" s="1"/>
  <c r="DG17" i="4" s="1"/>
  <c r="DE12" i="4"/>
  <c r="DE10" i="4"/>
  <c r="DF10" i="4" s="1"/>
  <c r="DG10" i="4" s="1"/>
  <c r="DE95" i="3"/>
  <c r="DE83" i="3"/>
  <c r="DE82" i="3"/>
  <c r="DE81" i="3"/>
  <c r="DE87" i="3" s="1"/>
  <c r="DE40" i="3"/>
  <c r="DF12" i="4" l="1"/>
  <c r="DE37" i="4"/>
  <c r="DF27" i="4"/>
  <c r="DE89" i="4"/>
  <c r="DE118" i="2"/>
  <c r="DF60" i="4"/>
  <c r="DG60" i="4" s="1"/>
  <c r="DE84" i="4"/>
  <c r="DF50" i="4"/>
  <c r="DF53" i="4" s="1"/>
  <c r="DE101" i="4"/>
  <c r="DJ102" i="4" s="1"/>
  <c r="DF67" i="4"/>
  <c r="DE94" i="4"/>
  <c r="DF68" i="4"/>
  <c r="DG68" i="4" s="1"/>
  <c r="DG114" i="2" s="1"/>
  <c r="DE95" i="4"/>
  <c r="DE93" i="4"/>
  <c r="DE53" i="4"/>
  <c r="DE86" i="3"/>
  <c r="DE148" i="2"/>
  <c r="DE151" i="2" s="1"/>
  <c r="DE145" i="2"/>
  <c r="DE39" i="4" l="1"/>
  <c r="DE82" i="4" s="1"/>
  <c r="DE85" i="4" s="1"/>
  <c r="DF101" i="4"/>
  <c r="DK102" i="4" s="1"/>
  <c r="DG67" i="4"/>
  <c r="DG101" i="4" s="1"/>
  <c r="DF37" i="4"/>
  <c r="DG27" i="4"/>
  <c r="DG12" i="4"/>
  <c r="DG89" i="4"/>
  <c r="DG118" i="2"/>
  <c r="DG119" i="2" s="1"/>
  <c r="DG50" i="4"/>
  <c r="DF99" i="4"/>
  <c r="DF84" i="4"/>
  <c r="DF118" i="2"/>
  <c r="DF89" i="4"/>
  <c r="DG102" i="4" l="1"/>
  <c r="DL102" i="4"/>
  <c r="DF39" i="4"/>
  <c r="DG84" i="4"/>
  <c r="DG99" i="4"/>
  <c r="DF82" i="4" l="1"/>
  <c r="DF85" i="4" s="1"/>
  <c r="DD118" i="2"/>
  <c r="DE70" i="2" l="1"/>
  <c r="DE69" i="2"/>
  <c r="DE59" i="2"/>
  <c r="DD94" i="4" l="1"/>
  <c r="DD93" i="4"/>
  <c r="DD89" i="4"/>
  <c r="DD84" i="4"/>
  <c r="DD66" i="4"/>
  <c r="DE66" i="4" s="1"/>
  <c r="DD53" i="4"/>
  <c r="DD40" i="3"/>
  <c r="DD70" i="4" l="1"/>
  <c r="DD37" i="4"/>
  <c r="DD39" i="4" s="1"/>
  <c r="DD82" i="4" s="1"/>
  <c r="DD85" i="4" s="1"/>
  <c r="DE70" i="4"/>
  <c r="DE74" i="4" s="1"/>
  <c r="DF66" i="4"/>
  <c r="DG66" i="4" s="1"/>
  <c r="DD74" i="4" l="1"/>
  <c r="DD125" i="3"/>
  <c r="DE119" i="3"/>
  <c r="DE118" i="3"/>
  <c r="DE117" i="3"/>
  <c r="DC99" i="3"/>
  <c r="DC100" i="3"/>
  <c r="CZ95" i="3"/>
  <c r="DC94" i="3"/>
  <c r="DC93" i="3"/>
  <c r="DC92" i="3"/>
  <c r="DC91" i="3"/>
  <c r="CX94" i="3"/>
  <c r="CX93" i="3"/>
  <c r="CX92" i="3"/>
  <c r="CX91" i="3"/>
  <c r="CS91" i="3"/>
  <c r="DD95" i="3"/>
  <c r="CY95" i="3"/>
  <c r="DB95" i="3"/>
  <c r="CX95" i="3" l="1"/>
  <c r="DC95" i="3"/>
  <c r="CY45" i="2"/>
  <c r="DD148" i="2" l="1"/>
  <c r="DD151" i="2" s="1"/>
  <c r="DD145" i="2"/>
  <c r="EB26" i="2"/>
  <c r="DW26" i="2"/>
  <c r="DR26" i="2"/>
  <c r="DM26" i="2"/>
  <c r="DD59" i="2" l="1"/>
  <c r="BF217" i="2" l="1"/>
  <c r="BK217" i="2"/>
  <c r="BP217" i="2"/>
  <c r="DB217" i="2"/>
  <c r="DA217" i="2"/>
  <c r="CY217" i="2"/>
  <c r="CW217" i="2"/>
  <c r="CV217" i="2"/>
  <c r="CU217" i="2"/>
  <c r="CT217" i="2"/>
  <c r="CR217" i="2"/>
  <c r="CQ217" i="2"/>
  <c r="CP217" i="2"/>
  <c r="CO217" i="2"/>
  <c r="CM217" i="2"/>
  <c r="CL217" i="2"/>
  <c r="CK217" i="2"/>
  <c r="CJ217" i="2"/>
  <c r="CH217" i="2"/>
  <c r="CG217" i="2"/>
  <c r="CF217" i="2"/>
  <c r="CE217" i="2"/>
  <c r="CC217" i="2"/>
  <c r="CB217" i="2"/>
  <c r="CA217" i="2"/>
  <c r="BZ217" i="2"/>
  <c r="BX217" i="2"/>
  <c r="BW217" i="2"/>
  <c r="BV217" i="2"/>
  <c r="BU217" i="2"/>
  <c r="DB148" i="2" l="1"/>
  <c r="DB151" i="2" s="1"/>
  <c r="DA148" i="2"/>
  <c r="DA151" i="2" s="1"/>
  <c r="CZ148" i="2"/>
  <c r="CZ151" i="2" s="1"/>
  <c r="CY148" i="2"/>
  <c r="CY151" i="2" s="1"/>
  <c r="DB145" i="2"/>
  <c r="DA145" i="2"/>
  <c r="CZ145" i="2"/>
  <c r="CY145" i="2"/>
  <c r="DC117" i="2"/>
  <c r="DB120" i="2"/>
  <c r="DB124" i="2"/>
  <c r="DB123" i="2" s="1"/>
  <c r="DB116" i="2"/>
  <c r="DA124" i="2"/>
  <c r="DA120" i="2"/>
  <c r="DA116" i="2"/>
  <c r="CZ124" i="2"/>
  <c r="CX112" i="2"/>
  <c r="CZ116" i="2"/>
  <c r="DB51" i="4" l="1"/>
  <c r="DC66" i="4"/>
  <c r="DB15" i="4"/>
  <c r="DC36" i="4"/>
  <c r="DB59" i="2" l="1"/>
  <c r="DC43" i="2"/>
  <c r="DC37" i="2"/>
  <c r="DA125" i="3" l="1"/>
  <c r="CY101" i="4" l="1"/>
  <c r="DI100" i="3"/>
  <c r="DJ100" i="3" s="1"/>
  <c r="DK100" i="3" s="1"/>
  <c r="DL100" i="3" s="1"/>
  <c r="DE115" i="3"/>
  <c r="DA95" i="3"/>
  <c r="DA64" i="4"/>
  <c r="DB64" i="4" s="1"/>
  <c r="DA40" i="3"/>
  <c r="DA16" i="3"/>
  <c r="DN100" i="3" l="1"/>
  <c r="DO100" i="3" s="1"/>
  <c r="DP100" i="3" s="1"/>
  <c r="DQ100" i="3" s="1"/>
  <c r="DM100" i="3"/>
  <c r="DD102" i="4"/>
  <c r="CY102" i="4"/>
  <c r="DK115" i="3"/>
  <c r="DL115" i="3" s="1"/>
  <c r="DN115" i="3" s="1"/>
  <c r="DO115" i="3" s="1"/>
  <c r="DP115" i="3" s="1"/>
  <c r="DQ115" i="3" s="1"/>
  <c r="DS115" i="3" s="1"/>
  <c r="DT115" i="3" s="1"/>
  <c r="DU115" i="3" s="1"/>
  <c r="DV115" i="3" s="1"/>
  <c r="DX115" i="3" s="1"/>
  <c r="DY115" i="3" s="1"/>
  <c r="DZ115" i="3" s="1"/>
  <c r="EA115" i="3" s="1"/>
  <c r="DE114" i="3"/>
  <c r="DS100" i="3" l="1"/>
  <c r="DT100" i="3" s="1"/>
  <c r="DU100" i="3" s="1"/>
  <c r="DV100" i="3" s="1"/>
  <c r="DR100" i="3"/>
  <c r="DI99" i="3"/>
  <c r="DJ99" i="3" l="1"/>
  <c r="DX100" i="3"/>
  <c r="DY100" i="3" s="1"/>
  <c r="DZ100" i="3" s="1"/>
  <c r="EA100" i="3" s="1"/>
  <c r="EB100" i="3" s="1"/>
  <c r="DW100" i="3"/>
  <c r="DK99" i="3" l="1"/>
  <c r="DL99" i="3" l="1"/>
  <c r="DK114" i="3"/>
  <c r="DN99" i="3" l="1"/>
  <c r="DM99" i="3"/>
  <c r="DL114" i="3"/>
  <c r="DO99" i="3" l="1"/>
  <c r="DN114" i="3"/>
  <c r="DP99" i="3" l="1"/>
  <c r="DO114" i="3"/>
  <c r="DQ99" i="3" l="1"/>
  <c r="DP114" i="3"/>
  <c r="DS99" i="3" l="1"/>
  <c r="DR99" i="3"/>
  <c r="DQ114" i="3"/>
  <c r="DA59" i="2"/>
  <c r="CV59" i="2"/>
  <c r="CW59" i="2"/>
  <c r="CY59" i="2"/>
  <c r="CZ59" i="2"/>
  <c r="DT99" i="3" l="1"/>
  <c r="DS114" i="3"/>
  <c r="DU99" i="3" l="1"/>
  <c r="DT114" i="3"/>
  <c r="DV99" i="3" l="1"/>
  <c r="DU114" i="3"/>
  <c r="CZ72" i="4"/>
  <c r="DA72" i="4" s="1"/>
  <c r="DB72" i="4" s="1"/>
  <c r="CZ68" i="4"/>
  <c r="DA68" i="4" s="1"/>
  <c r="CZ67" i="4"/>
  <c r="CZ61" i="4"/>
  <c r="DA61" i="4" s="1"/>
  <c r="DB61" i="4" s="1"/>
  <c r="CZ60" i="4"/>
  <c r="CZ49" i="4"/>
  <c r="DA49" i="4" s="1"/>
  <c r="DB49" i="4" s="1"/>
  <c r="CZ44" i="4"/>
  <c r="DA44" i="4" s="1"/>
  <c r="DB44" i="4" s="1"/>
  <c r="CZ50" i="4"/>
  <c r="CZ46" i="4"/>
  <c r="DA46" i="4" s="1"/>
  <c r="CZ43" i="4"/>
  <c r="DA43" i="4" s="1"/>
  <c r="DB43" i="4" s="1"/>
  <c r="CZ36" i="4"/>
  <c r="DA36" i="4" s="1"/>
  <c r="DB36" i="4" s="1"/>
  <c r="CZ23" i="4"/>
  <c r="DA23" i="4" s="1"/>
  <c r="DB23" i="4" s="1"/>
  <c r="CZ14" i="4"/>
  <c r="DA14" i="4" s="1"/>
  <c r="DB14" i="4" s="1"/>
  <c r="CZ18" i="4"/>
  <c r="DA18" i="4" s="1"/>
  <c r="DB18" i="4" s="1"/>
  <c r="CZ29" i="4"/>
  <c r="DA29" i="4" s="1"/>
  <c r="DB29" i="4" s="1"/>
  <c r="CZ35" i="4"/>
  <c r="DA35" i="4" s="1"/>
  <c r="DB35" i="4" s="1"/>
  <c r="CZ33" i="4"/>
  <c r="DA33" i="4" s="1"/>
  <c r="DB33" i="4" s="1"/>
  <c r="CZ30" i="4"/>
  <c r="DA30" i="4" s="1"/>
  <c r="DB30" i="4" s="1"/>
  <c r="CZ28" i="4"/>
  <c r="DA28" i="4" s="1"/>
  <c r="DB28" i="4" s="1"/>
  <c r="CZ27" i="4"/>
  <c r="DA27" i="4" s="1"/>
  <c r="DB27" i="4" s="1"/>
  <c r="CZ24" i="4"/>
  <c r="DA24" i="4" s="1"/>
  <c r="DB24" i="4" s="1"/>
  <c r="CZ21" i="4"/>
  <c r="DA21" i="4" s="1"/>
  <c r="DB21" i="4" s="1"/>
  <c r="CZ20" i="4"/>
  <c r="DA20" i="4" s="1"/>
  <c r="DB20" i="4" s="1"/>
  <c r="CZ17" i="4"/>
  <c r="DA17" i="4" s="1"/>
  <c r="DB17" i="4" s="1"/>
  <c r="CZ12" i="4"/>
  <c r="DA12" i="4" s="1"/>
  <c r="DB12" i="4" s="1"/>
  <c r="CZ10" i="4"/>
  <c r="DA10" i="4" s="1"/>
  <c r="DB10" i="4" s="1"/>
  <c r="CZ40" i="3"/>
  <c r="CY40" i="3"/>
  <c r="DX99" i="3" l="1"/>
  <c r="DW99" i="3"/>
  <c r="DB37" i="4"/>
  <c r="DA114" i="2"/>
  <c r="DB68" i="4"/>
  <c r="DB114" i="2" s="1"/>
  <c r="DA60" i="4"/>
  <c r="CZ118" i="2"/>
  <c r="DA50" i="4"/>
  <c r="CZ101" i="4"/>
  <c r="DE102" i="4" s="1"/>
  <c r="DA67" i="4"/>
  <c r="DV114" i="3"/>
  <c r="DY99" i="3" l="1"/>
  <c r="DA101" i="4"/>
  <c r="DB67" i="4"/>
  <c r="DA118" i="2"/>
  <c r="DA119" i="2" s="1"/>
  <c r="DB60" i="4"/>
  <c r="DB118" i="2" s="1"/>
  <c r="DB119" i="2" s="1"/>
  <c r="DB50" i="4"/>
  <c r="DX114" i="3"/>
  <c r="DZ99" i="3" l="1"/>
  <c r="DA102" i="4"/>
  <c r="DF102" i="4"/>
  <c r="DD108" i="4"/>
  <c r="DE108" i="4"/>
  <c r="DC101" i="4"/>
  <c r="DY114" i="3"/>
  <c r="EA99" i="3" l="1"/>
  <c r="DZ114" i="3"/>
  <c r="EB99" i="3" l="1"/>
  <c r="EA114" i="3"/>
  <c r="CY66" i="4" l="1"/>
  <c r="CZ66" i="4" s="1"/>
  <c r="DA66" i="4" s="1"/>
  <c r="DB66" i="4" s="1"/>
  <c r="CY42" i="4"/>
  <c r="CZ42" i="4" s="1"/>
  <c r="DA42" i="4" s="1"/>
  <c r="DB42" i="4" s="1"/>
  <c r="EA148" i="2" l="1"/>
  <c r="DZ148" i="2"/>
  <c r="DY148" i="2"/>
  <c r="DX148" i="2"/>
  <c r="DV148" i="2"/>
  <c r="DU148" i="2"/>
  <c r="DT148" i="2"/>
  <c r="DS148" i="2"/>
  <c r="DW148" i="2" l="1"/>
  <c r="EB148" i="2"/>
  <c r="BX122" i="2"/>
  <c r="CC122" i="2"/>
  <c r="CH122" i="2"/>
  <c r="CM122" i="2"/>
  <c r="CR122" i="2"/>
  <c r="CW122" i="2"/>
  <c r="BJ54" i="2"/>
  <c r="BJ84" i="2" s="1"/>
  <c r="BO54" i="2"/>
  <c r="BT54" i="2"/>
  <c r="BY54" i="2"/>
  <c r="CI54" i="2"/>
  <c r="CI84" i="2" s="1"/>
  <c r="CN54" i="2"/>
  <c r="CS54" i="2"/>
  <c r="CX54" i="2"/>
  <c r="AU54" i="2"/>
  <c r="AP54" i="2"/>
  <c r="AK54" i="2"/>
  <c r="AZ121" i="2"/>
  <c r="BE121" i="2"/>
  <c r="BJ121" i="2"/>
  <c r="BO121" i="2"/>
  <c r="BT121" i="2"/>
  <c r="BY121" i="2"/>
  <c r="CD121" i="2"/>
  <c r="CI121" i="2"/>
  <c r="CN121" i="2"/>
  <c r="CS121" i="2"/>
  <c r="CX121" i="2"/>
  <c r="AZ122" i="2"/>
  <c r="BC54" i="2"/>
  <c r="BB54" i="2"/>
  <c r="AX54" i="2"/>
  <c r="AW54" i="2"/>
  <c r="AV54" i="2"/>
  <c r="AT54" i="2"/>
  <c r="AS54" i="2"/>
  <c r="AR54" i="2"/>
  <c r="AQ54" i="2"/>
  <c r="AO54" i="2"/>
  <c r="AN54" i="2"/>
  <c r="AM54" i="2"/>
  <c r="AL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54" i="2"/>
  <c r="CY124" i="2"/>
  <c r="CW124" i="2"/>
  <c r="CY116" i="2"/>
  <c r="CW120" i="2"/>
  <c r="CW116" i="2"/>
  <c r="T84" i="2" l="1"/>
  <c r="AB84" i="2"/>
  <c r="AF84" i="2"/>
  <c r="G84" i="2"/>
  <c r="K84" i="2"/>
  <c r="O84" i="2"/>
  <c r="S84" i="2"/>
  <c r="W84" i="2"/>
  <c r="AA84" i="2"/>
  <c r="AE84" i="2"/>
  <c r="AI84" i="2"/>
  <c r="AP84" i="2"/>
  <c r="L84" i="2"/>
  <c r="P84" i="2"/>
  <c r="X84" i="2"/>
  <c r="AJ84" i="2"/>
  <c r="H84" i="2"/>
  <c r="AN84" i="2"/>
  <c r="AS84" i="2"/>
  <c r="AX84" i="2"/>
  <c r="CN84" i="2"/>
  <c r="BO84" i="2"/>
  <c r="AZ84" i="2"/>
  <c r="AU84" i="2"/>
  <c r="AO84" i="2"/>
  <c r="BG84" i="2"/>
  <c r="BB84" i="2"/>
  <c r="I84" i="2"/>
  <c r="M84" i="2"/>
  <c r="Q84" i="2"/>
  <c r="U84" i="2"/>
  <c r="Y84" i="2"/>
  <c r="AC84" i="2"/>
  <c r="AG84" i="2"/>
  <c r="AL84" i="2"/>
  <c r="AQ84" i="2"/>
  <c r="AV84" i="2"/>
  <c r="BA84" i="2"/>
  <c r="BH84" i="2"/>
  <c r="BC84" i="2"/>
  <c r="CX84" i="2"/>
  <c r="CD84" i="2"/>
  <c r="BY84" i="2"/>
  <c r="AY84" i="2"/>
  <c r="AT84" i="2"/>
  <c r="J84" i="2"/>
  <c r="N84" i="2"/>
  <c r="R84" i="2"/>
  <c r="V84" i="2"/>
  <c r="Z84" i="2"/>
  <c r="AD84" i="2"/>
  <c r="AH84" i="2"/>
  <c r="AM84" i="2"/>
  <c r="AR84" i="2"/>
  <c r="AW84" i="2"/>
  <c r="AK84" i="2"/>
  <c r="CS84" i="2"/>
  <c r="BT84" i="2"/>
  <c r="CY76" i="2"/>
  <c r="V10" i="4" l="1"/>
  <c r="AA10" i="4"/>
  <c r="AD10" i="4"/>
  <c r="AH10" i="4"/>
  <c r="AM10" i="4"/>
  <c r="AR10" i="4"/>
  <c r="AW10" i="4"/>
  <c r="BB10" i="4"/>
  <c r="BG10" i="4"/>
  <c r="BL10" i="4"/>
  <c r="BQ10" i="4"/>
  <c r="BV10" i="4"/>
  <c r="CA10" i="4"/>
  <c r="CF10" i="4"/>
  <c r="CK10" i="4"/>
  <c r="CP10" i="4"/>
  <c r="CU10" i="4"/>
  <c r="F11" i="4"/>
  <c r="K11" i="4"/>
  <c r="P11" i="4"/>
  <c r="U11" i="4"/>
  <c r="Z11" i="4"/>
  <c r="AE11" i="4"/>
  <c r="AJ11" i="4"/>
  <c r="AO11" i="4"/>
  <c r="AT11" i="4"/>
  <c r="AY11" i="4"/>
  <c r="BD11" i="4"/>
  <c r="BI11" i="4"/>
  <c r="BN11" i="4"/>
  <c r="BS11" i="4"/>
  <c r="BX11" i="4"/>
  <c r="CC11" i="4"/>
  <c r="CH11" i="4"/>
  <c r="CM11" i="4"/>
  <c r="CR11" i="4"/>
  <c r="S12" i="4"/>
  <c r="X12" i="4"/>
  <c r="AC12" i="4"/>
  <c r="AH12" i="4"/>
  <c r="AM12" i="4"/>
  <c r="AR12" i="4"/>
  <c r="AW12" i="4"/>
  <c r="BB12" i="4"/>
  <c r="BG12" i="4"/>
  <c r="BL12" i="4"/>
  <c r="BQ12" i="4"/>
  <c r="BV12" i="4"/>
  <c r="CA12" i="4"/>
  <c r="CF12" i="4"/>
  <c r="CK12" i="4"/>
  <c r="CP12" i="4"/>
  <c r="CU12" i="4"/>
  <c r="CV12" i="4" s="1"/>
  <c r="CW12" i="4" s="1"/>
  <c r="CS13" i="4"/>
  <c r="R14" i="4"/>
  <c r="W14" i="4"/>
  <c r="AA14" i="4"/>
  <c r="AE14" i="4"/>
  <c r="AJ14" i="4"/>
  <c r="AO14" i="4"/>
  <c r="AT14" i="4"/>
  <c r="AY14" i="4"/>
  <c r="BD14" i="4"/>
  <c r="BI14" i="4"/>
  <c r="BN14" i="4"/>
  <c r="BS14" i="4"/>
  <c r="BX14" i="4"/>
  <c r="CC14" i="4"/>
  <c r="CH14" i="4"/>
  <c r="CM14" i="4"/>
  <c r="CR14" i="4"/>
  <c r="CW14" i="4"/>
  <c r="DM14" i="4"/>
  <c r="DR14" i="4"/>
  <c r="DW14" i="4"/>
  <c r="EB14" i="4"/>
  <c r="F16" i="4"/>
  <c r="K16" i="4"/>
  <c r="P16" i="4"/>
  <c r="U16" i="4"/>
  <c r="Z16" i="4"/>
  <c r="AC16" i="4"/>
  <c r="AH16" i="4"/>
  <c r="AM16" i="4"/>
  <c r="AR16" i="4"/>
  <c r="AW16" i="4"/>
  <c r="BB16" i="4"/>
  <c r="BG16" i="4"/>
  <c r="BL16" i="4"/>
  <c r="BQ16" i="4"/>
  <c r="BV16" i="4"/>
  <c r="CA16" i="4"/>
  <c r="CF16" i="4"/>
  <c r="CM16" i="4"/>
  <c r="CR16" i="4"/>
  <c r="DM16" i="4"/>
  <c r="DR16" i="4"/>
  <c r="DW16" i="4"/>
  <c r="EB16" i="4"/>
  <c r="F17" i="4"/>
  <c r="K17" i="4"/>
  <c r="P17" i="4"/>
  <c r="U17" i="4"/>
  <c r="Z17" i="4"/>
  <c r="AC17" i="4"/>
  <c r="AH17" i="4"/>
  <c r="AM17" i="4"/>
  <c r="AR17" i="4"/>
  <c r="AW17" i="4"/>
  <c r="BB17" i="4"/>
  <c r="BG17" i="4"/>
  <c r="BL17" i="4"/>
  <c r="BQ17" i="4"/>
  <c r="BV17" i="4"/>
  <c r="CA17" i="4"/>
  <c r="CF17" i="4"/>
  <c r="CK17" i="4"/>
  <c r="CP17" i="4"/>
  <c r="CU17" i="4"/>
  <c r="F18" i="4"/>
  <c r="K18" i="4"/>
  <c r="P18" i="4"/>
  <c r="U18" i="4"/>
  <c r="Z18" i="4"/>
  <c r="AC18" i="4"/>
  <c r="AH18" i="4"/>
  <c r="AM18" i="4"/>
  <c r="AR18" i="4"/>
  <c r="AW18" i="4"/>
  <c r="BB18" i="4"/>
  <c r="BG18" i="4"/>
  <c r="BL18" i="4"/>
  <c r="BQ18" i="4"/>
  <c r="BV18" i="4"/>
  <c r="CA18" i="4"/>
  <c r="CF18" i="4"/>
  <c r="CK18" i="4"/>
  <c r="CP18" i="4"/>
  <c r="CU18" i="4"/>
  <c r="DM18" i="4"/>
  <c r="DR18" i="4"/>
  <c r="DW18" i="4"/>
  <c r="EB18" i="4"/>
  <c r="F19" i="4"/>
  <c r="K19" i="4"/>
  <c r="P19" i="4"/>
  <c r="U19" i="4"/>
  <c r="Z19" i="4"/>
  <c r="AE19" i="4"/>
  <c r="AJ19" i="4"/>
  <c r="AO19" i="4"/>
  <c r="AR19" i="4"/>
  <c r="AW19" i="4"/>
  <c r="BB19" i="4"/>
  <c r="BG19" i="4"/>
  <c r="BL19" i="4"/>
  <c r="BQ19" i="4"/>
  <c r="BV19" i="4"/>
  <c r="CA19" i="4"/>
  <c r="CF19" i="4"/>
  <c r="CM19" i="4"/>
  <c r="CR19" i="4"/>
  <c r="DM19" i="4"/>
  <c r="DR19" i="4"/>
  <c r="DW19" i="4"/>
  <c r="EB19" i="4"/>
  <c r="F20" i="4"/>
  <c r="K20" i="4"/>
  <c r="P20" i="4"/>
  <c r="U20" i="4"/>
  <c r="Z20" i="4"/>
  <c r="AE20" i="4"/>
  <c r="AJ20" i="4"/>
  <c r="AO20" i="4"/>
  <c r="AT20" i="4"/>
  <c r="BC20" i="4"/>
  <c r="BG20" i="4"/>
  <c r="BL20" i="4"/>
  <c r="BQ20" i="4"/>
  <c r="BV20" i="4"/>
  <c r="CA20" i="4"/>
  <c r="CF20" i="4"/>
  <c r="CM20" i="4"/>
  <c r="CR20" i="4"/>
  <c r="CW20" i="4"/>
  <c r="DM20" i="4"/>
  <c r="DR20" i="4"/>
  <c r="DW20" i="4"/>
  <c r="EB20" i="4"/>
  <c r="F21" i="4"/>
  <c r="K21" i="4"/>
  <c r="P21" i="4"/>
  <c r="U21" i="4"/>
  <c r="Z21" i="4"/>
  <c r="AE21" i="4"/>
  <c r="AJ21" i="4"/>
  <c r="AO21" i="4"/>
  <c r="AT21" i="4"/>
  <c r="AY21" i="4"/>
  <c r="BD21" i="4"/>
  <c r="BG21" i="4"/>
  <c r="BL21" i="4"/>
  <c r="BQ21" i="4"/>
  <c r="BV21" i="4"/>
  <c r="CA21" i="4"/>
  <c r="CF21" i="4"/>
  <c r="CK21" i="4"/>
  <c r="CP21" i="4"/>
  <c r="CU21" i="4"/>
  <c r="DM21" i="4"/>
  <c r="DR21" i="4"/>
  <c r="DW21" i="4"/>
  <c r="EB21" i="4"/>
  <c r="F22" i="4"/>
  <c r="K22" i="4"/>
  <c r="P22" i="4"/>
  <c r="U22" i="4"/>
  <c r="Z22" i="4"/>
  <c r="AC22" i="4"/>
  <c r="AH22" i="4"/>
  <c r="AM22" i="4"/>
  <c r="AR22" i="4"/>
  <c r="AW22" i="4"/>
  <c r="BB22" i="4"/>
  <c r="BG22" i="4"/>
  <c r="BL22" i="4"/>
  <c r="BQ22" i="4"/>
  <c r="BV22" i="4"/>
  <c r="CA22" i="4"/>
  <c r="CF22" i="4"/>
  <c r="CM22" i="4"/>
  <c r="CR22" i="4"/>
  <c r="DM22" i="4"/>
  <c r="DR22" i="4"/>
  <c r="DW22" i="4"/>
  <c r="EB22" i="4"/>
  <c r="F23" i="4"/>
  <c r="K23" i="4"/>
  <c r="P23" i="4"/>
  <c r="U23" i="4"/>
  <c r="Z23" i="4"/>
  <c r="AE23" i="4"/>
  <c r="AJ23" i="4"/>
  <c r="AO23" i="4"/>
  <c r="AT23" i="4"/>
  <c r="AY23" i="4"/>
  <c r="BD23" i="4"/>
  <c r="BG23" i="4"/>
  <c r="BL23" i="4"/>
  <c r="BQ23" i="4"/>
  <c r="BV23" i="4"/>
  <c r="CA23" i="4"/>
  <c r="CF23" i="4"/>
  <c r="CK23" i="4"/>
  <c r="CR23" i="4"/>
  <c r="CW23" i="4"/>
  <c r="DM23" i="4"/>
  <c r="DR23" i="4"/>
  <c r="DW23" i="4"/>
  <c r="EB23" i="4"/>
  <c r="F24" i="4"/>
  <c r="K24" i="4"/>
  <c r="P24" i="4"/>
  <c r="U24" i="4"/>
  <c r="Z24" i="4"/>
  <c r="AE24" i="4"/>
  <c r="AJ24" i="4"/>
  <c r="AO24" i="4"/>
  <c r="AT24" i="4"/>
  <c r="AY24" i="4"/>
  <c r="BD24" i="4"/>
  <c r="BI24" i="4"/>
  <c r="BN24" i="4"/>
  <c r="BS24" i="4"/>
  <c r="BX24" i="4"/>
  <c r="CC24" i="4"/>
  <c r="CH24" i="4"/>
  <c r="CK24" i="4"/>
  <c r="CL24" i="4" s="1"/>
  <c r="CM24" i="4" s="1"/>
  <c r="CP24" i="4"/>
  <c r="CQ24" i="4" s="1"/>
  <c r="CR24" i="4" s="1"/>
  <c r="CU24" i="4"/>
  <c r="CV24" i="4" s="1"/>
  <c r="CW24" i="4" s="1"/>
  <c r="DM24" i="4"/>
  <c r="DR24" i="4"/>
  <c r="DW24" i="4"/>
  <c r="EB24" i="4"/>
  <c r="DM25" i="4"/>
  <c r="DR25" i="4"/>
  <c r="DW25" i="4"/>
  <c r="EB25" i="4"/>
  <c r="F26" i="4"/>
  <c r="K26" i="4"/>
  <c r="P26" i="4"/>
  <c r="U26" i="4"/>
  <c r="Z26" i="4"/>
  <c r="AD26" i="4"/>
  <c r="AH26" i="4"/>
  <c r="AM26" i="4"/>
  <c r="AR26" i="4"/>
  <c r="AY26" i="4"/>
  <c r="BD26" i="4"/>
  <c r="BI26" i="4"/>
  <c r="BN26" i="4"/>
  <c r="BS26" i="4"/>
  <c r="BX26" i="4"/>
  <c r="CC26" i="4"/>
  <c r="CH26" i="4"/>
  <c r="CM26" i="4"/>
  <c r="CR26" i="4"/>
  <c r="DM26" i="4"/>
  <c r="DR26" i="4"/>
  <c r="DW26" i="4"/>
  <c r="EB26" i="4"/>
  <c r="S27" i="4"/>
  <c r="X27" i="4"/>
  <c r="AC27" i="4"/>
  <c r="AH27" i="4"/>
  <c r="AM27" i="4"/>
  <c r="AT27" i="4"/>
  <c r="AW27" i="4"/>
  <c r="BD27" i="4"/>
  <c r="BI27" i="4"/>
  <c r="BN27" i="4"/>
  <c r="BS27" i="4"/>
  <c r="BX27" i="4"/>
  <c r="CC27" i="4"/>
  <c r="CH27" i="4"/>
  <c r="CM27" i="4"/>
  <c r="CP27" i="4"/>
  <c r="CU27" i="4"/>
  <c r="S28" i="4"/>
  <c r="X28" i="4"/>
  <c r="AC28" i="4"/>
  <c r="AH28" i="4"/>
  <c r="AM28" i="4"/>
  <c r="AR28" i="4"/>
  <c r="AW28" i="4"/>
  <c r="BB28" i="4"/>
  <c r="BG28" i="4"/>
  <c r="BL28" i="4"/>
  <c r="BQ28" i="4"/>
  <c r="BV28" i="4"/>
  <c r="CA28" i="4"/>
  <c r="CF28" i="4"/>
  <c r="CK28" i="4"/>
  <c r="CP28" i="4"/>
  <c r="CU28" i="4"/>
  <c r="S29" i="4"/>
  <c r="X29" i="4"/>
  <c r="AC29" i="4"/>
  <c r="AH29" i="4"/>
  <c r="AM29" i="4"/>
  <c r="AS29" i="4"/>
  <c r="AW29" i="4"/>
  <c r="BB29" i="4"/>
  <c r="BG29" i="4"/>
  <c r="BN29" i="4"/>
  <c r="BS29" i="4"/>
  <c r="BX29" i="4"/>
  <c r="CC29" i="4"/>
  <c r="CF29" i="4"/>
  <c r="CK29" i="4"/>
  <c r="CR29" i="4"/>
  <c r="CU29" i="4"/>
  <c r="S30" i="4"/>
  <c r="X30" i="4"/>
  <c r="AC30" i="4"/>
  <c r="AH30" i="4"/>
  <c r="AM30" i="4"/>
  <c r="AR30" i="4"/>
  <c r="AW30" i="4"/>
  <c r="BB30" i="4"/>
  <c r="BG30" i="4"/>
  <c r="BL30" i="4"/>
  <c r="BQ30" i="4"/>
  <c r="BV30" i="4"/>
  <c r="CA30" i="4"/>
  <c r="CF30" i="4"/>
  <c r="CK30" i="4"/>
  <c r="CP30" i="4"/>
  <c r="CU30" i="4"/>
  <c r="S31" i="4"/>
  <c r="V31" i="4"/>
  <c r="W31" i="4"/>
  <c r="AA31" i="4"/>
  <c r="AC31" i="4"/>
  <c r="AH31" i="4"/>
  <c r="AM31" i="4"/>
  <c r="AS31" i="4"/>
  <c r="AW31" i="4"/>
  <c r="BB31" i="4"/>
  <c r="BG31" i="4"/>
  <c r="BL31" i="4"/>
  <c r="BS31" i="4"/>
  <c r="BX31" i="4"/>
  <c r="CC31" i="4"/>
  <c r="CH31" i="4"/>
  <c r="CM31" i="4"/>
  <c r="CR31" i="4"/>
  <c r="CU31" i="4"/>
  <c r="CV31" i="4"/>
  <c r="S32" i="4"/>
  <c r="Y32" i="4"/>
  <c r="AC32" i="4"/>
  <c r="AH32" i="4"/>
  <c r="AM32" i="4"/>
  <c r="AS32" i="4"/>
  <c r="AY32" i="4"/>
  <c r="BD32" i="4"/>
  <c r="BI32" i="4"/>
  <c r="BN32" i="4"/>
  <c r="BS32" i="4"/>
  <c r="BX32" i="4"/>
  <c r="CC32" i="4"/>
  <c r="CH32" i="4"/>
  <c r="CM32" i="4"/>
  <c r="CR32" i="4"/>
  <c r="CU32" i="4"/>
  <c r="CV32" i="4"/>
  <c r="EH32" i="4"/>
  <c r="F33" i="4"/>
  <c r="K33" i="4"/>
  <c r="P33" i="4"/>
  <c r="U33" i="4"/>
  <c r="Z33" i="4"/>
  <c r="AC33" i="4"/>
  <c r="AH33" i="4"/>
  <c r="AM33" i="4"/>
  <c r="AR33" i="4"/>
  <c r="AW33" i="4"/>
  <c r="BB33" i="4"/>
  <c r="BG33" i="4"/>
  <c r="BL33" i="4"/>
  <c r="BQ33" i="4"/>
  <c r="BV33" i="4"/>
  <c r="CA33" i="4"/>
  <c r="CF33" i="4"/>
  <c r="CK33" i="4"/>
  <c r="CR33" i="4"/>
  <c r="CU33" i="4"/>
  <c r="CV33" i="4"/>
  <c r="F34" i="4"/>
  <c r="K34" i="4"/>
  <c r="P34" i="4"/>
  <c r="U34" i="4"/>
  <c r="Z34" i="4"/>
  <c r="AD34" i="4"/>
  <c r="AH34" i="4"/>
  <c r="AO34" i="4"/>
  <c r="AT34" i="4"/>
  <c r="AY34" i="4"/>
  <c r="BD34" i="4"/>
  <c r="BI34" i="4"/>
  <c r="BN34" i="4"/>
  <c r="BS34" i="4"/>
  <c r="BX34" i="4"/>
  <c r="CC34" i="4"/>
  <c r="CH34" i="4"/>
  <c r="CM34" i="4"/>
  <c r="CR34" i="4"/>
  <c r="CX34" i="4"/>
  <c r="DM34" i="4"/>
  <c r="DR34" i="4"/>
  <c r="DW34" i="4"/>
  <c r="EB34" i="4"/>
  <c r="F35" i="4"/>
  <c r="K35" i="4"/>
  <c r="P35" i="4"/>
  <c r="U35" i="4"/>
  <c r="Z35" i="4"/>
  <c r="AC35" i="4"/>
  <c r="AH35" i="4"/>
  <c r="AM35" i="4"/>
  <c r="AR35" i="4"/>
  <c r="AW35" i="4"/>
  <c r="BB35" i="4"/>
  <c r="BG35" i="4"/>
  <c r="BL35" i="4"/>
  <c r="BQ35" i="4"/>
  <c r="BV35" i="4"/>
  <c r="CA35" i="4"/>
  <c r="CF35" i="4"/>
  <c r="CK35" i="4"/>
  <c r="CP35" i="4"/>
  <c r="CU35" i="4"/>
  <c r="F36" i="4"/>
  <c r="K36" i="4"/>
  <c r="P36" i="4"/>
  <c r="U36" i="4"/>
  <c r="Z36" i="4"/>
  <c r="AC36" i="4"/>
  <c r="AH36" i="4"/>
  <c r="AM36" i="4"/>
  <c r="AR36" i="4"/>
  <c r="AW36" i="4"/>
  <c r="BB36" i="4"/>
  <c r="BI36" i="4"/>
  <c r="BL36" i="4"/>
  <c r="BQ36" i="4"/>
  <c r="BV36" i="4"/>
  <c r="BY36" i="4"/>
  <c r="BZ36" i="4"/>
  <c r="CF36" i="4"/>
  <c r="CK36" i="4"/>
  <c r="CO36" i="4"/>
  <c r="CT36" i="4"/>
  <c r="CX36" i="4"/>
  <c r="B37" i="4"/>
  <c r="C37" i="4"/>
  <c r="D37" i="4"/>
  <c r="E37" i="4"/>
  <c r="G37" i="4"/>
  <c r="H37" i="4"/>
  <c r="I37" i="4"/>
  <c r="J37" i="4"/>
  <c r="L37" i="4"/>
  <c r="M37" i="4"/>
  <c r="N37" i="4"/>
  <c r="O37" i="4"/>
  <c r="Q37" i="4"/>
  <c r="R37" i="4"/>
  <c r="AB37" i="4"/>
  <c r="AF37" i="4"/>
  <c r="AG37" i="4"/>
  <c r="AK37" i="4"/>
  <c r="AL37" i="4"/>
  <c r="AP37" i="4"/>
  <c r="AQ37" i="4"/>
  <c r="AU37" i="4"/>
  <c r="AV37" i="4"/>
  <c r="AZ37" i="4"/>
  <c r="BA37" i="4"/>
  <c r="BE37" i="4"/>
  <c r="BF37" i="4"/>
  <c r="BJ37" i="4"/>
  <c r="BJ39" i="4" s="1"/>
  <c r="BK37" i="4"/>
  <c r="BO37" i="4"/>
  <c r="BO39" i="4" s="1"/>
  <c r="BP37" i="4"/>
  <c r="BT37" i="4"/>
  <c r="BU37" i="4"/>
  <c r="CD37" i="4"/>
  <c r="CD39" i="4" s="1"/>
  <c r="CD106" i="2" s="1"/>
  <c r="CE37" i="4"/>
  <c r="CI37" i="4"/>
  <c r="CI39" i="4" s="1"/>
  <c r="CJ37" i="4"/>
  <c r="CN37" i="4"/>
  <c r="CS37" i="4"/>
  <c r="F42" i="4"/>
  <c r="K42" i="4"/>
  <c r="P42" i="4"/>
  <c r="U42" i="4"/>
  <c r="Z42" i="4"/>
  <c r="AC42" i="4"/>
  <c r="AH42" i="4"/>
  <c r="AM42" i="4"/>
  <c r="AR42" i="4"/>
  <c r="AW42" i="4"/>
  <c r="BB42" i="4"/>
  <c r="BG42" i="4"/>
  <c r="BL42" i="4"/>
  <c r="BQ42" i="4"/>
  <c r="BV42" i="4"/>
  <c r="CA42" i="4"/>
  <c r="CF42" i="4"/>
  <c r="CK42" i="4"/>
  <c r="CP42" i="4"/>
  <c r="CU42" i="4"/>
  <c r="DM42" i="4"/>
  <c r="DR42" i="4"/>
  <c r="DW42" i="4"/>
  <c r="EB42" i="4"/>
  <c r="F43" i="4"/>
  <c r="K43" i="4"/>
  <c r="P43" i="4"/>
  <c r="U43" i="4"/>
  <c r="Z43" i="4"/>
  <c r="AC43" i="4"/>
  <c r="AH43" i="4"/>
  <c r="AM43" i="4"/>
  <c r="AR43" i="4"/>
  <c r="AW43" i="4"/>
  <c r="BB43" i="4"/>
  <c r="BG43" i="4"/>
  <c r="BL43" i="4"/>
  <c r="BQ43" i="4"/>
  <c r="BW43" i="4"/>
  <c r="CA43" i="4"/>
  <c r="CF43" i="4"/>
  <c r="CK43" i="4"/>
  <c r="CP43" i="4"/>
  <c r="CU43" i="4"/>
  <c r="CX43" i="4"/>
  <c r="DR43" i="4"/>
  <c r="DW43" i="4"/>
  <c r="EB43" i="4"/>
  <c r="F44" i="4"/>
  <c r="K44" i="4"/>
  <c r="P44" i="4"/>
  <c r="U44" i="4"/>
  <c r="Z44" i="4"/>
  <c r="AC44" i="4"/>
  <c r="AH44" i="4"/>
  <c r="AM44" i="4"/>
  <c r="AR44" i="4"/>
  <c r="AW44" i="4"/>
  <c r="BB44" i="4"/>
  <c r="BG44" i="4"/>
  <c r="BL44" i="4"/>
  <c r="BQ44" i="4"/>
  <c r="BW44" i="4"/>
  <c r="CC44" i="4"/>
  <c r="CH44" i="4"/>
  <c r="CM44" i="4"/>
  <c r="CR44" i="4"/>
  <c r="CX44" i="4"/>
  <c r="DM44" i="4"/>
  <c r="DR44" i="4"/>
  <c r="DW44" i="4"/>
  <c r="EB44" i="4"/>
  <c r="F45" i="4"/>
  <c r="K45" i="4"/>
  <c r="P45" i="4"/>
  <c r="U45" i="4"/>
  <c r="Z45" i="4"/>
  <c r="AC45" i="4"/>
  <c r="AH45" i="4"/>
  <c r="AM45" i="4"/>
  <c r="AR45" i="4"/>
  <c r="AY45" i="4"/>
  <c r="BD45" i="4"/>
  <c r="BI45" i="4"/>
  <c r="BN45" i="4"/>
  <c r="BS45" i="4"/>
  <c r="BX45" i="4"/>
  <c r="CC45" i="4"/>
  <c r="CH45" i="4"/>
  <c r="CM45" i="4"/>
  <c r="CR45" i="4"/>
  <c r="CX45" i="4"/>
  <c r="DM45" i="4"/>
  <c r="DR45" i="4"/>
  <c r="DW45" i="4"/>
  <c r="EB45" i="4"/>
  <c r="F46" i="4"/>
  <c r="K46" i="4"/>
  <c r="P46" i="4"/>
  <c r="U46" i="4"/>
  <c r="Z46" i="4"/>
  <c r="AC46" i="4"/>
  <c r="AJ46" i="4"/>
  <c r="AO46" i="4"/>
  <c r="AT46" i="4"/>
  <c r="AY46" i="4"/>
  <c r="BB46" i="4"/>
  <c r="BG46" i="4"/>
  <c r="BL46" i="4"/>
  <c r="BR46" i="4"/>
  <c r="BX46" i="4"/>
  <c r="CC46" i="4"/>
  <c r="CF46" i="4"/>
  <c r="CI46" i="4"/>
  <c r="CK46" i="4"/>
  <c r="CN46" i="4"/>
  <c r="CQ46" i="4"/>
  <c r="CS46" i="4"/>
  <c r="CX46" i="4"/>
  <c r="DM46" i="4"/>
  <c r="DR46" i="4"/>
  <c r="DW46" i="4"/>
  <c r="EB46" i="4"/>
  <c r="F47" i="4"/>
  <c r="K47" i="4"/>
  <c r="P47" i="4"/>
  <c r="U47" i="4"/>
  <c r="Z47" i="4"/>
  <c r="AE47" i="4"/>
  <c r="AJ47" i="4"/>
  <c r="AO47" i="4"/>
  <c r="AT47" i="4"/>
  <c r="AY47" i="4"/>
  <c r="BD47" i="4"/>
  <c r="BI47" i="4"/>
  <c r="BN47" i="4"/>
  <c r="BS47" i="4"/>
  <c r="BX47" i="4"/>
  <c r="CC47" i="4"/>
  <c r="CH47" i="4"/>
  <c r="CM47" i="4"/>
  <c r="CR47" i="4"/>
  <c r="CW47" i="4"/>
  <c r="DM47" i="4"/>
  <c r="DR47" i="4"/>
  <c r="DW47" i="4"/>
  <c r="EB47" i="4"/>
  <c r="F48" i="4"/>
  <c r="K48" i="4"/>
  <c r="P48" i="4"/>
  <c r="U48" i="4"/>
  <c r="Z48" i="4"/>
  <c r="AC48" i="4"/>
  <c r="AH48" i="4"/>
  <c r="AM48" i="4"/>
  <c r="AT48" i="4"/>
  <c r="AW48" i="4"/>
  <c r="BB48" i="4"/>
  <c r="BI48" i="4"/>
  <c r="BN48" i="4"/>
  <c r="BS48" i="4"/>
  <c r="BX48" i="4"/>
  <c r="CC48" i="4"/>
  <c r="CH48" i="4"/>
  <c r="CM48" i="4"/>
  <c r="CR48" i="4"/>
  <c r="CX48" i="4"/>
  <c r="DM48" i="4"/>
  <c r="DR48" i="4"/>
  <c r="DW48" i="4"/>
  <c r="EB48" i="4"/>
  <c r="F49" i="4"/>
  <c r="K49" i="4"/>
  <c r="P49" i="4"/>
  <c r="U49" i="4"/>
  <c r="Z49" i="4"/>
  <c r="AC49" i="4"/>
  <c r="AJ49" i="4"/>
  <c r="AO49" i="4"/>
  <c r="AT49" i="4"/>
  <c r="AW49" i="4"/>
  <c r="BB49" i="4"/>
  <c r="BG49" i="4"/>
  <c r="BL49" i="4"/>
  <c r="BQ49" i="4"/>
  <c r="BV49" i="4"/>
  <c r="CA49" i="4"/>
  <c r="CH49" i="4"/>
  <c r="CK49" i="4"/>
  <c r="CP49" i="4"/>
  <c r="CX49" i="4"/>
  <c r="DM49" i="4"/>
  <c r="DR49" i="4"/>
  <c r="DW49" i="4"/>
  <c r="EB49" i="4"/>
  <c r="N50" i="4"/>
  <c r="S50" i="4"/>
  <c r="X50" i="4"/>
  <c r="AC50" i="4"/>
  <c r="AH50" i="4"/>
  <c r="AM50" i="4"/>
  <c r="AR50" i="4"/>
  <c r="AW50" i="4"/>
  <c r="BB50" i="4"/>
  <c r="BG50" i="4"/>
  <c r="BL50" i="4"/>
  <c r="BQ50" i="4"/>
  <c r="BV50" i="4"/>
  <c r="CA50" i="4"/>
  <c r="CF50" i="4"/>
  <c r="CK50" i="4"/>
  <c r="CP50" i="4"/>
  <c r="CU50" i="4"/>
  <c r="L51" i="4"/>
  <c r="M51" i="4"/>
  <c r="R51" i="4"/>
  <c r="V51" i="4"/>
  <c r="W51" i="4"/>
  <c r="AA51" i="4"/>
  <c r="AC51" i="4"/>
  <c r="AH51" i="4"/>
  <c r="AM51" i="4"/>
  <c r="AT51" i="4"/>
  <c r="AY51" i="4"/>
  <c r="BD51" i="4"/>
  <c r="BI51" i="4"/>
  <c r="BN51" i="4"/>
  <c r="BS51" i="4"/>
  <c r="BX51" i="4"/>
  <c r="CC51" i="4"/>
  <c r="CH51" i="4"/>
  <c r="CM51" i="4"/>
  <c r="CR51" i="4"/>
  <c r="CU51" i="4"/>
  <c r="CX51" i="4"/>
  <c r="DM51" i="4"/>
  <c r="DR51" i="4"/>
  <c r="DW51" i="4"/>
  <c r="EB51" i="4"/>
  <c r="B53" i="4"/>
  <c r="C53" i="4"/>
  <c r="D53" i="4"/>
  <c r="E53" i="4"/>
  <c r="G53" i="4"/>
  <c r="H53" i="4"/>
  <c r="I53" i="4"/>
  <c r="J53" i="4"/>
  <c r="Q53" i="4"/>
  <c r="AB53" i="4"/>
  <c r="AF53" i="4"/>
  <c r="AG53" i="4"/>
  <c r="AK53" i="4"/>
  <c r="AL53" i="4"/>
  <c r="AP53" i="4"/>
  <c r="AQ53" i="4"/>
  <c r="AU53" i="4"/>
  <c r="AV53" i="4"/>
  <c r="AZ53" i="4"/>
  <c r="BA53" i="4"/>
  <c r="BE53" i="4"/>
  <c r="BF53" i="4"/>
  <c r="BJ53" i="4"/>
  <c r="BK53" i="4"/>
  <c r="BO53" i="4"/>
  <c r="BP53" i="4"/>
  <c r="BT53" i="4"/>
  <c r="BU53" i="4"/>
  <c r="BY53" i="4"/>
  <c r="BZ53" i="4"/>
  <c r="CD53" i="4"/>
  <c r="CE53" i="4"/>
  <c r="CJ53" i="4"/>
  <c r="CO53" i="4"/>
  <c r="CT53" i="4"/>
  <c r="F56" i="4"/>
  <c r="K56" i="4"/>
  <c r="P56" i="4"/>
  <c r="U56" i="4"/>
  <c r="Z56" i="4"/>
  <c r="AE56" i="4"/>
  <c r="AJ56" i="4"/>
  <c r="AO56" i="4"/>
  <c r="AT56" i="4"/>
  <c r="AY56" i="4"/>
  <c r="BD56" i="4"/>
  <c r="BI56" i="4"/>
  <c r="BM56" i="4"/>
  <c r="BQ56" i="4"/>
  <c r="BV56" i="4"/>
  <c r="CC56" i="4"/>
  <c r="CH56" i="4"/>
  <c r="CM56" i="4"/>
  <c r="CR56" i="4"/>
  <c r="CW56" i="4"/>
  <c r="CY56" i="4"/>
  <c r="F57" i="4"/>
  <c r="K57" i="4"/>
  <c r="P57" i="4"/>
  <c r="U57" i="4"/>
  <c r="Z57" i="4"/>
  <c r="AE57" i="4"/>
  <c r="AJ57" i="4"/>
  <c r="AO57" i="4"/>
  <c r="AT57" i="4"/>
  <c r="AY57" i="4"/>
  <c r="BD57" i="4"/>
  <c r="BI57" i="4"/>
  <c r="BM57" i="4"/>
  <c r="BQ57" i="4"/>
  <c r="BV57" i="4"/>
  <c r="CC57" i="4"/>
  <c r="CH57" i="4"/>
  <c r="CM57" i="4"/>
  <c r="CR57" i="4"/>
  <c r="F58" i="4"/>
  <c r="K58" i="4"/>
  <c r="P58" i="4"/>
  <c r="U58" i="4"/>
  <c r="Z58" i="4"/>
  <c r="AC58" i="4"/>
  <c r="AH58" i="4"/>
  <c r="AM58" i="4"/>
  <c r="AT58" i="4"/>
  <c r="AY58" i="4"/>
  <c r="BD58" i="4"/>
  <c r="BI58" i="4"/>
  <c r="BN58" i="4"/>
  <c r="BS58" i="4"/>
  <c r="BX58" i="4"/>
  <c r="CC58" i="4"/>
  <c r="CH58" i="4"/>
  <c r="CM58" i="4"/>
  <c r="CR58" i="4"/>
  <c r="CW58" i="4"/>
  <c r="CY58" i="4"/>
  <c r="F59" i="4"/>
  <c r="K59" i="4"/>
  <c r="P59" i="4"/>
  <c r="U59" i="4"/>
  <c r="Z59" i="4"/>
  <c r="AE59" i="4"/>
  <c r="AJ59" i="4"/>
  <c r="AO59" i="4"/>
  <c r="AT59" i="4"/>
  <c r="AY59" i="4"/>
  <c r="BD59" i="4"/>
  <c r="BI59" i="4"/>
  <c r="BN59" i="4"/>
  <c r="BQ59" i="4"/>
  <c r="BT59" i="4"/>
  <c r="BV59" i="4"/>
  <c r="CC59" i="4"/>
  <c r="CH59" i="4"/>
  <c r="CM59" i="4"/>
  <c r="CR59" i="4"/>
  <c r="CX59" i="4"/>
  <c r="DC59" i="4"/>
  <c r="DM59" i="4"/>
  <c r="DR59" i="4"/>
  <c r="DW59" i="4"/>
  <c r="EB59" i="4"/>
  <c r="AA60" i="4"/>
  <c r="AC60" i="4"/>
  <c r="AH60" i="4"/>
  <c r="AM60" i="4"/>
  <c r="AT60" i="4"/>
  <c r="BB60" i="4"/>
  <c r="BG60" i="4"/>
  <c r="BL60" i="4"/>
  <c r="BQ60" i="4"/>
  <c r="BV60" i="4"/>
  <c r="CA60" i="4"/>
  <c r="CA118" i="2" s="1"/>
  <c r="CF60" i="4"/>
  <c r="CK60" i="4"/>
  <c r="CO60" i="4"/>
  <c r="CU60" i="4"/>
  <c r="DN60" i="4"/>
  <c r="DO60" i="4"/>
  <c r="DP60" i="4"/>
  <c r="DQ60" i="4"/>
  <c r="DS60" i="4"/>
  <c r="DT60" i="4"/>
  <c r="DU60" i="4"/>
  <c r="DV60" i="4"/>
  <c r="DX60" i="4"/>
  <c r="DY60" i="4"/>
  <c r="DZ60" i="4"/>
  <c r="EA60" i="4"/>
  <c r="BG61" i="4"/>
  <c r="BL61" i="4"/>
  <c r="BQ61" i="4"/>
  <c r="BV61" i="4"/>
  <c r="CA61" i="4"/>
  <c r="CF61" i="4"/>
  <c r="CJ61" i="4"/>
  <c r="CN61" i="4"/>
  <c r="CO61" i="4"/>
  <c r="CT61" i="4"/>
  <c r="DM61" i="4"/>
  <c r="DR61" i="4"/>
  <c r="DW61" i="4"/>
  <c r="EB61" i="4"/>
  <c r="BG62" i="4"/>
  <c r="BL62" i="4"/>
  <c r="BO62" i="4"/>
  <c r="BS62" i="4"/>
  <c r="BV62" i="4"/>
  <c r="CC62" i="4"/>
  <c r="CH62" i="4"/>
  <c r="CM62" i="4"/>
  <c r="CR62" i="4"/>
  <c r="DC62" i="4"/>
  <c r="DM62" i="4"/>
  <c r="DR62" i="4"/>
  <c r="DW62" i="4"/>
  <c r="EB62" i="4"/>
  <c r="P63" i="4"/>
  <c r="AA63" i="4"/>
  <c r="AC63" i="4"/>
  <c r="AH63" i="4"/>
  <c r="AM63" i="4"/>
  <c r="AR63" i="4"/>
  <c r="AW63" i="4"/>
  <c r="BD63" i="4"/>
  <c r="BH63" i="4"/>
  <c r="BS63" i="4"/>
  <c r="BX63" i="4"/>
  <c r="CB63" i="4"/>
  <c r="CH63" i="4"/>
  <c r="CM63" i="4"/>
  <c r="CR63" i="4"/>
  <c r="CU63" i="4"/>
  <c r="DO63" i="4"/>
  <c r="DT63" i="4"/>
  <c r="DY63" i="4"/>
  <c r="EF63" i="4"/>
  <c r="BN64" i="4"/>
  <c r="BS64" i="4"/>
  <c r="BX64" i="4"/>
  <c r="CC64" i="4"/>
  <c r="CH64" i="4"/>
  <c r="CM64" i="4"/>
  <c r="CR64" i="4"/>
  <c r="CU64" i="4"/>
  <c r="DM64" i="4"/>
  <c r="DR64" i="4"/>
  <c r="DW64" i="4"/>
  <c r="EB64" i="4"/>
  <c r="N65" i="4"/>
  <c r="R65" i="4"/>
  <c r="W65" i="4"/>
  <c r="AC65" i="4"/>
  <c r="AH65" i="4"/>
  <c r="AM65" i="4"/>
  <c r="AR65" i="4"/>
  <c r="AW65" i="4"/>
  <c r="BB65" i="4"/>
  <c r="BG65" i="4"/>
  <c r="BL65" i="4"/>
  <c r="BQ65" i="4"/>
  <c r="BV65" i="4"/>
  <c r="CA65" i="4"/>
  <c r="CH65" i="4"/>
  <c r="CM65" i="4"/>
  <c r="CQ65" i="4"/>
  <c r="CW65" i="4"/>
  <c r="BP66" i="4"/>
  <c r="BT66" i="4"/>
  <c r="BV66" i="4"/>
  <c r="CA66" i="4"/>
  <c r="CD66" i="4"/>
  <c r="CF66" i="4"/>
  <c r="CI66" i="4"/>
  <c r="CK66" i="4"/>
  <c r="CP66" i="4"/>
  <c r="CS66" i="4"/>
  <c r="CU66" i="4"/>
  <c r="CX66" i="4"/>
  <c r="DM66" i="4"/>
  <c r="DR66" i="4"/>
  <c r="DW66" i="4"/>
  <c r="EB66" i="4"/>
  <c r="CB67" i="4"/>
  <c r="CC67" i="4" s="1"/>
  <c r="CF67" i="4"/>
  <c r="CG67" i="4" s="1"/>
  <c r="CH67" i="4" s="1"/>
  <c r="CK67" i="4"/>
  <c r="CL67" i="4" s="1"/>
  <c r="CM67" i="4" s="1"/>
  <c r="CP67" i="4"/>
  <c r="CP93" i="4" s="1"/>
  <c r="CU67" i="4"/>
  <c r="CV67" i="4" s="1"/>
  <c r="M68" i="4"/>
  <c r="R68" i="4"/>
  <c r="W68" i="4"/>
  <c r="AE68" i="4"/>
  <c r="AJ68" i="4"/>
  <c r="AM68" i="4"/>
  <c r="AR68" i="4"/>
  <c r="AW68" i="4"/>
  <c r="BB68" i="4"/>
  <c r="BG68" i="4"/>
  <c r="BL68" i="4"/>
  <c r="BQ68" i="4"/>
  <c r="BX68" i="4"/>
  <c r="CB68" i="4"/>
  <c r="CF68" i="4"/>
  <c r="CK68" i="4"/>
  <c r="CP68" i="4"/>
  <c r="CU68" i="4"/>
  <c r="DM68" i="4"/>
  <c r="DR68" i="4"/>
  <c r="DW68" i="4"/>
  <c r="EB68" i="4"/>
  <c r="B70" i="4"/>
  <c r="C70" i="4"/>
  <c r="D70" i="4"/>
  <c r="E70" i="4"/>
  <c r="F70" i="4"/>
  <c r="G70" i="4"/>
  <c r="H70" i="4"/>
  <c r="I70" i="4"/>
  <c r="J70" i="4"/>
  <c r="K70" i="4"/>
  <c r="L70" i="4"/>
  <c r="Q70" i="4"/>
  <c r="AB70" i="4"/>
  <c r="AF70" i="4"/>
  <c r="AG70" i="4"/>
  <c r="AK70" i="4"/>
  <c r="AL70" i="4"/>
  <c r="AP70" i="4"/>
  <c r="AQ70" i="4"/>
  <c r="AU70" i="4"/>
  <c r="AV70" i="4"/>
  <c r="AZ70" i="4"/>
  <c r="BA70" i="4"/>
  <c r="BE70" i="4"/>
  <c r="BF70" i="4"/>
  <c r="BJ70" i="4"/>
  <c r="BK70" i="4"/>
  <c r="BU70" i="4"/>
  <c r="BY70" i="4"/>
  <c r="BZ70" i="4"/>
  <c r="CE70" i="4"/>
  <c r="F72" i="4"/>
  <c r="K72" i="4"/>
  <c r="P72" i="4"/>
  <c r="S72" i="4"/>
  <c r="X72" i="4"/>
  <c r="AC72" i="4"/>
  <c r="AH72" i="4"/>
  <c r="AM72" i="4"/>
  <c r="AR72" i="4"/>
  <c r="AW72" i="4"/>
  <c r="BB72" i="4"/>
  <c r="BG72" i="4"/>
  <c r="BL72" i="4"/>
  <c r="BQ72" i="4"/>
  <c r="BV72" i="4"/>
  <c r="CA72" i="4"/>
  <c r="CF72" i="4"/>
  <c r="CK72" i="4"/>
  <c r="CP72" i="4"/>
  <c r="CU72" i="4"/>
  <c r="DM72" i="4"/>
  <c r="DR72" i="4"/>
  <c r="DW72" i="4"/>
  <c r="EB72" i="4"/>
  <c r="R76" i="4"/>
  <c r="AA76" i="4"/>
  <c r="AS78" i="4"/>
  <c r="B80" i="4"/>
  <c r="C80" i="4"/>
  <c r="D80" i="4"/>
  <c r="E80" i="4"/>
  <c r="F80" i="4"/>
  <c r="G80" i="4"/>
  <c r="H80" i="4"/>
  <c r="I80" i="4"/>
  <c r="J80" i="4"/>
  <c r="K80" i="4"/>
  <c r="L80" i="4"/>
  <c r="M80" i="4"/>
  <c r="N80" i="4"/>
  <c r="O80" i="4"/>
  <c r="P80" i="4"/>
  <c r="Q80" i="4"/>
  <c r="R80" i="4"/>
  <c r="S80" i="4"/>
  <c r="T80" i="4"/>
  <c r="U80" i="4"/>
  <c r="V80" i="4"/>
  <c r="W80" i="4"/>
  <c r="X80" i="4"/>
  <c r="Y80" i="4"/>
  <c r="Z80" i="4"/>
  <c r="AA80" i="4"/>
  <c r="AB80" i="4"/>
  <c r="AC80" i="4"/>
  <c r="AD80" i="4"/>
  <c r="AE80" i="4"/>
  <c r="AF80" i="4"/>
  <c r="AG80" i="4"/>
  <c r="AH80" i="4"/>
  <c r="AI80" i="4"/>
  <c r="AJ80" i="4"/>
  <c r="AK80" i="4"/>
  <c r="AL80" i="4"/>
  <c r="AM80" i="4"/>
  <c r="AN80" i="4"/>
  <c r="AO80" i="4"/>
  <c r="AP80" i="4"/>
  <c r="AQ80" i="4"/>
  <c r="AR80" i="4"/>
  <c r="AS80" i="4"/>
  <c r="AT80" i="4"/>
  <c r="AU80" i="4"/>
  <c r="AV80" i="4"/>
  <c r="AW80" i="4"/>
  <c r="AX80" i="4"/>
  <c r="AY80" i="4"/>
  <c r="AZ80" i="4"/>
  <c r="BA80" i="4"/>
  <c r="BB80" i="4"/>
  <c r="BC80" i="4"/>
  <c r="BD80" i="4"/>
  <c r="BE80" i="4"/>
  <c r="BF80" i="4"/>
  <c r="BG80" i="4"/>
  <c r="BH80" i="4"/>
  <c r="BI80" i="4"/>
  <c r="BJ80" i="4"/>
  <c r="BK80" i="4"/>
  <c r="BL80" i="4"/>
  <c r="BM80" i="4"/>
  <c r="BN80" i="4"/>
  <c r="BO80" i="4"/>
  <c r="BP80" i="4"/>
  <c r="BQ80" i="4"/>
  <c r="BR80" i="4"/>
  <c r="BS80" i="4"/>
  <c r="BT80" i="4"/>
  <c r="BU80" i="4"/>
  <c r="BV80" i="4"/>
  <c r="BW80" i="4"/>
  <c r="BX80" i="4"/>
  <c r="BY80" i="4"/>
  <c r="BZ80" i="4"/>
  <c r="CA80" i="4"/>
  <c r="CB80" i="4"/>
  <c r="CC80" i="4"/>
  <c r="CD80" i="4"/>
  <c r="CE80" i="4"/>
  <c r="CF80" i="4"/>
  <c r="CG80" i="4"/>
  <c r="CH80" i="4"/>
  <c r="CI80" i="4"/>
  <c r="CJ80" i="4"/>
  <c r="CK80" i="4"/>
  <c r="CL80" i="4"/>
  <c r="CM80" i="4"/>
  <c r="CN80" i="4"/>
  <c r="CO80" i="4"/>
  <c r="CP80" i="4"/>
  <c r="CQ80" i="4"/>
  <c r="CR80" i="4"/>
  <c r="CS80" i="4"/>
  <c r="CT80" i="4"/>
  <c r="CU80" i="4"/>
  <c r="CV80" i="4"/>
  <c r="CW80" i="4"/>
  <c r="CX80" i="4"/>
  <c r="CY80" i="4"/>
  <c r="CZ80" i="4"/>
  <c r="DA80" i="4"/>
  <c r="DB80" i="4"/>
  <c r="DC80" i="4"/>
  <c r="DD80" i="4"/>
  <c r="DE80" i="4"/>
  <c r="DF80" i="4"/>
  <c r="DG80" i="4"/>
  <c r="DH80" i="4"/>
  <c r="DI80" i="4"/>
  <c r="DJ80" i="4"/>
  <c r="DK80" i="4"/>
  <c r="DL80" i="4"/>
  <c r="DM80" i="4"/>
  <c r="DN80" i="4"/>
  <c r="DO80" i="4"/>
  <c r="DP80" i="4"/>
  <c r="DQ80" i="4"/>
  <c r="DR80" i="4"/>
  <c r="DS80" i="4"/>
  <c r="DT80" i="4"/>
  <c r="DU80" i="4"/>
  <c r="DV80" i="4"/>
  <c r="DW80" i="4"/>
  <c r="DX80" i="4"/>
  <c r="DY80" i="4"/>
  <c r="DZ80" i="4"/>
  <c r="EA80" i="4"/>
  <c r="EB80" i="4"/>
  <c r="EE80" i="4"/>
  <c r="EF80" i="4"/>
  <c r="EG80" i="4"/>
  <c r="EH80" i="4"/>
  <c r="EI80" i="4"/>
  <c r="EJ80" i="4"/>
  <c r="EK80" i="4"/>
  <c r="EL80" i="4"/>
  <c r="EM80" i="4"/>
  <c r="EN80" i="4"/>
  <c r="EO80" i="4"/>
  <c r="EP80" i="4"/>
  <c r="B84" i="4"/>
  <c r="C84" i="4"/>
  <c r="D84" i="4"/>
  <c r="E84" i="4"/>
  <c r="F84" i="4"/>
  <c r="G84" i="4"/>
  <c r="H84" i="4"/>
  <c r="I84" i="4"/>
  <c r="J84" i="4"/>
  <c r="K84" i="4"/>
  <c r="L84" i="4"/>
  <c r="M84" i="4"/>
  <c r="Q84" i="4"/>
  <c r="R84" i="4"/>
  <c r="W84" i="4"/>
  <c r="AA84" i="4"/>
  <c r="AB84" i="4"/>
  <c r="AF84" i="4"/>
  <c r="AG84" i="4"/>
  <c r="AK84" i="4"/>
  <c r="AL84" i="4"/>
  <c r="AP84" i="4"/>
  <c r="AQ84" i="4"/>
  <c r="AU84" i="4"/>
  <c r="AV84" i="4"/>
  <c r="AZ84" i="4"/>
  <c r="BH124" i="4" s="1"/>
  <c r="BA84" i="4"/>
  <c r="BE84" i="4"/>
  <c r="BI124" i="4" s="1"/>
  <c r="BF84" i="4"/>
  <c r="BJ84" i="4"/>
  <c r="BJ124" i="4" s="1"/>
  <c r="BK84" i="4"/>
  <c r="BO84" i="4"/>
  <c r="BK124" i="4" s="1"/>
  <c r="BP84" i="4"/>
  <c r="BT84" i="4"/>
  <c r="BL124" i="4" s="1"/>
  <c r="BU84" i="4"/>
  <c r="BY84" i="4"/>
  <c r="BM124" i="4" s="1"/>
  <c r="BZ84" i="4"/>
  <c r="CD84" i="4"/>
  <c r="BN124" i="4" s="1"/>
  <c r="CE84" i="4"/>
  <c r="CI84" i="4"/>
  <c r="BO124" i="4" s="1"/>
  <c r="CJ84" i="4"/>
  <c r="CN84" i="4"/>
  <c r="BP124" i="4" s="1"/>
  <c r="CO84" i="4"/>
  <c r="CS84" i="4"/>
  <c r="BQ124" i="4" s="1"/>
  <c r="CT84" i="4"/>
  <c r="CX84" i="4"/>
  <c r="BR124" i="4" s="1"/>
  <c r="BF86" i="4"/>
  <c r="BJ86" i="4"/>
  <c r="BU86" i="4"/>
  <c r="BV86" i="4"/>
  <c r="BW86" i="4"/>
  <c r="BY86" i="4"/>
  <c r="BZ86" i="4"/>
  <c r="CA86" i="4"/>
  <c r="CB86" i="4"/>
  <c r="CD86" i="4"/>
  <c r="CE86" i="4"/>
  <c r="CJ86" i="4"/>
  <c r="CO86" i="4"/>
  <c r="CP86" i="4"/>
  <c r="CT86" i="4"/>
  <c r="CU86" i="4"/>
  <c r="CV86" i="4"/>
  <c r="CW86" i="4"/>
  <c r="CY86" i="4"/>
  <c r="CZ86" i="4"/>
  <c r="DA86" i="4"/>
  <c r="DD86" i="4"/>
  <c r="DD90" i="4" s="1"/>
  <c r="DE86" i="4"/>
  <c r="DF86" i="4"/>
  <c r="DK86" i="4"/>
  <c r="DL86" i="4"/>
  <c r="DN86" i="4"/>
  <c r="DO86" i="4"/>
  <c r="DP86" i="4"/>
  <c r="DQ86" i="4"/>
  <c r="DS86" i="4"/>
  <c r="DT86" i="4"/>
  <c r="DU86" i="4"/>
  <c r="DV86" i="4"/>
  <c r="DX86" i="4"/>
  <c r="DY86" i="4"/>
  <c r="DZ86" i="4"/>
  <c r="EA86" i="4"/>
  <c r="AB89" i="4"/>
  <c r="AF89" i="4"/>
  <c r="AG89" i="4"/>
  <c r="AK89" i="4"/>
  <c r="AL89" i="4"/>
  <c r="AP89" i="4"/>
  <c r="AQ89" i="4"/>
  <c r="AU89" i="4"/>
  <c r="AV89" i="4"/>
  <c r="AZ89" i="4"/>
  <c r="BA89" i="4"/>
  <c r="BE89" i="4"/>
  <c r="BF89" i="4"/>
  <c r="BJ89" i="4"/>
  <c r="BK89" i="4"/>
  <c r="BO89" i="4"/>
  <c r="BP89" i="4"/>
  <c r="BT89" i="4"/>
  <c r="BU89" i="4"/>
  <c r="BY89" i="4"/>
  <c r="BZ89" i="4"/>
  <c r="CD89" i="4"/>
  <c r="CE89" i="4"/>
  <c r="CI89" i="4"/>
  <c r="CS89" i="4"/>
  <c r="CY89" i="4"/>
  <c r="CZ89" i="4"/>
  <c r="CI93" i="4"/>
  <c r="CN93" i="4"/>
  <c r="CO93" i="4"/>
  <c r="CS93" i="4"/>
  <c r="CT93" i="4"/>
  <c r="CX93" i="4"/>
  <c r="CI94" i="4"/>
  <c r="CN94" i="4"/>
  <c r="CO94" i="4"/>
  <c r="CS94" i="4"/>
  <c r="CT94" i="4"/>
  <c r="CX94" i="4"/>
  <c r="CY94" i="4"/>
  <c r="CZ94" i="4"/>
  <c r="DA94" i="4"/>
  <c r="DB94" i="4"/>
  <c r="DF94" i="4"/>
  <c r="DG94" i="4"/>
  <c r="DI94" i="4"/>
  <c r="DJ94" i="4"/>
  <c r="DK94" i="4"/>
  <c r="DL94" i="4"/>
  <c r="DN94" i="4"/>
  <c r="DO94" i="4"/>
  <c r="DP94" i="4"/>
  <c r="DQ94" i="4"/>
  <c r="DS94" i="4"/>
  <c r="DT94" i="4"/>
  <c r="DU94" i="4"/>
  <c r="DV94" i="4"/>
  <c r="DX94" i="4"/>
  <c r="DY94" i="4"/>
  <c r="DZ94" i="4"/>
  <c r="EA94" i="4"/>
  <c r="CI95" i="4"/>
  <c r="CN95" i="4"/>
  <c r="CO95" i="4"/>
  <c r="CP95" i="4"/>
  <c r="CS95" i="4"/>
  <c r="CV95" i="4"/>
  <c r="CX95" i="4"/>
  <c r="BK101" i="4"/>
  <c r="CD101" i="4"/>
  <c r="CE101" i="4"/>
  <c r="CF101" i="4" s="1"/>
  <c r="CN101" i="4"/>
  <c r="CS101" i="4"/>
  <c r="CX101" i="4"/>
  <c r="CO102" i="4"/>
  <c r="CP102" i="4"/>
  <c r="CQ102" i="4"/>
  <c r="CR102" i="4"/>
  <c r="CT102" i="4"/>
  <c r="CU102" i="4"/>
  <c r="CV102" i="4"/>
  <c r="CW102" i="4"/>
  <c r="CZ102" i="4"/>
  <c r="BY103" i="4"/>
  <c r="CD103" i="4"/>
  <c r="BE110" i="4"/>
  <c r="BJ110" i="4"/>
  <c r="BO110" i="4"/>
  <c r="BT110" i="4"/>
  <c r="BY110" i="4"/>
  <c r="BH118" i="4"/>
  <c r="BI118" i="4"/>
  <c r="BJ118" i="4"/>
  <c r="BK118" i="4"/>
  <c r="BL118" i="4"/>
  <c r="BM118" i="4"/>
  <c r="BN118" i="4"/>
  <c r="BO118" i="4"/>
  <c r="BP118" i="4"/>
  <c r="BQ118" i="4"/>
  <c r="BR118" i="4"/>
  <c r="BH119" i="4"/>
  <c r="BI119" i="4"/>
  <c r="BJ119" i="4"/>
  <c r="BK119" i="4"/>
  <c r="BL119" i="4"/>
  <c r="BM119" i="4"/>
  <c r="BH120" i="4"/>
  <c r="BI120" i="4"/>
  <c r="BJ120" i="4"/>
  <c r="BK120" i="4"/>
  <c r="BL120" i="4"/>
  <c r="BM120" i="4"/>
  <c r="BH121" i="4"/>
  <c r="BI121" i="4"/>
  <c r="BJ121" i="4"/>
  <c r="BK121" i="4"/>
  <c r="BL121" i="4"/>
  <c r="BM121" i="4"/>
  <c r="BH122" i="4"/>
  <c r="BI122" i="4"/>
  <c r="BJ122" i="4"/>
  <c r="BK122" i="4"/>
  <c r="BL122" i="4"/>
  <c r="BM122" i="4"/>
  <c r="CA3" i="3"/>
  <c r="CB3" i="3"/>
  <c r="CC3" i="3"/>
  <c r="CF3" i="3"/>
  <c r="CG3" i="3"/>
  <c r="CH3" i="3"/>
  <c r="BY7" i="3"/>
  <c r="BZ3" i="3" s="1"/>
  <c r="CD7" i="3"/>
  <c r="CE3" i="3" s="1"/>
  <c r="CI7" i="3"/>
  <c r="CJ7" i="3" s="1"/>
  <c r="CK7" i="3" s="1"/>
  <c r="CL7" i="3" s="1"/>
  <c r="CM7" i="3" s="1"/>
  <c r="CN7" i="3" s="1"/>
  <c r="CS7" i="3"/>
  <c r="CU7" i="3"/>
  <c r="CV7" i="3" s="1"/>
  <c r="CW7" i="3" s="1"/>
  <c r="CX7" i="3" s="1"/>
  <c r="CY7" i="3" s="1"/>
  <c r="CZ7" i="3" s="1"/>
  <c r="DA7" i="3" s="1"/>
  <c r="DB7" i="3" s="1"/>
  <c r="DC7" i="3" s="1"/>
  <c r="DD7" i="3" s="1"/>
  <c r="DE7" i="3" s="1"/>
  <c r="DF7" i="3" s="1"/>
  <c r="DG7" i="3" s="1"/>
  <c r="DH7" i="3" s="1"/>
  <c r="DI7" i="3" s="1"/>
  <c r="DJ7" i="3" s="1"/>
  <c r="DK7" i="3" s="1"/>
  <c r="DL7" i="3" s="1"/>
  <c r="DM7" i="3" s="1"/>
  <c r="DN7" i="3" s="1"/>
  <c r="DO7" i="3" s="1"/>
  <c r="DP7" i="3" s="1"/>
  <c r="DQ7" i="3" s="1"/>
  <c r="DR7" i="3" s="1"/>
  <c r="DS7" i="3" s="1"/>
  <c r="DT7" i="3" s="1"/>
  <c r="DU7" i="3" s="1"/>
  <c r="DV7" i="3" s="1"/>
  <c r="DW7" i="3" s="1"/>
  <c r="DX7" i="3" s="1"/>
  <c r="DY7" i="3" s="1"/>
  <c r="DZ7" i="3" s="1"/>
  <c r="EA7" i="3" s="1"/>
  <c r="EB7" i="3" s="1"/>
  <c r="V9" i="3"/>
  <c r="AA9" i="3"/>
  <c r="AF9" i="3"/>
  <c r="AK9" i="3"/>
  <c r="AP9" i="3"/>
  <c r="AU9" i="3"/>
  <c r="AZ9" i="3"/>
  <c r="BE9" i="3"/>
  <c r="BJ9" i="3"/>
  <c r="BO9" i="3"/>
  <c r="BT9" i="3"/>
  <c r="BY9" i="3"/>
  <c r="CD9" i="3"/>
  <c r="CI9" i="3"/>
  <c r="CN9" i="3"/>
  <c r="CS9" i="3"/>
  <c r="CX9" i="3"/>
  <c r="V10" i="3"/>
  <c r="AA10" i="3"/>
  <c r="AF10" i="3"/>
  <c r="AK10" i="3"/>
  <c r="AP10" i="3"/>
  <c r="AU10" i="3"/>
  <c r="AZ10" i="3"/>
  <c r="BE10" i="3"/>
  <c r="BJ10" i="3"/>
  <c r="BO10" i="3"/>
  <c r="BT10" i="3"/>
  <c r="BY10" i="3"/>
  <c r="CD10" i="3"/>
  <c r="CI10" i="3"/>
  <c r="CN10" i="3"/>
  <c r="CS10" i="3"/>
  <c r="CX10" i="3"/>
  <c r="V11" i="3"/>
  <c r="AA11" i="3"/>
  <c r="AF11" i="3"/>
  <c r="AK11" i="3"/>
  <c r="AP11" i="3"/>
  <c r="AU11" i="3"/>
  <c r="AZ11" i="3"/>
  <c r="BE11" i="3"/>
  <c r="BJ11" i="3"/>
  <c r="BO11" i="3"/>
  <c r="BT11" i="3"/>
  <c r="BY11" i="3"/>
  <c r="CD11" i="3"/>
  <c r="CI11" i="3"/>
  <c r="CN11" i="3"/>
  <c r="CS11" i="3"/>
  <c r="CW11" i="3"/>
  <c r="V12" i="3"/>
  <c r="AA12" i="3"/>
  <c r="AF12" i="3"/>
  <c r="AK12" i="3"/>
  <c r="AP12" i="3"/>
  <c r="AU12" i="3"/>
  <c r="AZ12" i="3"/>
  <c r="BE12" i="3"/>
  <c r="BJ12" i="3"/>
  <c r="BO12" i="3"/>
  <c r="BT12" i="3"/>
  <c r="BY12" i="3"/>
  <c r="CD12" i="3"/>
  <c r="CI12" i="3"/>
  <c r="CN12" i="3"/>
  <c r="CS12" i="3"/>
  <c r="CX12" i="3"/>
  <c r="V13" i="3"/>
  <c r="AA13" i="3"/>
  <c r="AF13" i="3"/>
  <c r="AK13" i="3"/>
  <c r="AP13" i="3"/>
  <c r="AU13" i="3"/>
  <c r="AZ13" i="3"/>
  <c r="BE13" i="3"/>
  <c r="BJ13" i="3"/>
  <c r="BO13" i="3"/>
  <c r="BT13" i="3"/>
  <c r="BY13" i="3"/>
  <c r="CD13" i="3"/>
  <c r="CI13" i="3"/>
  <c r="CN13" i="3"/>
  <c r="CS13" i="3"/>
  <c r="CX13" i="3"/>
  <c r="V14" i="3"/>
  <c r="AA14" i="3"/>
  <c r="AF14" i="3"/>
  <c r="AK14" i="3"/>
  <c r="AP14" i="3"/>
  <c r="AU14" i="3"/>
  <c r="AZ14" i="3"/>
  <c r="BE14" i="3"/>
  <c r="BJ14" i="3"/>
  <c r="BO14" i="3"/>
  <c r="BT14" i="3"/>
  <c r="BY14" i="3"/>
  <c r="CD14" i="3"/>
  <c r="CI14" i="3"/>
  <c r="CN14" i="3"/>
  <c r="CS14" i="3"/>
  <c r="CX14" i="3"/>
  <c r="V15" i="3"/>
  <c r="AA15" i="3"/>
  <c r="AF15" i="3"/>
  <c r="AK15" i="3"/>
  <c r="AP15" i="3"/>
  <c r="AU15" i="3"/>
  <c r="AZ15" i="3"/>
  <c r="BE15" i="3"/>
  <c r="BJ15" i="3"/>
  <c r="BO15" i="3"/>
  <c r="BT15" i="3"/>
  <c r="BY15" i="3"/>
  <c r="CD15" i="3"/>
  <c r="CI15" i="3"/>
  <c r="CN15" i="3"/>
  <c r="CS15" i="3"/>
  <c r="CX15" i="3"/>
  <c r="C16" i="3"/>
  <c r="D16" i="3"/>
  <c r="E16" i="3"/>
  <c r="F16" i="3"/>
  <c r="H16" i="3"/>
  <c r="I16" i="3"/>
  <c r="J16" i="3"/>
  <c r="K16" i="3"/>
  <c r="M16" i="3"/>
  <c r="N16" i="3"/>
  <c r="O16" i="3"/>
  <c r="P16" i="3"/>
  <c r="Q16" i="3"/>
  <c r="R16" i="3"/>
  <c r="S16" i="3"/>
  <c r="T16" i="3"/>
  <c r="U16" i="3"/>
  <c r="W16" i="3"/>
  <c r="X16" i="3"/>
  <c r="Y16" i="3"/>
  <c r="Z16" i="3"/>
  <c r="AB16" i="3"/>
  <c r="AC16" i="3"/>
  <c r="AD16" i="3"/>
  <c r="AE16" i="3"/>
  <c r="AG16" i="3"/>
  <c r="AH16" i="3"/>
  <c r="AI16" i="3"/>
  <c r="AJ16" i="3"/>
  <c r="AL16" i="3"/>
  <c r="AM16" i="3"/>
  <c r="AN16" i="3"/>
  <c r="AO16" i="3"/>
  <c r="AQ16" i="3"/>
  <c r="AR16" i="3"/>
  <c r="AS16" i="3"/>
  <c r="AT16" i="3"/>
  <c r="AV16" i="3"/>
  <c r="AW16" i="3"/>
  <c r="AX16" i="3"/>
  <c r="AY16" i="3"/>
  <c r="BA16" i="3"/>
  <c r="BB16" i="3"/>
  <c r="BC16" i="3"/>
  <c r="BD16" i="3"/>
  <c r="BF16" i="3"/>
  <c r="BG16" i="3"/>
  <c r="BH16" i="3"/>
  <c r="BI16" i="3"/>
  <c r="BK16" i="3"/>
  <c r="BL16" i="3"/>
  <c r="BM16" i="3"/>
  <c r="BN16" i="3"/>
  <c r="BP16" i="3"/>
  <c r="BQ16" i="3"/>
  <c r="BR16" i="3"/>
  <c r="BS16" i="3"/>
  <c r="BU16" i="3"/>
  <c r="BV16" i="3"/>
  <c r="BW16" i="3"/>
  <c r="BX16" i="3"/>
  <c r="BZ16" i="3"/>
  <c r="CA16" i="3"/>
  <c r="CB16" i="3"/>
  <c r="CC16" i="3"/>
  <c r="CE16" i="3"/>
  <c r="CF16" i="3"/>
  <c r="CG16" i="3"/>
  <c r="CH16" i="3"/>
  <c r="CJ16" i="3"/>
  <c r="CK16" i="3"/>
  <c r="CL16" i="3"/>
  <c r="CM16" i="3"/>
  <c r="CO16" i="3"/>
  <c r="CP16" i="3"/>
  <c r="CQ16" i="3"/>
  <c r="CR16" i="3"/>
  <c r="CT16" i="3"/>
  <c r="CU16" i="3"/>
  <c r="CV16" i="3"/>
  <c r="AU18" i="3"/>
  <c r="BO18" i="3"/>
  <c r="BT18" i="3"/>
  <c r="CD18" i="3"/>
  <c r="CI18" i="3"/>
  <c r="CN18" i="3"/>
  <c r="CS18" i="3"/>
  <c r="CX18" i="3"/>
  <c r="V19" i="3"/>
  <c r="AA19" i="3"/>
  <c r="AE19" i="3"/>
  <c r="AG19" i="3"/>
  <c r="AH19" i="3"/>
  <c r="AI19" i="3"/>
  <c r="AK19" i="3"/>
  <c r="AP19" i="3"/>
  <c r="AU19" i="3"/>
  <c r="BO19" i="3"/>
  <c r="BT19" i="3"/>
  <c r="CD19" i="3"/>
  <c r="CI19" i="3"/>
  <c r="CN19" i="3"/>
  <c r="CS19" i="3"/>
  <c r="CX19" i="3"/>
  <c r="V20" i="3"/>
  <c r="AA20" i="3"/>
  <c r="AF20" i="3"/>
  <c r="AK20" i="3"/>
  <c r="AP20" i="3"/>
  <c r="AU20" i="3"/>
  <c r="BO20" i="3"/>
  <c r="BT20" i="3"/>
  <c r="CD20" i="3"/>
  <c r="CI20" i="3"/>
  <c r="CN20" i="3"/>
  <c r="CS20" i="3"/>
  <c r="CX20" i="3"/>
  <c r="V21" i="3"/>
  <c r="AF21" i="3"/>
  <c r="AK21" i="3"/>
  <c r="AP21" i="3"/>
  <c r="AU21" i="3"/>
  <c r="BO21" i="3"/>
  <c r="BT21" i="3"/>
  <c r="CD21" i="3"/>
  <c r="CI21" i="3"/>
  <c r="CN21" i="3"/>
  <c r="CS21" i="3"/>
  <c r="CX21" i="3"/>
  <c r="V22" i="3"/>
  <c r="AA22" i="3"/>
  <c r="AF22" i="3"/>
  <c r="AK22" i="3"/>
  <c r="AP22" i="3"/>
  <c r="AU22" i="3"/>
  <c r="BO22" i="3"/>
  <c r="BT22" i="3"/>
  <c r="CD22" i="3"/>
  <c r="CI22" i="3"/>
  <c r="CN22" i="3"/>
  <c r="CS22" i="3"/>
  <c r="CX22" i="3"/>
  <c r="V23" i="3"/>
  <c r="AA23" i="3"/>
  <c r="AF23" i="3"/>
  <c r="AK23" i="3"/>
  <c r="AP23" i="3"/>
  <c r="AU23" i="3"/>
  <c r="BO23" i="3"/>
  <c r="BT23" i="3"/>
  <c r="CD23" i="3"/>
  <c r="CI23" i="3"/>
  <c r="CN23" i="3"/>
  <c r="CS23" i="3"/>
  <c r="CX23" i="3"/>
  <c r="V24" i="3"/>
  <c r="AA24" i="3"/>
  <c r="AF24" i="3"/>
  <c r="AK24" i="3"/>
  <c r="AP24" i="3"/>
  <c r="AU24" i="3"/>
  <c r="BO24" i="3"/>
  <c r="BT24" i="3"/>
  <c r="CD24" i="3"/>
  <c r="CI24" i="3"/>
  <c r="CN24" i="3"/>
  <c r="CS24" i="3"/>
  <c r="CX24" i="3"/>
  <c r="AU25" i="3"/>
  <c r="BO25" i="3"/>
  <c r="BT25" i="3"/>
  <c r="CD25" i="3"/>
  <c r="AQ26" i="3"/>
  <c r="V30" i="3"/>
  <c r="AA30" i="3"/>
  <c r="AF30" i="3"/>
  <c r="AK30" i="3"/>
  <c r="AP30" i="3"/>
  <c r="AU30" i="3"/>
  <c r="AZ30" i="3"/>
  <c r="BO30" i="3"/>
  <c r="BT30" i="3"/>
  <c r="BX30" i="3"/>
  <c r="CD30" i="3"/>
  <c r="CI30" i="3"/>
  <c r="CN30" i="3"/>
  <c r="CS30" i="3"/>
  <c r="CX30" i="3"/>
  <c r="V31" i="3"/>
  <c r="AA31" i="3"/>
  <c r="AF31" i="3"/>
  <c r="AK31" i="3"/>
  <c r="AP31" i="3"/>
  <c r="AU31" i="3"/>
  <c r="AZ31" i="3"/>
  <c r="BF31" i="3"/>
  <c r="BL31" i="3"/>
  <c r="BT31" i="3"/>
  <c r="BX31" i="3"/>
  <c r="CD31" i="3"/>
  <c r="CI31" i="3"/>
  <c r="CN31" i="3"/>
  <c r="CR31" i="3"/>
  <c r="CW31" i="3"/>
  <c r="V32" i="3"/>
  <c r="AA32" i="3"/>
  <c r="AF32" i="3"/>
  <c r="AK32" i="3"/>
  <c r="AP32" i="3"/>
  <c r="AU32" i="3"/>
  <c r="AZ32" i="3"/>
  <c r="BO32" i="3"/>
  <c r="BT32" i="3"/>
  <c r="BX32" i="3"/>
  <c r="CD32" i="3"/>
  <c r="CI32" i="3"/>
  <c r="CN32" i="3"/>
  <c r="CR32" i="3"/>
  <c r="CW32" i="3"/>
  <c r="V33" i="3"/>
  <c r="AA33" i="3"/>
  <c r="AF33" i="3"/>
  <c r="AK33" i="3"/>
  <c r="AP33" i="3"/>
  <c r="AU33" i="3"/>
  <c r="AZ33" i="3"/>
  <c r="BO33" i="3"/>
  <c r="BT33" i="3"/>
  <c r="BX33" i="3"/>
  <c r="CD33" i="3"/>
  <c r="CI33" i="3"/>
  <c r="CN33" i="3"/>
  <c r="CR33" i="3"/>
  <c r="CW33" i="3"/>
  <c r="V34" i="3"/>
  <c r="AA34" i="3"/>
  <c r="AF34" i="3"/>
  <c r="AK34" i="3"/>
  <c r="AP34" i="3"/>
  <c r="AU34" i="3"/>
  <c r="AZ34" i="3"/>
  <c r="BO34" i="3"/>
  <c r="BT34" i="3"/>
  <c r="BX34" i="3"/>
  <c r="CD34" i="3"/>
  <c r="CI34" i="3"/>
  <c r="CN34" i="3"/>
  <c r="CR34" i="3"/>
  <c r="CW34" i="3"/>
  <c r="AF35" i="3"/>
  <c r="AU35" i="3"/>
  <c r="AZ35" i="3"/>
  <c r="BO35" i="3"/>
  <c r="BT35" i="3"/>
  <c r="BX35" i="3"/>
  <c r="CD35" i="3"/>
  <c r="CI35" i="3"/>
  <c r="CN35" i="3"/>
  <c r="V36" i="3"/>
  <c r="AA36" i="3"/>
  <c r="AF36" i="3"/>
  <c r="AK36" i="3"/>
  <c r="AP36" i="3"/>
  <c r="AU36" i="3"/>
  <c r="AZ36" i="3"/>
  <c r="BO36" i="3"/>
  <c r="BT36" i="3"/>
  <c r="BX36" i="3"/>
  <c r="CD36" i="3"/>
  <c r="CI36" i="3"/>
  <c r="CN36" i="3"/>
  <c r="CR36" i="3"/>
  <c r="CW36" i="3"/>
  <c r="V37" i="3"/>
  <c r="AA37" i="3"/>
  <c r="AF37" i="3"/>
  <c r="AK37" i="3"/>
  <c r="AP37" i="3"/>
  <c r="AU37" i="3"/>
  <c r="AZ37" i="3"/>
  <c r="BO37" i="3"/>
  <c r="BT37" i="3"/>
  <c r="BX37" i="3"/>
  <c r="CD37" i="3"/>
  <c r="CI37" i="3"/>
  <c r="CN37" i="3"/>
  <c r="CS37" i="3"/>
  <c r="CX37" i="3"/>
  <c r="V38" i="3"/>
  <c r="AA38" i="3"/>
  <c r="AF38" i="3"/>
  <c r="AK38" i="3"/>
  <c r="AP38" i="3"/>
  <c r="AU38" i="3"/>
  <c r="AZ38" i="3"/>
  <c r="BO38" i="3"/>
  <c r="BT38" i="3"/>
  <c r="BX38" i="3"/>
  <c r="CD38" i="3"/>
  <c r="CF38" i="3"/>
  <c r="CI38" i="3"/>
  <c r="CN38" i="3"/>
  <c r="CQ38" i="3"/>
  <c r="CW38" i="3"/>
  <c r="V39" i="3"/>
  <c r="AA39" i="3"/>
  <c r="AF39" i="3"/>
  <c r="AK39" i="3"/>
  <c r="AP39" i="3"/>
  <c r="AU39" i="3"/>
  <c r="AZ39" i="3"/>
  <c r="BG39" i="3"/>
  <c r="BL39" i="3"/>
  <c r="BS39" i="3"/>
  <c r="BX39" i="3"/>
  <c r="CA39" i="3"/>
  <c r="CD39" i="3"/>
  <c r="CF39" i="3"/>
  <c r="CI39" i="3"/>
  <c r="CJ39" i="3"/>
  <c r="CN39" i="3"/>
  <c r="CQ39" i="3"/>
  <c r="CX39" i="3"/>
  <c r="CZ39" i="3"/>
  <c r="V40" i="3"/>
  <c r="AA40" i="3"/>
  <c r="AF40" i="3"/>
  <c r="AK40" i="3"/>
  <c r="AP40" i="3"/>
  <c r="AU40" i="3"/>
  <c r="AZ40" i="3"/>
  <c r="BG40" i="3"/>
  <c r="BL40" i="3"/>
  <c r="BT40" i="3"/>
  <c r="BX40" i="3"/>
  <c r="CD40" i="3"/>
  <c r="CI40" i="3"/>
  <c r="CJ40" i="3"/>
  <c r="CK40" i="3"/>
  <c r="CL40" i="3"/>
  <c r="CM40" i="3"/>
  <c r="CO40" i="3"/>
  <c r="CP40" i="3"/>
  <c r="CQ40" i="3"/>
  <c r="CR40" i="3"/>
  <c r="CT40" i="3"/>
  <c r="CU40" i="3"/>
  <c r="CV40" i="3"/>
  <c r="CW40" i="3"/>
  <c r="P41" i="3"/>
  <c r="Q41" i="3"/>
  <c r="U41" i="3"/>
  <c r="W41" i="3"/>
  <c r="X41" i="3"/>
  <c r="Y41" i="3"/>
  <c r="Z41" i="3"/>
  <c r="AB41" i="3"/>
  <c r="AC41" i="3"/>
  <c r="AD41" i="3"/>
  <c r="AE41" i="3"/>
  <c r="AG41" i="3"/>
  <c r="AH41" i="3"/>
  <c r="AI41" i="3"/>
  <c r="AJ41" i="3"/>
  <c r="AL41" i="3"/>
  <c r="AM41" i="3"/>
  <c r="AN41" i="3"/>
  <c r="AO41" i="3"/>
  <c r="AQ41" i="3"/>
  <c r="AR41" i="3"/>
  <c r="AS41" i="3"/>
  <c r="AT41" i="3"/>
  <c r="AV41" i="3"/>
  <c r="AW41" i="3"/>
  <c r="AX41" i="3"/>
  <c r="AY41" i="3"/>
  <c r="BA41" i="3"/>
  <c r="BB41" i="3"/>
  <c r="BC41" i="3"/>
  <c r="BD41" i="3"/>
  <c r="BE41" i="3"/>
  <c r="BK41" i="3"/>
  <c r="BP41" i="3"/>
  <c r="BQ41" i="3"/>
  <c r="BR41" i="3"/>
  <c r="BU41" i="3"/>
  <c r="BV41" i="3"/>
  <c r="BW41" i="3"/>
  <c r="BY41" i="3"/>
  <c r="BZ41" i="3"/>
  <c r="CB41" i="3"/>
  <c r="CC41" i="3"/>
  <c r="CE41" i="3"/>
  <c r="CG41" i="3"/>
  <c r="CH41" i="3"/>
  <c r="AF42" i="3"/>
  <c r="AU42" i="3"/>
  <c r="AZ42" i="3"/>
  <c r="AF43" i="3"/>
  <c r="AU43" i="3"/>
  <c r="AZ43" i="3"/>
  <c r="V44" i="3"/>
  <c r="AA44" i="3"/>
  <c r="AF44" i="3"/>
  <c r="AK44" i="3"/>
  <c r="AP44" i="3"/>
  <c r="AU44" i="3"/>
  <c r="AZ44" i="3"/>
  <c r="BG44" i="3"/>
  <c r="BL44" i="3"/>
  <c r="BO44" i="3"/>
  <c r="BT44" i="3"/>
  <c r="BX44" i="3"/>
  <c r="CD44" i="3"/>
  <c r="CI44" i="3"/>
  <c r="CN44" i="3"/>
  <c r="CP44" i="3"/>
  <c r="CS44" i="3"/>
  <c r="CW44" i="3"/>
  <c r="V45" i="3"/>
  <c r="AA45" i="3"/>
  <c r="AF45" i="3"/>
  <c r="AK45" i="3"/>
  <c r="AP45" i="3"/>
  <c r="AU45" i="3"/>
  <c r="AZ45" i="3"/>
  <c r="BO45" i="3"/>
  <c r="BT45" i="3"/>
  <c r="BX45" i="3"/>
  <c r="CD45" i="3"/>
  <c r="CI45" i="3"/>
  <c r="CN45" i="3"/>
  <c r="CS45" i="3"/>
  <c r="CX45" i="3"/>
  <c r="V46" i="3"/>
  <c r="AA46" i="3"/>
  <c r="AF46" i="3"/>
  <c r="AK46" i="3"/>
  <c r="AP46" i="3"/>
  <c r="AU46" i="3"/>
  <c r="AZ46" i="3"/>
  <c r="BO46" i="3"/>
  <c r="BT46" i="3"/>
  <c r="BX46" i="3"/>
  <c r="CD46" i="3"/>
  <c r="CI46" i="3"/>
  <c r="CN46" i="3"/>
  <c r="CS46" i="3"/>
  <c r="CX46" i="3"/>
  <c r="Q47" i="3"/>
  <c r="U47" i="3"/>
  <c r="W47" i="3"/>
  <c r="X47" i="3"/>
  <c r="Y47" i="3"/>
  <c r="Z47" i="3"/>
  <c r="AB47" i="3"/>
  <c r="AC47" i="3"/>
  <c r="AD47" i="3"/>
  <c r="AE47" i="3"/>
  <c r="AG47" i="3"/>
  <c r="AH47" i="3"/>
  <c r="AI47" i="3"/>
  <c r="AJ47" i="3"/>
  <c r="AL47" i="3"/>
  <c r="AM47" i="3"/>
  <c r="AN47" i="3"/>
  <c r="AO47" i="3"/>
  <c r="AQ47" i="3"/>
  <c r="AR47" i="3"/>
  <c r="AS47" i="3"/>
  <c r="AT47" i="3"/>
  <c r="AV47" i="3"/>
  <c r="AW47" i="3"/>
  <c r="AX47" i="3"/>
  <c r="AY47" i="3"/>
  <c r="BA47" i="3"/>
  <c r="BB47" i="3"/>
  <c r="BC47" i="3"/>
  <c r="BD47" i="3"/>
  <c r="BE47" i="3"/>
  <c r="BF47" i="3"/>
  <c r="BK47" i="3"/>
  <c r="BM47" i="3"/>
  <c r="BN47" i="3"/>
  <c r="BP47" i="3"/>
  <c r="BQ47" i="3"/>
  <c r="BR47" i="3"/>
  <c r="BS47" i="3"/>
  <c r="BU47" i="3"/>
  <c r="BV47" i="3"/>
  <c r="BW47" i="3"/>
  <c r="BY47" i="3"/>
  <c r="BZ47" i="3"/>
  <c r="CA47" i="3"/>
  <c r="CB47" i="3"/>
  <c r="CC47" i="3"/>
  <c r="CE47" i="3"/>
  <c r="CF47" i="3"/>
  <c r="CG47" i="3"/>
  <c r="CH47" i="3"/>
  <c r="CJ47" i="3"/>
  <c r="CK47" i="3"/>
  <c r="CL47" i="3"/>
  <c r="CM47" i="3"/>
  <c r="CO47" i="3"/>
  <c r="CQ47" i="3"/>
  <c r="CR47" i="3"/>
  <c r="CT47" i="3"/>
  <c r="CU47" i="3"/>
  <c r="CV47" i="3"/>
  <c r="AF48" i="3"/>
  <c r="AF49" i="3"/>
  <c r="AU49" i="3"/>
  <c r="AZ49" i="3"/>
  <c r="V50" i="3"/>
  <c r="AA50" i="3"/>
  <c r="AF50" i="3"/>
  <c r="AK50" i="3"/>
  <c r="AP50" i="3"/>
  <c r="AU50" i="3"/>
  <c r="BO50" i="3"/>
  <c r="BT50" i="3"/>
  <c r="BX50" i="3"/>
  <c r="CD50" i="3"/>
  <c r="CI50" i="3"/>
  <c r="CN50" i="3"/>
  <c r="CS50" i="3"/>
  <c r="CX50" i="3"/>
  <c r="V51" i="3"/>
  <c r="AA51" i="3"/>
  <c r="AF51" i="3"/>
  <c r="AK51" i="3"/>
  <c r="AP51" i="3"/>
  <c r="AU51" i="3"/>
  <c r="BO51" i="3"/>
  <c r="BT51" i="3"/>
  <c r="BX51" i="3"/>
  <c r="CD51" i="3"/>
  <c r="CI51" i="3"/>
  <c r="CN51" i="3"/>
  <c r="CS51" i="3"/>
  <c r="CX51" i="3"/>
  <c r="AF52" i="3"/>
  <c r="AU52" i="3"/>
  <c r="AZ52" i="3"/>
  <c r="BO52" i="3"/>
  <c r="BT52" i="3"/>
  <c r="BX52" i="3"/>
  <c r="CD52" i="3"/>
  <c r="CI52" i="3"/>
  <c r="CN52" i="3"/>
  <c r="CS52" i="3"/>
  <c r="CX52" i="3"/>
  <c r="AF53" i="3"/>
  <c r="AU53" i="3"/>
  <c r="AZ53" i="3"/>
  <c r="BO53" i="3"/>
  <c r="BT53" i="3"/>
  <c r="BX53" i="3"/>
  <c r="CD53" i="3"/>
  <c r="CI53" i="3"/>
  <c r="CK53" i="3"/>
  <c r="CN53" i="3"/>
  <c r="CS53" i="3"/>
  <c r="CW53" i="3"/>
  <c r="V54" i="3"/>
  <c r="X54" i="3"/>
  <c r="AA54" i="3"/>
  <c r="AF54" i="3"/>
  <c r="AK54" i="3"/>
  <c r="AL54" i="3"/>
  <c r="AM54" i="3"/>
  <c r="AN54" i="3"/>
  <c r="AO54" i="3"/>
  <c r="AQ54" i="3"/>
  <c r="AR54" i="3"/>
  <c r="AS54" i="3"/>
  <c r="AT54" i="3"/>
  <c r="AV54" i="3"/>
  <c r="AW54" i="3"/>
  <c r="AX54" i="3"/>
  <c r="AZ54" i="3"/>
  <c r="BO54" i="3"/>
  <c r="BT54" i="3"/>
  <c r="BX54" i="3"/>
  <c r="CD54" i="3"/>
  <c r="CI54" i="3"/>
  <c r="CN54" i="3"/>
  <c r="CS54" i="3"/>
  <c r="CX54" i="3"/>
  <c r="C55" i="3"/>
  <c r="D55" i="3"/>
  <c r="E55" i="3"/>
  <c r="F55" i="3"/>
  <c r="H55" i="3"/>
  <c r="I55" i="3"/>
  <c r="J55" i="3"/>
  <c r="K55" i="3"/>
  <c r="M55" i="3"/>
  <c r="N55" i="3"/>
  <c r="O55" i="3"/>
  <c r="P55" i="3"/>
  <c r="Q55" i="3"/>
  <c r="R55" i="3"/>
  <c r="S55" i="3"/>
  <c r="T55" i="3"/>
  <c r="U55" i="3"/>
  <c r="W55" i="3"/>
  <c r="Y55" i="3"/>
  <c r="Z55" i="3"/>
  <c r="AB55" i="3"/>
  <c r="AC55" i="3"/>
  <c r="AD55" i="3"/>
  <c r="AE55" i="3"/>
  <c r="AG55" i="3"/>
  <c r="AH55" i="3"/>
  <c r="AI55" i="3"/>
  <c r="AJ55" i="3"/>
  <c r="BA55" i="3"/>
  <c r="BB55" i="3"/>
  <c r="BC55" i="3"/>
  <c r="BD55" i="3"/>
  <c r="BE55" i="3"/>
  <c r="BF55" i="3"/>
  <c r="BG55" i="3"/>
  <c r="BH55" i="3"/>
  <c r="BI55" i="3"/>
  <c r="BJ55" i="3"/>
  <c r="BK55" i="3"/>
  <c r="BL55" i="3"/>
  <c r="BM55" i="3"/>
  <c r="BN55" i="3"/>
  <c r="BP55" i="3"/>
  <c r="BQ55" i="3"/>
  <c r="BR55" i="3"/>
  <c r="BS55" i="3"/>
  <c r="BU55" i="3"/>
  <c r="BV55" i="3"/>
  <c r="BW55" i="3"/>
  <c r="BY55" i="3"/>
  <c r="BZ55" i="3"/>
  <c r="CA55" i="3"/>
  <c r="CB55" i="3"/>
  <c r="CC55" i="3"/>
  <c r="CE55" i="3"/>
  <c r="CF55" i="3"/>
  <c r="CG55" i="3"/>
  <c r="CH55" i="3"/>
  <c r="CJ55" i="3"/>
  <c r="CL55" i="3"/>
  <c r="CM55" i="3"/>
  <c r="CO55" i="3"/>
  <c r="CP55" i="3"/>
  <c r="CQ55" i="3"/>
  <c r="CR55" i="3"/>
  <c r="CT55" i="3"/>
  <c r="CU55" i="3"/>
  <c r="CV55" i="3"/>
  <c r="BX56" i="3"/>
  <c r="CD56" i="3"/>
  <c r="CI56" i="3"/>
  <c r="CN56" i="3"/>
  <c r="CS56" i="3"/>
  <c r="CX56" i="3"/>
  <c r="B58" i="3"/>
  <c r="G58" i="3"/>
  <c r="L58" i="3"/>
  <c r="B75" i="3"/>
  <c r="C75" i="3"/>
  <c r="D75" i="3"/>
  <c r="E75" i="3"/>
  <c r="F75" i="3"/>
  <c r="G75" i="3"/>
  <c r="H75" i="3"/>
  <c r="I75" i="3"/>
  <c r="J75" i="3"/>
  <c r="K75" i="3"/>
  <c r="L75" i="3"/>
  <c r="M75" i="3"/>
  <c r="N75" i="3"/>
  <c r="O75" i="3"/>
  <c r="R75" i="3"/>
  <c r="S75" i="3"/>
  <c r="T75" i="3"/>
  <c r="AQ81" i="3"/>
  <c r="AQ86" i="3" s="1"/>
  <c r="AR81" i="3"/>
  <c r="AR86" i="3" s="1"/>
  <c r="AS81" i="3"/>
  <c r="AS86" i="3" s="1"/>
  <c r="AT81" i="3"/>
  <c r="AT87" i="3" s="1"/>
  <c r="AV81" i="3"/>
  <c r="AV86" i="3" s="1"/>
  <c r="AW81" i="3"/>
  <c r="AW86" i="3" s="1"/>
  <c r="AX81" i="3"/>
  <c r="AX87" i="3" s="1"/>
  <c r="AY81" i="3"/>
  <c r="AY87" i="3" s="1"/>
  <c r="BA81" i="3"/>
  <c r="BA86" i="3" s="1"/>
  <c r="BB81" i="3"/>
  <c r="BB86" i="3" s="1"/>
  <c r="BC81" i="3"/>
  <c r="BC86" i="3" s="1"/>
  <c r="BD81" i="3"/>
  <c r="BD86" i="3" s="1"/>
  <c r="BF81" i="3"/>
  <c r="BF87" i="3" s="1"/>
  <c r="BG81" i="3"/>
  <c r="BG86" i="3" s="1"/>
  <c r="BH81" i="3"/>
  <c r="BH87" i="3" s="1"/>
  <c r="BI81" i="3"/>
  <c r="BI86" i="3" s="1"/>
  <c r="BK81" i="3"/>
  <c r="BK86" i="3" s="1"/>
  <c r="BL81" i="3"/>
  <c r="BL86" i="3" s="1"/>
  <c r="BM81" i="3"/>
  <c r="BM86" i="3" s="1"/>
  <c r="BN81" i="3"/>
  <c r="BN87" i="3" s="1"/>
  <c r="BP81" i="3"/>
  <c r="BP86" i="3" s="1"/>
  <c r="BQ81" i="3"/>
  <c r="BQ86" i="3" s="1"/>
  <c r="BR81" i="3"/>
  <c r="BR87" i="3" s="1"/>
  <c r="BS81" i="3"/>
  <c r="BS87" i="3" s="1"/>
  <c r="BU81" i="3"/>
  <c r="BU86" i="3" s="1"/>
  <c r="BV81" i="3"/>
  <c r="BV86" i="3" s="1"/>
  <c r="BW81" i="3"/>
  <c r="BW86" i="3" s="1"/>
  <c r="BX81" i="3"/>
  <c r="BX86" i="3" s="1"/>
  <c r="BZ81" i="3"/>
  <c r="BZ87" i="3" s="1"/>
  <c r="CA81" i="3"/>
  <c r="CA86" i="3" s="1"/>
  <c r="CB81" i="3"/>
  <c r="CB87" i="3" s="1"/>
  <c r="CC81" i="3"/>
  <c r="CC86" i="3" s="1"/>
  <c r="CE81" i="3"/>
  <c r="CE87" i="3" s="1"/>
  <c r="CF81" i="3"/>
  <c r="CF86" i="3" s="1"/>
  <c r="CG81" i="3"/>
  <c r="CG87" i="3" s="1"/>
  <c r="CH81" i="3"/>
  <c r="CH87" i="3" s="1"/>
  <c r="CM87" i="3" s="1"/>
  <c r="CJ81" i="3"/>
  <c r="CJ86" i="3" s="1"/>
  <c r="CK81" i="3"/>
  <c r="CK86" i="3" s="1"/>
  <c r="CL81" i="3"/>
  <c r="CL86" i="3" s="1"/>
  <c r="CM81" i="3"/>
  <c r="CO81" i="3"/>
  <c r="CO87" i="3" s="1"/>
  <c r="CP81" i="3"/>
  <c r="CP86" i="3" s="1"/>
  <c r="CQ81" i="3"/>
  <c r="CQ87" i="3" s="1"/>
  <c r="CR81" i="3"/>
  <c r="CR86" i="3" s="1"/>
  <c r="CT81" i="3"/>
  <c r="CT87" i="3" s="1"/>
  <c r="CU81" i="3"/>
  <c r="CU86" i="3" s="1"/>
  <c r="CV81" i="3"/>
  <c r="CV86" i="3" s="1"/>
  <c r="CW81" i="3"/>
  <c r="CW86" i="3" s="1"/>
  <c r="AQ82" i="3"/>
  <c r="AR82" i="3"/>
  <c r="AS82" i="3"/>
  <c r="AT82" i="3"/>
  <c r="AV82" i="3"/>
  <c r="AW82" i="3"/>
  <c r="AX82" i="3"/>
  <c r="AY82" i="3"/>
  <c r="BA82" i="3"/>
  <c r="BB82" i="3"/>
  <c r="BC82" i="3"/>
  <c r="BD82" i="3"/>
  <c r="BG82" i="3"/>
  <c r="BH82" i="3"/>
  <c r="BI82" i="3"/>
  <c r="BL82" i="3"/>
  <c r="BM82" i="3"/>
  <c r="BN82" i="3"/>
  <c r="BP82" i="3"/>
  <c r="BQ82" i="3"/>
  <c r="BR82" i="3"/>
  <c r="BS82" i="3"/>
  <c r="BU82" i="3"/>
  <c r="BV82" i="3"/>
  <c r="BW82" i="3"/>
  <c r="BX82" i="3"/>
  <c r="BZ82" i="3"/>
  <c r="CA82" i="3"/>
  <c r="CB82" i="3"/>
  <c r="CC82" i="3"/>
  <c r="CE82" i="3"/>
  <c r="CF82" i="3"/>
  <c r="CG82" i="3"/>
  <c r="CH82" i="3"/>
  <c r="CJ82" i="3"/>
  <c r="CK82" i="3"/>
  <c r="CL82" i="3"/>
  <c r="CM82" i="3"/>
  <c r="CO82" i="3"/>
  <c r="CP82" i="3"/>
  <c r="CQ82" i="3"/>
  <c r="CR82" i="3"/>
  <c r="CT82" i="3"/>
  <c r="CU82" i="3"/>
  <c r="CV82" i="3"/>
  <c r="CW82" i="3"/>
  <c r="AQ83" i="3"/>
  <c r="AR83" i="3"/>
  <c r="AT83" i="3"/>
  <c r="AV83" i="3"/>
  <c r="AW83" i="3"/>
  <c r="AX83" i="3"/>
  <c r="AY83" i="3"/>
  <c r="BA83" i="3"/>
  <c r="BB83" i="3"/>
  <c r="BC83" i="3"/>
  <c r="BD83" i="3"/>
  <c r="BG83" i="3"/>
  <c r="BH83" i="3"/>
  <c r="BI83" i="3"/>
  <c r="BL83" i="3"/>
  <c r="BM83" i="3"/>
  <c r="BN83" i="3"/>
  <c r="BP83" i="3"/>
  <c r="BQ83" i="3"/>
  <c r="BR83" i="3"/>
  <c r="BS83" i="3"/>
  <c r="BV83" i="3"/>
  <c r="BW83" i="3"/>
  <c r="BX83" i="3"/>
  <c r="BZ83" i="3"/>
  <c r="CA83" i="3"/>
  <c r="CB83" i="3"/>
  <c r="CC83" i="3"/>
  <c r="CE83" i="3"/>
  <c r="CF83" i="3"/>
  <c r="CG83" i="3"/>
  <c r="CH83" i="3"/>
  <c r="CJ83" i="3"/>
  <c r="CK83" i="3"/>
  <c r="CL83" i="3"/>
  <c r="CM83" i="3"/>
  <c r="CO83" i="3"/>
  <c r="CP83" i="3"/>
  <c r="CQ83" i="3"/>
  <c r="CR83" i="3"/>
  <c r="CT83" i="3"/>
  <c r="CU83" i="3"/>
  <c r="CV83" i="3"/>
  <c r="CW83" i="3"/>
  <c r="BH86" i="3"/>
  <c r="CN91" i="3"/>
  <c r="CN92" i="3"/>
  <c r="CS92" i="3"/>
  <c r="EC92" i="3"/>
  <c r="CN93" i="3"/>
  <c r="CS93" i="3"/>
  <c r="CN94" i="3"/>
  <c r="CS94" i="3"/>
  <c r="CJ95" i="3"/>
  <c r="CK95" i="3"/>
  <c r="CL95" i="3"/>
  <c r="CM95" i="3"/>
  <c r="CO95" i="3"/>
  <c r="CP95" i="3"/>
  <c r="CQ95" i="3"/>
  <c r="CR95" i="3"/>
  <c r="CT95" i="3"/>
  <c r="CU95" i="3"/>
  <c r="CV95" i="3"/>
  <c r="CW95" i="3"/>
  <c r="BK101" i="3"/>
  <c r="BK109" i="3" s="1"/>
  <c r="BL101" i="3"/>
  <c r="BL109" i="3" s="1"/>
  <c r="BM101" i="3"/>
  <c r="BM109" i="3" s="1"/>
  <c r="BN101" i="3"/>
  <c r="BN109" i="3" s="1"/>
  <c r="BP101" i="3"/>
  <c r="BP109" i="3" s="1"/>
  <c r="BQ101" i="3"/>
  <c r="BQ109" i="3" s="1"/>
  <c r="BR101" i="3"/>
  <c r="BR109" i="3" s="1"/>
  <c r="BS101" i="3"/>
  <c r="BS109" i="3" s="1"/>
  <c r="BU101" i="3"/>
  <c r="BU109" i="3" s="1"/>
  <c r="BV101" i="3"/>
  <c r="BV109" i="3" s="1"/>
  <c r="BW101" i="3"/>
  <c r="BW109" i="3" s="1"/>
  <c r="BY101" i="3"/>
  <c r="BZ101" i="3"/>
  <c r="BZ109" i="3" s="1"/>
  <c r="CA101" i="3"/>
  <c r="CA109" i="3" s="1"/>
  <c r="CB101" i="3"/>
  <c r="CB109" i="3" s="1"/>
  <c r="CC101" i="3"/>
  <c r="CC109" i="3" s="1"/>
  <c r="CE101" i="3"/>
  <c r="CE109" i="3" s="1"/>
  <c r="CF101" i="3"/>
  <c r="CF109" i="3" s="1"/>
  <c r="CG101" i="3"/>
  <c r="CG109" i="3" s="1"/>
  <c r="CH101" i="3"/>
  <c r="CH109" i="3" s="1"/>
  <c r="CJ101" i="3"/>
  <c r="CJ109" i="3" s="1"/>
  <c r="CK101" i="3"/>
  <c r="CK109" i="3" s="1"/>
  <c r="CL101" i="3"/>
  <c r="CL109" i="3" s="1"/>
  <c r="CM101" i="3"/>
  <c r="CM109" i="3" s="1"/>
  <c r="CO101" i="3"/>
  <c r="CO109" i="3" s="1"/>
  <c r="CP101" i="3"/>
  <c r="CP109" i="3" s="1"/>
  <c r="CQ101" i="3"/>
  <c r="CQ109" i="3" s="1"/>
  <c r="CS101" i="3"/>
  <c r="CU101" i="3"/>
  <c r="CV101" i="3" s="1"/>
  <c r="CS102" i="3"/>
  <c r="CU102" i="3"/>
  <c r="CV102" i="3" s="1"/>
  <c r="CW102" i="3" s="1"/>
  <c r="CW109" i="3" s="1"/>
  <c r="CX103" i="3"/>
  <c r="DC103" i="3"/>
  <c r="DH103" i="3"/>
  <c r="DM103" i="3"/>
  <c r="DW103" i="3"/>
  <c r="EB103" i="3"/>
  <c r="CX104" i="3"/>
  <c r="DC104" i="3"/>
  <c r="DH104" i="3"/>
  <c r="DM104" i="3"/>
  <c r="DR104" i="3"/>
  <c r="DW104" i="3"/>
  <c r="EB104" i="3"/>
  <c r="BO108" i="3"/>
  <c r="BT108" i="3"/>
  <c r="BY108" i="3"/>
  <c r="CD108" i="3"/>
  <c r="CI108" i="3"/>
  <c r="CN108" i="3"/>
  <c r="CS108" i="3"/>
  <c r="CX108" i="3"/>
  <c r="DC108" i="3"/>
  <c r="DH108" i="3"/>
  <c r="DM108" i="3"/>
  <c r="DR108" i="3"/>
  <c r="DW108" i="3"/>
  <c r="EB108" i="3"/>
  <c r="CR109" i="3"/>
  <c r="CR123" i="3" s="1"/>
  <c r="CT109" i="3"/>
  <c r="CT123" i="3" s="1"/>
  <c r="BK111" i="3"/>
  <c r="BL111" i="3"/>
  <c r="BM111" i="3"/>
  <c r="BN111" i="3"/>
  <c r="BP111" i="3"/>
  <c r="BQ111" i="3"/>
  <c r="BR111" i="3"/>
  <c r="BS111" i="3"/>
  <c r="BU111" i="3"/>
  <c r="BV111" i="3"/>
  <c r="BW111" i="3"/>
  <c r="BY111" i="3"/>
  <c r="BZ111" i="3"/>
  <c r="CA111" i="3"/>
  <c r="CB111" i="3"/>
  <c r="CC111" i="3"/>
  <c r="CE111" i="3"/>
  <c r="CF111" i="3"/>
  <c r="CG111" i="3"/>
  <c r="CH111" i="3"/>
  <c r="CJ111" i="3"/>
  <c r="CK111" i="3"/>
  <c r="CL111" i="3"/>
  <c r="CM111" i="3"/>
  <c r="CO111" i="3"/>
  <c r="CP111" i="3"/>
  <c r="CQ111" i="3"/>
  <c r="CR111" i="3"/>
  <c r="CS111" i="3"/>
  <c r="CT111" i="3"/>
  <c r="CU111" i="3"/>
  <c r="CV111" i="3"/>
  <c r="CW111" i="3"/>
  <c r="CV116" i="3"/>
  <c r="CW116" i="3" s="1"/>
  <c r="CY116" i="3" s="1"/>
  <c r="CV117" i="3"/>
  <c r="CW117" i="3" s="1"/>
  <c r="CY117" i="3" s="1"/>
  <c r="CZ117" i="3" s="1"/>
  <c r="DA117" i="3" s="1"/>
  <c r="DK117" i="3" s="1"/>
  <c r="DL117" i="3" s="1"/>
  <c r="DN117" i="3" s="1"/>
  <c r="DO117" i="3" s="1"/>
  <c r="DP117" i="3" s="1"/>
  <c r="DQ117" i="3" s="1"/>
  <c r="DS117" i="3" s="1"/>
  <c r="DT117" i="3" s="1"/>
  <c r="DU117" i="3" s="1"/>
  <c r="DV117" i="3" s="1"/>
  <c r="DX117" i="3" s="1"/>
  <c r="DY117" i="3" s="1"/>
  <c r="DZ117" i="3" s="1"/>
  <c r="EA117" i="3" s="1"/>
  <c r="CV118" i="3"/>
  <c r="CW118" i="3" s="1"/>
  <c r="CY118" i="3" s="1"/>
  <c r="CZ118" i="3" s="1"/>
  <c r="DA118" i="3" s="1"/>
  <c r="DK118" i="3" s="1"/>
  <c r="DL118" i="3" s="1"/>
  <c r="DN118" i="3" s="1"/>
  <c r="DO118" i="3" s="1"/>
  <c r="DP118" i="3" s="1"/>
  <c r="DQ118" i="3" s="1"/>
  <c r="DS118" i="3" s="1"/>
  <c r="DT118" i="3" s="1"/>
  <c r="DU118" i="3" s="1"/>
  <c r="DV118" i="3" s="1"/>
  <c r="DX118" i="3" s="1"/>
  <c r="DY118" i="3" s="1"/>
  <c r="DZ118" i="3" s="1"/>
  <c r="EA118" i="3" s="1"/>
  <c r="CV119" i="3"/>
  <c r="CW119" i="3" s="1"/>
  <c r="CY119" i="3" s="1"/>
  <c r="CZ119" i="3" s="1"/>
  <c r="DA119" i="3" s="1"/>
  <c r="DK119" i="3" s="1"/>
  <c r="DL119" i="3" s="1"/>
  <c r="DN119" i="3" s="1"/>
  <c r="DO119" i="3" s="1"/>
  <c r="DP119" i="3" s="1"/>
  <c r="DQ119" i="3" s="1"/>
  <c r="DS119" i="3" s="1"/>
  <c r="DT119" i="3" s="1"/>
  <c r="DU119" i="3" s="1"/>
  <c r="DV119" i="3" s="1"/>
  <c r="DX119" i="3" s="1"/>
  <c r="DY119" i="3" s="1"/>
  <c r="DZ119" i="3" s="1"/>
  <c r="EA119" i="3" s="1"/>
  <c r="CE125" i="3"/>
  <c r="CF125" i="3"/>
  <c r="CG125" i="3"/>
  <c r="CH125" i="3"/>
  <c r="CJ125" i="3"/>
  <c r="CK125" i="3"/>
  <c r="CL125" i="3"/>
  <c r="CM125" i="3"/>
  <c r="CO125" i="3"/>
  <c r="CP125" i="3"/>
  <c r="CQ125" i="3"/>
  <c r="CR125" i="3"/>
  <c r="CT125" i="3"/>
  <c r="CU125" i="3"/>
  <c r="CV125" i="3"/>
  <c r="CW125" i="3"/>
  <c r="BK129" i="3"/>
  <c r="BL129" i="3"/>
  <c r="BM129" i="3"/>
  <c r="BN129" i="3"/>
  <c r="BQ129" i="3"/>
  <c r="BR129" i="3"/>
  <c r="BS129" i="3"/>
  <c r="BV129" i="3"/>
  <c r="BW129" i="3"/>
  <c r="BZ129" i="3"/>
  <c r="CA129" i="3"/>
  <c r="CB129" i="3"/>
  <c r="CC129" i="3"/>
  <c r="CF129" i="3"/>
  <c r="CG129" i="3"/>
  <c r="CH129" i="3"/>
  <c r="CK129" i="3"/>
  <c r="CL129" i="3"/>
  <c r="CM129" i="3"/>
  <c r="CP129" i="3"/>
  <c r="CQ129" i="3"/>
  <c r="CU129" i="3"/>
  <c r="CV129" i="3" s="1"/>
  <c r="CW129" i="3" s="1"/>
  <c r="CY129" i="3" s="1"/>
  <c r="CZ129" i="3" s="1"/>
  <c r="DA129" i="3" s="1"/>
  <c r="DB129" i="3" s="1"/>
  <c r="DD129" i="3" s="1"/>
  <c r="DE129" i="3" s="1"/>
  <c r="DF129" i="3" s="1"/>
  <c r="DG129" i="3" s="1"/>
  <c r="DI129" i="3" s="1"/>
  <c r="DJ129" i="3" s="1"/>
  <c r="DK129" i="3" s="1"/>
  <c r="DL129" i="3" s="1"/>
  <c r="DN129" i="3" s="1"/>
  <c r="DO129" i="3" s="1"/>
  <c r="DP129" i="3" s="1"/>
  <c r="DQ129" i="3" s="1"/>
  <c r="DS129" i="3" s="1"/>
  <c r="DT129" i="3" s="1"/>
  <c r="DU129" i="3" s="1"/>
  <c r="DV129" i="3" s="1"/>
  <c r="DX129" i="3" s="1"/>
  <c r="DY129" i="3" s="1"/>
  <c r="DZ129" i="3" s="1"/>
  <c r="EA129" i="3" s="1"/>
  <c r="BL130" i="3"/>
  <c r="BM130" i="3"/>
  <c r="BN130" i="3"/>
  <c r="BQ130" i="3"/>
  <c r="BR130" i="3"/>
  <c r="BS130" i="3"/>
  <c r="BV130" i="3"/>
  <c r="BW130" i="3"/>
  <c r="BX130" i="3"/>
  <c r="CA130" i="3"/>
  <c r="CB130" i="3"/>
  <c r="CC130" i="3"/>
  <c r="CF130" i="3"/>
  <c r="CG130" i="3"/>
  <c r="CH130" i="3"/>
  <c r="CK130" i="3"/>
  <c r="CL130" i="3"/>
  <c r="CM130" i="3"/>
  <c r="CP130" i="3"/>
  <c r="CQ130" i="3"/>
  <c r="CR130" i="3"/>
  <c r="CU130" i="3"/>
  <c r="CV130" i="3" s="1"/>
  <c r="CW130" i="3" s="1"/>
  <c r="CY130" i="3" s="1"/>
  <c r="CZ130" i="3" s="1"/>
  <c r="DA130" i="3" s="1"/>
  <c r="DB130" i="3" s="1"/>
  <c r="DD130" i="3" s="1"/>
  <c r="DE130" i="3" s="1"/>
  <c r="DF130" i="3" s="1"/>
  <c r="DG130" i="3" s="1"/>
  <c r="DI130" i="3" s="1"/>
  <c r="DJ130" i="3" s="1"/>
  <c r="DK130" i="3" s="1"/>
  <c r="DL130" i="3" s="1"/>
  <c r="DN130" i="3" s="1"/>
  <c r="DO130" i="3" s="1"/>
  <c r="DP130" i="3" s="1"/>
  <c r="DQ130" i="3" s="1"/>
  <c r="DS130" i="3" s="1"/>
  <c r="DT130" i="3" s="1"/>
  <c r="DU130" i="3" s="1"/>
  <c r="DV130" i="3" s="1"/>
  <c r="DX130" i="3" s="1"/>
  <c r="DY130" i="3" s="1"/>
  <c r="DZ130" i="3" s="1"/>
  <c r="EA130" i="3" s="1"/>
  <c r="BE133" i="3"/>
  <c r="BF133" i="3"/>
  <c r="BG133" i="3"/>
  <c r="BH133" i="3"/>
  <c r="BI133" i="3"/>
  <c r="BJ133" i="3"/>
  <c r="BK133" i="3"/>
  <c r="BL133" i="3"/>
  <c r="BM133" i="3"/>
  <c r="BN133" i="3"/>
  <c r="BQ133" i="3"/>
  <c r="BR133" i="3"/>
  <c r="BS133" i="3"/>
  <c r="BV133" i="3"/>
  <c r="BW133" i="3"/>
  <c r="BZ133" i="3"/>
  <c r="CA133" i="3"/>
  <c r="CB133" i="3"/>
  <c r="CC133" i="3"/>
  <c r="CF133" i="3"/>
  <c r="CG133" i="3"/>
  <c r="CH133" i="3"/>
  <c r="CM133" i="3"/>
  <c r="CP133" i="3"/>
  <c r="CS133" i="3"/>
  <c r="CY133" i="3"/>
  <c r="CZ133" i="3"/>
  <c r="BY134" i="3"/>
  <c r="CD134" i="3"/>
  <c r="CI134" i="3"/>
  <c r="CN134" i="3"/>
  <c r="CS134" i="3"/>
  <c r="CX134" i="3"/>
  <c r="DC134" i="3"/>
  <c r="DH134" i="3"/>
  <c r="DM134" i="3"/>
  <c r="DR134" i="3"/>
  <c r="DW134" i="3"/>
  <c r="EB134" i="3"/>
  <c r="BJ142" i="3"/>
  <c r="BK142" i="3"/>
  <c r="BL142" i="3"/>
  <c r="BM142" i="3"/>
  <c r="BN142" i="3"/>
  <c r="BQ142" i="3"/>
  <c r="BR142" i="3"/>
  <c r="BS142" i="3"/>
  <c r="BV142" i="3"/>
  <c r="BW142" i="3"/>
  <c r="BZ142" i="3"/>
  <c r="CA142" i="3"/>
  <c r="CB142" i="3"/>
  <c r="CC142" i="3"/>
  <c r="CF142" i="3"/>
  <c r="CG142" i="3"/>
  <c r="CH142" i="3"/>
  <c r="CM142" i="3"/>
  <c r="CP142" i="3"/>
  <c r="CQ142" i="3"/>
  <c r="CR142" i="3"/>
  <c r="CU142" i="3"/>
  <c r="CV142" i="3"/>
  <c r="BJ143" i="3"/>
  <c r="BK143" i="3"/>
  <c r="BL143" i="3"/>
  <c r="BM143" i="3"/>
  <c r="BN143" i="3"/>
  <c r="BQ143" i="3"/>
  <c r="BR143" i="3"/>
  <c r="BS143" i="3"/>
  <c r="BV143" i="3"/>
  <c r="BW143" i="3"/>
  <c r="BZ143" i="3"/>
  <c r="CA143" i="3"/>
  <c r="CB143" i="3"/>
  <c r="CC143" i="3"/>
  <c r="CF143" i="3"/>
  <c r="CG143" i="3"/>
  <c r="CH143" i="3"/>
  <c r="CK143" i="3"/>
  <c r="CL143" i="3"/>
  <c r="CM143" i="3"/>
  <c r="CP143" i="3"/>
  <c r="CQ143" i="3"/>
  <c r="CR143" i="3"/>
  <c r="CU143" i="3"/>
  <c r="CV143" i="3"/>
  <c r="CW143" i="3"/>
  <c r="BT147" i="3"/>
  <c r="BY147" i="3"/>
  <c r="CD147" i="3"/>
  <c r="CI147" i="3"/>
  <c r="CN147" i="3"/>
  <c r="CS147" i="3"/>
  <c r="BO157" i="3"/>
  <c r="BP157" i="3"/>
  <c r="BQ157" i="3"/>
  <c r="BR157" i="3"/>
  <c r="BS157" i="3"/>
  <c r="BT157" i="3"/>
  <c r="BU157" i="3"/>
  <c r="BV157" i="3"/>
  <c r="BW157" i="3"/>
  <c r="BX157" i="3"/>
  <c r="BY157" i="3"/>
  <c r="BZ157" i="3"/>
  <c r="CA157" i="3"/>
  <c r="CB157" i="3"/>
  <c r="CC157" i="3"/>
  <c r="CD157" i="3"/>
  <c r="CE157" i="3"/>
  <c r="CF157" i="3"/>
  <c r="CG157" i="3"/>
  <c r="CH157" i="3"/>
  <c r="CI157" i="3"/>
  <c r="CJ157" i="3"/>
  <c r="CK157" i="3"/>
  <c r="CL157" i="3"/>
  <c r="CM157" i="3"/>
  <c r="CN157" i="3"/>
  <c r="CO157" i="3"/>
  <c r="CP157" i="3"/>
  <c r="CQ157" i="3"/>
  <c r="CR157" i="3"/>
  <c r="CS157" i="3"/>
  <c r="CT157" i="3"/>
  <c r="CU157" i="3"/>
  <c r="CV157" i="3"/>
  <c r="CW157" i="3"/>
  <c r="CX157" i="3"/>
  <c r="CY157" i="3"/>
  <c r="CZ157" i="3"/>
  <c r="DA157" i="3"/>
  <c r="DB157" i="3"/>
  <c r="DC157" i="3"/>
  <c r="DD157" i="3"/>
  <c r="DE157" i="3"/>
  <c r="DF157" i="3"/>
  <c r="DG157" i="3"/>
  <c r="DH157" i="3"/>
  <c r="DI157" i="3"/>
  <c r="DJ157" i="3"/>
  <c r="DK157" i="3"/>
  <c r="DL157" i="3"/>
  <c r="DM157" i="3"/>
  <c r="DN157" i="3"/>
  <c r="DO157" i="3"/>
  <c r="DP157" i="3"/>
  <c r="DQ157" i="3"/>
  <c r="DR157" i="3"/>
  <c r="DS157" i="3"/>
  <c r="DT157" i="3"/>
  <c r="DU157" i="3"/>
  <c r="DV157" i="3"/>
  <c r="DW157" i="3"/>
  <c r="DX157" i="3"/>
  <c r="DY157" i="3"/>
  <c r="DZ157" i="3"/>
  <c r="EA157" i="3"/>
  <c r="EB157" i="3"/>
  <c r="BO161" i="3"/>
  <c r="BP161" i="3"/>
  <c r="BQ161" i="3"/>
  <c r="BR161" i="3"/>
  <c r="BS161" i="3"/>
  <c r="BT161" i="3"/>
  <c r="BU161" i="3"/>
  <c r="BV161" i="3"/>
  <c r="BW161" i="3"/>
  <c r="BX161" i="3"/>
  <c r="BY161" i="3"/>
  <c r="BZ161" i="3"/>
  <c r="CA161" i="3"/>
  <c r="CB161" i="3"/>
  <c r="CC161" i="3"/>
  <c r="CD161" i="3"/>
  <c r="CE161" i="3"/>
  <c r="CF161" i="3"/>
  <c r="CG161" i="3"/>
  <c r="CH161" i="3"/>
  <c r="CI161" i="3"/>
  <c r="CJ161" i="3"/>
  <c r="CK161" i="3"/>
  <c r="CL161" i="3"/>
  <c r="CM161" i="3"/>
  <c r="CN161" i="3"/>
  <c r="CO161" i="3"/>
  <c r="CP161" i="3"/>
  <c r="CQ161" i="3"/>
  <c r="CR161" i="3"/>
  <c r="CS161" i="3"/>
  <c r="CT161" i="3"/>
  <c r="CU161" i="3"/>
  <c r="CV161" i="3"/>
  <c r="CW161" i="3"/>
  <c r="CX161" i="3"/>
  <c r="CY161" i="3"/>
  <c r="CZ161" i="3"/>
  <c r="DA161" i="3"/>
  <c r="DB161" i="3"/>
  <c r="DC161" i="3"/>
  <c r="DD161" i="3"/>
  <c r="DE161" i="3"/>
  <c r="DF161" i="3"/>
  <c r="DG161" i="3"/>
  <c r="DH161" i="3"/>
  <c r="DI161" i="3"/>
  <c r="DJ161" i="3"/>
  <c r="DK161" i="3"/>
  <c r="DL161" i="3"/>
  <c r="DM161" i="3"/>
  <c r="DN161" i="3"/>
  <c r="DO161" i="3"/>
  <c r="DP161" i="3"/>
  <c r="DQ161" i="3"/>
  <c r="DR161" i="3"/>
  <c r="DS161" i="3"/>
  <c r="DT161" i="3"/>
  <c r="DU161" i="3"/>
  <c r="DV161" i="3"/>
  <c r="DW161" i="3"/>
  <c r="DX161" i="3"/>
  <c r="DY161" i="3"/>
  <c r="DZ161" i="3"/>
  <c r="EA161" i="3"/>
  <c r="EB161" i="3"/>
  <c r="BO166" i="3"/>
  <c r="BP166" i="3"/>
  <c r="BQ166" i="3"/>
  <c r="BR166" i="3"/>
  <c r="BS166" i="3"/>
  <c r="BT166" i="3"/>
  <c r="BU166" i="3"/>
  <c r="BV166" i="3"/>
  <c r="BW166" i="3"/>
  <c r="BX166" i="3"/>
  <c r="BY166" i="3"/>
  <c r="BZ166" i="3"/>
  <c r="CA166" i="3"/>
  <c r="CB166" i="3"/>
  <c r="CC166" i="3"/>
  <c r="CD166" i="3"/>
  <c r="CE166" i="3"/>
  <c r="CF166" i="3"/>
  <c r="CG166" i="3"/>
  <c r="CH166" i="3"/>
  <c r="CI166" i="3"/>
  <c r="CJ166" i="3"/>
  <c r="CK166" i="3"/>
  <c r="CL166" i="3"/>
  <c r="CM166" i="3"/>
  <c r="CN166" i="3"/>
  <c r="CO166" i="3"/>
  <c r="CP166" i="3"/>
  <c r="CQ166" i="3"/>
  <c r="CR166" i="3"/>
  <c r="CS166" i="3"/>
  <c r="CT166" i="3"/>
  <c r="CU166" i="3"/>
  <c r="CV166" i="3"/>
  <c r="CW166" i="3"/>
  <c r="CX166" i="3"/>
  <c r="CY166" i="3"/>
  <c r="CZ166" i="3"/>
  <c r="DA166" i="3"/>
  <c r="DB166" i="3"/>
  <c r="DC166" i="3"/>
  <c r="DD166" i="3"/>
  <c r="DE166" i="3"/>
  <c r="DF166" i="3"/>
  <c r="DG166" i="3"/>
  <c r="DH166" i="3"/>
  <c r="DI166" i="3"/>
  <c r="DJ166" i="3"/>
  <c r="DK166" i="3"/>
  <c r="DL166" i="3"/>
  <c r="DM166" i="3"/>
  <c r="DN166" i="3"/>
  <c r="DO166" i="3"/>
  <c r="DP166" i="3"/>
  <c r="DQ166" i="3"/>
  <c r="DR166" i="3"/>
  <c r="DS166" i="3"/>
  <c r="DT166" i="3"/>
  <c r="DU166" i="3"/>
  <c r="DV166" i="3"/>
  <c r="DW166" i="3"/>
  <c r="DX166" i="3"/>
  <c r="DY166" i="3"/>
  <c r="DZ166" i="3"/>
  <c r="EA166" i="3"/>
  <c r="EB166" i="3"/>
  <c r="AK9" i="2"/>
  <c r="G10" i="2"/>
  <c r="I10" i="2"/>
  <c r="I17" i="2" s="1"/>
  <c r="M10" i="2"/>
  <c r="M17" i="2" s="1"/>
  <c r="N10" i="2"/>
  <c r="O10" i="2"/>
  <c r="O17" i="2" s="1"/>
  <c r="O61" i="2" s="1"/>
  <c r="S10" i="2"/>
  <c r="S17" i="2" s="1"/>
  <c r="AA10" i="2"/>
  <c r="AF10" i="2"/>
  <c r="AK10" i="2"/>
  <c r="AP10" i="2"/>
  <c r="AU10" i="2"/>
  <c r="AZ10" i="2"/>
  <c r="EL10" i="2" s="1"/>
  <c r="BE10" i="2"/>
  <c r="BJ10" i="2"/>
  <c r="BO10" i="2"/>
  <c r="BT10" i="2"/>
  <c r="BY10" i="2"/>
  <c r="CD10" i="2"/>
  <c r="CI10" i="2"/>
  <c r="CN10" i="2"/>
  <c r="CS10" i="2"/>
  <c r="CX10" i="2"/>
  <c r="EN10" i="2"/>
  <c r="EO10" i="2"/>
  <c r="EP10" i="2"/>
  <c r="EQ10" i="2"/>
  <c r="ER10" i="2"/>
  <c r="ES10" i="2"/>
  <c r="ET10" i="2"/>
  <c r="EU10" i="2"/>
  <c r="EV10" i="2"/>
  <c r="AP11" i="2"/>
  <c r="AU11" i="2"/>
  <c r="AZ11" i="2"/>
  <c r="BE11" i="2"/>
  <c r="BJ11" i="2"/>
  <c r="BO11" i="2"/>
  <c r="BT11" i="2"/>
  <c r="BY11" i="2"/>
  <c r="CD11" i="2"/>
  <c r="CF11" i="2"/>
  <c r="EN11" i="2"/>
  <c r="EO11" i="2"/>
  <c r="EP11" i="2"/>
  <c r="EQ11" i="2"/>
  <c r="ER11" i="2"/>
  <c r="ES11" i="2"/>
  <c r="EU11" i="2"/>
  <c r="EV11" i="2"/>
  <c r="EW11" i="2"/>
  <c r="EX11" i="2"/>
  <c r="EY11" i="2"/>
  <c r="EZ11" i="2"/>
  <c r="FA11" i="2"/>
  <c r="FB11" i="2"/>
  <c r="AP12" i="2"/>
  <c r="AU12" i="2"/>
  <c r="AZ12" i="2"/>
  <c r="BE12" i="2"/>
  <c r="BJ12" i="2"/>
  <c r="BO12" i="2"/>
  <c r="BT12" i="2"/>
  <c r="BY12" i="2"/>
  <c r="CD12" i="2"/>
  <c r="CF12" i="2"/>
  <c r="EN12" i="2"/>
  <c r="EO12" i="2"/>
  <c r="EP12" i="2"/>
  <c r="EQ12" i="2"/>
  <c r="ER12" i="2"/>
  <c r="ES12" i="2"/>
  <c r="EU12" i="2"/>
  <c r="EV12" i="2"/>
  <c r="EW12" i="2"/>
  <c r="EX12" i="2"/>
  <c r="EY12" i="2"/>
  <c r="EZ12" i="2"/>
  <c r="FA12" i="2"/>
  <c r="FB12" i="2"/>
  <c r="BT13" i="2"/>
  <c r="BY13" i="2"/>
  <c r="CD13" i="2"/>
  <c r="CI13" i="2"/>
  <c r="CN13" i="2"/>
  <c r="CS13" i="2"/>
  <c r="CX13" i="2"/>
  <c r="ET13" i="2"/>
  <c r="EU13" i="2"/>
  <c r="EV13" i="2"/>
  <c r="BT14" i="2"/>
  <c r="BY14" i="2"/>
  <c r="CD14" i="2"/>
  <c r="CI14" i="2"/>
  <c r="CN14" i="2"/>
  <c r="CS14" i="2"/>
  <c r="CX14" i="2"/>
  <c r="ET14" i="2"/>
  <c r="EU14" i="2"/>
  <c r="EV14" i="2"/>
  <c r="G15" i="2"/>
  <c r="L15" i="2"/>
  <c r="Q15" i="2"/>
  <c r="AA15" i="2"/>
  <c r="AB15" i="2"/>
  <c r="AC15" i="2"/>
  <c r="AC60" i="2" s="1"/>
  <c r="AD15" i="2"/>
  <c r="AI72" i="2" s="1"/>
  <c r="AE15" i="2"/>
  <c r="AK15" i="2"/>
  <c r="AL15" i="2"/>
  <c r="AL60" i="2" s="1"/>
  <c r="AM15" i="2"/>
  <c r="AN15" i="2"/>
  <c r="AO15" i="2"/>
  <c r="AO72" i="2" s="1"/>
  <c r="AQ15" i="2"/>
  <c r="AR15" i="2"/>
  <c r="AR17" i="2" s="1"/>
  <c r="AS15" i="2"/>
  <c r="AT15" i="2"/>
  <c r="AT60" i="2" s="1"/>
  <c r="AV15" i="2"/>
  <c r="AW15" i="2"/>
  <c r="AX15" i="2"/>
  <c r="AX60" i="2" s="1"/>
  <c r="AY15" i="2"/>
  <c r="BA15" i="2"/>
  <c r="BB15" i="2"/>
  <c r="BB60" i="2" s="1"/>
  <c r="BC15" i="2"/>
  <c r="BD15" i="2"/>
  <c r="BD60" i="2" s="1"/>
  <c r="BF15" i="2"/>
  <c r="BF60" i="2" s="1"/>
  <c r="BG15" i="2"/>
  <c r="BH15" i="2"/>
  <c r="BI15" i="2"/>
  <c r="BK15" i="2"/>
  <c r="BL15" i="2"/>
  <c r="BL72" i="2" s="1"/>
  <c r="BM15" i="2"/>
  <c r="BN15" i="2"/>
  <c r="BN60" i="2" s="1"/>
  <c r="BP15" i="2"/>
  <c r="BQ15" i="2"/>
  <c r="BR15" i="2"/>
  <c r="BS15" i="2"/>
  <c r="BU15" i="2"/>
  <c r="BV15" i="2"/>
  <c r="BV60" i="2" s="1"/>
  <c r="BW15" i="2"/>
  <c r="BW60" i="2" s="1"/>
  <c r="BX15" i="2"/>
  <c r="BZ15" i="2"/>
  <c r="CA15" i="2"/>
  <c r="CA60" i="2" s="1"/>
  <c r="CB15" i="2"/>
  <c r="CC15" i="2"/>
  <c r="CE15" i="2"/>
  <c r="CF15" i="2"/>
  <c r="CG15" i="2"/>
  <c r="CH15" i="2"/>
  <c r="CJ15" i="2"/>
  <c r="CK15" i="2"/>
  <c r="CL15" i="2"/>
  <c r="CL60" i="2" s="1"/>
  <c r="CM15" i="2"/>
  <c r="CM60" i="2" s="1"/>
  <c r="CO15" i="2"/>
  <c r="CP15" i="2"/>
  <c r="CP60" i="2" s="1"/>
  <c r="CQ15" i="2"/>
  <c r="CR15" i="2"/>
  <c r="CT15" i="2"/>
  <c r="CT60" i="2" s="1"/>
  <c r="CU15" i="2"/>
  <c r="CU60" i="2" s="1"/>
  <c r="CV15" i="2"/>
  <c r="CV72" i="2" s="1"/>
  <c r="CW15" i="2"/>
  <c r="CW72" i="2" s="1"/>
  <c r="G16" i="2"/>
  <c r="L16" i="2"/>
  <c r="Q16" i="2"/>
  <c r="V16" i="2"/>
  <c r="C17" i="2"/>
  <c r="D17" i="2"/>
  <c r="E17" i="2"/>
  <c r="F17" i="2"/>
  <c r="H17" i="2"/>
  <c r="H61" i="2" s="1"/>
  <c r="J17" i="2"/>
  <c r="K17" i="2"/>
  <c r="K58" i="2" s="1"/>
  <c r="P17" i="2"/>
  <c r="R17" i="2"/>
  <c r="T17" i="2"/>
  <c r="U17" i="2"/>
  <c r="V17" i="2"/>
  <c r="W17" i="2"/>
  <c r="W58" i="2" s="1"/>
  <c r="X17" i="2"/>
  <c r="X61" i="2" s="1"/>
  <c r="Y17" i="2"/>
  <c r="Z17" i="2"/>
  <c r="AG17" i="2"/>
  <c r="AG29" i="2" s="1"/>
  <c r="AH17" i="2"/>
  <c r="AI17" i="2"/>
  <c r="AI58" i="2" s="1"/>
  <c r="AJ17" i="2"/>
  <c r="EU19" i="2"/>
  <c r="EV19" i="2"/>
  <c r="EW19" i="2"/>
  <c r="EX19" i="2"/>
  <c r="EY19" i="2"/>
  <c r="EZ19" i="2"/>
  <c r="FA19" i="2"/>
  <c r="FB19" i="2"/>
  <c r="FH19" i="2"/>
  <c r="FH20" i="2"/>
  <c r="G21" i="2"/>
  <c r="L21" i="2"/>
  <c r="N21" i="2"/>
  <c r="V21" i="2"/>
  <c r="AA21" i="2"/>
  <c r="AF21" i="2"/>
  <c r="AK21" i="2"/>
  <c r="AP21" i="2"/>
  <c r="AU21" i="2"/>
  <c r="AZ21" i="2"/>
  <c r="BE21" i="2"/>
  <c r="BJ21" i="2"/>
  <c r="BO21" i="2"/>
  <c r="BT21" i="2"/>
  <c r="BY21" i="2"/>
  <c r="CD21" i="2"/>
  <c r="CI21" i="2"/>
  <c r="CN21" i="2"/>
  <c r="CS21" i="2"/>
  <c r="CX21" i="2"/>
  <c r="EG21" i="2"/>
  <c r="EH21" i="2"/>
  <c r="EI21" i="2"/>
  <c r="EJ21" i="2"/>
  <c r="EK21" i="2"/>
  <c r="EL21" i="2"/>
  <c r="EM21" i="2"/>
  <c r="EN21" i="2"/>
  <c r="EO21" i="2"/>
  <c r="EP21" i="2"/>
  <c r="EQ21" i="2"/>
  <c r="ER21" i="2"/>
  <c r="ES21" i="2"/>
  <c r="ET21" i="2"/>
  <c r="EU21" i="2"/>
  <c r="EV21" i="2"/>
  <c r="G22" i="2"/>
  <c r="L22" i="2"/>
  <c r="Q22" i="2"/>
  <c r="V22" i="2"/>
  <c r="AA22" i="2"/>
  <c r="AF22" i="2"/>
  <c r="AZ22" i="2"/>
  <c r="BE22" i="2"/>
  <c r="BJ22" i="2"/>
  <c r="BO22" i="2"/>
  <c r="BT22" i="2"/>
  <c r="BU22" i="2"/>
  <c r="BY22" i="2" s="1"/>
  <c r="CD22" i="2"/>
  <c r="CI22" i="2"/>
  <c r="CN22" i="2"/>
  <c r="CS22" i="2"/>
  <c r="CX22" i="2"/>
  <c r="EG22" i="2"/>
  <c r="EH22" i="2"/>
  <c r="EI22" i="2"/>
  <c r="EJ22" i="2"/>
  <c r="EK22" i="2"/>
  <c r="EL22" i="2"/>
  <c r="EM22" i="2"/>
  <c r="EN22" i="2"/>
  <c r="EO22" i="2"/>
  <c r="EP22" i="2"/>
  <c r="EQ22" i="2"/>
  <c r="ER22" i="2"/>
  <c r="ES22" i="2"/>
  <c r="ET22" i="2"/>
  <c r="EU22" i="2"/>
  <c r="EV22" i="2"/>
  <c r="L23" i="2"/>
  <c r="Q23" i="2"/>
  <c r="V23" i="2"/>
  <c r="W23" i="2"/>
  <c r="X23" i="2"/>
  <c r="Y23" i="2"/>
  <c r="Y60" i="2" s="1"/>
  <c r="Z23" i="2"/>
  <c r="AF23" i="2"/>
  <c r="AZ23" i="2"/>
  <c r="BE23" i="2"/>
  <c r="BJ23" i="2"/>
  <c r="BO23" i="2"/>
  <c r="BT23" i="2"/>
  <c r="BY23" i="2"/>
  <c r="CD23" i="2"/>
  <c r="CI23" i="2"/>
  <c r="CN23" i="2"/>
  <c r="CS23" i="2"/>
  <c r="CX23" i="2"/>
  <c r="EG23" i="2"/>
  <c r="EI23" i="2"/>
  <c r="EJ23" i="2"/>
  <c r="EK23" i="2"/>
  <c r="EL23" i="2"/>
  <c r="EM23" i="2"/>
  <c r="EN23" i="2"/>
  <c r="EO23" i="2"/>
  <c r="EP23" i="2"/>
  <c r="EQ23" i="2"/>
  <c r="ER23" i="2"/>
  <c r="ES23" i="2"/>
  <c r="ET23" i="2"/>
  <c r="EU23" i="2"/>
  <c r="EV23" i="2"/>
  <c r="E24" i="2"/>
  <c r="Q24" i="2"/>
  <c r="V24" i="2"/>
  <c r="AA24" i="2"/>
  <c r="AF24" i="2"/>
  <c r="AZ24" i="2"/>
  <c r="BE24" i="2"/>
  <c r="BJ24" i="2"/>
  <c r="BO24" i="2"/>
  <c r="BT24" i="2"/>
  <c r="BY24" i="2"/>
  <c r="CD24" i="2"/>
  <c r="CI24" i="2"/>
  <c r="CN24" i="2"/>
  <c r="CS24" i="2"/>
  <c r="CX24" i="2"/>
  <c r="EG24" i="2"/>
  <c r="EH24" i="2"/>
  <c r="EI24" i="2"/>
  <c r="EJ24" i="2"/>
  <c r="EK24" i="2"/>
  <c r="EL24" i="2"/>
  <c r="EM24" i="2"/>
  <c r="EN24" i="2"/>
  <c r="EO24" i="2"/>
  <c r="EP24" i="2"/>
  <c r="EQ24" i="2"/>
  <c r="ER24" i="2"/>
  <c r="ES24" i="2"/>
  <c r="ET24" i="2"/>
  <c r="EU24" i="2"/>
  <c r="EV24" i="2"/>
  <c r="G25" i="2"/>
  <c r="Q25" i="2"/>
  <c r="V25" i="2"/>
  <c r="AA25" i="2"/>
  <c r="AF25" i="2"/>
  <c r="AM25" i="2"/>
  <c r="AZ25" i="2"/>
  <c r="BE25" i="2"/>
  <c r="BF25" i="2"/>
  <c r="BJ25" i="2" s="1"/>
  <c r="BK25" i="2"/>
  <c r="BM163" i="2" s="1"/>
  <c r="BT25" i="2"/>
  <c r="BY25" i="2"/>
  <c r="CD25" i="2"/>
  <c r="CI25" i="2"/>
  <c r="CN25" i="2"/>
  <c r="CN127" i="2" s="1"/>
  <c r="CN133" i="2" s="1"/>
  <c r="CS25" i="2"/>
  <c r="CS127" i="2" s="1"/>
  <c r="CS133" i="2" s="1"/>
  <c r="CX25" i="2"/>
  <c r="CX127" i="2" s="1"/>
  <c r="CX133" i="2" s="1"/>
  <c r="EG25" i="2"/>
  <c r="EH25" i="2"/>
  <c r="EI25" i="2"/>
  <c r="EJ25" i="2"/>
  <c r="EL25" i="2"/>
  <c r="EM25" i="2"/>
  <c r="EP25" i="2"/>
  <c r="EQ25" i="2"/>
  <c r="ER25" i="2"/>
  <c r="ES25" i="2"/>
  <c r="ET25" i="2"/>
  <c r="EU25" i="2"/>
  <c r="EV25" i="2"/>
  <c r="BT26" i="2"/>
  <c r="BY26" i="2"/>
  <c r="CD26" i="2"/>
  <c r="CI26" i="2"/>
  <c r="CN26" i="2"/>
  <c r="CS26" i="2"/>
  <c r="CX26" i="2"/>
  <c r="EQ26" i="2"/>
  <c r="ER26" i="2"/>
  <c r="ES26" i="2"/>
  <c r="ET26" i="2"/>
  <c r="EU26" i="2"/>
  <c r="EV26" i="2"/>
  <c r="AA27" i="2"/>
  <c r="AF27" i="2"/>
  <c r="AL27" i="2"/>
  <c r="AM27" i="2"/>
  <c r="AN27" i="2"/>
  <c r="AO27" i="2"/>
  <c r="AS27" i="2"/>
  <c r="BJ27" i="2"/>
  <c r="BO27" i="2"/>
  <c r="BT27" i="2"/>
  <c r="BY27" i="2"/>
  <c r="CD27" i="2"/>
  <c r="CI27" i="2"/>
  <c r="CN27" i="2"/>
  <c r="CS27" i="2"/>
  <c r="CX27" i="2"/>
  <c r="EM27" i="2"/>
  <c r="EN27" i="2"/>
  <c r="EO27" i="2"/>
  <c r="EP27" i="2"/>
  <c r="EQ27" i="2"/>
  <c r="ER27" i="2"/>
  <c r="ES27" i="2"/>
  <c r="ET27" i="2"/>
  <c r="EU27" i="2"/>
  <c r="EV27" i="2"/>
  <c r="B30" i="2"/>
  <c r="B31" i="2"/>
  <c r="BT33" i="2"/>
  <c r="BY33" i="2"/>
  <c r="CD33" i="2"/>
  <c r="CI33" i="2"/>
  <c r="CN33" i="2"/>
  <c r="CS33" i="2"/>
  <c r="CX33" i="2"/>
  <c r="ES33" i="2"/>
  <c r="ET33" i="2"/>
  <c r="EU33" i="2"/>
  <c r="EV33" i="2"/>
  <c r="BT34" i="2"/>
  <c r="BY34" i="2"/>
  <c r="CD34" i="2"/>
  <c r="CI34" i="2"/>
  <c r="CN34" i="2"/>
  <c r="CS34" i="2"/>
  <c r="CX34" i="2"/>
  <c r="ES34" i="2"/>
  <c r="ET34" i="2"/>
  <c r="EU34" i="2"/>
  <c r="EV34" i="2"/>
  <c r="C35" i="2"/>
  <c r="D35" i="2"/>
  <c r="E35" i="2"/>
  <c r="F35" i="2"/>
  <c r="G35" i="2"/>
  <c r="H35" i="2"/>
  <c r="I35" i="2"/>
  <c r="J35" i="2"/>
  <c r="K35" i="2"/>
  <c r="M35" i="2"/>
  <c r="N35" i="2"/>
  <c r="O35" i="2"/>
  <c r="P35" i="2"/>
  <c r="R35" i="2"/>
  <c r="S35" i="2"/>
  <c r="T35" i="2"/>
  <c r="W35" i="2"/>
  <c r="X35" i="2"/>
  <c r="Y35" i="2"/>
  <c r="Z35" i="2"/>
  <c r="AB35" i="2"/>
  <c r="AC35" i="2"/>
  <c r="AD35" i="2"/>
  <c r="AP35" i="2"/>
  <c r="AU35" i="2"/>
  <c r="AZ35" i="2"/>
  <c r="BE35" i="2"/>
  <c r="BJ35" i="2"/>
  <c r="BK35" i="2"/>
  <c r="BP35" i="2"/>
  <c r="BQ35" i="2"/>
  <c r="BR35" i="2"/>
  <c r="BS35" i="2"/>
  <c r="BU35" i="2"/>
  <c r="BV35" i="2"/>
  <c r="BW35" i="2"/>
  <c r="BX35" i="2"/>
  <c r="BZ35" i="2"/>
  <c r="CA35" i="2"/>
  <c r="CB35" i="2"/>
  <c r="CC35" i="2"/>
  <c r="CE35" i="2"/>
  <c r="CF35" i="2"/>
  <c r="CG35" i="2"/>
  <c r="CH35" i="2"/>
  <c r="CJ35" i="2"/>
  <c r="CK35" i="2"/>
  <c r="CL35" i="2"/>
  <c r="CM35" i="2"/>
  <c r="CO35" i="2"/>
  <c r="CP35" i="2"/>
  <c r="CQ35" i="2"/>
  <c r="CR35" i="2"/>
  <c r="CT35" i="2"/>
  <c r="CU35" i="2"/>
  <c r="CV35" i="2"/>
  <c r="CW35" i="2"/>
  <c r="EJ35" i="2"/>
  <c r="EK35" i="2"/>
  <c r="EL35" i="2"/>
  <c r="EM35" i="2"/>
  <c r="EN35" i="2"/>
  <c r="ER36" i="2"/>
  <c r="ES36" i="2"/>
  <c r="ET36" i="2"/>
  <c r="EU36" i="2"/>
  <c r="EV36" i="2"/>
  <c r="EW36" i="2"/>
  <c r="EX36" i="2"/>
  <c r="EY36" i="2"/>
  <c r="EZ36" i="2"/>
  <c r="FA36" i="2"/>
  <c r="FG36" i="2"/>
  <c r="ER38" i="2"/>
  <c r="ES38" i="2"/>
  <c r="ET38" i="2"/>
  <c r="EU38" i="2"/>
  <c r="EV38" i="2"/>
  <c r="EX38" i="2"/>
  <c r="EY38" i="2"/>
  <c r="EZ38" i="2"/>
  <c r="FA38" i="2"/>
  <c r="G40" i="2"/>
  <c r="N40" i="2"/>
  <c r="S40" i="2"/>
  <c r="AA40" i="2"/>
  <c r="AF40" i="2"/>
  <c r="AS40" i="2"/>
  <c r="AZ40" i="2"/>
  <c r="BE40" i="2"/>
  <c r="BJ40" i="2"/>
  <c r="BO40" i="2"/>
  <c r="BT40" i="2"/>
  <c r="BY40" i="2"/>
  <c r="CD40" i="2"/>
  <c r="CI40" i="2"/>
  <c r="CN40" i="2"/>
  <c r="CR40" i="2"/>
  <c r="CS40" i="2" s="1"/>
  <c r="CX40" i="2"/>
  <c r="EH40" i="2"/>
  <c r="EI40" i="2"/>
  <c r="EM40" i="2"/>
  <c r="EN40" i="2"/>
  <c r="EO40" i="2"/>
  <c r="EP40" i="2"/>
  <c r="EQ40" i="2"/>
  <c r="ER40" i="2"/>
  <c r="ES40" i="2"/>
  <c r="ET40" i="2"/>
  <c r="EU40" i="2"/>
  <c r="Q41" i="2"/>
  <c r="BJ42" i="2"/>
  <c r="EQ42" i="2"/>
  <c r="ER42" i="2"/>
  <c r="ES42" i="2"/>
  <c r="ET42" i="2"/>
  <c r="EU42" i="2"/>
  <c r="EV42" i="2"/>
  <c r="EW42" i="2"/>
  <c r="EY42" i="2"/>
  <c r="EZ42" i="2"/>
  <c r="FA42" i="2"/>
  <c r="FG42" i="2"/>
  <c r="BY43" i="2"/>
  <c r="CD43" i="2"/>
  <c r="CI43" i="2"/>
  <c r="CN43" i="2"/>
  <c r="ER43" i="2"/>
  <c r="ES43" i="2"/>
  <c r="ET43" i="2"/>
  <c r="EU43" i="2"/>
  <c r="EV43" i="2"/>
  <c r="EW43" i="2"/>
  <c r="EY43" i="2"/>
  <c r="EZ43" i="2"/>
  <c r="FA43" i="2"/>
  <c r="BR45" i="2"/>
  <c r="BU45" i="2"/>
  <c r="BX45" i="2"/>
  <c r="CN45" i="2"/>
  <c r="CR45" i="2"/>
  <c r="CS45" i="2" s="1"/>
  <c r="CW45" i="2"/>
  <c r="EU45" i="2"/>
  <c r="AY51" i="2"/>
  <c r="AZ51" i="2"/>
  <c r="BA51" i="2"/>
  <c r="BD51" i="2"/>
  <c r="BE51" i="2"/>
  <c r="BF51" i="2"/>
  <c r="BG51" i="2"/>
  <c r="BH51" i="2"/>
  <c r="BI51" i="2"/>
  <c r="FG51" i="2"/>
  <c r="BI52" i="2"/>
  <c r="BK52" i="2"/>
  <c r="BL52" i="2"/>
  <c r="BM52" i="2"/>
  <c r="BN52" i="2"/>
  <c r="BP52" i="2"/>
  <c r="BQ52" i="2"/>
  <c r="BS52" i="2"/>
  <c r="BV52" i="2"/>
  <c r="BW52" i="2"/>
  <c r="BZ52" i="2"/>
  <c r="CA52" i="2"/>
  <c r="CB52" i="2"/>
  <c r="CH52" i="2"/>
  <c r="CJ52" i="2"/>
  <c r="CK52" i="2"/>
  <c r="CL52" i="2"/>
  <c r="CM52" i="2"/>
  <c r="CO52" i="2"/>
  <c r="CP52" i="2"/>
  <c r="CQ52" i="2"/>
  <c r="CV52" i="2"/>
  <c r="EK54" i="2"/>
  <c r="EG54" i="2"/>
  <c r="EJ54" i="2"/>
  <c r="EO54" i="2"/>
  <c r="EP54" i="2"/>
  <c r="EQ54" i="2"/>
  <c r="ER54" i="2"/>
  <c r="ES54" i="2"/>
  <c r="ET54" i="2"/>
  <c r="EU54" i="2"/>
  <c r="EV54" i="2"/>
  <c r="BC55" i="2"/>
  <c r="B58" i="2"/>
  <c r="H59" i="2"/>
  <c r="J59" i="2"/>
  <c r="K59" i="2"/>
  <c r="P59" i="2"/>
  <c r="R59" i="2"/>
  <c r="T59" i="2"/>
  <c r="U59" i="2"/>
  <c r="W59" i="2"/>
  <c r="X59" i="2"/>
  <c r="Y59" i="2"/>
  <c r="Z59" i="2"/>
  <c r="AB59" i="2"/>
  <c r="AC59" i="2"/>
  <c r="AD59" i="2"/>
  <c r="AE59" i="2"/>
  <c r="AG59" i="2"/>
  <c r="AH59" i="2"/>
  <c r="AI59" i="2"/>
  <c r="AJ59" i="2"/>
  <c r="AL59" i="2"/>
  <c r="AM59" i="2"/>
  <c r="AN59" i="2"/>
  <c r="AO59" i="2"/>
  <c r="AQ59" i="2"/>
  <c r="AR59" i="2"/>
  <c r="AS59" i="2"/>
  <c r="AT59" i="2"/>
  <c r="AV59" i="2"/>
  <c r="AW59" i="2"/>
  <c r="AX59" i="2"/>
  <c r="AY59" i="2"/>
  <c r="BA59" i="2"/>
  <c r="BB59" i="2"/>
  <c r="BC59" i="2"/>
  <c r="BD59" i="2"/>
  <c r="BF59" i="2"/>
  <c r="BG59" i="2"/>
  <c r="BH59" i="2"/>
  <c r="BI59" i="2"/>
  <c r="BK59" i="2"/>
  <c r="BL59" i="2"/>
  <c r="BM59" i="2"/>
  <c r="BN59" i="2"/>
  <c r="BP59" i="2"/>
  <c r="BQ59" i="2"/>
  <c r="BR59" i="2"/>
  <c r="BS59" i="2"/>
  <c r="BV59" i="2"/>
  <c r="BW59" i="2"/>
  <c r="BX59" i="2"/>
  <c r="BZ59" i="2"/>
  <c r="CA59" i="2"/>
  <c r="CB59" i="2"/>
  <c r="CC59" i="2"/>
  <c r="CE59" i="2"/>
  <c r="CF59" i="2"/>
  <c r="CG59" i="2"/>
  <c r="CH59" i="2"/>
  <c r="CJ59" i="2"/>
  <c r="CK59" i="2"/>
  <c r="CL59" i="2"/>
  <c r="CM59" i="2"/>
  <c r="CO59" i="2"/>
  <c r="CP59" i="2"/>
  <c r="CQ59" i="2"/>
  <c r="CR59" i="2"/>
  <c r="CT59" i="2"/>
  <c r="CU59" i="2"/>
  <c r="B60" i="2"/>
  <c r="C60" i="2"/>
  <c r="D60" i="2"/>
  <c r="F60" i="2"/>
  <c r="H60" i="2"/>
  <c r="I60" i="2"/>
  <c r="J60" i="2"/>
  <c r="K60" i="2"/>
  <c r="M60" i="2"/>
  <c r="N60" i="2"/>
  <c r="O60" i="2"/>
  <c r="P60" i="2"/>
  <c r="R60" i="2"/>
  <c r="S60" i="2"/>
  <c r="T60" i="2"/>
  <c r="U60" i="2"/>
  <c r="AG60" i="2"/>
  <c r="AH60" i="2"/>
  <c r="AI60" i="2"/>
  <c r="AJ60" i="2"/>
  <c r="B61" i="2"/>
  <c r="B63" i="2"/>
  <c r="Q66" i="2"/>
  <c r="U69" i="2"/>
  <c r="W69" i="2"/>
  <c r="Y69" i="2"/>
  <c r="Z69" i="2"/>
  <c r="AB69" i="2"/>
  <c r="AC69" i="2"/>
  <c r="AD69" i="2"/>
  <c r="AE69" i="2"/>
  <c r="AG69" i="2"/>
  <c r="AH69" i="2"/>
  <c r="AI69" i="2"/>
  <c r="AJ69" i="2"/>
  <c r="AL69" i="2"/>
  <c r="AM69" i="2"/>
  <c r="AN69" i="2"/>
  <c r="AO69" i="2"/>
  <c r="AQ69" i="2"/>
  <c r="AR69" i="2"/>
  <c r="AS69" i="2"/>
  <c r="AT69" i="2"/>
  <c r="AV69" i="2"/>
  <c r="AW69" i="2"/>
  <c r="AX69" i="2"/>
  <c r="AY69" i="2"/>
  <c r="BA69" i="2"/>
  <c r="BB69" i="2"/>
  <c r="BC69" i="2"/>
  <c r="BD69" i="2"/>
  <c r="BF69" i="2"/>
  <c r="BG69" i="2"/>
  <c r="BH69" i="2"/>
  <c r="BI69" i="2"/>
  <c r="BK69" i="2"/>
  <c r="BL69" i="2"/>
  <c r="BM69" i="2"/>
  <c r="BN69" i="2"/>
  <c r="BP69" i="2"/>
  <c r="BQ69" i="2"/>
  <c r="BR69" i="2"/>
  <c r="BS69" i="2"/>
  <c r="BU69" i="2"/>
  <c r="BV69" i="2"/>
  <c r="BW69" i="2"/>
  <c r="BX69" i="2"/>
  <c r="BZ69" i="2"/>
  <c r="CA69" i="2"/>
  <c r="CB69" i="2"/>
  <c r="CC69" i="2"/>
  <c r="CE69" i="2"/>
  <c r="CF69" i="2"/>
  <c r="CG69" i="2"/>
  <c r="CH69" i="2"/>
  <c r="CJ69" i="2"/>
  <c r="CK69" i="2"/>
  <c r="CL69" i="2"/>
  <c r="CM69" i="2"/>
  <c r="CO69" i="2"/>
  <c r="CP69" i="2"/>
  <c r="CQ69" i="2"/>
  <c r="CR69" i="2"/>
  <c r="CT69" i="2"/>
  <c r="CU69" i="2"/>
  <c r="CV69" i="2"/>
  <c r="CW69" i="2"/>
  <c r="BU70" i="2"/>
  <c r="BV70" i="2"/>
  <c r="BW70" i="2"/>
  <c r="BX70" i="2"/>
  <c r="BZ70" i="2"/>
  <c r="CA70" i="2"/>
  <c r="CB70" i="2"/>
  <c r="CC70" i="2"/>
  <c r="CE70" i="2"/>
  <c r="CF70" i="2"/>
  <c r="CG70" i="2"/>
  <c r="CH70" i="2"/>
  <c r="CJ70" i="2"/>
  <c r="CK70" i="2"/>
  <c r="CL70" i="2"/>
  <c r="CM70" i="2"/>
  <c r="CO70" i="2"/>
  <c r="CP70" i="2"/>
  <c r="CQ70" i="2"/>
  <c r="CR70" i="2"/>
  <c r="CT70" i="2"/>
  <c r="CU70" i="2"/>
  <c r="CV70" i="2"/>
  <c r="CW70" i="2"/>
  <c r="BU71" i="2"/>
  <c r="BV71" i="2"/>
  <c r="BW71" i="2"/>
  <c r="BX71" i="2"/>
  <c r="BZ71" i="2"/>
  <c r="CA71" i="2"/>
  <c r="CB71" i="2"/>
  <c r="CC71" i="2"/>
  <c r="CE71" i="2"/>
  <c r="CF71" i="2"/>
  <c r="CG71" i="2"/>
  <c r="CH71" i="2"/>
  <c r="CJ71" i="2"/>
  <c r="CK71" i="2"/>
  <c r="CL71" i="2"/>
  <c r="CM71" i="2"/>
  <c r="CO71" i="2"/>
  <c r="CP71" i="2"/>
  <c r="CQ71" i="2"/>
  <c r="CR71" i="2"/>
  <c r="CT71" i="2"/>
  <c r="CU71" i="2"/>
  <c r="CV71" i="2"/>
  <c r="CW71" i="2"/>
  <c r="R72" i="2"/>
  <c r="S72" i="2"/>
  <c r="T72" i="2"/>
  <c r="U72" i="2"/>
  <c r="W72" i="2"/>
  <c r="X72" i="2"/>
  <c r="Y72" i="2"/>
  <c r="Z72" i="2"/>
  <c r="AZ75" i="2"/>
  <c r="BA75" i="2"/>
  <c r="BB75" i="2"/>
  <c r="BC75" i="2"/>
  <c r="BD75" i="2"/>
  <c r="BE75" i="2"/>
  <c r="BF75" i="2"/>
  <c r="BG75" i="2"/>
  <c r="BH75" i="2"/>
  <c r="BI75" i="2"/>
  <c r="BK75" i="2"/>
  <c r="BL75" i="2"/>
  <c r="BM75" i="2"/>
  <c r="BN75" i="2"/>
  <c r="BP75" i="2"/>
  <c r="BQ75" i="2"/>
  <c r="BR75" i="2"/>
  <c r="BS75" i="2"/>
  <c r="BU75" i="2"/>
  <c r="BV75" i="2"/>
  <c r="BW75" i="2"/>
  <c r="BX75" i="2"/>
  <c r="BZ75" i="2"/>
  <c r="CA75" i="2"/>
  <c r="CB75" i="2"/>
  <c r="CC75" i="2"/>
  <c r="CE75" i="2"/>
  <c r="CF75" i="2"/>
  <c r="CG75" i="2"/>
  <c r="CH75" i="2"/>
  <c r="CJ75" i="2"/>
  <c r="CK75" i="2"/>
  <c r="CL75" i="2"/>
  <c r="CM75" i="2"/>
  <c r="CO75" i="2"/>
  <c r="CP75" i="2"/>
  <c r="CQ75" i="2"/>
  <c r="CR75" i="2"/>
  <c r="CT75" i="2"/>
  <c r="CU75" i="2"/>
  <c r="CV75" i="2"/>
  <c r="CW75" i="2"/>
  <c r="BL76" i="2"/>
  <c r="BM76" i="2"/>
  <c r="BN76" i="2"/>
  <c r="BQ76" i="2"/>
  <c r="BR76" i="2"/>
  <c r="BS76" i="2"/>
  <c r="BU76" i="2"/>
  <c r="BV76" i="2"/>
  <c r="BW76" i="2"/>
  <c r="BX76" i="2"/>
  <c r="BZ76" i="2"/>
  <c r="CA76" i="2"/>
  <c r="CB76" i="2"/>
  <c r="CC76" i="2"/>
  <c r="CE76" i="2"/>
  <c r="CF76" i="2"/>
  <c r="CG76" i="2"/>
  <c r="CH76" i="2"/>
  <c r="CJ76" i="2"/>
  <c r="CK76" i="2"/>
  <c r="CL76" i="2"/>
  <c r="CM76" i="2"/>
  <c r="CO76" i="2"/>
  <c r="CP76" i="2"/>
  <c r="CQ76" i="2"/>
  <c r="CR76" i="2"/>
  <c r="CT76" i="2"/>
  <c r="CU76" i="2"/>
  <c r="CV76" i="2"/>
  <c r="CW76" i="2"/>
  <c r="CE92" i="2"/>
  <c r="CH93" i="2"/>
  <c r="ET88" i="2"/>
  <c r="ET89" i="2"/>
  <c r="J10" i="1"/>
  <c r="K10" i="1"/>
  <c r="N10" i="1"/>
  <c r="BA102" i="2"/>
  <c r="BB102" i="2"/>
  <c r="BC102" i="2"/>
  <c r="BD102" i="2"/>
  <c r="BF102" i="2"/>
  <c r="BG102" i="2"/>
  <c r="BH102" i="2"/>
  <c r="BI102" i="2"/>
  <c r="BK102" i="2"/>
  <c r="BL102" i="2"/>
  <c r="BM102" i="2"/>
  <c r="BN102" i="2"/>
  <c r="BP102" i="2"/>
  <c r="BQ102" i="2"/>
  <c r="BR102" i="2"/>
  <c r="BS102" i="2"/>
  <c r="BU102" i="2"/>
  <c r="BV102" i="2"/>
  <c r="BW102" i="2"/>
  <c r="BX102" i="2"/>
  <c r="BZ102" i="2"/>
  <c r="CA102" i="2"/>
  <c r="CB102" i="2"/>
  <c r="CC102" i="2"/>
  <c r="CE102" i="2"/>
  <c r="CF102" i="2"/>
  <c r="CG102" i="2"/>
  <c r="CH102" i="2"/>
  <c r="CJ102" i="2"/>
  <c r="CK102" i="2"/>
  <c r="CL102" i="2"/>
  <c r="CM102" i="2"/>
  <c r="CO102" i="2"/>
  <c r="CP102" i="2"/>
  <c r="CQ102" i="2"/>
  <c r="CR102" i="2"/>
  <c r="CT102" i="2"/>
  <c r="CU102" i="2"/>
  <c r="CV102" i="2"/>
  <c r="CW102" i="2"/>
  <c r="BA103" i="2"/>
  <c r="BB103" i="2"/>
  <c r="BC103" i="2"/>
  <c r="BD103" i="2"/>
  <c r="BE103" i="2"/>
  <c r="BF103" i="2"/>
  <c r="BG103" i="2"/>
  <c r="BH103" i="2"/>
  <c r="BI103" i="2"/>
  <c r="BJ103" i="2"/>
  <c r="BK103" i="2"/>
  <c r="BL103" i="2"/>
  <c r="BM103" i="2"/>
  <c r="BN103" i="2"/>
  <c r="BP103" i="2"/>
  <c r="BQ103" i="2"/>
  <c r="BR103" i="2"/>
  <c r="BS103" i="2"/>
  <c r="BU103" i="2"/>
  <c r="BV103" i="2"/>
  <c r="BW103" i="2"/>
  <c r="BY103" i="2"/>
  <c r="BZ103" i="2"/>
  <c r="CA103" i="2"/>
  <c r="CB103" i="2"/>
  <c r="CC103" i="2"/>
  <c r="CE103" i="2"/>
  <c r="CF103" i="2"/>
  <c r="CG103" i="2"/>
  <c r="CH103" i="2"/>
  <c r="CJ103" i="2"/>
  <c r="CK103" i="2"/>
  <c r="CL103" i="2"/>
  <c r="CM103" i="2"/>
  <c r="CO103" i="2"/>
  <c r="CP103" i="2"/>
  <c r="CQ103" i="2"/>
  <c r="CR103" i="2"/>
  <c r="CT103" i="2"/>
  <c r="CU103" i="2"/>
  <c r="CV103" i="2"/>
  <c r="CW103" i="2"/>
  <c r="AZ104" i="2"/>
  <c r="BA104" i="2"/>
  <c r="BB104" i="2"/>
  <c r="BC104" i="2"/>
  <c r="BD104" i="2"/>
  <c r="BE104" i="2"/>
  <c r="BF104" i="2"/>
  <c r="BG104" i="2"/>
  <c r="BH104" i="2"/>
  <c r="BI104" i="2"/>
  <c r="AZ107" i="2"/>
  <c r="BA107" i="2"/>
  <c r="BE107" i="2"/>
  <c r="BF107" i="2"/>
  <c r="BJ107" i="2"/>
  <c r="BK107" i="2"/>
  <c r="BO107" i="2"/>
  <c r="BP107" i="2"/>
  <c r="BT107" i="2"/>
  <c r="BU107" i="2"/>
  <c r="BY107" i="2"/>
  <c r="BZ107" i="2"/>
  <c r="CD107" i="2"/>
  <c r="CE107" i="2"/>
  <c r="CI107" i="2"/>
  <c r="CJ107" i="2"/>
  <c r="CN107" i="2"/>
  <c r="CO107" i="2"/>
  <c r="CS107" i="2"/>
  <c r="CT107" i="2"/>
  <c r="CX107" i="2"/>
  <c r="BF109" i="2"/>
  <c r="BG109" i="2"/>
  <c r="BH109" i="2"/>
  <c r="BI109" i="2"/>
  <c r="H113" i="2"/>
  <c r="L113" i="2" s="1"/>
  <c r="M113" i="2"/>
  <c r="Q113" i="2" s="1"/>
  <c r="R113" i="2"/>
  <c r="V113" i="2" s="1"/>
  <c r="W113" i="2"/>
  <c r="AA113" i="2" s="1"/>
  <c r="AB113" i="2"/>
  <c r="AF113" i="2" s="1"/>
  <c r="AG113" i="2"/>
  <c r="AK113" i="2" s="1"/>
  <c r="AL113" i="2"/>
  <c r="AP113" i="2" s="1"/>
  <c r="AQ113" i="2"/>
  <c r="AU113" i="2" s="1"/>
  <c r="AV113" i="2"/>
  <c r="AZ113" i="2" s="1"/>
  <c r="BA113" i="2"/>
  <c r="BF113" i="2"/>
  <c r="BJ113" i="2" s="1"/>
  <c r="BK113" i="2"/>
  <c r="BO113" i="2" s="1"/>
  <c r="BP113" i="2"/>
  <c r="BQ113" i="2"/>
  <c r="BR113" i="2"/>
  <c r="BS113" i="2"/>
  <c r="BU113" i="2"/>
  <c r="BY113" i="2" s="1"/>
  <c r="BZ113" i="2"/>
  <c r="CD113" i="2" s="1"/>
  <c r="CE113" i="2"/>
  <c r="CI113" i="2" s="1"/>
  <c r="CJ113" i="2"/>
  <c r="CN113" i="2" s="1"/>
  <c r="CO113" i="2"/>
  <c r="CS113" i="2" s="1"/>
  <c r="CT113" i="2"/>
  <c r="CX113" i="2" s="1"/>
  <c r="CY113" i="2"/>
  <c r="DC113" i="2" s="1"/>
  <c r="H114" i="2"/>
  <c r="I114" i="2"/>
  <c r="J114" i="2"/>
  <c r="K114" i="2"/>
  <c r="L114" i="2"/>
  <c r="Q114" i="2"/>
  <c r="AB114" i="2"/>
  <c r="AC114" i="2"/>
  <c r="AD114" i="2"/>
  <c r="AF114" i="2"/>
  <c r="AG114" i="2"/>
  <c r="AH114" i="2"/>
  <c r="AI114" i="2"/>
  <c r="AK114" i="2"/>
  <c r="AL114" i="2"/>
  <c r="AP114" i="2"/>
  <c r="AQ114" i="2"/>
  <c r="AU114" i="2"/>
  <c r="AV114" i="2"/>
  <c r="AZ114" i="2"/>
  <c r="BA114" i="2"/>
  <c r="BE114" i="2"/>
  <c r="BF114" i="2"/>
  <c r="BJ114" i="2"/>
  <c r="BK114" i="2"/>
  <c r="BO114" i="2"/>
  <c r="BP114" i="2"/>
  <c r="BT114" i="2"/>
  <c r="BU114" i="2"/>
  <c r="BV114" i="2"/>
  <c r="BW114" i="2"/>
  <c r="BY114" i="2"/>
  <c r="BZ114" i="2"/>
  <c r="CA114" i="2"/>
  <c r="CD114" i="2"/>
  <c r="CE114" i="2"/>
  <c r="CI114" i="2"/>
  <c r="CJ114" i="2"/>
  <c r="CN114" i="2"/>
  <c r="CO114" i="2"/>
  <c r="CS114" i="2"/>
  <c r="CT114" i="2"/>
  <c r="CX114" i="2"/>
  <c r="CY114" i="2"/>
  <c r="CZ114" i="2"/>
  <c r="DD114" i="2"/>
  <c r="DE114" i="2"/>
  <c r="DF114" i="2"/>
  <c r="DI114" i="2"/>
  <c r="DJ114" i="2"/>
  <c r="DK114" i="2"/>
  <c r="DL114" i="2"/>
  <c r="DN114" i="2"/>
  <c r="DO114" i="2"/>
  <c r="DP114" i="2"/>
  <c r="DQ114" i="2"/>
  <c r="DS114" i="2"/>
  <c r="DT114" i="2"/>
  <c r="DU114" i="2"/>
  <c r="DV114" i="2"/>
  <c r="DX114" i="2"/>
  <c r="DY114" i="2"/>
  <c r="DZ114" i="2"/>
  <c r="EA114" i="2"/>
  <c r="CF116" i="2"/>
  <c r="AW116" i="2"/>
  <c r="AX116" i="2"/>
  <c r="AY116" i="2"/>
  <c r="BA116" i="2"/>
  <c r="BB116" i="2"/>
  <c r="BC116" i="2"/>
  <c r="BD116" i="2"/>
  <c r="BF116" i="2"/>
  <c r="BG116" i="2"/>
  <c r="BH116" i="2"/>
  <c r="BI116" i="2"/>
  <c r="BK116" i="2"/>
  <c r="BL116" i="2"/>
  <c r="BM116" i="2"/>
  <c r="BN116" i="2"/>
  <c r="BP116" i="2"/>
  <c r="BQ116" i="2"/>
  <c r="BR116" i="2"/>
  <c r="BS116" i="2"/>
  <c r="BU116" i="2"/>
  <c r="BV116" i="2"/>
  <c r="BW116" i="2"/>
  <c r="BX116" i="2"/>
  <c r="BZ116" i="2"/>
  <c r="CA116" i="2"/>
  <c r="CB116" i="2"/>
  <c r="CC116" i="2"/>
  <c r="CE116" i="2"/>
  <c r="CJ116" i="2"/>
  <c r="CK116" i="2"/>
  <c r="CL116" i="2"/>
  <c r="CM116" i="2"/>
  <c r="CU116" i="2"/>
  <c r="CV116" i="2"/>
  <c r="CD116" i="2"/>
  <c r="BZ118" i="2"/>
  <c r="CE118" i="2"/>
  <c r="CJ118" i="2"/>
  <c r="CT118" i="2"/>
  <c r="AZ120" i="2"/>
  <c r="BY120" i="2"/>
  <c r="CA120" i="2"/>
  <c r="CB120" i="2"/>
  <c r="CC120" i="2"/>
  <c r="CF120" i="2"/>
  <c r="CG120" i="2"/>
  <c r="CH120" i="2"/>
  <c r="CK120" i="2"/>
  <c r="CL120" i="2"/>
  <c r="CM120" i="2"/>
  <c r="CU120" i="2"/>
  <c r="CV120" i="2"/>
  <c r="DR120" i="2"/>
  <c r="DW120" i="2"/>
  <c r="EB120" i="2"/>
  <c r="BZ120" i="2"/>
  <c r="CE120" i="2"/>
  <c r="CJ120" i="2"/>
  <c r="CO120" i="2"/>
  <c r="CT120" i="2"/>
  <c r="AP122" i="2"/>
  <c r="AU122" i="2"/>
  <c r="B124" i="2"/>
  <c r="G124" i="2"/>
  <c r="H124" i="2"/>
  <c r="I113" i="2" s="1"/>
  <c r="I124" i="2"/>
  <c r="J113" i="2" s="1"/>
  <c r="J124" i="2"/>
  <c r="K113" i="2" s="1"/>
  <c r="K124" i="2"/>
  <c r="L124" i="2"/>
  <c r="M124" i="2"/>
  <c r="N113" i="2" s="1"/>
  <c r="N124" i="2"/>
  <c r="O113" i="2" s="1"/>
  <c r="O124" i="2"/>
  <c r="P113" i="2" s="1"/>
  <c r="P124" i="2"/>
  <c r="Q124" i="2"/>
  <c r="R124" i="2"/>
  <c r="S113" i="2" s="1"/>
  <c r="S124" i="2"/>
  <c r="T113" i="2" s="1"/>
  <c r="T124" i="2"/>
  <c r="U113" i="2" s="1"/>
  <c r="U124" i="2"/>
  <c r="V124" i="2"/>
  <c r="W124" i="2"/>
  <c r="X113" i="2" s="1"/>
  <c r="X124" i="2"/>
  <c r="Y113" i="2" s="1"/>
  <c r="Y124" i="2"/>
  <c r="Z113" i="2" s="1"/>
  <c r="Z124" i="2"/>
  <c r="AA124" i="2"/>
  <c r="AB124" i="2"/>
  <c r="AC113" i="2" s="1"/>
  <c r="AC124" i="2"/>
  <c r="AD113" i="2" s="1"/>
  <c r="AD124" i="2"/>
  <c r="AE113" i="2" s="1"/>
  <c r="AE124" i="2"/>
  <c r="AF124" i="2"/>
  <c r="AG124" i="2"/>
  <c r="AH113" i="2" s="1"/>
  <c r="AH124" i="2"/>
  <c r="AI113" i="2" s="1"/>
  <c r="AI124" i="2"/>
  <c r="AJ113" i="2" s="1"/>
  <c r="AJ124" i="2"/>
  <c r="AK124" i="2"/>
  <c r="AL124" i="2"/>
  <c r="AM113" i="2" s="1"/>
  <c r="AM124" i="2"/>
  <c r="AN113" i="2" s="1"/>
  <c r="AN124" i="2"/>
  <c r="AO113" i="2" s="1"/>
  <c r="AO124" i="2"/>
  <c r="AP124" i="2"/>
  <c r="AQ124" i="2"/>
  <c r="AR113" i="2" s="1"/>
  <c r="AR124" i="2"/>
  <c r="AS113" i="2" s="1"/>
  <c r="AS124" i="2"/>
  <c r="AT113" i="2" s="1"/>
  <c r="AT124" i="2"/>
  <c r="AU124" i="2"/>
  <c r="AV124" i="2"/>
  <c r="AW113" i="2" s="1"/>
  <c r="AW124" i="2"/>
  <c r="AX113" i="2" s="1"/>
  <c r="AX124" i="2"/>
  <c r="AY113" i="2" s="1"/>
  <c r="AY124" i="2"/>
  <c r="AZ124" i="2"/>
  <c r="BA124" i="2"/>
  <c r="BB113" i="2" s="1"/>
  <c r="BB124" i="2"/>
  <c r="BC113" i="2" s="1"/>
  <c r="BC124" i="2"/>
  <c r="BD113" i="2" s="1"/>
  <c r="BD124" i="2"/>
  <c r="BE124" i="2"/>
  <c r="BF124" i="2"/>
  <c r="BG113" i="2" s="1"/>
  <c r="BG124" i="2"/>
  <c r="BH113" i="2" s="1"/>
  <c r="BH124" i="2"/>
  <c r="BI113" i="2" s="1"/>
  <c r="BI124" i="2"/>
  <c r="BJ124" i="2"/>
  <c r="BK124" i="2"/>
  <c r="BL113" i="2" s="1"/>
  <c r="BL124" i="2"/>
  <c r="BM113" i="2" s="1"/>
  <c r="BM124" i="2"/>
  <c r="BN113" i="2" s="1"/>
  <c r="BN124" i="2"/>
  <c r="BP124" i="2"/>
  <c r="BQ124" i="2"/>
  <c r="BR124" i="2"/>
  <c r="BS124" i="2"/>
  <c r="BT124" i="2"/>
  <c r="BT123" i="2" s="1"/>
  <c r="BU124" i="2"/>
  <c r="BV113" i="2" s="1"/>
  <c r="BV124" i="2"/>
  <c r="BW113" i="2" s="1"/>
  <c r="BW124" i="2"/>
  <c r="BX113" i="2" s="1"/>
  <c r="BX124" i="2"/>
  <c r="BX123" i="2" s="1"/>
  <c r="BY124" i="2"/>
  <c r="BY123" i="2" s="1"/>
  <c r="BZ124" i="2"/>
  <c r="CA113" i="2" s="1"/>
  <c r="CA124" i="2"/>
  <c r="CB113" i="2" s="1"/>
  <c r="CB124" i="2"/>
  <c r="CC113" i="2" s="1"/>
  <c r="CC124" i="2"/>
  <c r="CC123" i="2" s="1"/>
  <c r="CD124" i="2"/>
  <c r="CD123" i="2" s="1"/>
  <c r="CE124" i="2"/>
  <c r="CF113" i="2" s="1"/>
  <c r="CF124" i="2"/>
  <c r="CG113" i="2" s="1"/>
  <c r="CG124" i="2"/>
  <c r="CH113" i="2" s="1"/>
  <c r="CH124" i="2"/>
  <c r="CH123" i="2" s="1"/>
  <c r="CI124" i="2"/>
  <c r="CI123" i="2" s="1"/>
  <c r="CJ124" i="2"/>
  <c r="CK113" i="2" s="1"/>
  <c r="CK124" i="2"/>
  <c r="CL113" i="2" s="1"/>
  <c r="CL124" i="2"/>
  <c r="CM113" i="2" s="1"/>
  <c r="CM124" i="2"/>
  <c r="CO124" i="2"/>
  <c r="CP113" i="2" s="1"/>
  <c r="CP124" i="2"/>
  <c r="CQ113" i="2" s="1"/>
  <c r="CQ124" i="2"/>
  <c r="CR113" i="2" s="1"/>
  <c r="CR124" i="2"/>
  <c r="CR123" i="2" s="1"/>
  <c r="CS124" i="2"/>
  <c r="CS123" i="2" s="1"/>
  <c r="CT124" i="2"/>
  <c r="CU113" i="2" s="1"/>
  <c r="CU124" i="2"/>
  <c r="CV113" i="2" s="1"/>
  <c r="CV124" i="2"/>
  <c r="CW113" i="2" s="1"/>
  <c r="CX124" i="2"/>
  <c r="CS138" i="2"/>
  <c r="CS142" i="2" s="1"/>
  <c r="AZ142" i="2"/>
  <c r="BA142" i="2" s="1"/>
  <c r="BB142" i="2" s="1"/>
  <c r="BC142" i="2" s="1"/>
  <c r="BD142" i="2" s="1"/>
  <c r="BE142" i="2"/>
  <c r="BF142" i="2" s="1"/>
  <c r="BG142" i="2" s="1"/>
  <c r="BH142" i="2" s="1"/>
  <c r="BI142" i="2" s="1"/>
  <c r="BJ142" i="2"/>
  <c r="BK142" i="2" s="1"/>
  <c r="BL142" i="2" s="1"/>
  <c r="BM142" i="2" s="1"/>
  <c r="BN142" i="2" s="1"/>
  <c r="BO142" i="2"/>
  <c r="BP145" i="2"/>
  <c r="BQ145" i="2"/>
  <c r="BR145" i="2"/>
  <c r="BR146" i="2" s="1"/>
  <c r="BS145" i="2"/>
  <c r="BS146" i="2" s="1"/>
  <c r="BU145" i="2"/>
  <c r="BU146" i="2" s="1"/>
  <c r="BV145" i="2"/>
  <c r="BV146" i="2" s="1"/>
  <c r="BW145" i="2"/>
  <c r="BW146" i="2" s="1"/>
  <c r="BX145" i="2"/>
  <c r="BZ145" i="2"/>
  <c r="BZ146" i="2" s="1"/>
  <c r="CA145" i="2"/>
  <c r="CB145" i="2"/>
  <c r="CB146" i="2" s="1"/>
  <c r="CC145" i="2"/>
  <c r="CC146" i="2" s="1"/>
  <c r="CE145" i="2"/>
  <c r="CE146" i="2" s="1"/>
  <c r="CF145" i="2"/>
  <c r="CG145" i="2"/>
  <c r="CG146" i="2" s="1"/>
  <c r="CH145" i="2"/>
  <c r="CH146" i="2" s="1"/>
  <c r="CJ145" i="2"/>
  <c r="CK145" i="2"/>
  <c r="CK146" i="2" s="1"/>
  <c r="CL145" i="2"/>
  <c r="CL146" i="2" s="1"/>
  <c r="CM145" i="2"/>
  <c r="CM146" i="2" s="1"/>
  <c r="CO145" i="2"/>
  <c r="CO146" i="2" s="1"/>
  <c r="CP145" i="2"/>
  <c r="CP146" i="2" s="1"/>
  <c r="CQ145" i="2"/>
  <c r="CQ146" i="2" s="1"/>
  <c r="CR145" i="2"/>
  <c r="CT145" i="2"/>
  <c r="CU145" i="2"/>
  <c r="CU146" i="2" s="1"/>
  <c r="CV145" i="2"/>
  <c r="CV146" i="2" s="1"/>
  <c r="CW145" i="2"/>
  <c r="BP146" i="2"/>
  <c r="CA146" i="2"/>
  <c r="BP148" i="2"/>
  <c r="BP152" i="2" s="1"/>
  <c r="BQ148" i="2"/>
  <c r="BQ152" i="2" s="1"/>
  <c r="BR148" i="2"/>
  <c r="BR152" i="2" s="1"/>
  <c r="BS148" i="2"/>
  <c r="BS152" i="2" s="1"/>
  <c r="BU148" i="2"/>
  <c r="BU152" i="2" s="1"/>
  <c r="BV148" i="2"/>
  <c r="BV152" i="2" s="1"/>
  <c r="BW148" i="2"/>
  <c r="BW152" i="2" s="1"/>
  <c r="BX148" i="2"/>
  <c r="BX152" i="2" s="1"/>
  <c r="BZ148" i="2"/>
  <c r="BZ152" i="2" s="1"/>
  <c r="CA148" i="2"/>
  <c r="CB148" i="2"/>
  <c r="CB152" i="2" s="1"/>
  <c r="CC148" i="2"/>
  <c r="CC152" i="2" s="1"/>
  <c r="CE148" i="2"/>
  <c r="CE152" i="2" s="1"/>
  <c r="CF148" i="2"/>
  <c r="CF152" i="2" s="1"/>
  <c r="CG148" i="2"/>
  <c r="CG152" i="2" s="1"/>
  <c r="CH148" i="2"/>
  <c r="CH152" i="2" s="1"/>
  <c r="CJ148" i="2"/>
  <c r="CJ152" i="2" s="1"/>
  <c r="CK148" i="2"/>
  <c r="CL148" i="2"/>
  <c r="CL152" i="2" s="1"/>
  <c r="CM148" i="2"/>
  <c r="CM152" i="2" s="1"/>
  <c r="CO148" i="2"/>
  <c r="CP148" i="2"/>
  <c r="CQ148" i="2"/>
  <c r="CR148" i="2"/>
  <c r="CT148" i="2"/>
  <c r="CU148" i="2"/>
  <c r="CV148" i="2"/>
  <c r="CW148" i="2"/>
  <c r="DO148" i="2"/>
  <c r="DP148" i="2"/>
  <c r="DQ148" i="2"/>
  <c r="AR163" i="2"/>
  <c r="AS163" i="2"/>
  <c r="AT163" i="2"/>
  <c r="AU163" i="2" s="1"/>
  <c r="AV163" i="2"/>
  <c r="AW163" i="2"/>
  <c r="AX163" i="2"/>
  <c r="AY163" i="2"/>
  <c r="AZ163" i="2" s="1"/>
  <c r="BA163" i="2"/>
  <c r="BB163" i="2"/>
  <c r="BB164" i="2" s="1"/>
  <c r="BC163" i="2"/>
  <c r="BC164" i="2" s="1"/>
  <c r="BD163" i="2"/>
  <c r="BP163" i="2"/>
  <c r="BQ163" i="2"/>
  <c r="BR163" i="2"/>
  <c r="BS163" i="2"/>
  <c r="BT163" i="2" s="1"/>
  <c r="BU163" i="2"/>
  <c r="BV163" i="2"/>
  <c r="BV164" i="2" s="1"/>
  <c r="BW163" i="2"/>
  <c r="BX163" i="2"/>
  <c r="BZ163" i="2"/>
  <c r="BZ164" i="2" s="1"/>
  <c r="CA163" i="2"/>
  <c r="CB163" i="2"/>
  <c r="CC163" i="2"/>
  <c r="CD163" i="2" s="1"/>
  <c r="CE163" i="2"/>
  <c r="CE164" i="2" s="1"/>
  <c r="CF163" i="2"/>
  <c r="CG163" i="2"/>
  <c r="CH163" i="2"/>
  <c r="CI163" i="2" s="1"/>
  <c r="CJ163" i="2"/>
  <c r="CK163" i="2"/>
  <c r="CL163" i="2"/>
  <c r="CM163" i="2"/>
  <c r="CN163" i="2" s="1"/>
  <c r="CO163" i="2"/>
  <c r="CP163" i="2"/>
  <c r="CP164" i="2" s="1"/>
  <c r="CQ163" i="2"/>
  <c r="CR163" i="2"/>
  <c r="CT163" i="2"/>
  <c r="CU163" i="2"/>
  <c r="CV163" i="2"/>
  <c r="CV164" i="2" s="1"/>
  <c r="CW163" i="2"/>
  <c r="CX163" i="2" s="1"/>
  <c r="BA167" i="2"/>
  <c r="BB167" i="2"/>
  <c r="BC167" i="2"/>
  <c r="BD167" i="2"/>
  <c r="BF167" i="2"/>
  <c r="BG167" i="2"/>
  <c r="BH167" i="2"/>
  <c r="BI167" i="2"/>
  <c r="BK167" i="2"/>
  <c r="BL167" i="2"/>
  <c r="BM167" i="2"/>
  <c r="BN167" i="2"/>
  <c r="BP167" i="2"/>
  <c r="BQ167" i="2"/>
  <c r="BR167" i="2"/>
  <c r="BS167" i="2"/>
  <c r="BV167" i="2"/>
  <c r="BW167" i="2"/>
  <c r="BX167" i="2"/>
  <c r="BZ167" i="2"/>
  <c r="CA167" i="2"/>
  <c r="CB167" i="2"/>
  <c r="CC167" i="2"/>
  <c r="CE167" i="2"/>
  <c r="CF167" i="2"/>
  <c r="CG167" i="2"/>
  <c r="CH167" i="2"/>
  <c r="CJ167" i="2"/>
  <c r="CK167" i="2"/>
  <c r="CL167" i="2"/>
  <c r="CM167" i="2"/>
  <c r="CO167" i="2"/>
  <c r="CP167" i="2"/>
  <c r="CQ167" i="2"/>
  <c r="CR167" i="2"/>
  <c r="CT167" i="2"/>
  <c r="CU167" i="2"/>
  <c r="CV167" i="2"/>
  <c r="CW167" i="2"/>
  <c r="ET177" i="2"/>
  <c r="EU177" i="2"/>
  <c r="EV177" i="2"/>
  <c r="EW177" i="2"/>
  <c r="EX177" i="2"/>
  <c r="EY177" i="2"/>
  <c r="EZ177" i="2"/>
  <c r="FA177" i="2"/>
  <c r="FB177" i="2"/>
  <c r="EP178" i="2"/>
  <c r="EQ178" i="2"/>
  <c r="ER178" i="2"/>
  <c r="ET178" i="2"/>
  <c r="EU178" i="2"/>
  <c r="EV178" i="2"/>
  <c r="EW178" i="2"/>
  <c r="EX178" i="2"/>
  <c r="EY178" i="2"/>
  <c r="EZ178" i="2"/>
  <c r="FA178" i="2"/>
  <c r="FB178" i="2"/>
  <c r="EP179" i="2"/>
  <c r="ER179" i="2"/>
  <c r="ET179" i="2"/>
  <c r="EU179" i="2"/>
  <c r="EV179" i="2"/>
  <c r="EW179" i="2"/>
  <c r="EX179" i="2"/>
  <c r="EY179" i="2"/>
  <c r="EZ179" i="2"/>
  <c r="FA179" i="2"/>
  <c r="FB179" i="2"/>
  <c r="ET180" i="2"/>
  <c r="EU180" i="2"/>
  <c r="EV180" i="2"/>
  <c r="EW180" i="2"/>
  <c r="EX180" i="2"/>
  <c r="EZ180" i="2"/>
  <c r="FA180" i="2"/>
  <c r="FB180" i="2"/>
  <c r="EP181" i="2"/>
  <c r="EQ181" i="2"/>
  <c r="ER181" i="2"/>
  <c r="ET181" i="2"/>
  <c r="EU181" i="2"/>
  <c r="EV181" i="2"/>
  <c r="EW181" i="2"/>
  <c r="EX181" i="2"/>
  <c r="EY181" i="2"/>
  <c r="EZ181" i="2"/>
  <c r="FA181" i="2"/>
  <c r="FB181" i="2"/>
  <c r="EP182" i="2"/>
  <c r="EQ182" i="2"/>
  <c r="ER182" i="2"/>
  <c r="ET182" i="2"/>
  <c r="EU182" i="2"/>
  <c r="EV182" i="2"/>
  <c r="EW182" i="2"/>
  <c r="EX182" i="2"/>
  <c r="EY182" i="2"/>
  <c r="EZ182" i="2"/>
  <c r="FA182" i="2"/>
  <c r="FB182" i="2"/>
  <c r="ET183" i="2"/>
  <c r="EU183" i="2"/>
  <c r="EV183" i="2"/>
  <c r="EW183" i="2"/>
  <c r="EX183" i="2"/>
  <c r="EY183" i="2"/>
  <c r="EZ183" i="2"/>
  <c r="FA183" i="2"/>
  <c r="FB183" i="2"/>
  <c r="ET184" i="2"/>
  <c r="EU184" i="2"/>
  <c r="EV184" i="2"/>
  <c r="EW184" i="2"/>
  <c r="EX184" i="2"/>
  <c r="EY184" i="2"/>
  <c r="EZ184" i="2"/>
  <c r="FA184" i="2"/>
  <c r="FB184" i="2"/>
  <c r="ET185" i="2"/>
  <c r="EU185" i="2"/>
  <c r="EV185" i="2"/>
  <c r="EW185" i="2"/>
  <c r="EX185" i="2"/>
  <c r="EY185" i="2"/>
  <c r="EZ185" i="2"/>
  <c r="FA185" i="2"/>
  <c r="FB185" i="2"/>
  <c r="BE188" i="2"/>
  <c r="BE203" i="2" s="1"/>
  <c r="BJ188" i="2"/>
  <c r="BN188" i="2"/>
  <c r="BO188" i="2" s="1"/>
  <c r="BP188" i="2"/>
  <c r="BP203" i="2" s="1"/>
  <c r="BQ188" i="2"/>
  <c r="BQ203" i="2" s="1"/>
  <c r="BR188" i="2"/>
  <c r="BR203" i="2" s="1"/>
  <c r="BV188" i="2"/>
  <c r="CA203" i="2" s="1"/>
  <c r="BW188" i="2"/>
  <c r="CB209" i="2" s="1"/>
  <c r="BX188" i="2"/>
  <c r="CC188" i="2"/>
  <c r="CE188" i="2"/>
  <c r="CF188" i="2"/>
  <c r="CG188" i="2"/>
  <c r="CG203" i="2" s="1"/>
  <c r="CH188" i="2"/>
  <c r="BE189" i="2"/>
  <c r="BE204" i="2" s="1"/>
  <c r="BO189" i="2"/>
  <c r="BT204" i="2" s="1"/>
  <c r="CI189" i="2"/>
  <c r="CI204" i="2" s="1"/>
  <c r="BE190" i="2"/>
  <c r="BJ205" i="2" s="1"/>
  <c r="BO190" i="2"/>
  <c r="BO205" i="2" s="1"/>
  <c r="CI190" i="2"/>
  <c r="CI205" i="2" s="1"/>
  <c r="BE191" i="2"/>
  <c r="BE206" i="2" s="1"/>
  <c r="BJ191" i="2"/>
  <c r="BO191" i="2"/>
  <c r="BT206" i="2" s="1"/>
  <c r="BY191" i="2"/>
  <c r="BY206" i="2" s="1"/>
  <c r="CC191" i="2"/>
  <c r="CH206" i="2" s="1"/>
  <c r="CE191" i="2"/>
  <c r="CE206" i="2" s="1"/>
  <c r="CF191" i="2"/>
  <c r="CF206" i="2" s="1"/>
  <c r="CG191" i="2"/>
  <c r="CG206" i="2" s="1"/>
  <c r="BE192" i="2"/>
  <c r="BE207" i="2" s="1"/>
  <c r="BJ192" i="2"/>
  <c r="BO192" i="2"/>
  <c r="BT207" i="2" s="1"/>
  <c r="CI192" i="2"/>
  <c r="CI207" i="2" s="1"/>
  <c r="A193" i="2"/>
  <c r="A196" i="2" s="1"/>
  <c r="BE193" i="2"/>
  <c r="BE208" i="2" s="1"/>
  <c r="BJ193" i="2"/>
  <c r="BO193" i="2"/>
  <c r="BT208" i="2" s="1"/>
  <c r="CI193" i="2"/>
  <c r="CI208" i="2" s="1"/>
  <c r="L194" i="2"/>
  <c r="BE194" i="2"/>
  <c r="BE209" i="2" s="1"/>
  <c r="BJ194" i="2"/>
  <c r="BO194" i="2"/>
  <c r="CE194" i="2"/>
  <c r="CE209" i="2" s="1"/>
  <c r="CF194" i="2"/>
  <c r="CF209" i="2" s="1"/>
  <c r="CG194" i="2"/>
  <c r="CG209" i="2" s="1"/>
  <c r="CH194" i="2"/>
  <c r="CH209" i="2" s="1"/>
  <c r="BE195" i="2"/>
  <c r="BE196" i="2"/>
  <c r="B202" i="2"/>
  <c r="C202" i="2"/>
  <c r="D202" i="2"/>
  <c r="E202" i="2"/>
  <c r="F202" i="2"/>
  <c r="G202" i="2"/>
  <c r="H202" i="2"/>
  <c r="I202" i="2"/>
  <c r="J202" i="2"/>
  <c r="K202" i="2"/>
  <c r="L202" i="2"/>
  <c r="M202" i="2"/>
  <c r="N202" i="2"/>
  <c r="O202" i="2"/>
  <c r="P202" i="2"/>
  <c r="Q202" i="2"/>
  <c r="R202" i="2"/>
  <c r="S202" i="2"/>
  <c r="T202" i="2"/>
  <c r="U202" i="2"/>
  <c r="V202" i="2"/>
  <c r="W202" i="2"/>
  <c r="X202" i="2"/>
  <c r="Y202" i="2"/>
  <c r="Z202" i="2"/>
  <c r="AA202" i="2"/>
  <c r="AB202" i="2"/>
  <c r="AC202" i="2"/>
  <c r="AD202" i="2"/>
  <c r="AE202" i="2"/>
  <c r="AF202" i="2"/>
  <c r="AG202" i="2"/>
  <c r="AH202" i="2"/>
  <c r="AI202" i="2"/>
  <c r="AJ202" i="2"/>
  <c r="AK202" i="2"/>
  <c r="AL202" i="2"/>
  <c r="AM202" i="2"/>
  <c r="AN202" i="2"/>
  <c r="AO202" i="2"/>
  <c r="AP202" i="2"/>
  <c r="AQ202" i="2"/>
  <c r="AR202" i="2"/>
  <c r="AS202" i="2"/>
  <c r="AT202" i="2"/>
  <c r="AU202" i="2"/>
  <c r="AV202" i="2"/>
  <c r="AW202" i="2"/>
  <c r="AX202" i="2"/>
  <c r="AY202" i="2"/>
  <c r="AZ202" i="2"/>
  <c r="BA202" i="2"/>
  <c r="BB202" i="2"/>
  <c r="BC202" i="2"/>
  <c r="BD202" i="2"/>
  <c r="BE202" i="2"/>
  <c r="BF202" i="2"/>
  <c r="BG202" i="2"/>
  <c r="BH202" i="2"/>
  <c r="BI202" i="2"/>
  <c r="BJ202" i="2"/>
  <c r="BK202" i="2"/>
  <c r="BL202" i="2"/>
  <c r="BM202" i="2"/>
  <c r="BN202" i="2"/>
  <c r="BO202" i="2"/>
  <c r="BP202" i="2"/>
  <c r="BQ202" i="2"/>
  <c r="BR202" i="2"/>
  <c r="BS202" i="2"/>
  <c r="BT202" i="2"/>
  <c r="BU202" i="2"/>
  <c r="BV202" i="2"/>
  <c r="BW202" i="2"/>
  <c r="BX202" i="2"/>
  <c r="BY202" i="2"/>
  <c r="BZ202" i="2"/>
  <c r="CA202" i="2"/>
  <c r="CB202" i="2"/>
  <c r="CC202" i="2"/>
  <c r="CD202" i="2"/>
  <c r="CE202" i="2"/>
  <c r="CF202" i="2"/>
  <c r="CG202" i="2"/>
  <c r="CH202" i="2"/>
  <c r="CI202" i="2"/>
  <c r="AU203" i="2"/>
  <c r="AV203" i="2"/>
  <c r="AW203" i="2"/>
  <c r="AX203" i="2"/>
  <c r="AY203" i="2"/>
  <c r="AZ203" i="2"/>
  <c r="BA203" i="2"/>
  <c r="BB203" i="2"/>
  <c r="BC203" i="2"/>
  <c r="BD203" i="2"/>
  <c r="BF203" i="2"/>
  <c r="BG203" i="2"/>
  <c r="BH203" i="2"/>
  <c r="BI203" i="2"/>
  <c r="BK203" i="2"/>
  <c r="BL203" i="2"/>
  <c r="BM203" i="2"/>
  <c r="BZ203" i="2"/>
  <c r="AU204" i="2"/>
  <c r="AV204" i="2"/>
  <c r="AW204" i="2"/>
  <c r="AX204" i="2"/>
  <c r="AY204" i="2"/>
  <c r="AZ204" i="2"/>
  <c r="BA204" i="2"/>
  <c r="BB204" i="2"/>
  <c r="BC204" i="2"/>
  <c r="BD204" i="2"/>
  <c r="BF204" i="2"/>
  <c r="BG204" i="2"/>
  <c r="BH204" i="2"/>
  <c r="BI204" i="2"/>
  <c r="BK204" i="2"/>
  <c r="BL204" i="2"/>
  <c r="BM204" i="2"/>
  <c r="BN204" i="2"/>
  <c r="BP204" i="2"/>
  <c r="BQ204" i="2"/>
  <c r="BR204" i="2"/>
  <c r="BS204" i="2"/>
  <c r="BU204" i="2"/>
  <c r="BV204" i="2"/>
  <c r="BW204" i="2"/>
  <c r="BX204" i="2"/>
  <c r="BY204" i="2"/>
  <c r="BZ204" i="2"/>
  <c r="CA204" i="2"/>
  <c r="CB204" i="2"/>
  <c r="CC204" i="2"/>
  <c r="CD204" i="2"/>
  <c r="CE204" i="2"/>
  <c r="CF204" i="2"/>
  <c r="CG204" i="2"/>
  <c r="CH204" i="2"/>
  <c r="AU205" i="2"/>
  <c r="AV205" i="2"/>
  <c r="AW205" i="2"/>
  <c r="AX205" i="2"/>
  <c r="AY205" i="2"/>
  <c r="AZ205" i="2"/>
  <c r="BA205" i="2"/>
  <c r="BB205" i="2"/>
  <c r="BC205" i="2"/>
  <c r="BD205" i="2"/>
  <c r="BF205" i="2"/>
  <c r="BG205" i="2"/>
  <c r="BH205" i="2"/>
  <c r="BI205" i="2"/>
  <c r="BK205" i="2"/>
  <c r="BL205" i="2"/>
  <c r="BM205" i="2"/>
  <c r="BN205" i="2"/>
  <c r="BP205" i="2"/>
  <c r="BQ205" i="2"/>
  <c r="BR205" i="2"/>
  <c r="BS205" i="2"/>
  <c r="BU205" i="2"/>
  <c r="BV205" i="2"/>
  <c r="BW205" i="2"/>
  <c r="BX205" i="2"/>
  <c r="BY205" i="2"/>
  <c r="BZ205" i="2"/>
  <c r="CA205" i="2"/>
  <c r="CB205" i="2"/>
  <c r="CC205" i="2"/>
  <c r="CD205" i="2"/>
  <c r="CE205" i="2"/>
  <c r="CF205" i="2"/>
  <c r="CG205" i="2"/>
  <c r="CH205" i="2"/>
  <c r="AU206" i="2"/>
  <c r="AV206" i="2"/>
  <c r="AW206" i="2"/>
  <c r="AX206" i="2"/>
  <c r="AY206" i="2"/>
  <c r="AZ206" i="2"/>
  <c r="BA206" i="2"/>
  <c r="BB206" i="2"/>
  <c r="BC206" i="2"/>
  <c r="BD206" i="2"/>
  <c r="BF206" i="2"/>
  <c r="BG206" i="2"/>
  <c r="BH206" i="2"/>
  <c r="BI206" i="2"/>
  <c r="BK206" i="2"/>
  <c r="BL206" i="2"/>
  <c r="BM206" i="2"/>
  <c r="BN206" i="2"/>
  <c r="BP206" i="2"/>
  <c r="BQ206" i="2"/>
  <c r="BR206" i="2"/>
  <c r="BS206" i="2"/>
  <c r="BU206" i="2"/>
  <c r="BV206" i="2"/>
  <c r="BW206" i="2"/>
  <c r="BX206" i="2"/>
  <c r="BZ206" i="2"/>
  <c r="CA206" i="2"/>
  <c r="CB206" i="2"/>
  <c r="AU207" i="2"/>
  <c r="AV207" i="2"/>
  <c r="AW207" i="2"/>
  <c r="AX207" i="2"/>
  <c r="AY207" i="2"/>
  <c r="AZ207" i="2"/>
  <c r="BA207" i="2"/>
  <c r="BB207" i="2"/>
  <c r="BC207" i="2"/>
  <c r="BD207" i="2"/>
  <c r="BF207" i="2"/>
  <c r="BG207" i="2"/>
  <c r="BH207" i="2"/>
  <c r="BI207" i="2"/>
  <c r="BK207" i="2"/>
  <c r="BL207" i="2"/>
  <c r="BM207" i="2"/>
  <c r="BN207" i="2"/>
  <c r="BP207" i="2"/>
  <c r="BQ207" i="2"/>
  <c r="BR207" i="2"/>
  <c r="BS207" i="2"/>
  <c r="BU207" i="2"/>
  <c r="BV207" i="2"/>
  <c r="BW207" i="2"/>
  <c r="BX207" i="2"/>
  <c r="BY207" i="2"/>
  <c r="BZ207" i="2"/>
  <c r="CA207" i="2"/>
  <c r="CB207" i="2"/>
  <c r="CC207" i="2"/>
  <c r="CD207" i="2"/>
  <c r="CE207" i="2"/>
  <c r="CF207" i="2"/>
  <c r="CG207" i="2"/>
  <c r="CH207" i="2"/>
  <c r="A208" i="2"/>
  <c r="AU208" i="2"/>
  <c r="AV208" i="2"/>
  <c r="AW208" i="2"/>
  <c r="AX208" i="2"/>
  <c r="AY208" i="2"/>
  <c r="AZ208" i="2"/>
  <c r="BA208" i="2"/>
  <c r="BB208" i="2"/>
  <c r="BC208" i="2"/>
  <c r="BD208" i="2"/>
  <c r="BF208" i="2"/>
  <c r="BG208" i="2"/>
  <c r="BH208" i="2"/>
  <c r="BI208" i="2"/>
  <c r="BK208" i="2"/>
  <c r="BL208" i="2"/>
  <c r="BM208" i="2"/>
  <c r="BN208" i="2"/>
  <c r="BP208" i="2"/>
  <c r="BQ208" i="2"/>
  <c r="BR208" i="2"/>
  <c r="BS208" i="2"/>
  <c r="BU208" i="2"/>
  <c r="BV208" i="2"/>
  <c r="BW208" i="2"/>
  <c r="BX208" i="2"/>
  <c r="BY208" i="2"/>
  <c r="BZ208" i="2"/>
  <c r="CA208" i="2"/>
  <c r="CB208" i="2"/>
  <c r="CC208" i="2"/>
  <c r="CD208" i="2"/>
  <c r="CE208" i="2"/>
  <c r="CF208" i="2"/>
  <c r="CG208" i="2"/>
  <c r="CH208" i="2"/>
  <c r="AU209" i="2"/>
  <c r="AV209" i="2"/>
  <c r="AW209" i="2"/>
  <c r="AX209" i="2"/>
  <c r="AY209" i="2"/>
  <c r="AZ209" i="2"/>
  <c r="BA209" i="2"/>
  <c r="BB209" i="2"/>
  <c r="BC209" i="2"/>
  <c r="BD209" i="2"/>
  <c r="BF209" i="2"/>
  <c r="BG209" i="2"/>
  <c r="BH209" i="2"/>
  <c r="BI209" i="2"/>
  <c r="BK209" i="2"/>
  <c r="BL209" i="2"/>
  <c r="BM209" i="2"/>
  <c r="BN209" i="2"/>
  <c r="BP209" i="2"/>
  <c r="BQ209" i="2"/>
  <c r="BS209" i="2"/>
  <c r="BU209" i="2"/>
  <c r="BV209" i="2"/>
  <c r="BX209" i="2"/>
  <c r="BZ209" i="2"/>
  <c r="CA209" i="2"/>
  <c r="CC209" i="2"/>
  <c r="B213" i="2"/>
  <c r="B214" i="2"/>
  <c r="CI164" i="2" l="1"/>
  <c r="CL164" i="2"/>
  <c r="CQ164" i="2"/>
  <c r="AX164" i="2"/>
  <c r="BJ102" i="2"/>
  <c r="CU164" i="2"/>
  <c r="X84" i="4"/>
  <c r="EV87" i="2"/>
  <c r="AP185" i="2"/>
  <c r="CI102" i="2"/>
  <c r="EM12" i="2"/>
  <c r="EL12" i="2"/>
  <c r="CX154" i="2"/>
  <c r="CS154" i="2"/>
  <c r="CN154" i="2"/>
  <c r="ET59" i="2"/>
  <c r="DQ33" i="2"/>
  <c r="DP33" i="2"/>
  <c r="DO33" i="2"/>
  <c r="BK140" i="3"/>
  <c r="BY143" i="3"/>
  <c r="BG84" i="4"/>
  <c r="EM11" i="2"/>
  <c r="BX103" i="2"/>
  <c r="AF197" i="2"/>
  <c r="V185" i="2"/>
  <c r="EL11" i="2"/>
  <c r="CN93" i="2"/>
  <c r="CV92" i="2"/>
  <c r="CS134" i="2"/>
  <c r="CX134" i="2"/>
  <c r="CA107" i="2"/>
  <c r="CK86" i="4"/>
  <c r="BX86" i="4"/>
  <c r="BO106" i="2"/>
  <c r="BO108" i="2" s="1"/>
  <c r="BV107" i="2"/>
  <c r="CV50" i="4"/>
  <c r="CV107" i="2" s="1"/>
  <c r="CN102" i="2"/>
  <c r="AZ102" i="2"/>
  <c r="BT102" i="2"/>
  <c r="T74" i="3"/>
  <c r="CN59" i="2"/>
  <c r="EW97" i="2"/>
  <c r="EU100" i="2"/>
  <c r="BB107" i="2"/>
  <c r="BB114" i="2"/>
  <c r="CP107" i="2"/>
  <c r="EQ180" i="2"/>
  <c r="FE99" i="2"/>
  <c r="FE98" i="2"/>
  <c r="ER180" i="2"/>
  <c r="FH99" i="2"/>
  <c r="FH98" i="2"/>
  <c r="EV88" i="2"/>
  <c r="EU87" i="2"/>
  <c r="EU89" i="2"/>
  <c r="EU94" i="2" s="1"/>
  <c r="EU88" i="2"/>
  <c r="CD92" i="2"/>
  <c r="AI75" i="3"/>
  <c r="CX111" i="3"/>
  <c r="Z61" i="2"/>
  <c r="CC60" i="2"/>
  <c r="CA164" i="2"/>
  <c r="BL26" i="3"/>
  <c r="AM114" i="2"/>
  <c r="P61" i="2"/>
  <c r="BS60" i="2"/>
  <c r="S74" i="3"/>
  <c r="CT87" i="4"/>
  <c r="CX86" i="4"/>
  <c r="F184" i="2"/>
  <c r="CU114" i="2"/>
  <c r="F61" i="2"/>
  <c r="CU140" i="3"/>
  <c r="CK118" i="2"/>
  <c r="CK119" i="2" s="1"/>
  <c r="CB114" i="2"/>
  <c r="BG114" i="2"/>
  <c r="R114" i="2"/>
  <c r="CU107" i="2"/>
  <c r="BG107" i="2"/>
  <c r="BX72" i="2"/>
  <c r="P62" i="2"/>
  <c r="BZ140" i="3"/>
  <c r="CA84" i="4"/>
  <c r="BJ140" i="3"/>
  <c r="BG163" i="2"/>
  <c r="BF163" i="2"/>
  <c r="BE184" i="2"/>
  <c r="DM94" i="4"/>
  <c r="CP94" i="4"/>
  <c r="AQ163" i="2"/>
  <c r="AV164" i="2" s="1"/>
  <c r="BC72" i="2"/>
  <c r="BC60" i="2"/>
  <c r="V58" i="2"/>
  <c r="BX101" i="3"/>
  <c r="BX109" i="3" s="1"/>
  <c r="AV75" i="3"/>
  <c r="BX140" i="3"/>
  <c r="AS74" i="3"/>
  <c r="EO69" i="2"/>
  <c r="CW17" i="2"/>
  <c r="CW58" i="2" s="1"/>
  <c r="AX185" i="2"/>
  <c r="Z184" i="2"/>
  <c r="CX102" i="2"/>
  <c r="CK142" i="3"/>
  <c r="CB140" i="3"/>
  <c r="AT185" i="2"/>
  <c r="CL66" i="3"/>
  <c r="BB185" i="2"/>
  <c r="AE185" i="2"/>
  <c r="B184" i="2"/>
  <c r="CS103" i="2"/>
  <c r="AZ103" i="2"/>
  <c r="CD102" i="2"/>
  <c r="BK76" i="2"/>
  <c r="CX167" i="2"/>
  <c r="CR140" i="3"/>
  <c r="BR140" i="3"/>
  <c r="R74" i="3"/>
  <c r="CT26" i="3"/>
  <c r="BK163" i="2"/>
  <c r="BP164" i="2" s="1"/>
  <c r="BQ114" i="2"/>
  <c r="FE97" i="2"/>
  <c r="BY75" i="2"/>
  <c r="CQ72" i="2"/>
  <c r="AE72" i="2"/>
  <c r="J61" i="2"/>
  <c r="BH60" i="2"/>
  <c r="AE60" i="2"/>
  <c r="CD140" i="3"/>
  <c r="DI133" i="3"/>
  <c r="W75" i="3"/>
  <c r="AR89" i="4"/>
  <c r="BN163" i="2"/>
  <c r="BO163" i="2" s="1"/>
  <c r="BT164" i="2" s="1"/>
  <c r="CR92" i="2"/>
  <c r="AD60" i="2"/>
  <c r="J58" i="2"/>
  <c r="BU143" i="3"/>
  <c r="BO140" i="3"/>
  <c r="Q214" i="2"/>
  <c r="Q215" i="2" s="1"/>
  <c r="BL163" i="2"/>
  <c r="BQ164" i="2" s="1"/>
  <c r="CK107" i="2"/>
  <c r="AJ72" i="2"/>
  <c r="BL60" i="2"/>
  <c r="N59" i="2"/>
  <c r="AH58" i="2"/>
  <c r="CT143" i="3"/>
  <c r="CO143" i="3"/>
  <c r="BX129" i="3"/>
  <c r="BX111" i="3"/>
  <c r="AG74" i="3"/>
  <c r="BP26" i="3"/>
  <c r="EO59" i="2"/>
  <c r="CQ17" i="2"/>
  <c r="CQ80" i="3" s="1"/>
  <c r="CQ85" i="3" s="1"/>
  <c r="CN70" i="2"/>
  <c r="AW74" i="3"/>
  <c r="BX47" i="3"/>
  <c r="AN26" i="3"/>
  <c r="W185" i="2"/>
  <c r="CK93" i="2"/>
  <c r="AE17" i="2"/>
  <c r="AE58" i="2" s="1"/>
  <c r="BW66" i="3"/>
  <c r="CP47" i="3"/>
  <c r="Y26" i="3"/>
  <c r="EB114" i="2"/>
  <c r="CG95" i="2"/>
  <c r="BQ72" i="2"/>
  <c r="AW72" i="2"/>
  <c r="J62" i="2"/>
  <c r="CD143" i="3"/>
  <c r="CM140" i="3"/>
  <c r="DX133" i="3"/>
  <c r="DD133" i="3"/>
  <c r="CP26" i="3"/>
  <c r="X26" i="3"/>
  <c r="DX89" i="4"/>
  <c r="Q213" i="2"/>
  <c r="G185" i="2"/>
  <c r="CU118" i="2"/>
  <c r="CU119" i="2" s="1"/>
  <c r="DH114" i="2"/>
  <c r="AE114" i="2"/>
  <c r="CV93" i="2"/>
  <c r="CN92" i="2"/>
  <c r="AR72" i="2"/>
  <c r="BG60" i="2"/>
  <c r="AM60" i="2"/>
  <c r="CX143" i="3"/>
  <c r="CW140" i="3"/>
  <c r="CG140" i="3"/>
  <c r="BM140" i="3"/>
  <c r="DS133" i="3"/>
  <c r="BV26" i="3"/>
  <c r="DS89" i="4"/>
  <c r="CQ86" i="4"/>
  <c r="AT184" i="2"/>
  <c r="CK114" i="2"/>
  <c r="BQ107" i="2"/>
  <c r="BO102" i="2"/>
  <c r="EW99" i="2"/>
  <c r="FH97" i="2"/>
  <c r="CQ94" i="2"/>
  <c r="BG72" i="2"/>
  <c r="AM72" i="2"/>
  <c r="BQ60" i="2"/>
  <c r="U73" i="2"/>
  <c r="BW140" i="3"/>
  <c r="DN133" i="3"/>
  <c r="CK133" i="3"/>
  <c r="AH26" i="3"/>
  <c r="CU93" i="4"/>
  <c r="CF86" i="4"/>
  <c r="AM17" i="2"/>
  <c r="AR73" i="2" s="1"/>
  <c r="CX71" i="2"/>
  <c r="AD185" i="2"/>
  <c r="Z185" i="2"/>
  <c r="B185" i="2"/>
  <c r="AL184" i="2"/>
  <c r="J29" i="2"/>
  <c r="J31" i="2" s="1"/>
  <c r="J65" i="2" s="1"/>
  <c r="BQ17" i="2"/>
  <c r="BQ62" i="2" s="1"/>
  <c r="AQ87" i="3"/>
  <c r="BD75" i="3"/>
  <c r="E57" i="3"/>
  <c r="CW55" i="3"/>
  <c r="CJ26" i="3"/>
  <c r="BV185" i="2"/>
  <c r="BV184" i="2"/>
  <c r="BR184" i="2"/>
  <c r="BG17" i="2"/>
  <c r="BG58" i="2" s="1"/>
  <c r="N17" i="2"/>
  <c r="N62" i="2" s="1"/>
  <c r="AA72" i="2"/>
  <c r="AK69" i="2"/>
  <c r="BQ74" i="3"/>
  <c r="Y74" i="3"/>
  <c r="AO55" i="3"/>
  <c r="CE26" i="3"/>
  <c r="BA26" i="3"/>
  <c r="CH203" i="2"/>
  <c r="AM185" i="2"/>
  <c r="AH185" i="2"/>
  <c r="W114" i="2"/>
  <c r="BT103" i="2"/>
  <c r="CR72" i="2"/>
  <c r="BS72" i="2"/>
  <c r="BD72" i="2"/>
  <c r="AB72" i="2"/>
  <c r="BY69" i="2"/>
  <c r="O59" i="2"/>
  <c r="U29" i="2"/>
  <c r="U63" i="2" s="1"/>
  <c r="CS143" i="3"/>
  <c r="CW142" i="3"/>
  <c r="CC140" i="3"/>
  <c r="BN140" i="3"/>
  <c r="BC87" i="3"/>
  <c r="AY75" i="3"/>
  <c r="BR66" i="3"/>
  <c r="S57" i="3"/>
  <c r="AS55" i="3"/>
  <c r="BZ26" i="3"/>
  <c r="BK26" i="3"/>
  <c r="DW114" i="2"/>
  <c r="CR60" i="2"/>
  <c r="BX60" i="2"/>
  <c r="BX17" i="2"/>
  <c r="BX80" i="3" s="1"/>
  <c r="BX85" i="3" s="1"/>
  <c r="CH140" i="3"/>
  <c r="BS140" i="3"/>
  <c r="CM66" i="3"/>
  <c r="O57" i="3"/>
  <c r="CG48" i="3"/>
  <c r="CO26" i="3"/>
  <c r="BS185" i="2"/>
  <c r="BK185" i="2"/>
  <c r="J185" i="2"/>
  <c r="F185" i="2"/>
  <c r="CO118" i="2"/>
  <c r="CO119" i="2" s="1"/>
  <c r="CF114" i="2"/>
  <c r="AR114" i="2"/>
  <c r="CF107" i="2"/>
  <c r="BL107" i="2"/>
  <c r="CL92" i="2"/>
  <c r="CM92" i="2"/>
  <c r="CC72" i="2"/>
  <c r="AH62" i="2"/>
  <c r="F58" i="2"/>
  <c r="EO75" i="2"/>
  <c r="CI70" i="2"/>
  <c r="BR86" i="3"/>
  <c r="BW75" i="3"/>
  <c r="AJ75" i="3"/>
  <c r="BW74" i="3"/>
  <c r="J57" i="3"/>
  <c r="EB86" i="4"/>
  <c r="AG30" i="2"/>
  <c r="AG63" i="2"/>
  <c r="BW185" i="2"/>
  <c r="BR185" i="2"/>
  <c r="BN185" i="2"/>
  <c r="BF184" i="2"/>
  <c r="AX184" i="2"/>
  <c r="N184" i="2"/>
  <c r="CQ92" i="2"/>
  <c r="CC17" i="2"/>
  <c r="AM75" i="3"/>
  <c r="P75" i="3"/>
  <c r="AY74" i="3"/>
  <c r="AM74" i="3"/>
  <c r="CR26" i="3"/>
  <c r="CF84" i="4"/>
  <c r="AR84" i="4"/>
  <c r="AL185" i="2"/>
  <c r="Q60" i="2"/>
  <c r="CS76" i="2"/>
  <c r="CR17" i="2"/>
  <c r="BS17" i="2"/>
  <c r="BS56" i="2" s="1"/>
  <c r="CS69" i="2"/>
  <c r="BO142" i="3"/>
  <c r="BK74" i="3"/>
  <c r="Q74" i="3"/>
  <c r="Z26" i="3"/>
  <c r="CO89" i="4"/>
  <c r="BL84" i="4"/>
  <c r="BO204" i="2"/>
  <c r="N185" i="2"/>
  <c r="EP59" i="2"/>
  <c r="F29" i="2"/>
  <c r="F31" i="2" s="1"/>
  <c r="BU87" i="3"/>
  <c r="BK75" i="3"/>
  <c r="AR75" i="3"/>
  <c r="X75" i="3"/>
  <c r="CC74" i="3"/>
  <c r="BB74" i="3"/>
  <c r="AR74" i="3"/>
  <c r="BJ204" i="2"/>
  <c r="BU203" i="2"/>
  <c r="BO207" i="2"/>
  <c r="EP188" i="2"/>
  <c r="BF185" i="2"/>
  <c r="O185" i="2"/>
  <c r="K185" i="2"/>
  <c r="C185" i="2"/>
  <c r="BN184" i="2"/>
  <c r="BJ184" i="2"/>
  <c r="AH184" i="2"/>
  <c r="AD184" i="2"/>
  <c r="R184" i="2"/>
  <c r="J184" i="2"/>
  <c r="AF185" i="2"/>
  <c r="ES167" i="2"/>
  <c r="AC17" i="2"/>
  <c r="AC29" i="2" s="1"/>
  <c r="AC31" i="2" s="1"/>
  <c r="AC65" i="2" s="1"/>
  <c r="CB74" i="3"/>
  <c r="BD74" i="3"/>
  <c r="AX74" i="3"/>
  <c r="AI74" i="3"/>
  <c r="CH26" i="3"/>
  <c r="BX26" i="3"/>
  <c r="DR86" i="4"/>
  <c r="BO82" i="4"/>
  <c r="BO85" i="4" s="1"/>
  <c r="BO90" i="4" s="1"/>
  <c r="CS102" i="2"/>
  <c r="BY102" i="2"/>
  <c r="BE102" i="2"/>
  <c r="CP93" i="2"/>
  <c r="CJ60" i="2"/>
  <c r="BJ59" i="2"/>
  <c r="EK167" i="2"/>
  <c r="BT143" i="3"/>
  <c r="BP143" i="3"/>
  <c r="DT133" i="3"/>
  <c r="Q75" i="3"/>
  <c r="BC74" i="3"/>
  <c r="AO74" i="3"/>
  <c r="AI57" i="3"/>
  <c r="AJ26" i="3"/>
  <c r="CT164" i="2"/>
  <c r="BT205" i="2"/>
  <c r="BC185" i="2"/>
  <c r="AY185" i="2"/>
  <c r="AQ185" i="2"/>
  <c r="R185" i="2"/>
  <c r="DM114" i="2"/>
  <c r="CP114" i="2"/>
  <c r="CP120" i="2" s="1"/>
  <c r="AJ114" i="2"/>
  <c r="CP92" i="2"/>
  <c r="B64" i="2"/>
  <c r="V62" i="2"/>
  <c r="BU17" i="2"/>
  <c r="BU61" i="2" s="1"/>
  <c r="CO130" i="3"/>
  <c r="CB75" i="3"/>
  <c r="CH74" i="3"/>
  <c r="AT74" i="3"/>
  <c r="AN74" i="3"/>
  <c r="AD74" i="3"/>
  <c r="CU41" i="3"/>
  <c r="CU57" i="3" s="1"/>
  <c r="CM26" i="3"/>
  <c r="CC26" i="3"/>
  <c r="BS26" i="3"/>
  <c r="U26" i="3"/>
  <c r="U62" i="3" s="1"/>
  <c r="AN16" i="4"/>
  <c r="CD206" i="2"/>
  <c r="CX217" i="2"/>
  <c r="CN217" i="2"/>
  <c r="CD217" i="2"/>
  <c r="BT217" i="2"/>
  <c r="BO217" i="2"/>
  <c r="EG167" i="2"/>
  <c r="CS167" i="2"/>
  <c r="BY71" i="2"/>
  <c r="CS217" i="2"/>
  <c r="CI217" i="2"/>
  <c r="BY217" i="2"/>
  <c r="BJ217" i="2"/>
  <c r="CW123" i="3"/>
  <c r="BQ217" i="2"/>
  <c r="BG217" i="2"/>
  <c r="CL10" i="4"/>
  <c r="BL217" i="2"/>
  <c r="BO209" i="2"/>
  <c r="BJ167" i="2"/>
  <c r="ES69" i="2"/>
  <c r="BE69" i="2"/>
  <c r="H62" i="2"/>
  <c r="R61" i="2"/>
  <c r="CQ60" i="2"/>
  <c r="CG60" i="2"/>
  <c r="CB60" i="2"/>
  <c r="BU60" i="2"/>
  <c r="AS60" i="2"/>
  <c r="V60" i="2"/>
  <c r="ES59" i="2"/>
  <c r="BO59" i="2"/>
  <c r="AF59" i="2"/>
  <c r="AJ58" i="2"/>
  <c r="X58" i="2"/>
  <c r="R29" i="2"/>
  <c r="R30" i="2" s="1"/>
  <c r="BY76" i="2"/>
  <c r="CG17" i="2"/>
  <c r="BK17" i="2"/>
  <c r="CL87" i="3"/>
  <c r="BP87" i="3"/>
  <c r="AS87" i="3"/>
  <c r="CT86" i="3"/>
  <c r="CN70" i="4"/>
  <c r="CD103" i="2"/>
  <c r="CD111" i="3"/>
  <c r="CD101" i="3"/>
  <c r="CD109" i="3" s="1"/>
  <c r="CX103" i="2"/>
  <c r="BP129" i="3"/>
  <c r="ER183" i="2"/>
  <c r="EQ183" i="2"/>
  <c r="EP183" i="2"/>
  <c r="Q185" i="2"/>
  <c r="EP180" i="2"/>
  <c r="G184" i="2"/>
  <c r="BZ184" i="2"/>
  <c r="ER184" i="2" s="1"/>
  <c r="CX102" i="3"/>
  <c r="CY102" i="3" s="1"/>
  <c r="CZ102" i="3" s="1"/>
  <c r="DA102" i="3" s="1"/>
  <c r="CV109" i="3"/>
  <c r="CJ87" i="3"/>
  <c r="BA87" i="3"/>
  <c r="BZ86" i="3"/>
  <c r="BS86" i="3"/>
  <c r="BX146" i="2"/>
  <c r="CG74" i="3"/>
  <c r="DC114" i="2"/>
  <c r="BB184" i="2"/>
  <c r="CE86" i="3"/>
  <c r="BF86" i="3"/>
  <c r="CJ94" i="2"/>
  <c r="CF94" i="2"/>
  <c r="BK87" i="3"/>
  <c r="AV87" i="3"/>
  <c r="CO86" i="3"/>
  <c r="AW48" i="3"/>
  <c r="BJ209" i="2"/>
  <c r="BG185" i="2"/>
  <c r="AI185" i="2"/>
  <c r="S185" i="2"/>
  <c r="CH94" i="2"/>
  <c r="CQ93" i="2"/>
  <c r="CM93" i="2"/>
  <c r="CJ93" i="2"/>
  <c r="CF93" i="2"/>
  <c r="CK92" i="2"/>
  <c r="CX70" i="2"/>
  <c r="CX69" i="2"/>
  <c r="AR48" i="3"/>
  <c r="AS26" i="3"/>
  <c r="AN68" i="4"/>
  <c r="CQ67" i="4"/>
  <c r="CQ93" i="4" s="1"/>
  <c r="DJ133" i="3"/>
  <c r="I29" i="2"/>
  <c r="I30" i="2" s="1"/>
  <c r="I73" i="2"/>
  <c r="BJ106" i="2"/>
  <c r="BJ108" i="2" s="1"/>
  <c r="CX120" i="2"/>
  <c r="CN103" i="2"/>
  <c r="CI76" i="2"/>
  <c r="EQ75" i="2"/>
  <c r="BT75" i="2"/>
  <c r="BP72" i="2"/>
  <c r="AC72" i="2"/>
  <c r="AI62" i="2"/>
  <c r="AI61" i="2"/>
  <c r="CO60" i="2"/>
  <c r="AV60" i="2"/>
  <c r="CR52" i="2"/>
  <c r="EU75" i="2"/>
  <c r="CI75" i="2"/>
  <c r="BO75" i="2"/>
  <c r="EN25" i="2"/>
  <c r="EJ167" i="2"/>
  <c r="EL167" i="2"/>
  <c r="CE17" i="2"/>
  <c r="CE29" i="2" s="1"/>
  <c r="BO143" i="3"/>
  <c r="DE133" i="3"/>
  <c r="BT133" i="3"/>
  <c r="BP133" i="3"/>
  <c r="BA74" i="3"/>
  <c r="AV74" i="3"/>
  <c r="AQ74" i="3"/>
  <c r="AL74" i="3"/>
  <c r="X74" i="3"/>
  <c r="CP66" i="3"/>
  <c r="BP57" i="3"/>
  <c r="CU26" i="3"/>
  <c r="CA26" i="3"/>
  <c r="AW26" i="3"/>
  <c r="AC26" i="3"/>
  <c r="BL129" i="4"/>
  <c r="CB72" i="4"/>
  <c r="CO72" i="2"/>
  <c r="BU72" i="2"/>
  <c r="CE60" i="2"/>
  <c r="BK60" i="2"/>
  <c r="L60" i="2"/>
  <c r="V59" i="2"/>
  <c r="H58" i="2"/>
  <c r="EQ15" i="2"/>
  <c r="CD15" i="2"/>
  <c r="CS142" i="3"/>
  <c r="CO142" i="3"/>
  <c r="CJ142" i="3"/>
  <c r="BY142" i="3"/>
  <c r="BU142" i="3"/>
  <c r="CQ140" i="3"/>
  <c r="CF140" i="3"/>
  <c r="CA140" i="3"/>
  <c r="BV140" i="3"/>
  <c r="DY133" i="3"/>
  <c r="CJ133" i="3"/>
  <c r="BX133" i="3"/>
  <c r="BO133" i="3"/>
  <c r="CT130" i="3"/>
  <c r="CJ130" i="3"/>
  <c r="BT111" i="3"/>
  <c r="AQ75" i="3"/>
  <c r="AB75" i="3"/>
  <c r="BV74" i="3"/>
  <c r="AC74" i="3"/>
  <c r="W74" i="3"/>
  <c r="CF26" i="3"/>
  <c r="BQ26" i="3"/>
  <c r="BG26" i="3"/>
  <c r="AM26" i="3"/>
  <c r="DW86" i="4"/>
  <c r="CN86" i="4"/>
  <c r="N84" i="4"/>
  <c r="AP39" i="4"/>
  <c r="AP74" i="4" s="1"/>
  <c r="CK37" i="4"/>
  <c r="BW16" i="4"/>
  <c r="BI163" i="2"/>
  <c r="BJ163" i="2" s="1"/>
  <c r="CD167" i="2"/>
  <c r="BU167" i="2"/>
  <c r="BH163" i="2"/>
  <c r="BM164" i="2" s="1"/>
  <c r="CN75" i="2"/>
  <c r="CJ72" i="2"/>
  <c r="BK72" i="2"/>
  <c r="BP60" i="2"/>
  <c r="Z60" i="2"/>
  <c r="BP17" i="2"/>
  <c r="BP57" i="2" s="1"/>
  <c r="CN143" i="3"/>
  <c r="CJ143" i="3"/>
  <c r="CN142" i="3"/>
  <c r="BX142" i="3"/>
  <c r="BT142" i="3"/>
  <c r="BP142" i="3"/>
  <c r="CV140" i="3"/>
  <c r="CN133" i="3"/>
  <c r="BP130" i="3"/>
  <c r="BK130" i="3"/>
  <c r="CO129" i="3"/>
  <c r="CN111" i="3"/>
  <c r="BR74" i="3"/>
  <c r="AH74" i="3"/>
  <c r="AB74" i="3"/>
  <c r="CK26" i="3"/>
  <c r="BB26" i="3"/>
  <c r="AR26" i="3"/>
  <c r="O39" i="4"/>
  <c r="AD33" i="4"/>
  <c r="AT32" i="4"/>
  <c r="AN29" i="4"/>
  <c r="CV60" i="2"/>
  <c r="CT66" i="3"/>
  <c r="CX59" i="2"/>
  <c r="EM10" i="2"/>
  <c r="EN69" i="2" s="1"/>
  <c r="CV87" i="3"/>
  <c r="BN66" i="3"/>
  <c r="CE57" i="3"/>
  <c r="W57" i="3"/>
  <c r="CB48" i="3"/>
  <c r="CT41" i="3"/>
  <c r="CG93" i="2"/>
  <c r="CH92" i="2"/>
  <c r="ES19" i="2"/>
  <c r="ER19" i="2"/>
  <c r="CW60" i="2"/>
  <c r="CI15" i="2"/>
  <c r="CU66" i="3"/>
  <c r="CB57" i="3"/>
  <c r="BE48" i="3"/>
  <c r="CW47" i="3"/>
  <c r="CP41" i="3"/>
  <c r="CV26" i="3"/>
  <c r="CQ26" i="3"/>
  <c r="CL26" i="3"/>
  <c r="CG26" i="3"/>
  <c r="BU26" i="3"/>
  <c r="BN26" i="3"/>
  <c r="BF26" i="3"/>
  <c r="AV26" i="3"/>
  <c r="AO26" i="3"/>
  <c r="CO70" i="4"/>
  <c r="CE39" i="4"/>
  <c r="CE74" i="4" s="1"/>
  <c r="BJ207" i="2"/>
  <c r="BJ206" i="2"/>
  <c r="ES188" i="2"/>
  <c r="BQ184" i="2"/>
  <c r="BM184" i="2"/>
  <c r="BI184" i="2"/>
  <c r="BA184" i="2"/>
  <c r="AW184" i="2"/>
  <c r="AS184" i="2"/>
  <c r="AO184" i="2"/>
  <c r="AG184" i="2"/>
  <c r="AC184" i="2"/>
  <c r="Y184" i="2"/>
  <c r="U184" i="2"/>
  <c r="M184" i="2"/>
  <c r="I184" i="2"/>
  <c r="E184" i="2"/>
  <c r="CK17" i="2"/>
  <c r="CK29" i="2" s="1"/>
  <c r="CS15" i="2"/>
  <c r="BY15" i="2"/>
  <c r="ET11" i="2"/>
  <c r="CW87" i="3"/>
  <c r="BI87" i="3"/>
  <c r="AY86" i="3"/>
  <c r="BV66" i="3"/>
  <c r="V55" i="3"/>
  <c r="BQ48" i="3"/>
  <c r="CR38" i="3"/>
  <c r="CS34" i="3"/>
  <c r="CS33" i="3"/>
  <c r="BH26" i="3"/>
  <c r="AI26" i="3"/>
  <c r="BC48" i="4"/>
  <c r="BE167" i="2"/>
  <c r="CL94" i="2"/>
  <c r="EI35" i="2"/>
  <c r="CA66" i="3"/>
  <c r="AV55" i="3"/>
  <c r="BA48" i="3"/>
  <c r="AX26" i="3"/>
  <c r="AD26" i="3"/>
  <c r="EX98" i="2"/>
  <c r="EG40" i="2"/>
  <c r="BC17" i="2"/>
  <c r="CC87" i="3"/>
  <c r="CS55" i="3"/>
  <c r="BY48" i="3"/>
  <c r="BC26" i="3"/>
  <c r="AI43" i="4"/>
  <c r="BR42" i="4"/>
  <c r="CO37" i="4"/>
  <c r="BH17" i="4"/>
  <c r="CI106" i="2"/>
  <c r="CI108" i="2" s="1"/>
  <c r="CI82" i="4"/>
  <c r="CI85" i="4" s="1"/>
  <c r="BV203" i="2"/>
  <c r="BN203" i="2"/>
  <c r="BU184" i="2"/>
  <c r="EQ184" i="2" s="1"/>
  <c r="BT167" i="2"/>
  <c r="CS145" i="2"/>
  <c r="CL93" i="2"/>
  <c r="CJ92" i="2"/>
  <c r="ET75" i="2"/>
  <c r="CU72" i="2"/>
  <c r="CK72" i="2"/>
  <c r="CF72" i="2"/>
  <c r="BM72" i="2"/>
  <c r="CD70" i="2"/>
  <c r="AU69" i="2"/>
  <c r="T62" i="2"/>
  <c r="AO60" i="2"/>
  <c r="CI59" i="2"/>
  <c r="BT59" i="2"/>
  <c r="AU59" i="2"/>
  <c r="D58" i="2"/>
  <c r="BE15" i="2"/>
  <c r="BW87" i="3"/>
  <c r="BM87" i="3"/>
  <c r="CB86" i="3"/>
  <c r="AK55" i="3"/>
  <c r="AK47" i="3"/>
  <c r="W53" i="4"/>
  <c r="BY37" i="4"/>
  <c r="AD22" i="4"/>
  <c r="BW20" i="4"/>
  <c r="BJ208" i="2"/>
  <c r="BJ203" i="2"/>
  <c r="BZ185" i="2"/>
  <c r="ER185" i="2" s="1"/>
  <c r="ER167" i="2"/>
  <c r="CN167" i="2"/>
  <c r="CB72" i="2"/>
  <c r="AG72" i="2"/>
  <c r="AA69" i="2"/>
  <c r="AJ62" i="2"/>
  <c r="X62" i="2"/>
  <c r="O62" i="2"/>
  <c r="AJ61" i="2"/>
  <c r="CF60" i="2"/>
  <c r="AK60" i="2"/>
  <c r="AA59" i="2"/>
  <c r="T29" i="2"/>
  <c r="D29" i="2"/>
  <c r="CU17" i="2"/>
  <c r="CU80" i="3" s="1"/>
  <c r="CU85" i="3" s="1"/>
  <c r="CB17" i="2"/>
  <c r="CQ86" i="3"/>
  <c r="CG86" i="3"/>
  <c r="AX86" i="3"/>
  <c r="BM127" i="4"/>
  <c r="BK39" i="4"/>
  <c r="BK74" i="4" s="1"/>
  <c r="G39" i="4"/>
  <c r="G74" i="4" s="1"/>
  <c r="EQ167" i="2"/>
  <c r="AZ167" i="2"/>
  <c r="CF92" i="2"/>
  <c r="Y73" i="2"/>
  <c r="CG72" i="2"/>
  <c r="BH72" i="2"/>
  <c r="AY72" i="2"/>
  <c r="CI71" i="2"/>
  <c r="B65" i="2"/>
  <c r="T61" i="2"/>
  <c r="D61" i="2"/>
  <c r="CK60" i="2"/>
  <c r="AY60" i="2"/>
  <c r="AZ59" i="2"/>
  <c r="T58" i="2"/>
  <c r="EV40" i="2"/>
  <c r="CF17" i="2"/>
  <c r="CF80" i="3" s="1"/>
  <c r="CF85" i="3" s="1"/>
  <c r="CJ126" i="3"/>
  <c r="CX53" i="3"/>
  <c r="CC48" i="3"/>
  <c r="BP48" i="3"/>
  <c r="AZ47" i="3"/>
  <c r="BW49" i="4"/>
  <c r="B39" i="4"/>
  <c r="CU36" i="4"/>
  <c r="CU37" i="4" s="1"/>
  <c r="CR87" i="3"/>
  <c r="BX87" i="3"/>
  <c r="BD87" i="3"/>
  <c r="CH86" i="3"/>
  <c r="CM86" i="3" s="1"/>
  <c r="BN86" i="3"/>
  <c r="AT86" i="3"/>
  <c r="AN55" i="3"/>
  <c r="CR39" i="3"/>
  <c r="CJ38" i="3"/>
  <c r="CG68" i="4"/>
  <c r="CH68" i="4" s="1"/>
  <c r="AI65" i="4"/>
  <c r="CG61" i="4"/>
  <c r="AA53" i="4"/>
  <c r="AX44" i="4"/>
  <c r="CL43" i="4"/>
  <c r="BX43" i="4"/>
  <c r="AC37" i="4"/>
  <c r="BW28" i="4"/>
  <c r="Y27" i="4"/>
  <c r="AN26" i="4"/>
  <c r="CV18" i="4"/>
  <c r="BM18" i="4"/>
  <c r="CB16" i="4"/>
  <c r="AI16" i="4"/>
  <c r="CS95" i="3"/>
  <c r="CN95" i="3"/>
  <c r="AR55" i="3"/>
  <c r="CF41" i="3"/>
  <c r="CF48" i="3" s="1"/>
  <c r="AP16" i="3"/>
  <c r="CJ102" i="4"/>
  <c r="EN75" i="2"/>
  <c r="CQ66" i="3"/>
  <c r="CH66" i="3"/>
  <c r="BS66" i="3"/>
  <c r="AB57" i="3"/>
  <c r="CK55" i="3"/>
  <c r="AP54" i="3"/>
  <c r="AF47" i="3"/>
  <c r="CL41" i="3"/>
  <c r="BS41" i="3"/>
  <c r="BS48" i="3" s="1"/>
  <c r="CX38" i="3"/>
  <c r="BK129" i="4"/>
  <c r="BK127" i="4"/>
  <c r="T72" i="4"/>
  <c r="CD70" i="4"/>
  <c r="BT70" i="4"/>
  <c r="BW65" i="4"/>
  <c r="BC60" i="4"/>
  <c r="CB50" i="4"/>
  <c r="AS50" i="4"/>
  <c r="AD48" i="4"/>
  <c r="AD46" i="4"/>
  <c r="C39" i="4"/>
  <c r="C74" i="4" s="1"/>
  <c r="BW33" i="4"/>
  <c r="BC12" i="4"/>
  <c r="T12" i="4"/>
  <c r="BW164" i="2"/>
  <c r="CN148" i="2"/>
  <c r="ET35" i="2"/>
  <c r="H29" i="2"/>
  <c r="BW17" i="2"/>
  <c r="BW29" i="2" s="1"/>
  <c r="BD17" i="2"/>
  <c r="AO17" i="2"/>
  <c r="AO73" i="2" s="1"/>
  <c r="CD82" i="4"/>
  <c r="CD85" i="4" s="1"/>
  <c r="CD90" i="4" s="1"/>
  <c r="BX52" i="2"/>
  <c r="EP35" i="2"/>
  <c r="ER34" i="2"/>
  <c r="AY17" i="2"/>
  <c r="AY29" i="2" s="1"/>
  <c r="CA17" i="2"/>
  <c r="CA57" i="2" s="1"/>
  <c r="BL17" i="2"/>
  <c r="ET188" i="2"/>
  <c r="BU164" i="2"/>
  <c r="V40" i="2"/>
  <c r="EK27" i="2"/>
  <c r="Y29" i="2"/>
  <c r="BH17" i="2"/>
  <c r="CV17" i="2"/>
  <c r="CV80" i="3" s="1"/>
  <c r="CV85" i="3" s="1"/>
  <c r="CM17" i="2"/>
  <c r="CH60" i="2"/>
  <c r="ET15" i="2"/>
  <c r="BT148" i="2"/>
  <c r="X29" i="2"/>
  <c r="X31" i="2" s="1"/>
  <c r="BR10" i="4"/>
  <c r="CK140" i="3"/>
  <c r="CS125" i="3"/>
  <c r="CM126" i="3"/>
  <c r="CH126" i="3"/>
  <c r="CS109" i="3"/>
  <c r="CT126" i="3" s="1"/>
  <c r="BY109" i="3"/>
  <c r="BC75" i="3"/>
  <c r="BU74" i="3"/>
  <c r="BP74" i="3"/>
  <c r="CE66" i="3"/>
  <c r="BK66" i="3"/>
  <c r="BK57" i="3"/>
  <c r="T57" i="3"/>
  <c r="T58" i="3" s="1"/>
  <c r="K57" i="3"/>
  <c r="K58" i="3" s="1"/>
  <c r="AV48" i="3"/>
  <c r="CS47" i="3"/>
  <c r="CQ41" i="3"/>
  <c r="CQ48" i="3" s="1"/>
  <c r="CD41" i="3"/>
  <c r="AB26" i="3"/>
  <c r="W26" i="3"/>
  <c r="V16" i="3"/>
  <c r="DW94" i="4"/>
  <c r="CN89" i="4"/>
  <c r="BJ82" i="4"/>
  <c r="BJ85" i="4" s="1"/>
  <c r="BJ90" i="4" s="1"/>
  <c r="AC70" i="4"/>
  <c r="CK53" i="4"/>
  <c r="AW53" i="4"/>
  <c r="R53" i="4"/>
  <c r="BH50" i="4"/>
  <c r="BI50" i="4" s="1"/>
  <c r="O50" i="4"/>
  <c r="P50" i="4" s="1"/>
  <c r="BM46" i="4"/>
  <c r="AD44" i="4"/>
  <c r="AD42" i="4"/>
  <c r="BF39" i="4"/>
  <c r="BF74" i="4" s="1"/>
  <c r="J39" i="4"/>
  <c r="J74" i="4" s="1"/>
  <c r="AD36" i="4"/>
  <c r="BW35" i="4"/>
  <c r="CI167" i="2"/>
  <c r="BO167" i="2"/>
  <c r="EN59" i="2"/>
  <c r="G17" i="2"/>
  <c r="G58" i="2" s="1"/>
  <c r="CP140" i="3"/>
  <c r="CU87" i="3"/>
  <c r="CP87" i="3"/>
  <c r="CK87" i="3"/>
  <c r="CF87" i="3"/>
  <c r="CA87" i="3"/>
  <c r="BV87" i="3"/>
  <c r="BQ87" i="3"/>
  <c r="BL87" i="3"/>
  <c r="BG87" i="3"/>
  <c r="BB87" i="3"/>
  <c r="AW87" i="3"/>
  <c r="AR87" i="3"/>
  <c r="CE75" i="3"/>
  <c r="BP75" i="3"/>
  <c r="AN75" i="3"/>
  <c r="AE75" i="3"/>
  <c r="CE74" i="3"/>
  <c r="BZ74" i="3"/>
  <c r="E58" i="3"/>
  <c r="BW57" i="3"/>
  <c r="BD57" i="3"/>
  <c r="AE57" i="3"/>
  <c r="AF55" i="3"/>
  <c r="BU48" i="3"/>
  <c r="BD48" i="3"/>
  <c r="AS48" i="3"/>
  <c r="AL26" i="3"/>
  <c r="AE26" i="3"/>
  <c r="AF26" i="3" s="1"/>
  <c r="CW16" i="3"/>
  <c r="CD16" i="3"/>
  <c r="CW95" i="4"/>
  <c r="DT89" i="4"/>
  <c r="CI86" i="4"/>
  <c r="CU84" i="4"/>
  <c r="AM84" i="4"/>
  <c r="CS70" i="4"/>
  <c r="AX29" i="4"/>
  <c r="AD28" i="4"/>
  <c r="BW22" i="4"/>
  <c r="BW19" i="4"/>
  <c r="ER177" i="2"/>
  <c r="BJ15" i="2"/>
  <c r="BJ60" i="2" s="1"/>
  <c r="CD69" i="2"/>
  <c r="BJ69" i="2"/>
  <c r="BQ140" i="3"/>
  <c r="BL140" i="3"/>
  <c r="CO133" i="3"/>
  <c r="BY133" i="3"/>
  <c r="BU133" i="3"/>
  <c r="CU109" i="3"/>
  <c r="CU123" i="3" s="1"/>
  <c r="AJ74" i="3"/>
  <c r="AE74" i="3"/>
  <c r="Z74" i="3"/>
  <c r="U74" i="3"/>
  <c r="BZ66" i="3"/>
  <c r="BC57" i="3"/>
  <c r="AJ57" i="3"/>
  <c r="P57" i="3"/>
  <c r="F57" i="3"/>
  <c r="F58" i="3" s="1"/>
  <c r="CM41" i="3"/>
  <c r="CM48" i="3" s="1"/>
  <c r="AK41" i="3"/>
  <c r="CN40" i="3"/>
  <c r="CX36" i="3"/>
  <c r="CB26" i="3"/>
  <c r="BW26" i="3"/>
  <c r="BR26" i="3"/>
  <c r="BM26" i="3"/>
  <c r="BI26" i="3"/>
  <c r="BD26" i="3"/>
  <c r="AY26" i="3"/>
  <c r="AT26" i="3"/>
  <c r="AF19" i="3"/>
  <c r="BJ16" i="3"/>
  <c r="CX11" i="3"/>
  <c r="CY11" i="3" s="1"/>
  <c r="BH129" i="4"/>
  <c r="BJ128" i="4"/>
  <c r="BJ126" i="4"/>
  <c r="BL89" i="4"/>
  <c r="AM89" i="4"/>
  <c r="S84" i="4"/>
  <c r="V76" i="4"/>
  <c r="CL66" i="4"/>
  <c r="CG66" i="4"/>
  <c r="CB66" i="4"/>
  <c r="BM61" i="4"/>
  <c r="BN57" i="4"/>
  <c r="CS53" i="4"/>
  <c r="BC49" i="4"/>
  <c r="BR44" i="4"/>
  <c r="BC43" i="4"/>
  <c r="AL39" i="4"/>
  <c r="AL74" i="4" s="1"/>
  <c r="AD35" i="4"/>
  <c r="BM31" i="4"/>
  <c r="CG30" i="4"/>
  <c r="AX30" i="4"/>
  <c r="CV29" i="4"/>
  <c r="CL21" i="4"/>
  <c r="CQ12" i="4"/>
  <c r="BH12" i="4"/>
  <c r="BI12" i="4" s="1"/>
  <c r="CG10" i="4"/>
  <c r="CW67" i="4"/>
  <c r="CW93" i="4" s="1"/>
  <c r="CV93" i="4"/>
  <c r="BI127" i="4"/>
  <c r="BL128" i="4"/>
  <c r="BH127" i="4"/>
  <c r="CV72" i="4"/>
  <c r="AI72" i="4"/>
  <c r="AS68" i="4"/>
  <c r="CB65" i="4"/>
  <c r="AN65" i="4"/>
  <c r="EG63" i="4"/>
  <c r="CP60" i="4"/>
  <c r="CQ60" i="4" s="1"/>
  <c r="CR60" i="4" s="1"/>
  <c r="BH60" i="4"/>
  <c r="BW59" i="4"/>
  <c r="AD58" i="4"/>
  <c r="BQ53" i="4"/>
  <c r="AI51" i="4"/>
  <c r="CL49" i="4"/>
  <c r="AD49" i="4"/>
  <c r="CL46" i="4"/>
  <c r="CM46" i="4" s="1"/>
  <c r="AI45" i="4"/>
  <c r="BR43" i="4"/>
  <c r="AD43" i="4"/>
  <c r="BW42" i="4"/>
  <c r="AI42" i="4"/>
  <c r="AI36" i="4"/>
  <c r="BR35" i="4"/>
  <c r="AI35" i="4"/>
  <c r="BH31" i="4"/>
  <c r="AT31" i="4"/>
  <c r="BC29" i="4"/>
  <c r="AI26" i="4"/>
  <c r="BR22" i="4"/>
  <c r="AI22" i="4"/>
  <c r="BR19" i="4"/>
  <c r="CV17" i="4"/>
  <c r="BM17" i="4"/>
  <c r="BL127" i="4"/>
  <c r="AX10" i="4"/>
  <c r="BC72" i="4"/>
  <c r="R70" i="4"/>
  <c r="BH68" i="4"/>
  <c r="BI68" i="4" s="1"/>
  <c r="S68" i="4"/>
  <c r="T68" i="4" s="1"/>
  <c r="CY65" i="4"/>
  <c r="BC65" i="4"/>
  <c r="S65" i="4"/>
  <c r="AN63" i="4"/>
  <c r="AO63" i="4" s="1"/>
  <c r="BR61" i="4"/>
  <c r="BN56" i="4"/>
  <c r="BM50" i="4"/>
  <c r="Y50" i="4"/>
  <c r="CB49" i="4"/>
  <c r="AI48" i="4"/>
  <c r="CG46" i="4"/>
  <c r="BS46" i="4"/>
  <c r="BX44" i="4"/>
  <c r="AI44" i="4"/>
  <c r="CQ42" i="4"/>
  <c r="AX42" i="4"/>
  <c r="AQ39" i="4"/>
  <c r="AQ74" i="4" s="1"/>
  <c r="N39" i="4"/>
  <c r="BQ37" i="4"/>
  <c r="BR33" i="4"/>
  <c r="AI33" i="4"/>
  <c r="AN32" i="4"/>
  <c r="Z32" i="4"/>
  <c r="CL30" i="4"/>
  <c r="AS30" i="4"/>
  <c r="AI29" i="4"/>
  <c r="BR28" i="4"/>
  <c r="AI28" i="4"/>
  <c r="AY27" i="4"/>
  <c r="T27" i="4"/>
  <c r="BH23" i="4"/>
  <c r="CG21" i="4"/>
  <c r="CB20" i="4"/>
  <c r="BH18" i="4"/>
  <c r="S14" i="4"/>
  <c r="CD108" i="2"/>
  <c r="DC94" i="4"/>
  <c r="CI103" i="2"/>
  <c r="BO103" i="2"/>
  <c r="AP47" i="3"/>
  <c r="V41" i="3"/>
  <c r="DR114" i="2"/>
  <c r="BX114" i="2"/>
  <c r="AW114" i="2"/>
  <c r="CQ95" i="4"/>
  <c r="CF89" i="4"/>
  <c r="CQ72" i="4"/>
  <c r="BH72" i="4"/>
  <c r="CL68" i="4"/>
  <c r="BM68" i="4"/>
  <c r="N68" i="4"/>
  <c r="N70" i="4" s="1"/>
  <c r="BW66" i="4"/>
  <c r="BQ66" i="4"/>
  <c r="BQ70" i="4" s="1"/>
  <c r="CR65" i="4"/>
  <c r="BH65" i="4"/>
  <c r="X65" i="4"/>
  <c r="CV64" i="4"/>
  <c r="CU61" i="4"/>
  <c r="CV60" i="4"/>
  <c r="CW60" i="4" s="1"/>
  <c r="CW118" i="2" s="1"/>
  <c r="CW119" i="2" s="1"/>
  <c r="BW60" i="4"/>
  <c r="BR59" i="4"/>
  <c r="O65" i="4"/>
  <c r="CK61" i="4"/>
  <c r="CK89" i="4" s="1"/>
  <c r="BW57" i="4"/>
  <c r="BL114" i="2"/>
  <c r="M114" i="2"/>
  <c r="DO133" i="3"/>
  <c r="BM128" i="4"/>
  <c r="BI128" i="4"/>
  <c r="BM126" i="4"/>
  <c r="BI126" i="4"/>
  <c r="DR94" i="4"/>
  <c r="CJ89" i="4"/>
  <c r="AW70" i="4"/>
  <c r="CP61" i="4"/>
  <c r="DM60" i="4"/>
  <c r="AN60" i="4"/>
  <c r="CF118" i="2"/>
  <c r="CF119" i="2" s="1"/>
  <c r="CT133" i="3"/>
  <c r="CR35" i="3"/>
  <c r="CS35" i="3" s="1"/>
  <c r="BJ129" i="4"/>
  <c r="BH128" i="4"/>
  <c r="BJ127" i="4"/>
  <c r="BL126" i="4"/>
  <c r="BH126" i="4"/>
  <c r="DO89" i="4"/>
  <c r="BW72" i="4"/>
  <c r="AN72" i="4"/>
  <c r="CJ70" i="4"/>
  <c r="BP70" i="4"/>
  <c r="M70" i="4"/>
  <c r="AI63" i="4"/>
  <c r="CB60" i="4"/>
  <c r="CZ58" i="4"/>
  <c r="AD51" i="4"/>
  <c r="X51" i="4"/>
  <c r="X53" i="4" s="1"/>
  <c r="AS10" i="4"/>
  <c r="AE10" i="4"/>
  <c r="CP36" i="4"/>
  <c r="CP37" i="4" s="1"/>
  <c r="AX36" i="4"/>
  <c r="CQ35" i="4"/>
  <c r="AX35" i="4"/>
  <c r="CL33" i="4"/>
  <c r="BC33" i="4"/>
  <c r="BM30" i="4"/>
  <c r="AD30" i="4"/>
  <c r="CL29" i="4"/>
  <c r="CL28" i="4"/>
  <c r="BC28" i="4"/>
  <c r="CB23" i="4"/>
  <c r="AX22" i="4"/>
  <c r="BM21" i="4"/>
  <c r="BH20" i="4"/>
  <c r="AX19" i="4"/>
  <c r="CB18" i="4"/>
  <c r="AS18" i="4"/>
  <c r="CG17" i="4"/>
  <c r="AN17" i="4"/>
  <c r="BC16" i="4"/>
  <c r="BW12" i="4"/>
  <c r="AN12" i="4"/>
  <c r="BM10" i="4"/>
  <c r="AC53" i="4"/>
  <c r="M53" i="4"/>
  <c r="CV51" i="4"/>
  <c r="CG50" i="4"/>
  <c r="CG84" i="4" s="1"/>
  <c r="AN50" i="4"/>
  <c r="AO50" i="4" s="1"/>
  <c r="T50" i="4"/>
  <c r="BH49" i="4"/>
  <c r="AN45" i="4"/>
  <c r="BC44" i="4"/>
  <c r="CG43" i="4"/>
  <c r="AX43" i="4"/>
  <c r="CL42" i="4"/>
  <c r="BC42" i="4"/>
  <c r="AU39" i="4"/>
  <c r="R39" i="4"/>
  <c r="AW37" i="4"/>
  <c r="CL36" i="4"/>
  <c r="BM36" i="4"/>
  <c r="BC36" i="4"/>
  <c r="CL35" i="4"/>
  <c r="BC35" i="4"/>
  <c r="AE34" i="4"/>
  <c r="AX33" i="4"/>
  <c r="AD31" i="4"/>
  <c r="BR30" i="4"/>
  <c r="Y30" i="4"/>
  <c r="T29" i="4"/>
  <c r="CQ28" i="4"/>
  <c r="AX28" i="4"/>
  <c r="AN27" i="4"/>
  <c r="BW23" i="4"/>
  <c r="BC22" i="4"/>
  <c r="BR21" i="4"/>
  <c r="BC19" i="4"/>
  <c r="CG18" i="4"/>
  <c r="AN18" i="4"/>
  <c r="CB17" i="4"/>
  <c r="AS17" i="4"/>
  <c r="BH16" i="4"/>
  <c r="CB12" i="4"/>
  <c r="AI12" i="4"/>
  <c r="CA119" i="2"/>
  <c r="CY118" i="2"/>
  <c r="CY103" i="2"/>
  <c r="AP41" i="3"/>
  <c r="BF41" i="3"/>
  <c r="BF75" i="3" s="1"/>
  <c r="CX32" i="3"/>
  <c r="CX31" i="3"/>
  <c r="BG31" i="3"/>
  <c r="AY164" i="2"/>
  <c r="AW164" i="2"/>
  <c r="BT145" i="2"/>
  <c r="CE93" i="2"/>
  <c r="AV51" i="2"/>
  <c r="BT45" i="2"/>
  <c r="CD71" i="2"/>
  <c r="BA164" i="2"/>
  <c r="CN145" i="2"/>
  <c r="CM123" i="2"/>
  <c r="CD120" i="2"/>
  <c r="CQ123" i="2"/>
  <c r="CM94" i="2"/>
  <c r="CE94" i="2"/>
  <c r="BR52" i="2"/>
  <c r="ES35" i="2"/>
  <c r="EG35" i="2"/>
  <c r="EP75" i="2"/>
  <c r="BO208" i="2"/>
  <c r="CH164" i="2"/>
  <c r="CN164" i="2"/>
  <c r="CK152" i="2"/>
  <c r="CJ146" i="2"/>
  <c r="CF123" i="2"/>
  <c r="ET87" i="2"/>
  <c r="ET90" i="2" s="1"/>
  <c r="EH35" i="2"/>
  <c r="L35" i="2"/>
  <c r="EU15" i="2"/>
  <c r="AF15" i="2"/>
  <c r="CG101" i="4"/>
  <c r="CL102" i="4" s="1"/>
  <c r="CK102" i="4"/>
  <c r="BY194" i="2"/>
  <c r="CD209" i="2" s="1"/>
  <c r="CF126" i="3"/>
  <c r="CP126" i="3"/>
  <c r="BU185" i="2"/>
  <c r="EQ185" i="2" s="1"/>
  <c r="BQ185" i="2"/>
  <c r="BM185" i="2"/>
  <c r="BI185" i="2"/>
  <c r="BA185" i="2"/>
  <c r="AW185" i="2"/>
  <c r="AS185" i="2"/>
  <c r="AO185" i="2"/>
  <c r="AG185" i="2"/>
  <c r="AC185" i="2"/>
  <c r="Y185" i="2"/>
  <c r="U185" i="2"/>
  <c r="M185" i="2"/>
  <c r="I185" i="2"/>
  <c r="E185" i="2"/>
  <c r="CB184" i="2"/>
  <c r="BX184" i="2"/>
  <c r="BP184" i="2"/>
  <c r="BL184" i="2"/>
  <c r="BH184" i="2"/>
  <c r="BD184" i="2"/>
  <c r="AV184" i="2"/>
  <c r="AR184" i="2"/>
  <c r="AN184" i="2"/>
  <c r="AJ184" i="2"/>
  <c r="AB184" i="2"/>
  <c r="X184" i="2"/>
  <c r="T184" i="2"/>
  <c r="P184" i="2"/>
  <c r="H184" i="2"/>
  <c r="D184" i="2"/>
  <c r="CK94" i="2"/>
  <c r="CG94" i="2"/>
  <c r="BX185" i="2"/>
  <c r="BP185" i="2"/>
  <c r="EP185" i="2" s="1"/>
  <c r="BL185" i="2"/>
  <c r="BH185" i="2"/>
  <c r="BD185" i="2"/>
  <c r="AV185" i="2"/>
  <c r="AR185" i="2"/>
  <c r="AN185" i="2"/>
  <c r="AJ185" i="2"/>
  <c r="AB185" i="2"/>
  <c r="X185" i="2"/>
  <c r="T185" i="2"/>
  <c r="P185" i="2"/>
  <c r="H185" i="2"/>
  <c r="D185" i="2"/>
  <c r="BW184" i="2"/>
  <c r="BS184" i="2"/>
  <c r="BK184" i="2"/>
  <c r="BG184" i="2"/>
  <c r="BC184" i="2"/>
  <c r="AY184" i="2"/>
  <c r="AQ184" i="2"/>
  <c r="AM184" i="2"/>
  <c r="AI184" i="2"/>
  <c r="AE184" i="2"/>
  <c r="W184" i="2"/>
  <c r="S184" i="2"/>
  <c r="O184" i="2"/>
  <c r="K184" i="2"/>
  <c r="K197" i="2" s="1"/>
  <c r="C184" i="2"/>
  <c r="EQ179" i="2"/>
  <c r="EV99" i="2"/>
  <c r="EV98" i="2"/>
  <c r="EV97" i="2"/>
  <c r="EV89" i="2"/>
  <c r="CG92" i="2"/>
  <c r="CK126" i="3"/>
  <c r="BO116" i="2"/>
  <c r="AI158" i="2"/>
  <c r="W73" i="2"/>
  <c r="AQ72" i="2"/>
  <c r="AQ60" i="2"/>
  <c r="AG31" i="2"/>
  <c r="AH29" i="2"/>
  <c r="AQ17" i="2"/>
  <c r="AQ80" i="3" s="1"/>
  <c r="AQ85" i="3" s="1"/>
  <c r="EO15" i="2"/>
  <c r="EO60" i="2" s="1"/>
  <c r="AV72" i="2"/>
  <c r="AG39" i="2"/>
  <c r="V29" i="2"/>
  <c r="U60" i="3" s="1"/>
  <c r="AJ158" i="2"/>
  <c r="AK158" i="2" s="1"/>
  <c r="Z62" i="2"/>
  <c r="R62" i="2"/>
  <c r="AH61" i="2"/>
  <c r="V61" i="2"/>
  <c r="Z58" i="2"/>
  <c r="R58" i="2"/>
  <c r="Z29" i="2"/>
  <c r="AV17" i="2"/>
  <c r="AV80" i="3" s="1"/>
  <c r="AV85" i="3" s="1"/>
  <c r="BR164" i="2"/>
  <c r="CX148" i="2"/>
  <c r="CS148" i="2"/>
  <c r="BY148" i="2"/>
  <c r="BY145" i="2"/>
  <c r="CV123" i="2"/>
  <c r="CE123" i="2"/>
  <c r="BW123" i="2"/>
  <c r="AZ164" i="2"/>
  <c r="BO206" i="2"/>
  <c r="CI194" i="2"/>
  <c r="CI209" i="2" s="1"/>
  <c r="BW203" i="2"/>
  <c r="BT188" i="2"/>
  <c r="CC164" i="2"/>
  <c r="CD148" i="2"/>
  <c r="CX145" i="2"/>
  <c r="CU123" i="2"/>
  <c r="CJ123" i="2"/>
  <c r="CB123" i="2"/>
  <c r="B215" i="2"/>
  <c r="BY188" i="2"/>
  <c r="BO203" i="2"/>
  <c r="CM164" i="2"/>
  <c r="CW164" i="2"/>
  <c r="CO164" i="2"/>
  <c r="CK164" i="2"/>
  <c r="CG164" i="2"/>
  <c r="CI145" i="2"/>
  <c r="CD145" i="2"/>
  <c r="CA123" i="2"/>
  <c r="BK120" i="2"/>
  <c r="BO120" i="2" s="1"/>
  <c r="CT119" i="2"/>
  <c r="G24" i="2"/>
  <c r="E23" i="2"/>
  <c r="G23" i="2" s="1"/>
  <c r="AA17" i="2"/>
  <c r="AA73" i="2" s="1"/>
  <c r="EG17" i="2"/>
  <c r="EU69" i="2"/>
  <c r="CG116" i="2"/>
  <c r="BP120" i="2"/>
  <c r="BT120" i="2" s="1"/>
  <c r="CE72" i="2"/>
  <c r="ER45" i="2"/>
  <c r="CX35" i="2"/>
  <c r="EM167" i="2"/>
  <c r="EI167" i="2"/>
  <c r="CE126" i="3"/>
  <c r="AH99" i="4"/>
  <c r="CY120" i="2"/>
  <c r="CI116" i="2"/>
  <c r="BE116" i="2"/>
  <c r="BA120" i="2"/>
  <c r="BE120" i="2" s="1"/>
  <c r="BU52" i="2"/>
  <c r="EQ45" i="2"/>
  <c r="CN52" i="2"/>
  <c r="CI35" i="2"/>
  <c r="ER33" i="2"/>
  <c r="EH23" i="2"/>
  <c r="EH167" i="2" s="1"/>
  <c r="O21" i="2"/>
  <c r="P21" i="2" s="1"/>
  <c r="O73" i="2"/>
  <c r="CS71" i="2"/>
  <c r="CR126" i="3"/>
  <c r="CX125" i="3"/>
  <c r="CL126" i="3"/>
  <c r="CG126" i="3"/>
  <c r="AR99" i="4"/>
  <c r="AR80" i="3"/>
  <c r="AR85" i="3" s="1"/>
  <c r="AR29" i="2"/>
  <c r="AR58" i="2"/>
  <c r="AR61" i="2"/>
  <c r="AR62" i="2"/>
  <c r="EY33" i="2"/>
  <c r="EX33" i="2"/>
  <c r="CN120" i="2"/>
  <c r="CJ119" i="2"/>
  <c r="BJ116" i="2"/>
  <c r="M58" i="2"/>
  <c r="M61" i="2"/>
  <c r="M62" i="2"/>
  <c r="R73" i="2"/>
  <c r="M29" i="2"/>
  <c r="M73" i="2"/>
  <c r="DH33" i="2"/>
  <c r="CE119" i="2"/>
  <c r="CI120" i="2"/>
  <c r="CO116" i="2"/>
  <c r="BY59" i="2"/>
  <c r="BY167" i="2"/>
  <c r="DC33" i="2"/>
  <c r="BZ119" i="2"/>
  <c r="BT113" i="2"/>
  <c r="AP51" i="2"/>
  <c r="CW52" i="2"/>
  <c r="BT129" i="3"/>
  <c r="C29" i="2"/>
  <c r="BE205" i="2"/>
  <c r="CE203" i="2"/>
  <c r="BS203" i="2"/>
  <c r="EQ188" i="2"/>
  <c r="AA184" i="2"/>
  <c r="CR164" i="2"/>
  <c r="CJ164" i="2"/>
  <c r="CF164" i="2"/>
  <c r="CB164" i="2"/>
  <c r="BX164" i="2"/>
  <c r="BD164" i="2"/>
  <c r="CS163" i="2"/>
  <c r="BY163" i="2"/>
  <c r="BE163" i="2"/>
  <c r="BE164" i="2" s="1"/>
  <c r="CF146" i="2"/>
  <c r="BQ146" i="2"/>
  <c r="BO124" i="2"/>
  <c r="BO123" i="2" s="1"/>
  <c r="CO123" i="2"/>
  <c r="CK123" i="2"/>
  <c r="CG123" i="2"/>
  <c r="BU123" i="2"/>
  <c r="BF120" i="2"/>
  <c r="BJ120" i="2" s="1"/>
  <c r="CX76" i="2"/>
  <c r="T73" i="2"/>
  <c r="CA72" i="2"/>
  <c r="Q72" i="2"/>
  <c r="CN71" i="2"/>
  <c r="EV69" i="2"/>
  <c r="EQ69" i="2"/>
  <c r="CI69" i="2"/>
  <c r="R69" i="2"/>
  <c r="W62" i="2"/>
  <c r="W61" i="2"/>
  <c r="BZ60" i="2"/>
  <c r="BR60" i="2"/>
  <c r="BM60" i="2"/>
  <c r="BI60" i="2"/>
  <c r="BA60" i="2"/>
  <c r="AW60" i="2"/>
  <c r="AR60" i="2"/>
  <c r="AN60" i="2"/>
  <c r="AB60" i="2"/>
  <c r="EU59" i="2"/>
  <c r="CD59" i="2"/>
  <c r="EM54" i="2"/>
  <c r="BJ51" i="2"/>
  <c r="AW51" i="2"/>
  <c r="CS52" i="2"/>
  <c r="EU35" i="2"/>
  <c r="EV35" i="2"/>
  <c r="CN35" i="2"/>
  <c r="BY35" i="2"/>
  <c r="CN76" i="2"/>
  <c r="EV59" i="2"/>
  <c r="ER59" i="2"/>
  <c r="CS59" i="2"/>
  <c r="EQ19" i="2"/>
  <c r="BM17" i="2"/>
  <c r="AW17" i="2"/>
  <c r="Y58" i="2"/>
  <c r="Y61" i="2"/>
  <c r="Y62" i="2"/>
  <c r="U58" i="2"/>
  <c r="U61" i="2"/>
  <c r="U62" i="2"/>
  <c r="Z73" i="2"/>
  <c r="I58" i="2"/>
  <c r="I61" i="2"/>
  <c r="I62" i="2"/>
  <c r="E58" i="2"/>
  <c r="E61" i="2"/>
  <c r="J73" i="2"/>
  <c r="BT15" i="2"/>
  <c r="AT17" i="2"/>
  <c r="AT72" i="2"/>
  <c r="AP15" i="2"/>
  <c r="AL17" i="2"/>
  <c r="AL72" i="2"/>
  <c r="AD17" i="2"/>
  <c r="AD72" i="2"/>
  <c r="CN69" i="2"/>
  <c r="BT69" i="2"/>
  <c r="AZ69" i="2"/>
  <c r="AF69" i="2"/>
  <c r="T69" i="2"/>
  <c r="I59" i="2"/>
  <c r="CS130" i="3"/>
  <c r="BJ76" i="2"/>
  <c r="X73" i="2"/>
  <c r="H73" i="2"/>
  <c r="BI72" i="2"/>
  <c r="AS72" i="2"/>
  <c r="AN72" i="2"/>
  <c r="L72" i="2"/>
  <c r="K62" i="2"/>
  <c r="K61" i="2"/>
  <c r="AP59" i="2"/>
  <c r="AU51" i="2"/>
  <c r="O40" i="2"/>
  <c r="P40" i="2" s="1"/>
  <c r="EO35" i="2"/>
  <c r="CS35" i="2"/>
  <c r="BO35" i="2"/>
  <c r="AA35" i="2"/>
  <c r="BY129" i="3"/>
  <c r="EW33" i="2"/>
  <c r="AJ29" i="2"/>
  <c r="EL27" i="2"/>
  <c r="EM75" i="2" s="1"/>
  <c r="CX75" i="2"/>
  <c r="CD75" i="2"/>
  <c r="BJ75" i="2"/>
  <c r="BK82" i="3"/>
  <c r="BK83" i="3"/>
  <c r="BO25" i="2"/>
  <c r="BP76" i="2"/>
  <c r="BU83" i="3"/>
  <c r="BU59" i="2"/>
  <c r="BE59" i="2"/>
  <c r="BA17" i="2"/>
  <c r="AK17" i="2"/>
  <c r="AK58" i="2" s="1"/>
  <c r="AG58" i="2"/>
  <c r="AG61" i="2"/>
  <c r="AG62" i="2"/>
  <c r="AG99" i="4"/>
  <c r="AB17" i="2"/>
  <c r="V72" i="2"/>
  <c r="EP15" i="2"/>
  <c r="EP60" i="2" s="1"/>
  <c r="CN15" i="2"/>
  <c r="BN17" i="2"/>
  <c r="BN72" i="2"/>
  <c r="BF17" i="2"/>
  <c r="BF72" i="2"/>
  <c r="EN15" i="2"/>
  <c r="BB17" i="2"/>
  <c r="BB72" i="2"/>
  <c r="AX17" i="2"/>
  <c r="AX72" i="2"/>
  <c r="AH72" i="2"/>
  <c r="CS70" i="2"/>
  <c r="BY70" i="2"/>
  <c r="ET12" i="2"/>
  <c r="CQ126" i="3"/>
  <c r="AS83" i="3"/>
  <c r="BK126" i="4"/>
  <c r="BK128" i="4"/>
  <c r="CC203" i="2"/>
  <c r="CN103" i="4"/>
  <c r="AF35" i="2"/>
  <c r="CN129" i="3"/>
  <c r="W29" i="2"/>
  <c r="S29" i="2"/>
  <c r="K29" i="2"/>
  <c r="CH17" i="2"/>
  <c r="CH72" i="2"/>
  <c r="BZ17" i="2"/>
  <c r="BZ72" i="2"/>
  <c r="ER15" i="2"/>
  <c r="BV17" i="2"/>
  <c r="BV57" i="2" s="1"/>
  <c r="BV72" i="2"/>
  <c r="BR17" i="2"/>
  <c r="BR72" i="2"/>
  <c r="AU15" i="2"/>
  <c r="BO15" i="2"/>
  <c r="X69" i="2"/>
  <c r="M59" i="2"/>
  <c r="CZ116" i="3"/>
  <c r="CT56" i="3"/>
  <c r="BE113" i="2"/>
  <c r="CI191" i="2"/>
  <c r="CI206" i="2" s="1"/>
  <c r="CI188" i="2"/>
  <c r="DC148" i="2"/>
  <c r="DC151" i="2" s="1"/>
  <c r="CI148" i="2"/>
  <c r="BO52" i="2"/>
  <c r="BY130" i="3"/>
  <c r="CC206" i="2"/>
  <c r="CF203" i="2"/>
  <c r="CB203" i="2"/>
  <c r="BX203" i="2"/>
  <c r="ER188" i="2"/>
  <c r="ET167" i="2"/>
  <c r="EP167" i="2"/>
  <c r="CA152" i="2"/>
  <c r="CN124" i="2"/>
  <c r="CN123" i="2" s="1"/>
  <c r="CT123" i="2"/>
  <c r="CP123" i="2"/>
  <c r="CL123" i="2"/>
  <c r="BZ123" i="2"/>
  <c r="BV123" i="2"/>
  <c r="CD76" i="2"/>
  <c r="ES75" i="2"/>
  <c r="CS75" i="2"/>
  <c r="P73" i="2"/>
  <c r="K73" i="2"/>
  <c r="CM72" i="2"/>
  <c r="BW72" i="2"/>
  <c r="BA72" i="2"/>
  <c r="ER69" i="2"/>
  <c r="BO69" i="2"/>
  <c r="AP69" i="2"/>
  <c r="S69" i="2"/>
  <c r="S62" i="2"/>
  <c r="S61" i="2"/>
  <c r="C61" i="2"/>
  <c r="X60" i="2"/>
  <c r="EQ59" i="2"/>
  <c r="S59" i="2"/>
  <c r="S58" i="2"/>
  <c r="C58" i="2"/>
  <c r="EN54" i="2"/>
  <c r="EI54" i="2"/>
  <c r="EL54" i="2"/>
  <c r="EH54" i="2"/>
  <c r="BJ52" i="2"/>
  <c r="BB51" i="2"/>
  <c r="AX51" i="2"/>
  <c r="BY45" i="2"/>
  <c r="EQ35" i="2"/>
  <c r="CD35" i="2"/>
  <c r="ER35" i="2"/>
  <c r="BT35" i="2"/>
  <c r="V35" i="2"/>
  <c r="Q35" i="2"/>
  <c r="CN130" i="3"/>
  <c r="BT130" i="3"/>
  <c r="EV75" i="2"/>
  <c r="ER75" i="2"/>
  <c r="EO25" i="2"/>
  <c r="EK25" i="2"/>
  <c r="BF82" i="3"/>
  <c r="BF83" i="3"/>
  <c r="AA23" i="2"/>
  <c r="W60" i="2"/>
  <c r="CO17" i="2"/>
  <c r="CJ17" i="2"/>
  <c r="BI17" i="2"/>
  <c r="AS17" i="2"/>
  <c r="AN17" i="2"/>
  <c r="AI29" i="2"/>
  <c r="ES15" i="2"/>
  <c r="CX15" i="2"/>
  <c r="CX60" i="2" s="1"/>
  <c r="EV15" i="2"/>
  <c r="CT17" i="2"/>
  <c r="CT72" i="2"/>
  <c r="CP17" i="2"/>
  <c r="CP72" i="2"/>
  <c r="CL17" i="2"/>
  <c r="CL72" i="2"/>
  <c r="AZ15" i="2"/>
  <c r="ET69" i="2"/>
  <c r="EP69" i="2"/>
  <c r="AK59" i="2"/>
  <c r="Q10" i="2"/>
  <c r="L10" i="2"/>
  <c r="DP101" i="4"/>
  <c r="CI101" i="3"/>
  <c r="CI109" i="3" s="1"/>
  <c r="BO101" i="3"/>
  <c r="BO109" i="3" s="1"/>
  <c r="CG57" i="3"/>
  <c r="CC57" i="3"/>
  <c r="BY57" i="3"/>
  <c r="BU57" i="3"/>
  <c r="BQ57" i="3"/>
  <c r="BE57" i="3"/>
  <c r="BA57" i="3"/>
  <c r="AG57" i="3"/>
  <c r="AC57" i="3"/>
  <c r="Y57" i="3"/>
  <c r="U57" i="3"/>
  <c r="Q57" i="3"/>
  <c r="M57" i="3"/>
  <c r="H57" i="3"/>
  <c r="C57" i="3"/>
  <c r="CD55" i="3"/>
  <c r="AT55" i="3"/>
  <c r="AL55" i="3"/>
  <c r="AU54" i="3"/>
  <c r="CH48" i="3"/>
  <c r="BZ48" i="3"/>
  <c r="BV48" i="3"/>
  <c r="BR48" i="3"/>
  <c r="BB48" i="3"/>
  <c r="AX48" i="3"/>
  <c r="AT48" i="3"/>
  <c r="CD47" i="3"/>
  <c r="V47" i="3"/>
  <c r="BH44" i="3"/>
  <c r="CI41" i="3"/>
  <c r="CA41" i="3"/>
  <c r="AU41" i="3"/>
  <c r="AA41" i="3"/>
  <c r="CS40" i="3"/>
  <c r="BM40" i="3"/>
  <c r="BH40" i="3"/>
  <c r="DA39" i="3"/>
  <c r="CK39" i="3"/>
  <c r="CS36" i="3"/>
  <c r="CX34" i="3"/>
  <c r="CS32" i="3"/>
  <c r="BM31" i="3"/>
  <c r="CI16" i="3"/>
  <c r="BO16" i="3"/>
  <c r="AU16" i="3"/>
  <c r="AA16" i="3"/>
  <c r="BM129" i="4"/>
  <c r="BI129" i="4"/>
  <c r="DN101" i="4"/>
  <c r="CU94" i="4"/>
  <c r="DY89" i="4"/>
  <c r="BQ89" i="4"/>
  <c r="AW89" i="4"/>
  <c r="AC89" i="4"/>
  <c r="CL72" i="4"/>
  <c r="BR72" i="4"/>
  <c r="AX72" i="4"/>
  <c r="AD72" i="4"/>
  <c r="BV70" i="4"/>
  <c r="BB70" i="4"/>
  <c r="AH70" i="4"/>
  <c r="CV68" i="4"/>
  <c r="BC68" i="4"/>
  <c r="X68" i="4"/>
  <c r="BR65" i="4"/>
  <c r="AX65" i="4"/>
  <c r="AD65" i="4"/>
  <c r="CC63" i="4"/>
  <c r="BI63" i="4"/>
  <c r="AX63" i="4"/>
  <c r="AD63" i="4"/>
  <c r="BM62" i="4"/>
  <c r="CB61" i="4"/>
  <c r="BH61" i="4"/>
  <c r="DR60" i="4"/>
  <c r="CL60" i="4"/>
  <c r="BR60" i="4"/>
  <c r="AI60" i="4"/>
  <c r="AN58" i="4"/>
  <c r="BR57" i="4"/>
  <c r="CZ56" i="4"/>
  <c r="BW56" i="4"/>
  <c r="CX53" i="4"/>
  <c r="CP53" i="4"/>
  <c r="BV53" i="4"/>
  <c r="BB53" i="4"/>
  <c r="AH53" i="4"/>
  <c r="F53" i="4"/>
  <c r="CQ50" i="4"/>
  <c r="CR50" i="4" s="1"/>
  <c r="EL50" i="4" s="1"/>
  <c r="EL84" i="4" s="1"/>
  <c r="BW50" i="4"/>
  <c r="BC50" i="4"/>
  <c r="AI50" i="4"/>
  <c r="BR49" i="4"/>
  <c r="AX49" i="4"/>
  <c r="BH46" i="4"/>
  <c r="AD45" i="4"/>
  <c r="BM44" i="4"/>
  <c r="AS44" i="4"/>
  <c r="CV43" i="4"/>
  <c r="CB43" i="4"/>
  <c r="BM43" i="4"/>
  <c r="AS43" i="4"/>
  <c r="CG42" i="4"/>
  <c r="BM42" i="4"/>
  <c r="AS42" i="4"/>
  <c r="BZ37" i="4"/>
  <c r="BV37" i="4"/>
  <c r="BB37" i="4"/>
  <c r="AH37" i="4"/>
  <c r="V37" i="4"/>
  <c r="F37" i="4"/>
  <c r="CG36" i="4"/>
  <c r="CA36" i="4"/>
  <c r="CA37" i="4" s="1"/>
  <c r="BW36" i="4"/>
  <c r="AS36" i="4"/>
  <c r="CG35" i="4"/>
  <c r="BM35" i="4"/>
  <c r="AS35" i="4"/>
  <c r="AI34" i="4"/>
  <c r="CG33" i="4"/>
  <c r="BM33" i="4"/>
  <c r="AS33" i="4"/>
  <c r="CW32" i="4"/>
  <c r="AI32" i="4"/>
  <c r="BC31" i="4"/>
  <c r="AN31" i="4"/>
  <c r="CV30" i="4"/>
  <c r="CB30" i="4"/>
  <c r="BH30" i="4"/>
  <c r="AN30" i="4"/>
  <c r="T30" i="4"/>
  <c r="CG29" i="4"/>
  <c r="AD29" i="4"/>
  <c r="CG28" i="4"/>
  <c r="BM28" i="4"/>
  <c r="AS28" i="4"/>
  <c r="Y28" i="4"/>
  <c r="CV27" i="4"/>
  <c r="AI27" i="4"/>
  <c r="CL23" i="4"/>
  <c r="BR23" i="4"/>
  <c r="CG22" i="4"/>
  <c r="BM22" i="4"/>
  <c r="AS22" i="4"/>
  <c r="CV21" i="4"/>
  <c r="CB21" i="4"/>
  <c r="BH21" i="4"/>
  <c r="BR20" i="4"/>
  <c r="BD20" i="4"/>
  <c r="CG19" i="4"/>
  <c r="BM19" i="4"/>
  <c r="AS19" i="4"/>
  <c r="CQ18" i="4"/>
  <c r="BW18" i="4"/>
  <c r="BC18" i="4"/>
  <c r="AI18" i="4"/>
  <c r="CQ17" i="4"/>
  <c r="BW17" i="4"/>
  <c r="BC17" i="4"/>
  <c r="AI17" i="4"/>
  <c r="BR16" i="4"/>
  <c r="AX16" i="4"/>
  <c r="AD16" i="4"/>
  <c r="CL12" i="4"/>
  <c r="BR12" i="4"/>
  <c r="BR217" i="2" s="1"/>
  <c r="AX12" i="4"/>
  <c r="AD12" i="4"/>
  <c r="CB10" i="4"/>
  <c r="BH10" i="4"/>
  <c r="AN10" i="4"/>
  <c r="BX143" i="3"/>
  <c r="CI142" i="3"/>
  <c r="CE142" i="3"/>
  <c r="CI133" i="3"/>
  <c r="CE133" i="3"/>
  <c r="CJ129" i="3"/>
  <c r="CH75" i="3"/>
  <c r="BZ75" i="3"/>
  <c r="BV75" i="3"/>
  <c r="BR75" i="3"/>
  <c r="BB75" i="3"/>
  <c r="AX75" i="3"/>
  <c r="AT75" i="3"/>
  <c r="AL75" i="3"/>
  <c r="AH75" i="3"/>
  <c r="AD75" i="3"/>
  <c r="Z75" i="3"/>
  <c r="CO66" i="3"/>
  <c r="CG66" i="3"/>
  <c r="CC66" i="3"/>
  <c r="BY66" i="3"/>
  <c r="BU66" i="3"/>
  <c r="BQ66" i="3"/>
  <c r="BM66" i="3"/>
  <c r="CN55" i="3"/>
  <c r="CN66" i="3" s="1"/>
  <c r="BX55" i="3"/>
  <c r="BX66" i="3" s="1"/>
  <c r="BT55" i="3"/>
  <c r="BT66" i="3" s="1"/>
  <c r="AZ55" i="3"/>
  <c r="X55" i="3"/>
  <c r="CN47" i="3"/>
  <c r="BT47" i="3"/>
  <c r="BL47" i="3"/>
  <c r="CO41" i="3"/>
  <c r="AG26" i="3"/>
  <c r="CS16" i="3"/>
  <c r="BY16" i="3"/>
  <c r="BE16" i="3"/>
  <c r="AK16" i="3"/>
  <c r="CA89" i="4"/>
  <c r="BG89" i="4"/>
  <c r="AA89" i="4"/>
  <c r="CP84" i="4"/>
  <c r="BV84" i="4"/>
  <c r="BB84" i="4"/>
  <c r="AH84" i="4"/>
  <c r="BJ74" i="4"/>
  <c r="CF70" i="4"/>
  <c r="BL70" i="4"/>
  <c r="AR70" i="4"/>
  <c r="EB60" i="4"/>
  <c r="CY57" i="4"/>
  <c r="CN53" i="4"/>
  <c r="CF53" i="4"/>
  <c r="BL53" i="4"/>
  <c r="AR53" i="4"/>
  <c r="L53" i="4"/>
  <c r="CR46" i="4"/>
  <c r="BU39" i="4"/>
  <c r="BE39" i="4"/>
  <c r="BA39" i="4"/>
  <c r="AK39" i="4"/>
  <c r="AG39" i="4"/>
  <c r="Q39" i="4"/>
  <c r="M39" i="4"/>
  <c r="I39" i="4"/>
  <c r="E39" i="4"/>
  <c r="CF37" i="4"/>
  <c r="BL37" i="4"/>
  <c r="AR37" i="4"/>
  <c r="P37" i="4"/>
  <c r="BC51" i="2"/>
  <c r="CI143" i="3"/>
  <c r="CE143" i="3"/>
  <c r="CT142" i="3"/>
  <c r="CL142" i="3"/>
  <c r="CD142" i="3"/>
  <c r="CL133" i="3"/>
  <c r="CD133" i="3"/>
  <c r="CI130" i="3"/>
  <c r="CE130" i="3"/>
  <c r="BZ130" i="3"/>
  <c r="CI129" i="3"/>
  <c r="CE129" i="3"/>
  <c r="CY111" i="3"/>
  <c r="CI111" i="3"/>
  <c r="BO111" i="3"/>
  <c r="CN101" i="3"/>
  <c r="CN109" i="3" s="1"/>
  <c r="CO126" i="3" s="1"/>
  <c r="BT101" i="3"/>
  <c r="BT109" i="3" s="1"/>
  <c r="CG75" i="3"/>
  <c r="CC75" i="3"/>
  <c r="BY75" i="3"/>
  <c r="BU75" i="3"/>
  <c r="BQ75" i="3"/>
  <c r="BE75" i="3"/>
  <c r="BA75" i="3"/>
  <c r="AW75" i="3"/>
  <c r="AS75" i="3"/>
  <c r="AO75" i="3"/>
  <c r="AG75" i="3"/>
  <c r="AC75" i="3"/>
  <c r="Y75" i="3"/>
  <c r="U75" i="3"/>
  <c r="CV66" i="3"/>
  <c r="CF66" i="3"/>
  <c r="CB66" i="3"/>
  <c r="BP66" i="3"/>
  <c r="BL66" i="3"/>
  <c r="CH57" i="3"/>
  <c r="BZ57" i="3"/>
  <c r="BV57" i="3"/>
  <c r="BR57" i="3"/>
  <c r="BB57" i="3"/>
  <c r="AH57" i="3"/>
  <c r="AD57" i="3"/>
  <c r="Z57" i="3"/>
  <c r="R57" i="3"/>
  <c r="N57" i="3"/>
  <c r="I57" i="3"/>
  <c r="D57" i="3"/>
  <c r="CI55" i="3"/>
  <c r="BO55" i="3"/>
  <c r="AQ55" i="3"/>
  <c r="AM55" i="3"/>
  <c r="AA55" i="3"/>
  <c r="CE48" i="3"/>
  <c r="BW48" i="3"/>
  <c r="BK48" i="3"/>
  <c r="BC48" i="3"/>
  <c r="AY48" i="3"/>
  <c r="AQ48" i="3"/>
  <c r="CI47" i="3"/>
  <c r="BO47" i="3"/>
  <c r="BG47" i="3"/>
  <c r="AU47" i="3"/>
  <c r="AA47" i="3"/>
  <c r="CX44" i="3"/>
  <c r="CV41" i="3"/>
  <c r="BX41" i="3"/>
  <c r="BL41" i="3"/>
  <c r="AZ41" i="3"/>
  <c r="AF41" i="3"/>
  <c r="CX40" i="3"/>
  <c r="BT39" i="3"/>
  <c r="BM39" i="3"/>
  <c r="BH39" i="3"/>
  <c r="CX33" i="3"/>
  <c r="CS31" i="3"/>
  <c r="Q26" i="3"/>
  <c r="CN16" i="3"/>
  <c r="BT16" i="3"/>
  <c r="AZ16" i="3"/>
  <c r="AF16" i="3"/>
  <c r="BL101" i="4"/>
  <c r="EB94" i="4"/>
  <c r="DH94" i="4"/>
  <c r="DN89" i="4"/>
  <c r="CT89" i="4"/>
  <c r="BV89" i="4"/>
  <c r="BB89" i="4"/>
  <c r="AH89" i="4"/>
  <c r="DM86" i="4"/>
  <c r="CS86" i="4"/>
  <c r="CC86" i="4"/>
  <c r="BG86" i="4"/>
  <c r="CK84" i="4"/>
  <c r="BQ84" i="4"/>
  <c r="AW84" i="4"/>
  <c r="AC84" i="4"/>
  <c r="AT76" i="4"/>
  <c r="CG72" i="4"/>
  <c r="BM72" i="4"/>
  <c r="AS72" i="4"/>
  <c r="Y72" i="4"/>
  <c r="CI70" i="4"/>
  <c r="CA70" i="4"/>
  <c r="BO70" i="4"/>
  <c r="BG70" i="4"/>
  <c r="AM70" i="4"/>
  <c r="W70" i="4"/>
  <c r="CQ68" i="4"/>
  <c r="CC68" i="4"/>
  <c r="BR68" i="4"/>
  <c r="AX68" i="4"/>
  <c r="CV66" i="4"/>
  <c r="CQ66" i="4"/>
  <c r="BM65" i="4"/>
  <c r="AS65" i="4"/>
  <c r="DZ63" i="4"/>
  <c r="DU63" i="4"/>
  <c r="DU89" i="4" s="1"/>
  <c r="DP63" i="4"/>
  <c r="DA63" i="4"/>
  <c r="DA89" i="4" s="1"/>
  <c r="CV63" i="4"/>
  <c r="AS63" i="4"/>
  <c r="BW62" i="4"/>
  <c r="BH62" i="4"/>
  <c r="BW61" i="4"/>
  <c r="DW60" i="4"/>
  <c r="CG60" i="4"/>
  <c r="BM60" i="4"/>
  <c r="AD60" i="4"/>
  <c r="AI58" i="4"/>
  <c r="CW57" i="4"/>
  <c r="BR56" i="4"/>
  <c r="CU53" i="4"/>
  <c r="CI53" i="4"/>
  <c r="CA53" i="4"/>
  <c r="BG53" i="4"/>
  <c r="AM53" i="4"/>
  <c r="K53" i="4"/>
  <c r="AN51" i="4"/>
  <c r="S51" i="4"/>
  <c r="N51" i="4"/>
  <c r="CL50" i="4"/>
  <c r="BR50" i="4"/>
  <c r="AX50" i="4"/>
  <c r="AD50" i="4"/>
  <c r="CQ49" i="4"/>
  <c r="BM49" i="4"/>
  <c r="AY48" i="4"/>
  <c r="AN48" i="4"/>
  <c r="BC46" i="4"/>
  <c r="AS45" i="4"/>
  <c r="BH44" i="4"/>
  <c r="AN44" i="4"/>
  <c r="CQ43" i="4"/>
  <c r="BH43" i="4"/>
  <c r="AN43" i="4"/>
  <c r="CV42" i="4"/>
  <c r="CB42" i="4"/>
  <c r="BH42" i="4"/>
  <c r="AN42" i="4"/>
  <c r="CN39" i="4"/>
  <c r="CJ39" i="4"/>
  <c r="BT39" i="4"/>
  <c r="BP39" i="4"/>
  <c r="AZ39" i="4"/>
  <c r="AV39" i="4"/>
  <c r="AF39" i="4"/>
  <c r="AB39" i="4"/>
  <c r="L39" i="4"/>
  <c r="H39" i="4"/>
  <c r="D39" i="4"/>
  <c r="BG37" i="4"/>
  <c r="AM37" i="4"/>
  <c r="AA37" i="4"/>
  <c r="W37" i="4"/>
  <c r="S37" i="4"/>
  <c r="K37" i="4"/>
  <c r="BR36" i="4"/>
  <c r="AN36" i="4"/>
  <c r="CV35" i="4"/>
  <c r="CB35" i="4"/>
  <c r="BH35" i="4"/>
  <c r="AN35" i="4"/>
  <c r="CW33" i="4"/>
  <c r="CB33" i="4"/>
  <c r="BH33" i="4"/>
  <c r="AN33" i="4"/>
  <c r="AD32" i="4"/>
  <c r="CW31" i="4"/>
  <c r="AX31" i="4"/>
  <c r="AI31" i="4"/>
  <c r="X31" i="4"/>
  <c r="T31" i="4"/>
  <c r="CQ30" i="4"/>
  <c r="BW30" i="4"/>
  <c r="BC30" i="4"/>
  <c r="AI30" i="4"/>
  <c r="BH29" i="4"/>
  <c r="AT29" i="4"/>
  <c r="Y29" i="4"/>
  <c r="CV28" i="4"/>
  <c r="CB28" i="4"/>
  <c r="BH28" i="4"/>
  <c r="AN28" i="4"/>
  <c r="T28" i="4"/>
  <c r="CQ27" i="4"/>
  <c r="CR27" i="4" s="1"/>
  <c r="AD27" i="4"/>
  <c r="AT26" i="4"/>
  <c r="AE26" i="4"/>
  <c r="CG23" i="4"/>
  <c r="BM23" i="4"/>
  <c r="CB22" i="4"/>
  <c r="BH22" i="4"/>
  <c r="AN22" i="4"/>
  <c r="CQ21" i="4"/>
  <c r="BW21" i="4"/>
  <c r="CG20" i="4"/>
  <c r="BM20" i="4"/>
  <c r="CB19" i="4"/>
  <c r="BH19" i="4"/>
  <c r="CL18" i="4"/>
  <c r="BR18" i="4"/>
  <c r="AX18" i="4"/>
  <c r="AD18" i="4"/>
  <c r="CL17" i="4"/>
  <c r="BR17" i="4"/>
  <c r="AX17" i="4"/>
  <c r="AD17" i="4"/>
  <c r="CG16" i="4"/>
  <c r="BM16" i="4"/>
  <c r="AS16" i="4"/>
  <c r="X14" i="4"/>
  <c r="CG12" i="4"/>
  <c r="BM12" i="4"/>
  <c r="BM217" i="2" s="1"/>
  <c r="AS12" i="4"/>
  <c r="Y12" i="4"/>
  <c r="CV10" i="4"/>
  <c r="CQ10" i="4"/>
  <c r="BW10" i="4"/>
  <c r="BC10" i="4"/>
  <c r="AI10" i="4"/>
  <c r="L184" i="2" l="1"/>
  <c r="AP55" i="3"/>
  <c r="AO57" i="3"/>
  <c r="CS26" i="3"/>
  <c r="BZ95" i="2"/>
  <c r="BS29" i="2"/>
  <c r="AY55" i="3"/>
  <c r="CA95" i="2"/>
  <c r="CM95" i="2"/>
  <c r="CO94" i="2"/>
  <c r="Q184" i="2"/>
  <c r="CT75" i="3"/>
  <c r="CT48" i="3"/>
  <c r="CH95" i="2"/>
  <c r="V26" i="3"/>
  <c r="CD94" i="2"/>
  <c r="AK185" i="2"/>
  <c r="AZ184" i="2"/>
  <c r="BA197" i="2" s="1"/>
  <c r="BT184" i="2"/>
  <c r="CX140" i="3"/>
  <c r="CT140" i="3"/>
  <c r="L185" i="2"/>
  <c r="CA185" i="2"/>
  <c r="AF184" i="2"/>
  <c r="AG197" i="2" s="1"/>
  <c r="AM29" i="2"/>
  <c r="CB95" i="2"/>
  <c r="BF95" i="2"/>
  <c r="CT32" i="4"/>
  <c r="CT74" i="3"/>
  <c r="P39" i="4"/>
  <c r="P40" i="4" s="1"/>
  <c r="CX47" i="3"/>
  <c r="BK61" i="2"/>
  <c r="BK99" i="4"/>
  <c r="S58" i="3"/>
  <c r="CK30" i="2"/>
  <c r="BA95" i="2"/>
  <c r="AA185" i="2"/>
  <c r="AK197" i="2"/>
  <c r="AK198" i="2" s="1"/>
  <c r="CL48" i="3"/>
  <c r="CL75" i="3"/>
  <c r="BX48" i="3"/>
  <c r="AE33" i="4"/>
  <c r="AS57" i="3"/>
  <c r="AS58" i="3" s="1"/>
  <c r="BT197" i="2"/>
  <c r="CC185" i="2"/>
  <c r="BS35" i="4"/>
  <c r="CG29" i="2"/>
  <c r="CG39" i="2" s="1"/>
  <c r="CG41" i="2" s="1"/>
  <c r="CG73" i="3" s="1"/>
  <c r="CG61" i="2"/>
  <c r="AZ197" i="2"/>
  <c r="AU184" i="2"/>
  <c r="AV197" i="2" s="1"/>
  <c r="CS38" i="3"/>
  <c r="CP48" i="3"/>
  <c r="CP75" i="3"/>
  <c r="AP184" i="2"/>
  <c r="AQ197" i="2" s="1"/>
  <c r="AU197" i="2"/>
  <c r="CI93" i="2"/>
  <c r="BS197" i="2"/>
  <c r="BJ185" i="2"/>
  <c r="BS80" i="3"/>
  <c r="BS85" i="3" s="1"/>
  <c r="I77" i="2"/>
  <c r="AE197" i="2"/>
  <c r="CK56" i="2"/>
  <c r="BX57" i="2"/>
  <c r="BQ56" i="2"/>
  <c r="CE80" i="3"/>
  <c r="CE85" i="3" s="1"/>
  <c r="BU73" i="2"/>
  <c r="BR197" i="2"/>
  <c r="CW92" i="2"/>
  <c r="CS155" i="2"/>
  <c r="BU99" i="4"/>
  <c r="CK99" i="4"/>
  <c r="EQ60" i="2"/>
  <c r="BP80" i="3"/>
  <c r="BP85" i="3" s="1"/>
  <c r="BU80" i="3"/>
  <c r="BU85" i="3" s="1"/>
  <c r="CK62" i="2"/>
  <c r="BU56" i="2"/>
  <c r="CK63" i="2"/>
  <c r="AH77" i="2"/>
  <c r="BP99" i="4"/>
  <c r="CK61" i="2"/>
  <c r="BP56" i="2"/>
  <c r="CK39" i="2"/>
  <c r="CK66" i="2" s="1"/>
  <c r="CK80" i="3"/>
  <c r="CK85" i="3" s="1"/>
  <c r="CK58" i="2"/>
  <c r="CB57" i="2"/>
  <c r="CK57" i="2"/>
  <c r="CK31" i="2"/>
  <c r="CK65" i="2" s="1"/>
  <c r="O197" i="2"/>
  <c r="AC62" i="2"/>
  <c r="AC39" i="2"/>
  <c r="AC41" i="2" s="1"/>
  <c r="AC61" i="2"/>
  <c r="AC63" i="2"/>
  <c r="AC99" i="4"/>
  <c r="AC58" i="2"/>
  <c r="AC73" i="2"/>
  <c r="AC30" i="2"/>
  <c r="AH73" i="2"/>
  <c r="CX155" i="2"/>
  <c r="BK58" i="2"/>
  <c r="BN197" i="2"/>
  <c r="CE99" i="4"/>
  <c r="BI164" i="2"/>
  <c r="BW197" i="2"/>
  <c r="N197" i="2"/>
  <c r="AD197" i="2"/>
  <c r="BX56" i="2"/>
  <c r="BT52" i="2"/>
  <c r="CQ56" i="2"/>
  <c r="BN164" i="2"/>
  <c r="BG29" i="2"/>
  <c r="BG30" i="2" s="1"/>
  <c r="CR80" i="3"/>
  <c r="CR85" i="3" s="1"/>
  <c r="BE197" i="2"/>
  <c r="CS151" i="2"/>
  <c r="CS152" i="2" s="1"/>
  <c r="CX151" i="2"/>
  <c r="CX152" i="2" s="1"/>
  <c r="FB98" i="2"/>
  <c r="CL95" i="2"/>
  <c r="AU185" i="2"/>
  <c r="CO95" i="2"/>
  <c r="CC62" i="2"/>
  <c r="CC5" i="2"/>
  <c r="CB5" i="2" s="1"/>
  <c r="AJ73" i="2"/>
  <c r="BG74" i="2"/>
  <c r="AE29" i="2"/>
  <c r="AE63" i="2" s="1"/>
  <c r="BG99" i="4"/>
  <c r="AE61" i="2"/>
  <c r="BG62" i="2"/>
  <c r="BG80" i="3"/>
  <c r="BG85" i="3" s="1"/>
  <c r="AD62" i="3"/>
  <c r="AC62" i="3"/>
  <c r="AF62" i="3"/>
  <c r="AB62" i="3"/>
  <c r="AE62" i="3"/>
  <c r="BV62" i="3"/>
  <c r="BY62" i="3"/>
  <c r="BU62" i="3"/>
  <c r="BX62" i="3"/>
  <c r="BW62" i="3"/>
  <c r="CH62" i="3"/>
  <c r="CG62" i="3"/>
  <c r="CF62" i="3"/>
  <c r="CI62" i="3"/>
  <c r="CE62" i="3"/>
  <c r="AR62" i="3"/>
  <c r="AV62" i="3"/>
  <c r="BN62" i="3"/>
  <c r="BM62" i="3"/>
  <c r="BL62" i="3"/>
  <c r="BO62" i="3"/>
  <c r="BK62" i="3"/>
  <c r="AS62" i="3"/>
  <c r="AH62" i="3"/>
  <c r="AK62" i="3"/>
  <c r="AG62" i="3"/>
  <c r="AJ62" i="3"/>
  <c r="AI62" i="3"/>
  <c r="AP62" i="3"/>
  <c r="AL62" i="3"/>
  <c r="AO62" i="3"/>
  <c r="AN62" i="3"/>
  <c r="AM62" i="3"/>
  <c r="BJ62" i="3"/>
  <c r="BF62" i="3"/>
  <c r="BI62" i="3"/>
  <c r="BH62" i="3"/>
  <c r="BG62" i="3"/>
  <c r="CD62" i="3"/>
  <c r="BZ62" i="3"/>
  <c r="CC62" i="3"/>
  <c r="CB62" i="3"/>
  <c r="CA62" i="3"/>
  <c r="CV62" i="3"/>
  <c r="CT62" i="3"/>
  <c r="CU62" i="3"/>
  <c r="AQ62" i="3"/>
  <c r="AT62" i="3"/>
  <c r="Z62" i="3"/>
  <c r="Y62" i="3"/>
  <c r="X62" i="3"/>
  <c r="AA62" i="3"/>
  <c r="W62" i="3"/>
  <c r="CP62" i="3"/>
  <c r="CS62" i="3"/>
  <c r="CQ62" i="3"/>
  <c r="CR62" i="3"/>
  <c r="CO62" i="3"/>
  <c r="BE62" i="3"/>
  <c r="BD62" i="3"/>
  <c r="BC62" i="3"/>
  <c r="CL62" i="3"/>
  <c r="CK62" i="3"/>
  <c r="CN62" i="3"/>
  <c r="CJ62" i="3"/>
  <c r="CM62" i="3"/>
  <c r="BR62" i="3"/>
  <c r="BQ62" i="3"/>
  <c r="BT62" i="3"/>
  <c r="BP62" i="3"/>
  <c r="BS62" i="3"/>
  <c r="AU62" i="3"/>
  <c r="CA184" i="2"/>
  <c r="CB197" i="2" s="1"/>
  <c r="AO27" i="4"/>
  <c r="O58" i="3"/>
  <c r="AU26" i="3"/>
  <c r="BC89" i="4"/>
  <c r="AE44" i="4"/>
  <c r="AI89" i="4"/>
  <c r="CE58" i="3"/>
  <c r="M11" i="1"/>
  <c r="BO185" i="2"/>
  <c r="CN174" i="2"/>
  <c r="BL39" i="4"/>
  <c r="CS174" i="2"/>
  <c r="AT10" i="4"/>
  <c r="P58" i="3"/>
  <c r="BN18" i="4"/>
  <c r="J58" i="3"/>
  <c r="CX174" i="2"/>
  <c r="EU99" i="2"/>
  <c r="AA197" i="2"/>
  <c r="AF198" i="2" s="1"/>
  <c r="CI94" i="2"/>
  <c r="CI174" i="2"/>
  <c r="FB99" i="2"/>
  <c r="BO184" i="2"/>
  <c r="BP197" i="2" s="1"/>
  <c r="EU98" i="2"/>
  <c r="EX99" i="2"/>
  <c r="FB97" i="2"/>
  <c r="Y197" i="2"/>
  <c r="CG58" i="2"/>
  <c r="EV94" i="2"/>
  <c r="CG99" i="4"/>
  <c r="CG80" i="3"/>
  <c r="CG85" i="3" s="1"/>
  <c r="CG56" i="2"/>
  <c r="CG62" i="2"/>
  <c r="BN10" i="4"/>
  <c r="AE28" i="4"/>
  <c r="AE36" i="4"/>
  <c r="BS19" i="4"/>
  <c r="BX20" i="4"/>
  <c r="CR67" i="4"/>
  <c r="CR93" i="4" s="1"/>
  <c r="BQ39" i="4"/>
  <c r="BQ106" i="2" s="1"/>
  <c r="BQ108" i="2" s="1"/>
  <c r="AE43" i="4"/>
  <c r="BX49" i="4"/>
  <c r="O82" i="4"/>
  <c r="CM28" i="4"/>
  <c r="AO68" i="4"/>
  <c r="AO114" i="2" s="1"/>
  <c r="AO29" i="4"/>
  <c r="BS42" i="4"/>
  <c r="CP70" i="4"/>
  <c r="CC72" i="4"/>
  <c r="AN114" i="2"/>
  <c r="BW89" i="4"/>
  <c r="X70" i="4"/>
  <c r="AY36" i="4"/>
  <c r="AY44" i="4"/>
  <c r="BD48" i="4"/>
  <c r="AO60" i="4"/>
  <c r="U72" i="4"/>
  <c r="CK39" i="4"/>
  <c r="CK82" i="4" s="1"/>
  <c r="CK85" i="4" s="1"/>
  <c r="CK90" i="4" s="1"/>
  <c r="B74" i="4"/>
  <c r="B78" i="4" s="1"/>
  <c r="AN99" i="4"/>
  <c r="AT50" i="4"/>
  <c r="CM10" i="4"/>
  <c r="AJ43" i="4"/>
  <c r="CW50" i="4"/>
  <c r="CW108" i="4" s="1"/>
  <c r="CX108" i="4" s="1"/>
  <c r="BY39" i="4"/>
  <c r="BY82" i="4" s="1"/>
  <c r="BY85" i="4" s="1"/>
  <c r="BY90" i="4" s="1"/>
  <c r="AO16" i="4"/>
  <c r="CV84" i="4"/>
  <c r="EV93" i="2"/>
  <c r="E197" i="2"/>
  <c r="U197" i="2"/>
  <c r="CB99" i="4"/>
  <c r="CA29" i="2"/>
  <c r="BY185" i="2"/>
  <c r="CK95" i="2"/>
  <c r="BC197" i="2"/>
  <c r="EU90" i="2"/>
  <c r="EU95" i="2" s="1"/>
  <c r="AY80" i="3"/>
  <c r="AY85" i="3" s="1"/>
  <c r="BW80" i="3"/>
  <c r="BW85" i="3" s="1"/>
  <c r="BL80" i="3"/>
  <c r="BL85" i="3" s="1"/>
  <c r="BG197" i="2"/>
  <c r="CC95" i="2"/>
  <c r="EY98" i="2"/>
  <c r="AZ185" i="2"/>
  <c r="BQ197" i="2"/>
  <c r="EU97" i="2"/>
  <c r="CE95" i="2"/>
  <c r="BK197" i="2"/>
  <c r="AO197" i="2"/>
  <c r="CX94" i="2"/>
  <c r="Z197" i="2"/>
  <c r="BO197" i="2"/>
  <c r="C197" i="2"/>
  <c r="BI197" i="2"/>
  <c r="G197" i="2"/>
  <c r="G198" i="2" s="1"/>
  <c r="CI92" i="2"/>
  <c r="BE185" i="2"/>
  <c r="AK184" i="2"/>
  <c r="AL197" i="2" s="1"/>
  <c r="AT197" i="2"/>
  <c r="AT198" i="2" s="1"/>
  <c r="CT93" i="2"/>
  <c r="CO93" i="2"/>
  <c r="CO92" i="2"/>
  <c r="CT92" i="2"/>
  <c r="M197" i="2"/>
  <c r="AC197" i="2"/>
  <c r="F197" i="2"/>
  <c r="K198" i="2" s="1"/>
  <c r="CJ95" i="2"/>
  <c r="H197" i="2"/>
  <c r="FA99" i="2"/>
  <c r="CT94" i="2"/>
  <c r="CD93" i="2"/>
  <c r="AS197" i="2"/>
  <c r="FA98" i="2"/>
  <c r="FG98" i="2"/>
  <c r="AP197" i="2"/>
  <c r="BB197" i="2"/>
  <c r="BT185" i="2"/>
  <c r="I197" i="2"/>
  <c r="EW98" i="2"/>
  <c r="AH31" i="2"/>
  <c r="AH39" i="2"/>
  <c r="AH41" i="2" s="1"/>
  <c r="AG66" i="2"/>
  <c r="AH30" i="2"/>
  <c r="AH64" i="2" s="1"/>
  <c r="D31" i="2"/>
  <c r="D65" i="2" s="1"/>
  <c r="CP57" i="3"/>
  <c r="BH31" i="3"/>
  <c r="CD26" i="3"/>
  <c r="EZ98" i="2"/>
  <c r="AE62" i="2"/>
  <c r="AE73" i="2"/>
  <c r="BX16" i="4"/>
  <c r="AJ26" i="4"/>
  <c r="CH30" i="4"/>
  <c r="CV61" i="4"/>
  <c r="CW61" i="4" s="1"/>
  <c r="Y84" i="4"/>
  <c r="CO39" i="4"/>
  <c r="CO106" i="2" s="1"/>
  <c r="CO108" i="2" s="1"/>
  <c r="CU89" i="4"/>
  <c r="BS33" i="4"/>
  <c r="AY35" i="4"/>
  <c r="BD43" i="4"/>
  <c r="R197" i="2"/>
  <c r="DB102" i="3"/>
  <c r="DC102" i="3" s="1"/>
  <c r="W58" i="3"/>
  <c r="CK38" i="3"/>
  <c r="CI26" i="3"/>
  <c r="Z58" i="3"/>
  <c r="Z61" i="3"/>
  <c r="AA61" i="3" s="1"/>
  <c r="AJ61" i="3"/>
  <c r="AK61" i="3" s="1"/>
  <c r="V75" i="3"/>
  <c r="BO26" i="3"/>
  <c r="BO158" i="3" s="1"/>
  <c r="BT26" i="3"/>
  <c r="BT158" i="3" s="1"/>
  <c r="CN26" i="3"/>
  <c r="AA26" i="3"/>
  <c r="BP58" i="3"/>
  <c r="AK26" i="3"/>
  <c r="AI58" i="3"/>
  <c r="BU58" i="2"/>
  <c r="CA80" i="3"/>
  <c r="CA85" i="3" s="1"/>
  <c r="CW56" i="2"/>
  <c r="CA56" i="2"/>
  <c r="CQ57" i="2"/>
  <c r="BP73" i="2"/>
  <c r="FI98" i="2"/>
  <c r="EM69" i="2"/>
  <c r="AG64" i="2"/>
  <c r="EU93" i="2"/>
  <c r="AX197" i="2"/>
  <c r="BD80" i="3"/>
  <c r="BD85" i="3" s="1"/>
  <c r="H30" i="2"/>
  <c r="H64" i="2" s="1"/>
  <c r="BU158" i="2"/>
  <c r="BK29" i="2"/>
  <c r="BK30" i="2" s="1"/>
  <c r="BU62" i="2"/>
  <c r="BU74" i="2"/>
  <c r="CR57" i="2"/>
  <c r="BU57" i="2"/>
  <c r="CQ74" i="2"/>
  <c r="BH164" i="2"/>
  <c r="BO164" i="2"/>
  <c r="BU29" i="2"/>
  <c r="BU31" i="2" s="1"/>
  <c r="BS164" i="2"/>
  <c r="BK80" i="3"/>
  <c r="BK85" i="3" s="1"/>
  <c r="CA99" i="4"/>
  <c r="CQ29" i="2"/>
  <c r="AY197" i="2"/>
  <c r="EV92" i="2"/>
  <c r="BK62" i="2"/>
  <c r="CQ61" i="2"/>
  <c r="AS84" i="4"/>
  <c r="CU126" i="3"/>
  <c r="AJ12" i="4"/>
  <c r="CB58" i="3"/>
  <c r="CT57" i="3"/>
  <c r="CT58" i="3" s="1"/>
  <c r="AJ16" i="4"/>
  <c r="CC18" i="4"/>
  <c r="CM36" i="4"/>
  <c r="CY31" i="3"/>
  <c r="CZ31" i="3" s="1"/>
  <c r="CS39" i="3"/>
  <c r="BX42" i="4"/>
  <c r="CY38" i="3"/>
  <c r="AO18" i="4"/>
  <c r="BS62" i="2"/>
  <c r="EY99" i="2"/>
  <c r="N29" i="2"/>
  <c r="F65" i="2"/>
  <c r="EL17" i="2"/>
  <c r="AO62" i="2"/>
  <c r="AV99" i="4"/>
  <c r="R31" i="2"/>
  <c r="R63" i="2"/>
  <c r="J39" i="2"/>
  <c r="J66" i="2" s="1"/>
  <c r="N58" i="2"/>
  <c r="F63" i="2"/>
  <c r="F30" i="2"/>
  <c r="AC77" i="2"/>
  <c r="AE61" i="3"/>
  <c r="AF61" i="3" s="1"/>
  <c r="J30" i="2"/>
  <c r="R77" i="2"/>
  <c r="D30" i="2"/>
  <c r="R39" i="2"/>
  <c r="S73" i="2"/>
  <c r="N73" i="2"/>
  <c r="D39" i="2"/>
  <c r="D41" i="2" s="1"/>
  <c r="F39" i="2"/>
  <c r="N61" i="2"/>
  <c r="J63" i="2"/>
  <c r="T197" i="2"/>
  <c r="BD60" i="4"/>
  <c r="BN61" i="4"/>
  <c r="CH61" i="4"/>
  <c r="AJ63" i="4"/>
  <c r="AJ89" i="4" s="1"/>
  <c r="O68" i="4"/>
  <c r="O70" i="4" s="1"/>
  <c r="U12" i="4"/>
  <c r="U31" i="2" s="1"/>
  <c r="AO26" i="4"/>
  <c r="BX28" i="4"/>
  <c r="BX33" i="4"/>
  <c r="AE46" i="4"/>
  <c r="X197" i="2"/>
  <c r="EZ99" i="2"/>
  <c r="FA97" i="2"/>
  <c r="EZ97" i="2"/>
  <c r="BV197" i="2"/>
  <c r="BD58" i="3"/>
  <c r="AJ58" i="3"/>
  <c r="CM29" i="2"/>
  <c r="CM31" i="2" s="1"/>
  <c r="CM80" i="3"/>
  <c r="BH58" i="2"/>
  <c r="BH62" i="2"/>
  <c r="BH80" i="3"/>
  <c r="BH85" i="3" s="1"/>
  <c r="M10" i="1"/>
  <c r="CL74" i="3"/>
  <c r="BE17" i="2"/>
  <c r="F4" i="1" s="1"/>
  <c r="EM15" i="2"/>
  <c r="EN72" i="2" s="1"/>
  <c r="X61" i="3"/>
  <c r="U61" i="3"/>
  <c r="V61" i="3" s="1"/>
  <c r="W61" i="3"/>
  <c r="BG164" i="2"/>
  <c r="BL164" i="2"/>
  <c r="BN62" i="4"/>
  <c r="BH99" i="4"/>
  <c r="CJ41" i="3"/>
  <c r="CJ74" i="3" s="1"/>
  <c r="BU95" i="2"/>
  <c r="BD12" i="4"/>
  <c r="BX65" i="4"/>
  <c r="Y61" i="3"/>
  <c r="AA58" i="2"/>
  <c r="AA61" i="2"/>
  <c r="CU58" i="3"/>
  <c r="CV36" i="4"/>
  <c r="CG61" i="3"/>
  <c r="CG158" i="2"/>
  <c r="CK73" i="2"/>
  <c r="CF99" i="4"/>
  <c r="CF73" i="2"/>
  <c r="CF74" i="2"/>
  <c r="CF56" i="2"/>
  <c r="CF57" i="2"/>
  <c r="BC62" i="2"/>
  <c r="BC29" i="2"/>
  <c r="BC39" i="2" s="1"/>
  <c r="CS60" i="2"/>
  <c r="CS17" i="2"/>
  <c r="N4" i="1" s="1"/>
  <c r="CN94" i="2"/>
  <c r="CS94" i="2"/>
  <c r="CR94" i="2"/>
  <c r="CW94" i="2"/>
  <c r="CW93" i="2"/>
  <c r="CR93" i="2"/>
  <c r="CW62" i="2"/>
  <c r="CW57" i="2"/>
  <c r="CW80" i="3"/>
  <c r="CW85" i="3" s="1"/>
  <c r="CW29" i="2"/>
  <c r="CW63" i="2" s="1"/>
  <c r="CW61" i="2"/>
  <c r="BY184" i="2"/>
  <c r="BZ197" i="2" s="1"/>
  <c r="BY197" i="2"/>
  <c r="BF164" i="2"/>
  <c r="BK164" i="2"/>
  <c r="CN41" i="3"/>
  <c r="CN57" i="3" s="1"/>
  <c r="CL57" i="3"/>
  <c r="CL58" i="3" s="1"/>
  <c r="AE22" i="4"/>
  <c r="AE48" i="4"/>
  <c r="BC70" i="4"/>
  <c r="BN31" i="4"/>
  <c r="BW95" i="2"/>
  <c r="T30" i="2"/>
  <c r="T31" i="2"/>
  <c r="T39" i="2"/>
  <c r="T41" i="2" s="1"/>
  <c r="T63" i="2"/>
  <c r="CC29" i="2"/>
  <c r="CR74" i="2"/>
  <c r="CC80" i="3"/>
  <c r="CC85" i="3" s="1"/>
  <c r="CC57" i="2"/>
  <c r="CC58" i="2"/>
  <c r="CC73" i="2"/>
  <c r="CC56" i="2"/>
  <c r="ES17" i="2"/>
  <c r="K15" i="1" s="1"/>
  <c r="CC61" i="2"/>
  <c r="U39" i="2"/>
  <c r="U30" i="2"/>
  <c r="BQ29" i="2"/>
  <c r="BQ99" i="4"/>
  <c r="BQ58" i="2"/>
  <c r="BQ80" i="3"/>
  <c r="BQ85" i="3" s="1"/>
  <c r="BQ61" i="2"/>
  <c r="AM62" i="2"/>
  <c r="AM99" i="4"/>
  <c r="AM73" i="2"/>
  <c r="CU48" i="3"/>
  <c r="CJ66" i="3"/>
  <c r="AC39" i="4"/>
  <c r="AC82" i="4" s="1"/>
  <c r="AC85" i="4" s="1"/>
  <c r="AC90" i="4" s="1"/>
  <c r="CW18" i="4"/>
  <c r="CM33" i="4"/>
  <c r="BS44" i="4"/>
  <c r="BW74" i="2"/>
  <c r="CM21" i="4"/>
  <c r="AY10" i="4"/>
  <c r="BD29" i="4"/>
  <c r="BX22" i="4"/>
  <c r="CP94" i="2"/>
  <c r="CU94" i="2"/>
  <c r="AH197" i="2"/>
  <c r="AM61" i="3"/>
  <c r="AI197" i="2"/>
  <c r="EY97" i="2"/>
  <c r="AM197" i="2"/>
  <c r="J197" i="2"/>
  <c r="BF197" i="2"/>
  <c r="CW73" i="2"/>
  <c r="AH63" i="2"/>
  <c r="AN197" i="2"/>
  <c r="BY60" i="2"/>
  <c r="BD197" i="2"/>
  <c r="BY17" i="2"/>
  <c r="J4" i="1" s="1"/>
  <c r="BG61" i="2"/>
  <c r="CU93" i="2"/>
  <c r="CV94" i="2"/>
  <c r="BK74" i="2"/>
  <c r="BX73" i="2"/>
  <c r="AJ33" i="4"/>
  <c r="CC49" i="4"/>
  <c r="CC20" i="4"/>
  <c r="EJ17" i="2"/>
  <c r="BX19" i="4"/>
  <c r="V197" i="2"/>
  <c r="BQ57" i="2"/>
  <c r="CQ62" i="2"/>
  <c r="BS57" i="2"/>
  <c r="CQ58" i="2"/>
  <c r="CU92" i="2"/>
  <c r="AM58" i="2"/>
  <c r="AM61" i="2"/>
  <c r="BX29" i="2"/>
  <c r="BX58" i="2"/>
  <c r="BX61" i="2"/>
  <c r="BX62" i="2"/>
  <c r="BJ197" i="2"/>
  <c r="BS58" i="2"/>
  <c r="BS61" i="2"/>
  <c r="CR29" i="2"/>
  <c r="CR56" i="2"/>
  <c r="CR58" i="2"/>
  <c r="CR61" i="2"/>
  <c r="CR62" i="2"/>
  <c r="BV95" i="2"/>
  <c r="AL57" i="3"/>
  <c r="CH21" i="4"/>
  <c r="AV61" i="3"/>
  <c r="O29" i="2"/>
  <c r="T77" i="2" s="1"/>
  <c r="H63" i="2"/>
  <c r="CV29" i="2"/>
  <c r="H31" i="2"/>
  <c r="H65" i="2" s="1"/>
  <c r="H39" i="2"/>
  <c r="BM108" i="4"/>
  <c r="S70" i="4"/>
  <c r="BX36" i="4"/>
  <c r="CC17" i="4"/>
  <c r="BS22" i="4"/>
  <c r="CM29" i="4"/>
  <c r="AY42" i="4"/>
  <c r="CM42" i="4"/>
  <c r="H77" i="2"/>
  <c r="AY30" i="4"/>
  <c r="AW55" i="3"/>
  <c r="AW62" i="3" s="1"/>
  <c r="CG57" i="2"/>
  <c r="AO17" i="4"/>
  <c r="BN21" i="4"/>
  <c r="BX72" i="4"/>
  <c r="CV74" i="2"/>
  <c r="BX59" i="4"/>
  <c r="B82" i="4"/>
  <c r="B85" i="4" s="1"/>
  <c r="CU74" i="3"/>
  <c r="CU75" i="3"/>
  <c r="CF95" i="2"/>
  <c r="DH102" i="3"/>
  <c r="CR17" i="4"/>
  <c r="AR39" i="4"/>
  <c r="CF39" i="4"/>
  <c r="CF106" i="2" s="1"/>
  <c r="CF108" i="2" s="1"/>
  <c r="CW43" i="4"/>
  <c r="BW53" i="4"/>
  <c r="BM84" i="4"/>
  <c r="CG86" i="4"/>
  <c r="CP89" i="4"/>
  <c r="CY95" i="4"/>
  <c r="CR12" i="4"/>
  <c r="AY19" i="4"/>
  <c r="AY28" i="4"/>
  <c r="Z30" i="4"/>
  <c r="AT30" i="4"/>
  <c r="CH43" i="4"/>
  <c r="AJ45" i="4"/>
  <c r="CW51" i="4"/>
  <c r="BX57" i="4"/>
  <c r="BX60" i="4"/>
  <c r="CQ61" i="4"/>
  <c r="Y65" i="4"/>
  <c r="BD72" i="4"/>
  <c r="CR72" i="4"/>
  <c r="BI217" i="2"/>
  <c r="BH217" i="2"/>
  <c r="CV99" i="4"/>
  <c r="P197" i="2"/>
  <c r="P198" i="2" s="1"/>
  <c r="BL197" i="2"/>
  <c r="AP48" i="3"/>
  <c r="V184" i="2"/>
  <c r="W197" i="2" s="1"/>
  <c r="CV123" i="3"/>
  <c r="CW126" i="3"/>
  <c r="EP177" i="2"/>
  <c r="BX197" i="2"/>
  <c r="BX198" i="2" s="1"/>
  <c r="AW197" i="2"/>
  <c r="BM197" i="2"/>
  <c r="AR197" i="2"/>
  <c r="AK57" i="3"/>
  <c r="AI53" i="4"/>
  <c r="CR61" i="3"/>
  <c r="CS61" i="3" s="1"/>
  <c r="CG44" i="2"/>
  <c r="CG53" i="2" s="1"/>
  <c r="I64" i="2"/>
  <c r="BC53" i="4"/>
  <c r="CL53" i="4"/>
  <c r="AK75" i="3"/>
  <c r="CX142" i="3"/>
  <c r="BX12" i="4"/>
  <c r="CC50" i="4"/>
  <c r="CG108" i="4" s="1"/>
  <c r="BD65" i="4"/>
  <c r="CI101" i="4"/>
  <c r="BF48" i="3"/>
  <c r="CE61" i="3"/>
  <c r="CK61" i="3"/>
  <c r="CU29" i="2"/>
  <c r="X30" i="2"/>
  <c r="X39" i="2"/>
  <c r="CF61" i="3"/>
  <c r="CD17" i="2"/>
  <c r="CD99" i="4" s="1"/>
  <c r="CB61" i="3"/>
  <c r="AA99" i="4"/>
  <c r="BC80" i="3"/>
  <c r="BC85" i="3" s="1"/>
  <c r="CV56" i="2"/>
  <c r="BW56" i="2"/>
  <c r="CV73" i="2"/>
  <c r="D197" i="2"/>
  <c r="EP184" i="2"/>
  <c r="CD60" i="2"/>
  <c r="AO29" i="2"/>
  <c r="AO30" i="2" s="1"/>
  <c r="AP26" i="3"/>
  <c r="BX35" i="4"/>
  <c r="AJ48" i="4"/>
  <c r="CI90" i="4"/>
  <c r="I63" i="2"/>
  <c r="AP82" i="4"/>
  <c r="AP85" i="4" s="1"/>
  <c r="AP90" i="4" s="1"/>
  <c r="CR41" i="3"/>
  <c r="CR75" i="3" s="1"/>
  <c r="CR66" i="3"/>
  <c r="CT33" i="4"/>
  <c r="R74" i="4"/>
  <c r="R78" i="4" s="1"/>
  <c r="CH10" i="4"/>
  <c r="U27" i="4"/>
  <c r="AJ29" i="4"/>
  <c r="CW29" i="4"/>
  <c r="AO32" i="4"/>
  <c r="AE42" i="4"/>
  <c r="AE51" i="4"/>
  <c r="AJ65" i="4"/>
  <c r="BG41" i="3"/>
  <c r="BG74" i="3" s="1"/>
  <c r="CX55" i="3"/>
  <c r="CY140" i="3" s="1"/>
  <c r="AY61" i="3"/>
  <c r="AZ61" i="3" s="1"/>
  <c r="CU99" i="4"/>
  <c r="V30" i="2"/>
  <c r="V64" i="2" s="1"/>
  <c r="AF72" i="2"/>
  <c r="X77" i="2"/>
  <c r="BJ17" i="2"/>
  <c r="CD72" i="2"/>
  <c r="X60" i="3"/>
  <c r="AO61" i="2"/>
  <c r="BU61" i="3"/>
  <c r="ET60" i="2"/>
  <c r="AB58" i="3"/>
  <c r="BL99" i="4"/>
  <c r="J60" i="3"/>
  <c r="AF60" i="2"/>
  <c r="BD74" i="2"/>
  <c r="BU197" i="2"/>
  <c r="I31" i="2"/>
  <c r="CC16" i="4"/>
  <c r="Z27" i="4"/>
  <c r="CC65" i="4"/>
  <c r="CF57" i="3"/>
  <c r="AN57" i="3"/>
  <c r="CM43" i="4"/>
  <c r="CI17" i="2"/>
  <c r="I39" i="2"/>
  <c r="BP29" i="2"/>
  <c r="BP62" i="2"/>
  <c r="BP61" i="2"/>
  <c r="BP58" i="2"/>
  <c r="CE62" i="2"/>
  <c r="CE74" i="2"/>
  <c r="CE61" i="2"/>
  <c r="CE56" i="2"/>
  <c r="CE57" i="2"/>
  <c r="CE58" i="2"/>
  <c r="BF57" i="3"/>
  <c r="BF58" i="3" s="1"/>
  <c r="CD74" i="4"/>
  <c r="CD75" i="3"/>
  <c r="BI17" i="4"/>
  <c r="CW17" i="4"/>
  <c r="BI18" i="4"/>
  <c r="AY22" i="4"/>
  <c r="AY29" i="4"/>
  <c r="AE35" i="4"/>
  <c r="BN46" i="4"/>
  <c r="BD49" i="4"/>
  <c r="BX66" i="4"/>
  <c r="CD57" i="3"/>
  <c r="AX55" i="3"/>
  <c r="EU17" i="2"/>
  <c r="M15" i="1" s="1"/>
  <c r="BK61" i="3"/>
  <c r="G29" i="2"/>
  <c r="G31" i="2" s="1"/>
  <c r="AK72" i="2"/>
  <c r="X63" i="2"/>
  <c r="BP61" i="3"/>
  <c r="AO58" i="2"/>
  <c r="CV57" i="2"/>
  <c r="CI60" i="2"/>
  <c r="BJ72" i="2"/>
  <c r="EU72" i="2"/>
  <c r="BE60" i="2"/>
  <c r="BC58" i="2"/>
  <c r="BC61" i="2"/>
  <c r="AJ35" i="4"/>
  <c r="BI60" i="4"/>
  <c r="CI72" i="2"/>
  <c r="CV58" i="2"/>
  <c r="CV62" i="2"/>
  <c r="CV61" i="2"/>
  <c r="CP74" i="3"/>
  <c r="CE82" i="4"/>
  <c r="CE85" i="4" s="1"/>
  <c r="CE90" i="4" s="1"/>
  <c r="CE106" i="2"/>
  <c r="CE108" i="2" s="1"/>
  <c r="CR95" i="2"/>
  <c r="J11" i="1"/>
  <c r="AV57" i="3"/>
  <c r="CR18" i="4"/>
  <c r="AW39" i="4"/>
  <c r="AP75" i="3"/>
  <c r="BN30" i="4"/>
  <c r="AY33" i="4"/>
  <c r="CM35" i="4"/>
  <c r="CL37" i="4"/>
  <c r="AY43" i="4"/>
  <c r="P65" i="4"/>
  <c r="CT65" i="4"/>
  <c r="CU65" i="4" s="1"/>
  <c r="V60" i="3"/>
  <c r="BQ158" i="2"/>
  <c r="S197" i="2"/>
  <c r="AJ197" i="2"/>
  <c r="T14" i="4"/>
  <c r="BN17" i="4"/>
  <c r="BK82" i="4"/>
  <c r="BK85" i="4" s="1"/>
  <c r="BK90" i="4" s="1"/>
  <c r="BK106" i="2"/>
  <c r="BK108" i="2" s="1"/>
  <c r="P68" i="4"/>
  <c r="P114" i="2" s="1"/>
  <c r="AJ72" i="4"/>
  <c r="AA62" i="2"/>
  <c r="BY203" i="2"/>
  <c r="V74" i="3"/>
  <c r="CH46" i="4"/>
  <c r="L11" i="1"/>
  <c r="CF29" i="2"/>
  <c r="CF61" i="2"/>
  <c r="CF62" i="2"/>
  <c r="CF158" i="2"/>
  <c r="CF58" i="2"/>
  <c r="CB80" i="3"/>
  <c r="CB85" i="3" s="1"/>
  <c r="CB61" i="2"/>
  <c r="CB56" i="2"/>
  <c r="CB29" i="2"/>
  <c r="CB58" i="2"/>
  <c r="CG73" i="2"/>
  <c r="CB62" i="2"/>
  <c r="BT41" i="3"/>
  <c r="BT75" i="3" s="1"/>
  <c r="AT57" i="3"/>
  <c r="AT58" i="3" s="1"/>
  <c r="BD16" i="4"/>
  <c r="BX23" i="4"/>
  <c r="BS28" i="4"/>
  <c r="BI31" i="4"/>
  <c r="BS43" i="4"/>
  <c r="DA58" i="4"/>
  <c r="DB58" i="4" s="1"/>
  <c r="EU92" i="2"/>
  <c r="BI23" i="4"/>
  <c r="CM49" i="4"/>
  <c r="CU57" i="2"/>
  <c r="CU62" i="2"/>
  <c r="CU58" i="2"/>
  <c r="CU56" i="2"/>
  <c r="CU61" i="2"/>
  <c r="CU74" i="2"/>
  <c r="G82" i="4"/>
  <c r="G85" i="4" s="1"/>
  <c r="D63" i="2"/>
  <c r="AO89" i="4"/>
  <c r="EQ177" i="2"/>
  <c r="C82" i="4"/>
  <c r="C85" i="4" s="1"/>
  <c r="CB84" i="4"/>
  <c r="CB107" i="2"/>
  <c r="CF75" i="3"/>
  <c r="CF74" i="3"/>
  <c r="BL61" i="3"/>
  <c r="AB197" i="2"/>
  <c r="BT203" i="2"/>
  <c r="EV90" i="2"/>
  <c r="CY32" i="3"/>
  <c r="CM30" i="4"/>
  <c r="AJ22" i="4"/>
  <c r="AE58" i="4"/>
  <c r="AR57" i="3"/>
  <c r="AG41" i="2"/>
  <c r="AG50" i="2" s="1"/>
  <c r="BH197" i="2"/>
  <c r="CD203" i="2"/>
  <c r="AJ28" i="4"/>
  <c r="AE49" i="4"/>
  <c r="CG114" i="2"/>
  <c r="CH116" i="2" s="1"/>
  <c r="G61" i="2"/>
  <c r="Z50" i="4"/>
  <c r="AJ36" i="4"/>
  <c r="BS59" i="4"/>
  <c r="CU133" i="3"/>
  <c r="BS57" i="3"/>
  <c r="BS74" i="3"/>
  <c r="BS75" i="3"/>
  <c r="CL140" i="3"/>
  <c r="CM66" i="4"/>
  <c r="CX16" i="3"/>
  <c r="BC58" i="3"/>
  <c r="O84" i="4"/>
  <c r="CQ74" i="3"/>
  <c r="CQ75" i="3"/>
  <c r="CQ57" i="3"/>
  <c r="Y30" i="2"/>
  <c r="Y39" i="2"/>
  <c r="Y63" i="2"/>
  <c r="Y77" i="2"/>
  <c r="CA74" i="2"/>
  <c r="CA58" i="2"/>
  <c r="CA62" i="2"/>
  <c r="CA61" i="2"/>
  <c r="CE158" i="2"/>
  <c r="BJ26" i="3"/>
  <c r="BW58" i="3"/>
  <c r="J82" i="4"/>
  <c r="J85" i="4" s="1"/>
  <c r="BK58" i="3"/>
  <c r="ES182" i="2"/>
  <c r="BS10" i="4"/>
  <c r="BW62" i="2"/>
  <c r="BW57" i="2"/>
  <c r="BW61" i="2"/>
  <c r="CB73" i="2"/>
  <c r="BW58" i="2"/>
  <c r="CR28" i="4"/>
  <c r="CC66" i="4"/>
  <c r="CD74" i="3"/>
  <c r="BF82" i="4"/>
  <c r="BF85" i="4" s="1"/>
  <c r="BF90" i="4" s="1"/>
  <c r="BF106" i="2"/>
  <c r="BF108" i="2" s="1"/>
  <c r="BH84" i="4"/>
  <c r="BH107" i="2"/>
  <c r="BL58" i="2"/>
  <c r="BQ73" i="2"/>
  <c r="BL29" i="2"/>
  <c r="BL62" i="2"/>
  <c r="BL61" i="2"/>
  <c r="BL73" i="2"/>
  <c r="AY58" i="2"/>
  <c r="AY61" i="2"/>
  <c r="AY62" i="2"/>
  <c r="AL82" i="4"/>
  <c r="AL85" i="4" s="1"/>
  <c r="AL90" i="4" s="1"/>
  <c r="CY36" i="3"/>
  <c r="CM57" i="3"/>
  <c r="CM74" i="3"/>
  <c r="CM75" i="3"/>
  <c r="CH66" i="4"/>
  <c r="CW26" i="3"/>
  <c r="CW61" i="3" s="1"/>
  <c r="AF57" i="3"/>
  <c r="CM56" i="2"/>
  <c r="CM61" i="2"/>
  <c r="CR73" i="2"/>
  <c r="CM74" i="2"/>
  <c r="CM57" i="2"/>
  <c r="CM58" i="2"/>
  <c r="CM62" i="2"/>
  <c r="BH29" i="2"/>
  <c r="BH61" i="2"/>
  <c r="BH73" i="2"/>
  <c r="BD29" i="2"/>
  <c r="BD58" i="2"/>
  <c r="BD73" i="2"/>
  <c r="BD61" i="2"/>
  <c r="BD62" i="2"/>
  <c r="BS74" i="2"/>
  <c r="CR42" i="4"/>
  <c r="BM107" i="2"/>
  <c r="BN50" i="4"/>
  <c r="BN99" i="4" s="1"/>
  <c r="T65" i="4"/>
  <c r="BH114" i="2"/>
  <c r="AJ42" i="4"/>
  <c r="AO65" i="4"/>
  <c r="N82" i="4"/>
  <c r="N85" i="4" s="1"/>
  <c r="AJ44" i="4"/>
  <c r="AJ51" i="4"/>
  <c r="CW72" i="4"/>
  <c r="AQ82" i="4"/>
  <c r="AQ85" i="4" s="1"/>
  <c r="AQ90" i="4" s="1"/>
  <c r="BS61" i="4"/>
  <c r="CL86" i="4"/>
  <c r="CP118" i="2"/>
  <c r="CP119" i="2" s="1"/>
  <c r="AT68" i="4"/>
  <c r="AS114" i="2"/>
  <c r="AN89" i="4"/>
  <c r="S114" i="2"/>
  <c r="AG65" i="2"/>
  <c r="AH61" i="3"/>
  <c r="EX97" i="2"/>
  <c r="CC12" i="4"/>
  <c r="AT17" i="4"/>
  <c r="CH18" i="4"/>
  <c r="BD35" i="4"/>
  <c r="BN36" i="4"/>
  <c r="R82" i="4"/>
  <c r="R85" i="4" s="1"/>
  <c r="BD44" i="4"/>
  <c r="BI49" i="4"/>
  <c r="AT18" i="4"/>
  <c r="BI20" i="4"/>
  <c r="AE30" i="4"/>
  <c r="CR35" i="4"/>
  <c r="BI65" i="4"/>
  <c r="BI72" i="4"/>
  <c r="AX53" i="4"/>
  <c r="BD19" i="4"/>
  <c r="BD22" i="4"/>
  <c r="BS30" i="4"/>
  <c r="AU74" i="4"/>
  <c r="AU82" i="4"/>
  <c r="AU85" i="4" s="1"/>
  <c r="AU90" i="4" s="1"/>
  <c r="AO45" i="4"/>
  <c r="AN84" i="4"/>
  <c r="AO12" i="4"/>
  <c r="CC23" i="4"/>
  <c r="Y51" i="4"/>
  <c r="CR129" i="3"/>
  <c r="CR146" i="2"/>
  <c r="N114" i="2"/>
  <c r="BI16" i="4"/>
  <c r="U29" i="4"/>
  <c r="BD42" i="4"/>
  <c r="CH50" i="4"/>
  <c r="CL108" i="4" s="1"/>
  <c r="CG107" i="2"/>
  <c r="CM86" i="4"/>
  <c r="AO72" i="4"/>
  <c r="CW64" i="4"/>
  <c r="BN68" i="4"/>
  <c r="BM114" i="2"/>
  <c r="BS21" i="4"/>
  <c r="AE31" i="4"/>
  <c r="BD36" i="4"/>
  <c r="CP39" i="4"/>
  <c r="U50" i="4"/>
  <c r="T84" i="4"/>
  <c r="CH17" i="4"/>
  <c r="BD28" i="4"/>
  <c r="BD33" i="4"/>
  <c r="CQ36" i="4"/>
  <c r="CQ37" i="4" s="1"/>
  <c r="CC60" i="4"/>
  <c r="CB118" i="2"/>
  <c r="CR95" i="4"/>
  <c r="CK70" i="4"/>
  <c r="CV118" i="2"/>
  <c r="BR66" i="4"/>
  <c r="BR70" i="4" s="1"/>
  <c r="CM68" i="4"/>
  <c r="CL114" i="2"/>
  <c r="CL61" i="4"/>
  <c r="CL89" i="4" s="1"/>
  <c r="AP74" i="3"/>
  <c r="BF74" i="3"/>
  <c r="EU60" i="2"/>
  <c r="CN116" i="2"/>
  <c r="CG213" i="2"/>
  <c r="AQ61" i="2"/>
  <c r="AQ62" i="2"/>
  <c r="AQ58" i="2"/>
  <c r="AQ29" i="2"/>
  <c r="AQ39" i="2" s="1"/>
  <c r="Z39" i="2"/>
  <c r="Z63" i="2"/>
  <c r="Z77" i="2"/>
  <c r="AQ99" i="4"/>
  <c r="AR61" i="3"/>
  <c r="AQ61" i="3"/>
  <c r="Z30" i="2"/>
  <c r="AV29" i="2"/>
  <c r="AV73" i="2"/>
  <c r="AV61" i="2"/>
  <c r="AV62" i="2"/>
  <c r="AV58" i="2"/>
  <c r="V31" i="2"/>
  <c r="V63" i="2"/>
  <c r="E29" i="2"/>
  <c r="E60" i="2"/>
  <c r="O58" i="2"/>
  <c r="O11" i="1"/>
  <c r="BD10" i="4"/>
  <c r="Z12" i="4"/>
  <c r="Y31" i="2"/>
  <c r="AT16" i="4"/>
  <c r="CH16" i="4"/>
  <c r="CM17" i="4"/>
  <c r="BS18" i="4"/>
  <c r="CC19" i="4"/>
  <c r="BX21" i="4"/>
  <c r="BI22" i="4"/>
  <c r="U28" i="4"/>
  <c r="CW28" i="4"/>
  <c r="AY31" i="4"/>
  <c r="AO33" i="4"/>
  <c r="AO35" i="4"/>
  <c r="AO36" i="4"/>
  <c r="S39" i="4"/>
  <c r="AM39" i="4"/>
  <c r="H74" i="4"/>
  <c r="H82" i="4"/>
  <c r="H85" i="4" s="1"/>
  <c r="AV74" i="4"/>
  <c r="AV82" i="4"/>
  <c r="AV85" i="4" s="1"/>
  <c r="AV90" i="4" s="1"/>
  <c r="BT74" i="4"/>
  <c r="BT82" i="4"/>
  <c r="BT85" i="4" s="1"/>
  <c r="BT90" i="4" s="1"/>
  <c r="BT106" i="2"/>
  <c r="BT108" i="2" s="1"/>
  <c r="CW42" i="4"/>
  <c r="CV53" i="4"/>
  <c r="AT45" i="4"/>
  <c r="BN49" i="4"/>
  <c r="BS50" i="4"/>
  <c r="EG50" i="4" s="1"/>
  <c r="EG84" i="4" s="1"/>
  <c r="BR84" i="4"/>
  <c r="BR99" i="4"/>
  <c r="BR107" i="2"/>
  <c r="CI74" i="4"/>
  <c r="AI70" i="4"/>
  <c r="AJ58" i="4"/>
  <c r="CR118" i="2"/>
  <c r="AT63" i="4"/>
  <c r="AS89" i="4"/>
  <c r="DL63" i="4"/>
  <c r="DK89" i="4"/>
  <c r="DK133" i="3"/>
  <c r="CC114" i="2"/>
  <c r="BN72" i="4"/>
  <c r="AF74" i="3"/>
  <c r="CS66" i="3"/>
  <c r="CT129" i="3"/>
  <c r="CT146" i="2"/>
  <c r="AU48" i="3"/>
  <c r="AY57" i="3"/>
  <c r="BP140" i="3"/>
  <c r="BT140" i="3"/>
  <c r="R58" i="3"/>
  <c r="CQ95" i="2"/>
  <c r="CR30" i="4"/>
  <c r="M74" i="4"/>
  <c r="M82" i="4"/>
  <c r="M85" i="4" s="1"/>
  <c r="M40" i="4"/>
  <c r="O40" i="4"/>
  <c r="AG74" i="4"/>
  <c r="AG82" i="4"/>
  <c r="AG85" i="4" s="1"/>
  <c r="AG90" i="4" s="1"/>
  <c r="BE74" i="4"/>
  <c r="BE82" i="4"/>
  <c r="BE85" i="4" s="1"/>
  <c r="BE90" i="4" s="1"/>
  <c r="BE106" i="2"/>
  <c r="BE108" i="2" s="1"/>
  <c r="CR86" i="4"/>
  <c r="CR66" i="4"/>
  <c r="BE26" i="3"/>
  <c r="BE74" i="3"/>
  <c r="BU140" i="3"/>
  <c r="BY140" i="3"/>
  <c r="AH58" i="3"/>
  <c r="BI10" i="4"/>
  <c r="AE12" i="4"/>
  <c r="BS12" i="4"/>
  <c r="BS31" i="2" s="1"/>
  <c r="AE16" i="4"/>
  <c r="BD17" i="4"/>
  <c r="BD18" i="4"/>
  <c r="BN19" i="4"/>
  <c r="BS20" i="4"/>
  <c r="CW21" i="4"/>
  <c r="BS23" i="4"/>
  <c r="Z28" i="4"/>
  <c r="BN28" i="4"/>
  <c r="BM37" i="4"/>
  <c r="AE29" i="4"/>
  <c r="AO30" i="4"/>
  <c r="CC30" i="4"/>
  <c r="BD31" i="4"/>
  <c r="BN33" i="4"/>
  <c r="AJ34" i="4"/>
  <c r="BN35" i="4"/>
  <c r="CB36" i="4"/>
  <c r="CB37" i="4" s="1"/>
  <c r="AH39" i="4"/>
  <c r="BZ39" i="4"/>
  <c r="AT42" i="4"/>
  <c r="CH42" i="4"/>
  <c r="CG53" i="4"/>
  <c r="AT43" i="4"/>
  <c r="CC43" i="4"/>
  <c r="AT44" i="4"/>
  <c r="AE45" i="4"/>
  <c r="BS49" i="4"/>
  <c r="AJ50" i="4"/>
  <c r="AI84" i="4"/>
  <c r="AI99" i="4"/>
  <c r="BX50" i="4"/>
  <c r="BW84" i="4"/>
  <c r="BW99" i="4"/>
  <c r="BW107" i="2"/>
  <c r="BX56" i="4"/>
  <c r="BW70" i="4"/>
  <c r="AO58" i="4"/>
  <c r="AN70" i="4"/>
  <c r="BD89" i="4"/>
  <c r="CQ118" i="2"/>
  <c r="Y68" i="4"/>
  <c r="X114" i="2"/>
  <c r="CH114" i="2"/>
  <c r="CI74" i="3"/>
  <c r="AA75" i="3"/>
  <c r="CI57" i="3"/>
  <c r="CI75" i="3"/>
  <c r="CY142" i="3"/>
  <c r="CE140" i="3"/>
  <c r="CI140" i="3"/>
  <c r="CD66" i="3"/>
  <c r="BA58" i="3"/>
  <c r="BO66" i="3"/>
  <c r="CX72" i="2"/>
  <c r="AI31" i="2"/>
  <c r="AI30" i="2"/>
  <c r="AI63" i="2"/>
  <c r="AI39" i="2"/>
  <c r="CE31" i="2"/>
  <c r="CE30" i="2"/>
  <c r="CE63" i="2"/>
  <c r="CE39" i="2"/>
  <c r="CO80" i="3"/>
  <c r="CO85" i="3" s="1"/>
  <c r="CO56" i="2"/>
  <c r="CO58" i="2"/>
  <c r="CO61" i="2"/>
  <c r="CO62" i="2"/>
  <c r="CO99" i="4"/>
  <c r="CO61" i="3"/>
  <c r="CO57" i="2"/>
  <c r="CO73" i="2"/>
  <c r="CO158" i="2"/>
  <c r="CO29" i="2"/>
  <c r="CO74" i="2"/>
  <c r="EO17" i="2"/>
  <c r="G15" i="1" s="1"/>
  <c r="K31" i="2"/>
  <c r="K39" i="2"/>
  <c r="K30" i="2"/>
  <c r="K63" i="2"/>
  <c r="K77" i="2"/>
  <c r="S31" i="2"/>
  <c r="S30" i="2"/>
  <c r="S63" i="2"/>
  <c r="EG29" i="2"/>
  <c r="S39" i="2"/>
  <c r="CN60" i="2"/>
  <c r="CN72" i="2"/>
  <c r="CN17" i="2"/>
  <c r="M4" i="1" s="1"/>
  <c r="CS72" i="2"/>
  <c r="AB99" i="4"/>
  <c r="AB29" i="2"/>
  <c r="AF17" i="2"/>
  <c r="AK73" i="2" s="1"/>
  <c r="AG73" i="2"/>
  <c r="AB61" i="3"/>
  <c r="AB58" i="2"/>
  <c r="AB61" i="2"/>
  <c r="AB62" i="2"/>
  <c r="AB73" i="2"/>
  <c r="BA80" i="3"/>
  <c r="BA85" i="3" s="1"/>
  <c r="BA58" i="2"/>
  <c r="BA61" i="2"/>
  <c r="BA62" i="2"/>
  <c r="BA99" i="4"/>
  <c r="BA61" i="3"/>
  <c r="BA73" i="2"/>
  <c r="BA29" i="2"/>
  <c r="BA74" i="2"/>
  <c r="BA158" i="2"/>
  <c r="BO76" i="2"/>
  <c r="Y60" i="3"/>
  <c r="X65" i="2"/>
  <c r="AL61" i="3"/>
  <c r="AP17" i="2"/>
  <c r="AL73" i="2"/>
  <c r="AL99" i="4"/>
  <c r="AL29" i="2"/>
  <c r="AQ73" i="2"/>
  <c r="AL158" i="2"/>
  <c r="AL58" i="2"/>
  <c r="AL61" i="2"/>
  <c r="AL62" i="2"/>
  <c r="AM158" i="2"/>
  <c r="AT61" i="3"/>
  <c r="AU61" i="3" s="1"/>
  <c r="AT73" i="2"/>
  <c r="AT80" i="3"/>
  <c r="AT85" i="3" s="1"/>
  <c r="AT58" i="2"/>
  <c r="AT61" i="2"/>
  <c r="AT62" i="2"/>
  <c r="AT158" i="2"/>
  <c r="AU158" i="2" s="1"/>
  <c r="AV158" i="2"/>
  <c r="AT29" i="2"/>
  <c r="AY77" i="2" s="1"/>
  <c r="AY73" i="2"/>
  <c r="AM31" i="2"/>
  <c r="AM77" i="2"/>
  <c r="AM39" i="2"/>
  <c r="AM30" i="2"/>
  <c r="AM63" i="2"/>
  <c r="BM58" i="2"/>
  <c r="BM61" i="2"/>
  <c r="BM62" i="2"/>
  <c r="BM99" i="4"/>
  <c r="BM61" i="3"/>
  <c r="BM80" i="3"/>
  <c r="BM85" i="3" s="1"/>
  <c r="BM29" i="2"/>
  <c r="BM74" i="2"/>
  <c r="BM73" i="2"/>
  <c r="CB74" i="2"/>
  <c r="BM158" i="2"/>
  <c r="BT76" i="2"/>
  <c r="CA73" i="2"/>
  <c r="CK158" i="2"/>
  <c r="CS164" i="2"/>
  <c r="CX164" i="2"/>
  <c r="R64" i="2"/>
  <c r="AC79" i="2"/>
  <c r="BJ164" i="2"/>
  <c r="AR158" i="2"/>
  <c r="AR39" i="2"/>
  <c r="AR63" i="2"/>
  <c r="AR77" i="2"/>
  <c r="AR31" i="2"/>
  <c r="AR30" i="2"/>
  <c r="CB185" i="2"/>
  <c r="BX10" i="4"/>
  <c r="AT12" i="4"/>
  <c r="AE17" i="4"/>
  <c r="CM18" i="4"/>
  <c r="BN20" i="4"/>
  <c r="CC22" i="4"/>
  <c r="AO28" i="4"/>
  <c r="Z29" i="4"/>
  <c r="AJ30" i="4"/>
  <c r="BI33" i="4"/>
  <c r="BI35" i="4"/>
  <c r="BS36" i="4"/>
  <c r="W39" i="4"/>
  <c r="L74" i="4"/>
  <c r="L82" i="4"/>
  <c r="L85" i="4" s="1"/>
  <c r="AB74" i="4"/>
  <c r="AB82" i="4"/>
  <c r="AB85" i="4" s="1"/>
  <c r="AB90" i="4" s="1"/>
  <c r="AZ74" i="4"/>
  <c r="AZ82" i="4"/>
  <c r="AZ85" i="4" s="1"/>
  <c r="AZ90" i="4" s="1"/>
  <c r="AZ106" i="2"/>
  <c r="AZ108" i="2" s="1"/>
  <c r="AO42" i="4"/>
  <c r="AN53" i="4"/>
  <c r="BD46" i="4"/>
  <c r="CM50" i="4"/>
  <c r="CL84" i="4"/>
  <c r="CL99" i="4"/>
  <c r="CL107" i="2"/>
  <c r="O51" i="4"/>
  <c r="P51" i="4" s="1"/>
  <c r="N53" i="4"/>
  <c r="CQ53" i="4"/>
  <c r="AE60" i="4"/>
  <c r="AD70" i="4"/>
  <c r="BI62" i="4"/>
  <c r="CW63" i="4"/>
  <c r="DQ63" i="4"/>
  <c r="DR63" i="4" s="1"/>
  <c r="DP89" i="4"/>
  <c r="DP133" i="3"/>
  <c r="AT65" i="4"/>
  <c r="CQ94" i="4"/>
  <c r="CQ114" i="2"/>
  <c r="CH72" i="4"/>
  <c r="AZ26" i="3"/>
  <c r="AZ74" i="3"/>
  <c r="BI39" i="3"/>
  <c r="AF75" i="3"/>
  <c r="BX74" i="3"/>
  <c r="BX75" i="3"/>
  <c r="BX57" i="3"/>
  <c r="CV74" i="3"/>
  <c r="CV48" i="3"/>
  <c r="CV75" i="3"/>
  <c r="CV57" i="3"/>
  <c r="CJ140" i="3"/>
  <c r="CN140" i="3"/>
  <c r="D58" i="3"/>
  <c r="AA57" i="3"/>
  <c r="BR58" i="3"/>
  <c r="CH58" i="3"/>
  <c r="CR21" i="4"/>
  <c r="U31" i="4"/>
  <c r="T37" i="4"/>
  <c r="Q74" i="4"/>
  <c r="Q82" i="4"/>
  <c r="Q85" i="4" s="1"/>
  <c r="AK74" i="4"/>
  <c r="AK82" i="4"/>
  <c r="AK85" i="4" s="1"/>
  <c r="AK90" i="4" s="1"/>
  <c r="CR49" i="4"/>
  <c r="CW66" i="4"/>
  <c r="BY26" i="3"/>
  <c r="BY74" i="3"/>
  <c r="AG58" i="3"/>
  <c r="X57" i="3"/>
  <c r="CO140" i="3"/>
  <c r="CS140" i="3"/>
  <c r="CC21" i="4"/>
  <c r="BN22" i="4"/>
  <c r="AJ27" i="4"/>
  <c r="AT36" i="4"/>
  <c r="CH36" i="4"/>
  <c r="F39" i="4"/>
  <c r="AX37" i="4"/>
  <c r="K39" i="4"/>
  <c r="AO84" i="4"/>
  <c r="AO99" i="4"/>
  <c r="DA56" i="4"/>
  <c r="CZ57" i="4"/>
  <c r="BS60" i="4"/>
  <c r="BR89" i="4"/>
  <c r="CC61" i="4"/>
  <c r="CB70" i="4"/>
  <c r="CB89" i="4"/>
  <c r="AY63" i="4"/>
  <c r="AX89" i="4"/>
  <c r="AX70" i="4"/>
  <c r="AY65" i="4"/>
  <c r="CW68" i="4"/>
  <c r="CV94" i="4"/>
  <c r="CV114" i="2"/>
  <c r="AE72" i="4"/>
  <c r="BS72" i="4"/>
  <c r="AA74" i="3"/>
  <c r="CT31" i="4"/>
  <c r="BI40" i="3"/>
  <c r="AU75" i="3"/>
  <c r="BI44" i="3"/>
  <c r="BH47" i="3"/>
  <c r="CD48" i="3"/>
  <c r="AU55" i="3"/>
  <c r="C58" i="3"/>
  <c r="V57" i="3"/>
  <c r="U58" i="3"/>
  <c r="AP57" i="3"/>
  <c r="AO58" i="3"/>
  <c r="CC58" i="3"/>
  <c r="AD58" i="3"/>
  <c r="CI66" i="3"/>
  <c r="AZ60" i="2"/>
  <c r="EL15" i="2"/>
  <c r="AZ72" i="2"/>
  <c r="CT61" i="3"/>
  <c r="CT80" i="3"/>
  <c r="CT85" i="3" s="1"/>
  <c r="CT73" i="2"/>
  <c r="CT74" i="2"/>
  <c r="CT99" i="4"/>
  <c r="CT56" i="2"/>
  <c r="CT158" i="2"/>
  <c r="CT29" i="2"/>
  <c r="CU158" i="2"/>
  <c r="EV17" i="2"/>
  <c r="N15" i="1" s="1"/>
  <c r="CV158" i="2"/>
  <c r="CT58" i="2"/>
  <c r="CT61" i="2"/>
  <c r="CT62" i="2"/>
  <c r="CT57" i="2"/>
  <c r="CI203" i="2"/>
  <c r="DA116" i="3"/>
  <c r="BV61" i="3"/>
  <c r="BV73" i="2"/>
  <c r="BV74" i="2"/>
  <c r="BV80" i="3"/>
  <c r="BV85" i="3" s="1"/>
  <c r="BV99" i="4"/>
  <c r="BV158" i="2"/>
  <c r="BV58" i="2"/>
  <c r="BX158" i="2"/>
  <c r="BY158" i="2" s="1"/>
  <c r="BV62" i="2"/>
  <c r="BW158" i="2"/>
  <c r="ER17" i="2"/>
  <c r="J15" i="1" s="1"/>
  <c r="BV56" i="2"/>
  <c r="BV29" i="2"/>
  <c r="BV61" i="2"/>
  <c r="BZ61" i="3"/>
  <c r="BZ80" i="3"/>
  <c r="BZ85" i="3" s="1"/>
  <c r="BZ73" i="2"/>
  <c r="BZ74" i="2"/>
  <c r="BZ99" i="4"/>
  <c r="BZ58" i="2"/>
  <c r="BZ61" i="2"/>
  <c r="BZ62" i="2"/>
  <c r="BZ158" i="2"/>
  <c r="BZ56" i="2"/>
  <c r="CA158" i="2"/>
  <c r="CB158" i="2"/>
  <c r="BZ29" i="2"/>
  <c r="CE73" i="2"/>
  <c r="CX101" i="3"/>
  <c r="BB61" i="3"/>
  <c r="BB73" i="2"/>
  <c r="BB74" i="2"/>
  <c r="BB80" i="3"/>
  <c r="BB85" i="3" s="1"/>
  <c r="BB99" i="4"/>
  <c r="BB29" i="2"/>
  <c r="BG73" i="2"/>
  <c r="BB158" i="2"/>
  <c r="BC158" i="2"/>
  <c r="BD158" i="2"/>
  <c r="BE158" i="2" s="1"/>
  <c r="BB58" i="2"/>
  <c r="BB61" i="2"/>
  <c r="BB62" i="2"/>
  <c r="EN17" i="2"/>
  <c r="F15" i="1" s="1"/>
  <c r="BQ74" i="2"/>
  <c r="BF61" i="3"/>
  <c r="BF80" i="3"/>
  <c r="BF85" i="3" s="1"/>
  <c r="BF73" i="2"/>
  <c r="BF74" i="2"/>
  <c r="BF99" i="4"/>
  <c r="BF158" i="2"/>
  <c r="BF58" i="2"/>
  <c r="BH158" i="2"/>
  <c r="BF61" i="2"/>
  <c r="BF29" i="2"/>
  <c r="BF62" i="2"/>
  <c r="BG158" i="2"/>
  <c r="EP72" i="2"/>
  <c r="AG61" i="3"/>
  <c r="CC184" i="2"/>
  <c r="CC197" i="2" s="1"/>
  <c r="AD61" i="3"/>
  <c r="AD73" i="2"/>
  <c r="AD58" i="2"/>
  <c r="AD61" i="2"/>
  <c r="AD62" i="2"/>
  <c r="AH158" i="2"/>
  <c r="AD29" i="2"/>
  <c r="AI77" i="2" s="1"/>
  <c r="AI73" i="2"/>
  <c r="EI17" i="2"/>
  <c r="AG158" i="2"/>
  <c r="CC61" i="3"/>
  <c r="BK73" i="2"/>
  <c r="CW158" i="2"/>
  <c r="CX158" i="2" s="1"/>
  <c r="M60" i="3"/>
  <c r="M30" i="2"/>
  <c r="M77" i="2"/>
  <c r="M31" i="2"/>
  <c r="M39" i="2"/>
  <c r="M63" i="2"/>
  <c r="BZ57" i="2"/>
  <c r="BD61" i="3"/>
  <c r="BE61" i="3" s="1"/>
  <c r="CK64" i="2"/>
  <c r="BN12" i="4"/>
  <c r="Y14" i="4"/>
  <c r="BN16" i="4"/>
  <c r="AY17" i="4"/>
  <c r="AE18" i="4"/>
  <c r="CH20" i="4"/>
  <c r="BN23" i="4"/>
  <c r="AE27" i="4"/>
  <c r="AD37" i="4"/>
  <c r="BI28" i="4"/>
  <c r="BH37" i="4"/>
  <c r="BD30" i="4"/>
  <c r="Y31" i="4"/>
  <c r="AE32" i="4"/>
  <c r="CC33" i="4"/>
  <c r="CC35" i="4"/>
  <c r="AA39" i="4"/>
  <c r="BC37" i="4"/>
  <c r="AF74" i="4"/>
  <c r="AF82" i="4"/>
  <c r="AF85" i="4" s="1"/>
  <c r="AF90" i="4" s="1"/>
  <c r="CJ74" i="4"/>
  <c r="CJ82" i="4"/>
  <c r="CJ85" i="4" s="1"/>
  <c r="CJ90" i="4" s="1"/>
  <c r="CJ106" i="2"/>
  <c r="CJ108" i="2" s="1"/>
  <c r="BI42" i="4"/>
  <c r="BH53" i="4"/>
  <c r="AO43" i="4"/>
  <c r="AO44" i="4"/>
  <c r="AO48" i="4"/>
  <c r="AE50" i="4"/>
  <c r="AD84" i="4"/>
  <c r="AD99" i="4"/>
  <c r="CR99" i="4"/>
  <c r="CT108" i="4"/>
  <c r="CU108" i="4"/>
  <c r="CR84" i="4"/>
  <c r="CR108" i="4"/>
  <c r="CS108" i="4" s="1"/>
  <c r="CV108" i="4"/>
  <c r="CR107" i="2"/>
  <c r="S53" i="4"/>
  <c r="BS56" i="4"/>
  <c r="BN60" i="4"/>
  <c r="BM70" i="4"/>
  <c r="BM89" i="4"/>
  <c r="DB63" i="4"/>
  <c r="DC63" i="4" s="1"/>
  <c r="DA133" i="3"/>
  <c r="DV63" i="4"/>
  <c r="DW63" i="4" s="1"/>
  <c r="DU133" i="3"/>
  <c r="BN65" i="4"/>
  <c r="AY68" i="4"/>
  <c r="AX114" i="2"/>
  <c r="Z72" i="4"/>
  <c r="Q58" i="3"/>
  <c r="BN39" i="3"/>
  <c r="AZ48" i="3"/>
  <c r="AZ75" i="3"/>
  <c r="AZ57" i="3"/>
  <c r="CY44" i="3"/>
  <c r="AM57" i="3"/>
  <c r="I58" i="3"/>
  <c r="BV58" i="3"/>
  <c r="L10" i="1"/>
  <c r="X37" i="4"/>
  <c r="E74" i="4"/>
  <c r="E82" i="4"/>
  <c r="E85" i="4" s="1"/>
  <c r="BU74" i="4"/>
  <c r="BU82" i="4"/>
  <c r="BU85" i="4" s="1"/>
  <c r="BU90" i="4" s="1"/>
  <c r="BU106" i="2"/>
  <c r="BU108" i="2" s="1"/>
  <c r="T51" i="4"/>
  <c r="AS53" i="4"/>
  <c r="AS70" i="4"/>
  <c r="BM101" i="4"/>
  <c r="CO75" i="3"/>
  <c r="CO74" i="3"/>
  <c r="CO48" i="3"/>
  <c r="CO57" i="3"/>
  <c r="AO10" i="4"/>
  <c r="CC10" i="4"/>
  <c r="AY12" i="4"/>
  <c r="AY31" i="2" s="1"/>
  <c r="CM12" i="4"/>
  <c r="BS16" i="4"/>
  <c r="AJ17" i="4"/>
  <c r="BX17" i="4"/>
  <c r="AJ18" i="4"/>
  <c r="BX18" i="4"/>
  <c r="AT19" i="4"/>
  <c r="CH19" i="4"/>
  <c r="BI21" i="4"/>
  <c r="CM23" i="4"/>
  <c r="AT28" i="4"/>
  <c r="AS37" i="4"/>
  <c r="CH28" i="4"/>
  <c r="CG37" i="4"/>
  <c r="U30" i="4"/>
  <c r="BI30" i="4"/>
  <c r="CW30" i="4"/>
  <c r="AJ32" i="4"/>
  <c r="AT33" i="4"/>
  <c r="CH33" i="4"/>
  <c r="AT35" i="4"/>
  <c r="CH35" i="4"/>
  <c r="V39" i="4"/>
  <c r="BB39" i="4"/>
  <c r="BR37" i="4"/>
  <c r="BG39" i="4"/>
  <c r="CU39" i="4"/>
  <c r="BN42" i="4"/>
  <c r="BM53" i="4"/>
  <c r="BN43" i="4"/>
  <c r="BN44" i="4"/>
  <c r="BI46" i="4"/>
  <c r="BH86" i="4"/>
  <c r="AY49" i="4"/>
  <c r="P84" i="4"/>
  <c r="BD50" i="4"/>
  <c r="BC84" i="4"/>
  <c r="BC99" i="4"/>
  <c r="BC107" i="2"/>
  <c r="CQ84" i="4"/>
  <c r="CQ99" i="4"/>
  <c r="CQ107" i="2"/>
  <c r="AD53" i="4"/>
  <c r="BR53" i="4"/>
  <c r="BS57" i="4"/>
  <c r="AJ60" i="4"/>
  <c r="DA65" i="4"/>
  <c r="DB65" i="4" s="1"/>
  <c r="CZ95" i="4"/>
  <c r="O114" i="2"/>
  <c r="BD68" i="4"/>
  <c r="BC114" i="2"/>
  <c r="DS101" i="4"/>
  <c r="AU74" i="3"/>
  <c r="BN40" i="3"/>
  <c r="H58" i="3"/>
  <c r="Y58" i="3"/>
  <c r="BQ58" i="3"/>
  <c r="CG58" i="3"/>
  <c r="L69" i="2"/>
  <c r="L197" i="2"/>
  <c r="L17" i="2"/>
  <c r="L59" i="2"/>
  <c r="CP61" i="3"/>
  <c r="CP73" i="2"/>
  <c r="CP74" i="2"/>
  <c r="CP80" i="3"/>
  <c r="CP85" i="3" s="1"/>
  <c r="CP99" i="4"/>
  <c r="CP58" i="2"/>
  <c r="CP61" i="2"/>
  <c r="CP62" i="2"/>
  <c r="CP158" i="2"/>
  <c r="CP56" i="2"/>
  <c r="CP29" i="2"/>
  <c r="CP57" i="2"/>
  <c r="CU73" i="2"/>
  <c r="CQ158" i="2"/>
  <c r="CR158" i="2"/>
  <c r="CS158" i="2" s="1"/>
  <c r="EV72" i="2"/>
  <c r="EV60" i="2"/>
  <c r="ES72" i="2"/>
  <c r="ES60" i="2"/>
  <c r="ET72" i="2"/>
  <c r="AN58" i="2"/>
  <c r="AN61" i="2"/>
  <c r="AN62" i="2"/>
  <c r="BC74" i="2"/>
  <c r="AN29" i="2"/>
  <c r="AQ158" i="2"/>
  <c r="EK17" i="2"/>
  <c r="AN61" i="3"/>
  <c r="AN73" i="2"/>
  <c r="AN158" i="2"/>
  <c r="AY30" i="2"/>
  <c r="AY63" i="2"/>
  <c r="AY39" i="2"/>
  <c r="BI58" i="2"/>
  <c r="BI61" i="2"/>
  <c r="BI62" i="2"/>
  <c r="BI61" i="3"/>
  <c r="BJ61" i="3" s="1"/>
  <c r="BI80" i="3"/>
  <c r="BI85" i="3" s="1"/>
  <c r="BX74" i="2"/>
  <c r="BI29" i="2"/>
  <c r="BK158" i="2"/>
  <c r="BI73" i="2"/>
  <c r="BI158" i="2"/>
  <c r="BJ158" i="2" s="1"/>
  <c r="BI74" i="2"/>
  <c r="BL158" i="2"/>
  <c r="AA60" i="2"/>
  <c r="BY52" i="2"/>
  <c r="CX17" i="2"/>
  <c r="O4" i="1" s="1"/>
  <c r="BO17" i="2"/>
  <c r="H4" i="1" s="1"/>
  <c r="BO72" i="2"/>
  <c r="BR61" i="3"/>
  <c r="BR73" i="2"/>
  <c r="BR74" i="2"/>
  <c r="BR29" i="2"/>
  <c r="BW77" i="2" s="1"/>
  <c r="BW73" i="2"/>
  <c r="BR158" i="2"/>
  <c r="BR80" i="3"/>
  <c r="BR85" i="3" s="1"/>
  <c r="EQ17" i="2"/>
  <c r="I15" i="1" s="1"/>
  <c r="BR58" i="2"/>
  <c r="BR61" i="2"/>
  <c r="BR62" i="2"/>
  <c r="BR56" i="2"/>
  <c r="CG74" i="2"/>
  <c r="BS158" i="2"/>
  <c r="BT158" i="2" s="1"/>
  <c r="ER72" i="2"/>
  <c r="ER60" i="2"/>
  <c r="CH61" i="3"/>
  <c r="CH73" i="2"/>
  <c r="CH74" i="2"/>
  <c r="CH80" i="3"/>
  <c r="CH85" i="3" s="1"/>
  <c r="CM85" i="3" s="1"/>
  <c r="CH29" i="2"/>
  <c r="CM73" i="2"/>
  <c r="CH158" i="2"/>
  <c r="CI158" i="2" s="1"/>
  <c r="CH58" i="2"/>
  <c r="CH61" i="2"/>
  <c r="CH62" i="2"/>
  <c r="CW74" i="2"/>
  <c r="AA29" i="2"/>
  <c r="AO61" i="3"/>
  <c r="AP61" i="3" s="1"/>
  <c r="CA61" i="3"/>
  <c r="CQ61" i="3"/>
  <c r="BO60" i="2"/>
  <c r="AX61" i="3"/>
  <c r="AX73" i="2"/>
  <c r="AX158" i="2"/>
  <c r="AX80" i="3"/>
  <c r="AX85" i="3" s="1"/>
  <c r="AY158" i="2"/>
  <c r="AZ158" i="2" s="1"/>
  <c r="AX58" i="2"/>
  <c r="AX61" i="2"/>
  <c r="AX62" i="2"/>
  <c r="AX29" i="2"/>
  <c r="BC73" i="2"/>
  <c r="EN60" i="2"/>
  <c r="EO72" i="2"/>
  <c r="BN61" i="3"/>
  <c r="BN73" i="2"/>
  <c r="BN74" i="2"/>
  <c r="BN80" i="3"/>
  <c r="BN85" i="3" s="1"/>
  <c r="CC74" i="2"/>
  <c r="BN158" i="2"/>
  <c r="BO158" i="2" s="1"/>
  <c r="BP158" i="2"/>
  <c r="BN58" i="2"/>
  <c r="BN61" i="2"/>
  <c r="BN62" i="2"/>
  <c r="BN29" i="2"/>
  <c r="BS77" i="2" s="1"/>
  <c r="BS73" i="2"/>
  <c r="EH17" i="2"/>
  <c r="BQ61" i="3"/>
  <c r="BW61" i="3"/>
  <c r="AJ39" i="2"/>
  <c r="AJ63" i="2"/>
  <c r="AJ30" i="2"/>
  <c r="CK74" i="2"/>
  <c r="BH61" i="3"/>
  <c r="AP72" i="2"/>
  <c r="AP60" i="2"/>
  <c r="BT17" i="2"/>
  <c r="I4" i="1" s="1"/>
  <c r="BT60" i="2"/>
  <c r="BT72" i="2"/>
  <c r="BY72" i="2"/>
  <c r="AW58" i="2"/>
  <c r="AW61" i="2"/>
  <c r="AW62" i="2"/>
  <c r="AW99" i="4"/>
  <c r="AW80" i="3"/>
  <c r="AW85" i="3" s="1"/>
  <c r="AW61" i="3"/>
  <c r="AW29" i="2"/>
  <c r="AW73" i="2"/>
  <c r="AZ17" i="2"/>
  <c r="E4" i="1" s="1"/>
  <c r="EM17" i="2"/>
  <c r="BL74" i="2"/>
  <c r="AW158" i="2"/>
  <c r="BS61" i="3"/>
  <c r="CC158" i="2"/>
  <c r="CD158" i="2" s="1"/>
  <c r="C31" i="2"/>
  <c r="C39" i="2"/>
  <c r="C63" i="2"/>
  <c r="C30" i="2"/>
  <c r="EQ72" i="2"/>
  <c r="AU17" i="2"/>
  <c r="D4" i="1" s="1"/>
  <c r="ES181" i="2"/>
  <c r="AJ10" i="4"/>
  <c r="CH12" i="4"/>
  <c r="BS17" i="4"/>
  <c r="AY18" i="4"/>
  <c r="BI19" i="4"/>
  <c r="AO22" i="4"/>
  <c r="CH23" i="4"/>
  <c r="CC28" i="4"/>
  <c r="BI29" i="4"/>
  <c r="BX30" i="4"/>
  <c r="AJ31" i="4"/>
  <c r="CX32" i="4"/>
  <c r="CW35" i="4"/>
  <c r="AI37" i="4"/>
  <c r="BW37" i="4"/>
  <c r="D74" i="4"/>
  <c r="D82" i="4"/>
  <c r="D85" i="4" s="1"/>
  <c r="BP74" i="4"/>
  <c r="BP82" i="4"/>
  <c r="BP85" i="4" s="1"/>
  <c r="BP90" i="4" s="1"/>
  <c r="BP106" i="2"/>
  <c r="BP108" i="2" s="1"/>
  <c r="CN74" i="4"/>
  <c r="CN82" i="4"/>
  <c r="CN85" i="4" s="1"/>
  <c r="CN90" i="4" s="1"/>
  <c r="CN106" i="2"/>
  <c r="CN108" i="2" s="1"/>
  <c r="CC42" i="4"/>
  <c r="CB53" i="4"/>
  <c r="BI43" i="4"/>
  <c r="BI44" i="4"/>
  <c r="AY50" i="4"/>
  <c r="AX84" i="4"/>
  <c r="AX99" i="4"/>
  <c r="AO51" i="4"/>
  <c r="CW35" i="3"/>
  <c r="CH60" i="4"/>
  <c r="CG70" i="4"/>
  <c r="CG89" i="4"/>
  <c r="CG118" i="2"/>
  <c r="BX61" i="4"/>
  <c r="BX62" i="4"/>
  <c r="DF133" i="3"/>
  <c r="DZ133" i="3"/>
  <c r="EA63" i="4"/>
  <c r="EB63" i="4" s="1"/>
  <c r="BS68" i="4"/>
  <c r="BR114" i="2"/>
  <c r="BO74" i="4"/>
  <c r="AT72" i="4"/>
  <c r="DZ89" i="4"/>
  <c r="CY33" i="3"/>
  <c r="BL74" i="3"/>
  <c r="BL75" i="3"/>
  <c r="BL57" i="3"/>
  <c r="CI48" i="3"/>
  <c r="CY143" i="3"/>
  <c r="AQ57" i="3"/>
  <c r="N58" i="3"/>
  <c r="BB58" i="3"/>
  <c r="BZ58" i="3"/>
  <c r="K11" i="1"/>
  <c r="AN37" i="4"/>
  <c r="I74" i="4"/>
  <c r="I82" i="4"/>
  <c r="I85" i="4" s="1"/>
  <c r="BA74" i="4"/>
  <c r="BA82" i="4"/>
  <c r="BA85" i="4" s="1"/>
  <c r="BA90" i="4" s="1"/>
  <c r="BA106" i="2"/>
  <c r="BA108" i="2" s="1"/>
  <c r="CR43" i="4"/>
  <c r="CR68" i="4"/>
  <c r="AK74" i="3"/>
  <c r="BL48" i="3"/>
  <c r="AY16" i="4"/>
  <c r="AT22" i="4"/>
  <c r="CH22" i="4"/>
  <c r="CW27" i="4"/>
  <c r="CH29" i="4"/>
  <c r="AO31" i="4"/>
  <c r="BV39" i="4"/>
  <c r="CA39" i="4"/>
  <c r="BI84" i="4"/>
  <c r="BI108" i="4"/>
  <c r="BJ108" i="4" s="1"/>
  <c r="BI99" i="4"/>
  <c r="EE50" i="4"/>
  <c r="EE84" i="4" s="1"/>
  <c r="BK108" i="4"/>
  <c r="BL108" i="4"/>
  <c r="BI107" i="2"/>
  <c r="CM60" i="4"/>
  <c r="CL118" i="2"/>
  <c r="BI61" i="4"/>
  <c r="BH70" i="4"/>
  <c r="BH89" i="4"/>
  <c r="AE63" i="4"/>
  <c r="AD89" i="4"/>
  <c r="AE65" i="4"/>
  <c r="BS65" i="4"/>
  <c r="U68" i="4"/>
  <c r="T114" i="2"/>
  <c r="BI114" i="2"/>
  <c r="AY72" i="4"/>
  <c r="CM72" i="4"/>
  <c r="BN31" i="3"/>
  <c r="BM41" i="3"/>
  <c r="CY34" i="3"/>
  <c r="CA48" i="3"/>
  <c r="CA57" i="3"/>
  <c r="CA74" i="3"/>
  <c r="CA75" i="3"/>
  <c r="M58" i="3"/>
  <c r="AC58" i="3"/>
  <c r="BU58" i="3"/>
  <c r="DU101" i="4"/>
  <c r="CS129" i="3"/>
  <c r="Q59" i="2"/>
  <c r="Q69" i="2"/>
  <c r="V69" i="2"/>
  <c r="Q17" i="2"/>
  <c r="Q197" i="2"/>
  <c r="CL61" i="3"/>
  <c r="CL73" i="2"/>
  <c r="CL74" i="2"/>
  <c r="CL158" i="2"/>
  <c r="CM158" i="2"/>
  <c r="CN158" i="2" s="1"/>
  <c r="CL80" i="3"/>
  <c r="CL85" i="3" s="1"/>
  <c r="CL62" i="2"/>
  <c r="CL56" i="2"/>
  <c r="CL29" i="2"/>
  <c r="CL57" i="2"/>
  <c r="CL58" i="2"/>
  <c r="CL61" i="2"/>
  <c r="AI61" i="3"/>
  <c r="AS58" i="2"/>
  <c r="AS61" i="2"/>
  <c r="AS62" i="2"/>
  <c r="AS99" i="4"/>
  <c r="AS61" i="3"/>
  <c r="AS80" i="3"/>
  <c r="AS85" i="3" s="1"/>
  <c r="BH74" i="2"/>
  <c r="AS29" i="2"/>
  <c r="AS73" i="2"/>
  <c r="AS158" i="2"/>
  <c r="CJ99" i="4"/>
  <c r="CJ80" i="3"/>
  <c r="CJ85" i="3" s="1"/>
  <c r="CJ57" i="2"/>
  <c r="CJ58" i="2"/>
  <c r="CJ61" i="2"/>
  <c r="CJ62" i="2"/>
  <c r="CJ29" i="2"/>
  <c r="CJ158" i="2"/>
  <c r="CJ61" i="3"/>
  <c r="CJ73" i="2"/>
  <c r="CJ56" i="2"/>
  <c r="CJ74" i="2"/>
  <c r="CU61" i="3"/>
  <c r="Q21" i="2"/>
  <c r="P58" i="2"/>
  <c r="P29" i="2"/>
  <c r="G60" i="2"/>
  <c r="V39" i="2"/>
  <c r="EN51" i="2"/>
  <c r="CV61" i="3"/>
  <c r="AU60" i="2"/>
  <c r="AU72" i="2"/>
  <c r="W31" i="2"/>
  <c r="W60" i="3"/>
  <c r="W77" i="2"/>
  <c r="W39" i="2"/>
  <c r="W30" i="2"/>
  <c r="W63" i="2"/>
  <c r="ET17" i="2"/>
  <c r="L15" i="1" s="1"/>
  <c r="CV126" i="3"/>
  <c r="AK61" i="2"/>
  <c r="AK62" i="2"/>
  <c r="AK99" i="4"/>
  <c r="AK29" i="2"/>
  <c r="BG61" i="3"/>
  <c r="EP17" i="2"/>
  <c r="H15" i="1" s="1"/>
  <c r="BW31" i="2"/>
  <c r="BW39" i="2"/>
  <c r="BW30" i="2"/>
  <c r="BW63" i="2"/>
  <c r="CM61" i="3"/>
  <c r="BP74" i="2"/>
  <c r="BX61" i="3"/>
  <c r="AC61" i="3"/>
  <c r="BC61" i="3"/>
  <c r="BS39" i="2"/>
  <c r="BS30" i="2"/>
  <c r="BS63" i="2"/>
  <c r="BE72" i="2"/>
  <c r="CQ73" i="2"/>
  <c r="AO158" i="2"/>
  <c r="AP158" i="2" s="1"/>
  <c r="BY164" i="2"/>
  <c r="CD164" i="2"/>
  <c r="BT194" i="2"/>
  <c r="BW209" i="2"/>
  <c r="BR209" i="2"/>
  <c r="BR57" i="2"/>
  <c r="CG214" i="2" l="1"/>
  <c r="CG215" i="2" s="1"/>
  <c r="CG67" i="2"/>
  <c r="CG30" i="2"/>
  <c r="CG66" i="2"/>
  <c r="CG31" i="2"/>
  <c r="CG32" i="2" s="1"/>
  <c r="V62" i="3"/>
  <c r="AC66" i="2"/>
  <c r="BS198" i="2"/>
  <c r="AU198" i="2"/>
  <c r="AM198" i="2"/>
  <c r="P82" i="4"/>
  <c r="CG141" i="3"/>
  <c r="CG144" i="3" s="1"/>
  <c r="BY198" i="2"/>
  <c r="AT84" i="4"/>
  <c r="CG63" i="2"/>
  <c r="BW198" i="2"/>
  <c r="BT198" i="2"/>
  <c r="CH57" i="2"/>
  <c r="CQ39" i="2"/>
  <c r="CD185" i="2"/>
  <c r="BQ95" i="2"/>
  <c r="BH41" i="3"/>
  <c r="BI31" i="3"/>
  <c r="BF198" i="2"/>
  <c r="AE198" i="2"/>
  <c r="EG42" i="4"/>
  <c r="CN75" i="3"/>
  <c r="CJ57" i="3"/>
  <c r="CC108" i="4"/>
  <c r="CD108" i="4" s="1"/>
  <c r="BE198" i="2"/>
  <c r="AZ198" i="2"/>
  <c r="O85" i="4"/>
  <c r="BB95" i="2"/>
  <c r="BR198" i="2"/>
  <c r="CB198" i="2"/>
  <c r="CK32" i="2"/>
  <c r="K12" i="1"/>
  <c r="CA77" i="2"/>
  <c r="CK41" i="2"/>
  <c r="CK73" i="3" s="1"/>
  <c r="CK64" i="3" s="1"/>
  <c r="L16" i="1"/>
  <c r="CF108" i="4"/>
  <c r="O198" i="2"/>
  <c r="BV198" i="2"/>
  <c r="T198" i="2"/>
  <c r="S198" i="2"/>
  <c r="CA197" i="2"/>
  <c r="CA198" i="2" s="1"/>
  <c r="N198" i="2"/>
  <c r="BN198" i="2"/>
  <c r="J12" i="1"/>
  <c r="L12" i="1"/>
  <c r="M12" i="1"/>
  <c r="CO74" i="4"/>
  <c r="CW107" i="2"/>
  <c r="O5" i="1"/>
  <c r="N5" i="1"/>
  <c r="N37" i="1"/>
  <c r="N16" i="1"/>
  <c r="AD198" i="2"/>
  <c r="CD62" i="2"/>
  <c r="K4" i="1"/>
  <c r="K5" i="1" s="1"/>
  <c r="CA63" i="2"/>
  <c r="J5" i="1"/>
  <c r="J16" i="1"/>
  <c r="AC64" i="2"/>
  <c r="M16" i="1"/>
  <c r="CI58" i="2"/>
  <c r="L4" i="1"/>
  <c r="AI198" i="2"/>
  <c r="K16" i="1"/>
  <c r="BJ99" i="4"/>
  <c r="G4" i="1"/>
  <c r="BG63" i="2"/>
  <c r="H16" i="1"/>
  <c r="I16" i="1"/>
  <c r="AE39" i="2"/>
  <c r="AE41" i="2" s="1"/>
  <c r="BG39" i="2"/>
  <c r="G16" i="1"/>
  <c r="BK63" i="2"/>
  <c r="BC30" i="2"/>
  <c r="BC64" i="2" s="1"/>
  <c r="CM30" i="2"/>
  <c r="CM64" i="2" s="1"/>
  <c r="BG31" i="2"/>
  <c r="BL77" i="2"/>
  <c r="BU63" i="2"/>
  <c r="AC198" i="2"/>
  <c r="BU30" i="2"/>
  <c r="M198" i="2"/>
  <c r="AQ77" i="2"/>
  <c r="CQ63" i="2"/>
  <c r="CQ31" i="2"/>
  <c r="CQ65" i="2" s="1"/>
  <c r="CQ77" i="2"/>
  <c r="CU63" i="2"/>
  <c r="AA198" i="2"/>
  <c r="CQ30" i="2"/>
  <c r="CQ64" i="2" s="1"/>
  <c r="AZ62" i="3"/>
  <c r="CW62" i="3"/>
  <c r="AE77" i="2"/>
  <c r="AI60" i="3"/>
  <c r="AI64" i="3" s="1"/>
  <c r="AJ77" i="2"/>
  <c r="AE30" i="2"/>
  <c r="AE31" i="2"/>
  <c r="CA39" i="2"/>
  <c r="F64" i="2"/>
  <c r="BQ82" i="4"/>
  <c r="BQ85" i="4" s="1"/>
  <c r="BQ90" i="4" s="1"/>
  <c r="CX62" i="3"/>
  <c r="AY62" i="3"/>
  <c r="AX62" i="3"/>
  <c r="CA31" i="2"/>
  <c r="CA32" i="2" s="1"/>
  <c r="BC95" i="2"/>
  <c r="BQ74" i="4"/>
  <c r="X64" i="2"/>
  <c r="EV95" i="2"/>
  <c r="CW99" i="4"/>
  <c r="BL198" i="2"/>
  <c r="BB62" i="3"/>
  <c r="CA30" i="2"/>
  <c r="CK66" i="3"/>
  <c r="CA60" i="3"/>
  <c r="CA63" i="3" s="1"/>
  <c r="CW31" i="2"/>
  <c r="CW32" i="2" s="1"/>
  <c r="CW84" i="4"/>
  <c r="BA62" i="3"/>
  <c r="CF74" i="4"/>
  <c r="BL106" i="2"/>
  <c r="BL108" i="2" s="1"/>
  <c r="BL82" i="4"/>
  <c r="BL85" i="4" s="1"/>
  <c r="BL90" i="4" s="1"/>
  <c r="CK41" i="3"/>
  <c r="BG48" i="3"/>
  <c r="T66" i="2"/>
  <c r="CP58" i="3"/>
  <c r="AR82" i="4"/>
  <c r="AR85" i="4" s="1"/>
  <c r="AR90" i="4" s="1"/>
  <c r="AH66" i="2"/>
  <c r="CH99" i="4"/>
  <c r="BL74" i="4"/>
  <c r="AT99" i="4"/>
  <c r="CR77" i="2"/>
  <c r="EH42" i="4"/>
  <c r="AO77" i="2"/>
  <c r="CS41" i="3"/>
  <c r="CS74" i="3" s="1"/>
  <c r="BK39" i="2"/>
  <c r="EM73" i="2"/>
  <c r="BK31" i="2"/>
  <c r="BK65" i="2" s="1"/>
  <c r="BP77" i="2"/>
  <c r="BG198" i="2"/>
  <c r="AS198" i="2"/>
  <c r="BI198" i="2"/>
  <c r="AX198" i="2"/>
  <c r="Z198" i="2"/>
  <c r="U198" i="2"/>
  <c r="L198" i="2"/>
  <c r="BO198" i="2"/>
  <c r="H198" i="2"/>
  <c r="BD198" i="2"/>
  <c r="AJ31" i="2"/>
  <c r="CC107" i="2"/>
  <c r="CC99" i="4"/>
  <c r="CL70" i="4"/>
  <c r="AR74" i="4"/>
  <c r="CE108" i="4"/>
  <c r="CC84" i="4"/>
  <c r="CL39" i="4"/>
  <c r="EI50" i="4"/>
  <c r="EI84" i="4" s="1"/>
  <c r="BY74" i="4"/>
  <c r="BW108" i="4"/>
  <c r="BY106" i="2"/>
  <c r="BY108" i="2" s="1"/>
  <c r="CV133" i="3"/>
  <c r="CV89" i="4"/>
  <c r="CK106" i="2"/>
  <c r="CK108" i="2" s="1"/>
  <c r="CV70" i="4"/>
  <c r="CF82" i="4"/>
  <c r="CF85" i="4" s="1"/>
  <c r="CF90" i="4" s="1"/>
  <c r="AH79" i="2"/>
  <c r="AH65" i="2"/>
  <c r="AO63" i="2"/>
  <c r="ES62" i="2"/>
  <c r="X41" i="2"/>
  <c r="AC80" i="2" s="1"/>
  <c r="AQ198" i="2"/>
  <c r="BB198" i="2"/>
  <c r="BP198" i="2"/>
  <c r="AO198" i="2"/>
  <c r="I198" i="2"/>
  <c r="AH198" i="2"/>
  <c r="R198" i="2"/>
  <c r="AV198" i="2"/>
  <c r="AY198" i="2"/>
  <c r="AP198" i="2"/>
  <c r="BD95" i="2"/>
  <c r="W198" i="2"/>
  <c r="BJ198" i="2"/>
  <c r="CN74" i="3"/>
  <c r="CN48" i="3"/>
  <c r="CD58" i="3"/>
  <c r="BG75" i="3"/>
  <c r="CD61" i="2"/>
  <c r="BC77" i="2"/>
  <c r="BC31" i="2"/>
  <c r="CG64" i="3"/>
  <c r="Y198" i="2"/>
  <c r="V63" i="3"/>
  <c r="BC63" i="2"/>
  <c r="CM39" i="2"/>
  <c r="CM41" i="2" s="1"/>
  <c r="CM73" i="3" s="1"/>
  <c r="CM64" i="3" s="1"/>
  <c r="CW39" i="2"/>
  <c r="BW60" i="3"/>
  <c r="BW63" i="3" s="1"/>
  <c r="U64" i="3"/>
  <c r="J64" i="2"/>
  <c r="CM63" i="2"/>
  <c r="BC198" i="2"/>
  <c r="AC74" i="4"/>
  <c r="CO82" i="4"/>
  <c r="CO85" i="4" s="1"/>
  <c r="CO90" i="4" s="1"/>
  <c r="BD31" i="2"/>
  <c r="Z65" i="4"/>
  <c r="AA65" i="4" s="1"/>
  <c r="Y70" i="4"/>
  <c r="T65" i="2"/>
  <c r="AR198" i="2"/>
  <c r="BZ198" i="2"/>
  <c r="AL198" i="2"/>
  <c r="BG57" i="3"/>
  <c r="CU39" i="2"/>
  <c r="CU41" i="2" s="1"/>
  <c r="CU73" i="3" s="1"/>
  <c r="CU64" i="3" s="1"/>
  <c r="CU31" i="2"/>
  <c r="CU32" i="2" s="1"/>
  <c r="BE62" i="2"/>
  <c r="BE61" i="2"/>
  <c r="BA198" i="2"/>
  <c r="AW198" i="2"/>
  <c r="CC198" i="2"/>
  <c r="CV39" i="2"/>
  <c r="CV41" i="2" s="1"/>
  <c r="CV73" i="3" s="1"/>
  <c r="CV64" i="3" s="1"/>
  <c r="CU30" i="2"/>
  <c r="G30" i="2"/>
  <c r="G64" i="2" s="1"/>
  <c r="X63" i="3"/>
  <c r="BU39" i="2"/>
  <c r="R41" i="2"/>
  <c r="R50" i="2" s="1"/>
  <c r="G39" i="2"/>
  <c r="G41" i="2" s="1"/>
  <c r="BE58" i="2"/>
  <c r="BE99" i="4"/>
  <c r="BE29" i="2"/>
  <c r="BE60" i="3" s="1"/>
  <c r="BE63" i="3" s="1"/>
  <c r="AG214" i="2"/>
  <c r="AG215" i="2" s="1"/>
  <c r="N77" i="2"/>
  <c r="R65" i="2"/>
  <c r="N60" i="3"/>
  <c r="O60" i="3"/>
  <c r="S77" i="2"/>
  <c r="N63" i="2"/>
  <c r="N30" i="2"/>
  <c r="D64" i="2"/>
  <c r="H66" i="2"/>
  <c r="N31" i="2"/>
  <c r="U64" i="2"/>
  <c r="CZ38" i="3"/>
  <c r="FI99" i="2"/>
  <c r="FG99" i="2"/>
  <c r="X66" i="2"/>
  <c r="R66" i="2"/>
  <c r="J41" i="2"/>
  <c r="J50" i="2" s="1"/>
  <c r="H41" i="2"/>
  <c r="H67" i="2" s="1"/>
  <c r="U63" i="3"/>
  <c r="X64" i="3"/>
  <c r="V64" i="3"/>
  <c r="EM72" i="2"/>
  <c r="F41" i="2"/>
  <c r="CI62" i="2"/>
  <c r="EO62" i="2"/>
  <c r="BJ62" i="2"/>
  <c r="CX99" i="4"/>
  <c r="CS58" i="2"/>
  <c r="CD56" i="2"/>
  <c r="BY56" i="2"/>
  <c r="CT30" i="2"/>
  <c r="CT63" i="2"/>
  <c r="CT31" i="2"/>
  <c r="CI73" i="2"/>
  <c r="CD58" i="2"/>
  <c r="CS56" i="2"/>
  <c r="CD29" i="2"/>
  <c r="CD31" i="2" s="1"/>
  <c r="CD57" i="2"/>
  <c r="P70" i="4"/>
  <c r="AK58" i="3"/>
  <c r="CK74" i="4"/>
  <c r="ES61" i="2"/>
  <c r="DQ138" i="2"/>
  <c r="DQ142" i="2" s="1"/>
  <c r="BJ73" i="2"/>
  <c r="G5" i="1" s="1"/>
  <c r="CJ75" i="3"/>
  <c r="ES73" i="2"/>
  <c r="BR108" i="4"/>
  <c r="CI61" i="2"/>
  <c r="CS57" i="2"/>
  <c r="BU77" i="2"/>
  <c r="CW36" i="4"/>
  <c r="CV37" i="4"/>
  <c r="ES58" i="2"/>
  <c r="BJ61" i="2"/>
  <c r="AW74" i="4"/>
  <c r="CJ48" i="3"/>
  <c r="BR95" i="2"/>
  <c r="CS74" i="2"/>
  <c r="AX57" i="3"/>
  <c r="AX58" i="3" s="1"/>
  <c r="CS29" i="2"/>
  <c r="CS62" i="2"/>
  <c r="BD77" i="2"/>
  <c r="AG213" i="2"/>
  <c r="BJ58" i="2"/>
  <c r="CS61" i="2"/>
  <c r="AN198" i="2"/>
  <c r="J198" i="2"/>
  <c r="BK198" i="2"/>
  <c r="BQ63" i="2"/>
  <c r="BQ30" i="2"/>
  <c r="BQ39" i="2"/>
  <c r="BQ31" i="2"/>
  <c r="U66" i="2"/>
  <c r="U41" i="2"/>
  <c r="T64" i="2"/>
  <c r="CS99" i="4"/>
  <c r="CW30" i="2"/>
  <c r="CC30" i="2"/>
  <c r="CC39" i="2"/>
  <c r="CC31" i="2"/>
  <c r="CC63" i="2"/>
  <c r="AQ30" i="2"/>
  <c r="AQ64" i="2" s="1"/>
  <c r="O63" i="2"/>
  <c r="O31" i="2"/>
  <c r="O65" i="2" s="1"/>
  <c r="X198" i="2"/>
  <c r="CQ133" i="3"/>
  <c r="CV30" i="2"/>
  <c r="CV64" i="2" s="1"/>
  <c r="CD73" i="2"/>
  <c r="EU61" i="2"/>
  <c r="BQ198" i="2"/>
  <c r="CG60" i="3"/>
  <c r="CG63" i="3" s="1"/>
  <c r="AQ60" i="3"/>
  <c r="AQ63" i="3" s="1"/>
  <c r="O77" i="2"/>
  <c r="BY74" i="2"/>
  <c r="CV31" i="2"/>
  <c r="CQ89" i="4"/>
  <c r="AV77" i="2"/>
  <c r="AJ198" i="2"/>
  <c r="BY57" i="2"/>
  <c r="CV63" i="2"/>
  <c r="AW57" i="3"/>
  <c r="BM95" i="2"/>
  <c r="O30" i="2"/>
  <c r="O64" i="2" s="1"/>
  <c r="CV77" i="2"/>
  <c r="CQ70" i="4"/>
  <c r="BM198" i="2"/>
  <c r="BH198" i="2"/>
  <c r="CM53" i="4"/>
  <c r="CI57" i="2"/>
  <c r="AO64" i="2"/>
  <c r="BY62" i="2"/>
  <c r="BY61" i="2"/>
  <c r="BY99" i="4"/>
  <c r="BY29" i="2"/>
  <c r="BY58" i="2"/>
  <c r="CI56" i="2"/>
  <c r="BX30" i="2"/>
  <c r="BX39" i="2"/>
  <c r="CC77" i="2"/>
  <c r="BX63" i="2"/>
  <c r="BX31" i="2"/>
  <c r="BX79" i="2" s="1"/>
  <c r="BX77" i="2"/>
  <c r="CR30" i="2"/>
  <c r="CR63" i="2"/>
  <c r="CR31" i="2"/>
  <c r="CW77" i="2"/>
  <c r="CR39" i="2"/>
  <c r="BX95" i="2"/>
  <c r="BG95" i="2"/>
  <c r="BK95" i="2"/>
  <c r="CG64" i="2"/>
  <c r="BI95" i="2"/>
  <c r="DI102" i="3"/>
  <c r="DJ102" i="3" s="1"/>
  <c r="DK102" i="3" s="1"/>
  <c r="DL102" i="3" s="1"/>
  <c r="DM102" i="3" s="1"/>
  <c r="BN217" i="2"/>
  <c r="EG12" i="4"/>
  <c r="BS217" i="2"/>
  <c r="CR61" i="4"/>
  <c r="CR133" i="3" s="1"/>
  <c r="CR48" i="3"/>
  <c r="AB198" i="2"/>
  <c r="BP63" i="2"/>
  <c r="BP30" i="2"/>
  <c r="BP31" i="2"/>
  <c r="BU79" i="2" s="1"/>
  <c r="BP39" i="2"/>
  <c r="I65" i="2"/>
  <c r="CG39" i="4"/>
  <c r="AG67" i="2"/>
  <c r="AQ63" i="2"/>
  <c r="AQ31" i="2"/>
  <c r="EK29" i="2"/>
  <c r="CQ108" i="4"/>
  <c r="BT74" i="3"/>
  <c r="CT70" i="4"/>
  <c r="CR74" i="3"/>
  <c r="G60" i="3"/>
  <c r="EU58" i="2"/>
  <c r="EU29" i="2"/>
  <c r="EU39" i="2" s="1"/>
  <c r="CF77" i="2"/>
  <c r="CF58" i="3"/>
  <c r="BS53" i="4"/>
  <c r="CT95" i="4"/>
  <c r="BT48" i="3"/>
  <c r="CR57" i="3"/>
  <c r="DC140" i="3"/>
  <c r="AG198" i="2"/>
  <c r="EU62" i="2"/>
  <c r="CF60" i="3"/>
  <c r="CF63" i="3" s="1"/>
  <c r="CW95" i="2"/>
  <c r="I40" i="2"/>
  <c r="CI99" i="4"/>
  <c r="CI29" i="2"/>
  <c r="AO39" i="2"/>
  <c r="AU57" i="3"/>
  <c r="CE60" i="3"/>
  <c r="CE63" i="3" s="1"/>
  <c r="ES29" i="2"/>
  <c r="ES39" i="2" s="1"/>
  <c r="CV95" i="2"/>
  <c r="CG138" i="2"/>
  <c r="CG142" i="2" s="1"/>
  <c r="CG45" i="2"/>
  <c r="CX61" i="2"/>
  <c r="CX62" i="2"/>
  <c r="CX58" i="2"/>
  <c r="CQ60" i="3"/>
  <c r="CQ63" i="3" s="1"/>
  <c r="CN95" i="2"/>
  <c r="BH60" i="3"/>
  <c r="BH63" i="3" s="1"/>
  <c r="AV58" i="3"/>
  <c r="BU198" i="2"/>
  <c r="BU65" i="2"/>
  <c r="AX39" i="4"/>
  <c r="AX74" i="4" s="1"/>
  <c r="AW82" i="4"/>
  <c r="AW85" i="4" s="1"/>
  <c r="AW90" i="4" s="1"/>
  <c r="CK77" i="2"/>
  <c r="CF30" i="2"/>
  <c r="CF39" i="2"/>
  <c r="CF63" i="2"/>
  <c r="CF31" i="2"/>
  <c r="BU32" i="2"/>
  <c r="EO29" i="2"/>
  <c r="EO63" i="2" s="1"/>
  <c r="AE53" i="4"/>
  <c r="Z64" i="2"/>
  <c r="CH86" i="4"/>
  <c r="CW70" i="4"/>
  <c r="CB31" i="2"/>
  <c r="CB79" i="2" s="1"/>
  <c r="CG77" i="2"/>
  <c r="CB30" i="2"/>
  <c r="CB39" i="2"/>
  <c r="CB63" i="2"/>
  <c r="CB77" i="2"/>
  <c r="CZ32" i="3"/>
  <c r="BS58" i="3"/>
  <c r="BT57" i="3"/>
  <c r="Z84" i="4"/>
  <c r="AR58" i="3"/>
  <c r="CM37" i="4"/>
  <c r="CM58" i="3"/>
  <c r="BL30" i="2"/>
  <c r="BQ77" i="2"/>
  <c r="BL31" i="2"/>
  <c r="BL39" i="2"/>
  <c r="BL63" i="2"/>
  <c r="D50" i="2"/>
  <c r="D213" i="2"/>
  <c r="D214" i="2"/>
  <c r="CX26" i="3"/>
  <c r="BD63" i="2"/>
  <c r="BD30" i="2"/>
  <c r="BD39" i="2"/>
  <c r="Y66" i="2"/>
  <c r="Y41" i="2"/>
  <c r="Y80" i="2" s="1"/>
  <c r="BH31" i="2"/>
  <c r="BH30" i="2"/>
  <c r="BH39" i="2"/>
  <c r="BH63" i="2"/>
  <c r="BH77" i="2"/>
  <c r="CZ36" i="3"/>
  <c r="Y64" i="2"/>
  <c r="CQ58" i="3"/>
  <c r="AT114" i="2"/>
  <c r="U65" i="4"/>
  <c r="T70" i="4"/>
  <c r="BN108" i="4"/>
  <c r="BO108" i="4" s="1"/>
  <c r="BN107" i="2"/>
  <c r="BP108" i="4"/>
  <c r="EF50" i="4"/>
  <c r="EF84" i="4" s="1"/>
  <c r="BN84" i="4"/>
  <c r="BQ108" i="4"/>
  <c r="FI97" i="2"/>
  <c r="FG97" i="2"/>
  <c r="DR89" i="4"/>
  <c r="BM39" i="4"/>
  <c r="BM82" i="4" s="1"/>
  <c r="BM85" i="4" s="1"/>
  <c r="BM90" i="4" s="1"/>
  <c r="CM61" i="4"/>
  <c r="BS66" i="4"/>
  <c r="CC118" i="2"/>
  <c r="CC119" i="2" s="1"/>
  <c r="CH107" i="2"/>
  <c r="CH108" i="4"/>
  <c r="CI108" i="4" s="1"/>
  <c r="CJ108" i="4"/>
  <c r="EJ50" i="4"/>
  <c r="EJ84" i="4" s="1"/>
  <c r="CH84" i="4"/>
  <c r="CK108" i="4"/>
  <c r="U65" i="2"/>
  <c r="CP82" i="4"/>
  <c r="CP85" i="4" s="1"/>
  <c r="CP90" i="4" s="1"/>
  <c r="CP106" i="2"/>
  <c r="CP108" i="2" s="1"/>
  <c r="CP74" i="4"/>
  <c r="AJ37" i="4"/>
  <c r="CM114" i="2"/>
  <c r="CV119" i="2"/>
  <c r="CX118" i="2"/>
  <c r="CX119" i="2" s="1"/>
  <c r="CR36" i="4"/>
  <c r="CB119" i="2"/>
  <c r="V50" i="4"/>
  <c r="U84" i="4"/>
  <c r="BN114" i="2"/>
  <c r="Y53" i="4"/>
  <c r="Z51" i="4"/>
  <c r="AO31" i="2"/>
  <c r="CI58" i="3"/>
  <c r="EL29" i="2"/>
  <c r="CT95" i="2"/>
  <c r="V65" i="2"/>
  <c r="AV31" i="2"/>
  <c r="AV30" i="2"/>
  <c r="AV39" i="2"/>
  <c r="AV63" i="2"/>
  <c r="Z66" i="2"/>
  <c r="Z41" i="2"/>
  <c r="AM60" i="3"/>
  <c r="AM63" i="3" s="1"/>
  <c r="E63" i="2"/>
  <c r="E39" i="2"/>
  <c r="E30" i="2"/>
  <c r="E31" i="2"/>
  <c r="J77" i="2"/>
  <c r="H60" i="3"/>
  <c r="I60" i="3"/>
  <c r="CN61" i="3"/>
  <c r="BS41" i="2"/>
  <c r="BS66" i="2"/>
  <c r="BW41" i="2"/>
  <c r="BW73" i="3" s="1"/>
  <c r="BW64" i="3" s="1"/>
  <c r="BW66" i="2"/>
  <c r="EP73" i="2"/>
  <c r="EP58" i="2"/>
  <c r="EP61" i="2"/>
  <c r="EP62" i="2"/>
  <c r="AK60" i="3"/>
  <c r="AK31" i="2"/>
  <c r="AK39" i="2"/>
  <c r="AJ60" i="3"/>
  <c r="AK30" i="2"/>
  <c r="AK63" i="2"/>
  <c r="W63" i="3"/>
  <c r="W64" i="3"/>
  <c r="V41" i="2"/>
  <c r="V66" i="2"/>
  <c r="P63" i="2"/>
  <c r="P77" i="2"/>
  <c r="P31" i="2"/>
  <c r="P30" i="2"/>
  <c r="U77" i="2"/>
  <c r="P39" i="2"/>
  <c r="R60" i="3"/>
  <c r="DC21" i="3"/>
  <c r="CL119" i="2"/>
  <c r="CI95" i="2"/>
  <c r="CD95" i="2"/>
  <c r="CZ143" i="3"/>
  <c r="BL58" i="3"/>
  <c r="CZ33" i="3"/>
  <c r="EA89" i="4"/>
  <c r="EA133" i="3"/>
  <c r="EB133" i="3" s="1"/>
  <c r="DG133" i="3"/>
  <c r="DH133" i="3" s="1"/>
  <c r="BA108" i="4"/>
  <c r="BB108" i="4"/>
  <c r="AY84" i="4"/>
  <c r="AY99" i="4"/>
  <c r="BX37" i="4"/>
  <c r="BT178" i="3"/>
  <c r="AU29" i="2"/>
  <c r="AU99" i="4"/>
  <c r="AU58" i="2"/>
  <c r="AU61" i="2"/>
  <c r="AU62" i="2"/>
  <c r="AU73" i="2"/>
  <c r="D5" i="1" s="1"/>
  <c r="C41" i="2"/>
  <c r="AZ99" i="4"/>
  <c r="AZ62" i="2"/>
  <c r="AZ74" i="2"/>
  <c r="AZ73" i="2"/>
  <c r="E5" i="1" s="1"/>
  <c r="AZ58" i="2"/>
  <c r="AZ61" i="2"/>
  <c r="BE73" i="2"/>
  <c r="F5" i="1" s="1"/>
  <c r="T67" i="2"/>
  <c r="T214" i="2"/>
  <c r="T215" i="2" s="1"/>
  <c r="T50" i="2"/>
  <c r="T213" i="2"/>
  <c r="CH30" i="2"/>
  <c r="CH39" i="2"/>
  <c r="CH31" i="2"/>
  <c r="CM79" i="2" s="1"/>
  <c r="CH63" i="2"/>
  <c r="CH77" i="2"/>
  <c r="EQ61" i="2"/>
  <c r="EQ62" i="2"/>
  <c r="EQ73" i="2"/>
  <c r="EQ58" i="2"/>
  <c r="BR60" i="3"/>
  <c r="BR63" i="3" s="1"/>
  <c r="BR30" i="2"/>
  <c r="BR39" i="2"/>
  <c r="BR63" i="2"/>
  <c r="BR77" i="2"/>
  <c r="BR31" i="2"/>
  <c r="BW79" i="2" s="1"/>
  <c r="BT29" i="2"/>
  <c r="EQ29" i="2"/>
  <c r="CX73" i="2"/>
  <c r="CX74" i="2"/>
  <c r="CX29" i="2"/>
  <c r="CX63" i="2" s="1"/>
  <c r="CX57" i="2"/>
  <c r="CX56" i="2"/>
  <c r="AY41" i="2"/>
  <c r="AY66" i="2"/>
  <c r="CP60" i="3"/>
  <c r="CP63" i="3" s="1"/>
  <c r="CP30" i="2"/>
  <c r="CP63" i="2"/>
  <c r="CP31" i="2"/>
  <c r="CP39" i="2"/>
  <c r="CP77" i="2"/>
  <c r="DX101" i="4"/>
  <c r="DA95" i="4"/>
  <c r="BD99" i="4"/>
  <c r="BF108" i="4"/>
  <c r="BG108" i="4"/>
  <c r="BD84" i="4"/>
  <c r="BD108" i="4"/>
  <c r="BE108" i="4" s="1"/>
  <c r="BH108" i="4"/>
  <c r="BD107" i="2"/>
  <c r="CU82" i="4"/>
  <c r="CU106" i="2"/>
  <c r="CH37" i="4"/>
  <c r="CS92" i="2"/>
  <c r="CX92" i="2"/>
  <c r="AY114" i="2"/>
  <c r="DW89" i="4"/>
  <c r="BN89" i="4"/>
  <c r="BN70" i="4"/>
  <c r="BD37" i="4"/>
  <c r="AZ95" i="2"/>
  <c r="M64" i="2"/>
  <c r="CD61" i="3"/>
  <c r="BF60" i="3"/>
  <c r="BF63" i="3" s="1"/>
  <c r="BF30" i="2"/>
  <c r="BF31" i="2"/>
  <c r="BF39" i="2"/>
  <c r="BF63" i="2"/>
  <c r="BJ29" i="2"/>
  <c r="BF77" i="2"/>
  <c r="EN73" i="2"/>
  <c r="EN58" i="2"/>
  <c r="EN61" i="2"/>
  <c r="BB60" i="3"/>
  <c r="BB63" i="3" s="1"/>
  <c r="BB30" i="2"/>
  <c r="EN29" i="2"/>
  <c r="BB31" i="2"/>
  <c r="BB63" i="2"/>
  <c r="BB77" i="2"/>
  <c r="BB39" i="2"/>
  <c r="BK60" i="3"/>
  <c r="BK63" i="3" s="1"/>
  <c r="BZ60" i="3"/>
  <c r="BZ63" i="3" s="1"/>
  <c r="BZ30" i="2"/>
  <c r="BZ63" i="2"/>
  <c r="BZ77" i="2"/>
  <c r="BZ31" i="2"/>
  <c r="CE79" i="2" s="1"/>
  <c r="BZ39" i="2"/>
  <c r="CB60" i="3"/>
  <c r="CB63" i="3" s="1"/>
  <c r="AG60" i="3"/>
  <c r="EV73" i="2"/>
  <c r="EV29" i="2"/>
  <c r="EV62" i="2"/>
  <c r="EV58" i="2"/>
  <c r="EV61" i="2"/>
  <c r="AP58" i="3"/>
  <c r="DC18" i="3"/>
  <c r="CW89" i="4"/>
  <c r="T39" i="4"/>
  <c r="CV58" i="3"/>
  <c r="CX63" i="4"/>
  <c r="AE70" i="4"/>
  <c r="AZ78" i="4"/>
  <c r="W74" i="4"/>
  <c r="W82" i="4"/>
  <c r="W85" i="4" s="1"/>
  <c r="AS39" i="4"/>
  <c r="AM40" i="2"/>
  <c r="AM41" i="2" s="1"/>
  <c r="AM65" i="2"/>
  <c r="AM79" i="2"/>
  <c r="AL60" i="3"/>
  <c r="AL30" i="2"/>
  <c r="AM159" i="2" s="1"/>
  <c r="AL31" i="2"/>
  <c r="AL63" i="2"/>
  <c r="AL77" i="2"/>
  <c r="AL39" i="2"/>
  <c r="AF99" i="4"/>
  <c r="AF73" i="2"/>
  <c r="AF58" i="2"/>
  <c r="AF61" i="2"/>
  <c r="AF62" i="2"/>
  <c r="AF29" i="2"/>
  <c r="S64" i="2"/>
  <c r="K65" i="2"/>
  <c r="CE64" i="2"/>
  <c r="EJ29" i="2"/>
  <c r="AI65" i="2"/>
  <c r="DA31" i="3"/>
  <c r="AA58" i="3"/>
  <c r="BN101" i="4"/>
  <c r="CH53" i="4"/>
  <c r="BZ74" i="4"/>
  <c r="BZ82" i="4"/>
  <c r="BZ85" i="4" s="1"/>
  <c r="BZ90" i="4" s="1"/>
  <c r="BZ106" i="2"/>
  <c r="BZ108" i="2" s="1"/>
  <c r="CC36" i="4"/>
  <c r="CS93" i="2"/>
  <c r="CX93" i="2"/>
  <c r="BE58" i="3"/>
  <c r="AY58" i="3"/>
  <c r="AT89" i="4"/>
  <c r="AT70" i="4"/>
  <c r="BS64" i="2"/>
  <c r="CY94" i="2"/>
  <c r="EW89" i="2"/>
  <c r="EW94" i="2" s="1"/>
  <c r="CQ41" i="2"/>
  <c r="CQ73" i="3" s="1"/>
  <c r="CQ64" i="3" s="1"/>
  <c r="CQ66" i="2"/>
  <c r="W64" i="2"/>
  <c r="W65" i="2"/>
  <c r="DZ101" i="4"/>
  <c r="BM75" i="3"/>
  <c r="BM74" i="3"/>
  <c r="BM48" i="3"/>
  <c r="BM57" i="3"/>
  <c r="CA74" i="4"/>
  <c r="CA82" i="4"/>
  <c r="CA85" i="4" s="1"/>
  <c r="CA90" i="4" s="1"/>
  <c r="CA106" i="2"/>
  <c r="CA108" i="2" s="1"/>
  <c r="BS114" i="2"/>
  <c r="CW66" i="3"/>
  <c r="CX35" i="3"/>
  <c r="CW146" i="2"/>
  <c r="CW41" i="3"/>
  <c r="AI39" i="4"/>
  <c r="ES183" i="2"/>
  <c r="C65" i="2"/>
  <c r="EA66" i="2"/>
  <c r="DV138" i="2"/>
  <c r="DV142" i="2" s="1"/>
  <c r="AH50" i="2"/>
  <c r="AH80" i="2"/>
  <c r="AH213" i="2"/>
  <c r="AH67" i="2"/>
  <c r="AH214" i="2"/>
  <c r="AH215" i="2" s="1"/>
  <c r="BO61" i="3"/>
  <c r="CI61" i="3"/>
  <c r="L29" i="2"/>
  <c r="L73" i="2"/>
  <c r="L61" i="2"/>
  <c r="L62" i="2"/>
  <c r="L58" i="2"/>
  <c r="CZ111" i="3"/>
  <c r="CZ103" i="2"/>
  <c r="BG74" i="4"/>
  <c r="BG82" i="4"/>
  <c r="BG85" i="4" s="1"/>
  <c r="BG90" i="4" s="1"/>
  <c r="BG106" i="2"/>
  <c r="BG108" i="2" s="1"/>
  <c r="V82" i="4"/>
  <c r="AO37" i="4"/>
  <c r="CL82" i="4"/>
  <c r="CL85" i="4" s="1"/>
  <c r="CL90" i="4" s="1"/>
  <c r="N11" i="1"/>
  <c r="N12" i="1" s="1"/>
  <c r="S76" i="4"/>
  <c r="CP95" i="2"/>
  <c r="CU95" i="2"/>
  <c r="AE84" i="4"/>
  <c r="AE99" i="4"/>
  <c r="N39" i="2"/>
  <c r="M41" i="2"/>
  <c r="M66" i="2"/>
  <c r="AC50" i="2"/>
  <c r="AC213" i="2"/>
  <c r="AC67" i="2"/>
  <c r="AC214" i="2"/>
  <c r="AC215" i="2" s="1"/>
  <c r="BK64" i="2"/>
  <c r="ER73" i="2"/>
  <c r="ER58" i="2"/>
  <c r="ER61" i="2"/>
  <c r="ER62" i="2"/>
  <c r="DA53" i="3"/>
  <c r="CX31" i="4"/>
  <c r="CT37" i="4"/>
  <c r="CW94" i="4"/>
  <c r="CW133" i="3"/>
  <c r="CW114" i="2"/>
  <c r="DC58" i="4"/>
  <c r="K74" i="4"/>
  <c r="K82" i="4"/>
  <c r="K85" i="4" s="1"/>
  <c r="BX58" i="3"/>
  <c r="DC89" i="4"/>
  <c r="N74" i="4"/>
  <c r="CO108" i="4"/>
  <c r="CP108" i="4"/>
  <c r="CM84" i="4"/>
  <c r="CM108" i="4"/>
  <c r="CN108" i="4" s="1"/>
  <c r="CM99" i="4"/>
  <c r="CM107" i="2"/>
  <c r="EK50" i="4"/>
  <c r="EK84" i="4" s="1"/>
  <c r="AR60" i="3"/>
  <c r="AR41" i="2"/>
  <c r="AR66" i="2"/>
  <c r="BC41" i="2"/>
  <c r="BC66" i="2"/>
  <c r="Y63" i="3"/>
  <c r="Y64" i="3"/>
  <c r="BG77" i="2"/>
  <c r="AB39" i="2"/>
  <c r="AB63" i="2"/>
  <c r="AB77" i="2"/>
  <c r="AB31" i="2"/>
  <c r="AB60" i="3"/>
  <c r="AB30" i="2"/>
  <c r="AG77" i="2"/>
  <c r="AC60" i="3"/>
  <c r="EH29" i="2"/>
  <c r="S60" i="3"/>
  <c r="CO60" i="3"/>
  <c r="CO63" i="3" s="1"/>
  <c r="CO30" i="2"/>
  <c r="CO77" i="2"/>
  <c r="CO31" i="2"/>
  <c r="CO39" i="2"/>
  <c r="CO63" i="2"/>
  <c r="CE77" i="2"/>
  <c r="BX70" i="4"/>
  <c r="BN37" i="4"/>
  <c r="DL89" i="4"/>
  <c r="DL133" i="3"/>
  <c r="DM133" i="3" s="1"/>
  <c r="AJ70" i="4"/>
  <c r="CW53" i="4"/>
  <c r="S74" i="4"/>
  <c r="S82" i="4"/>
  <c r="S85" i="4" s="1"/>
  <c r="AY37" i="4"/>
  <c r="AE37" i="4"/>
  <c r="Y65" i="2"/>
  <c r="BC39" i="4"/>
  <c r="G65" i="2"/>
  <c r="BU60" i="3"/>
  <c r="BU63" i="3" s="1"/>
  <c r="BW64" i="2"/>
  <c r="BT209" i="2"/>
  <c r="BY209" i="2"/>
  <c r="BS65" i="2"/>
  <c r="BS32" i="2"/>
  <c r="BY61" i="3"/>
  <c r="BW65" i="2"/>
  <c r="BW32" i="2"/>
  <c r="ET73" i="2"/>
  <c r="ET58" i="2"/>
  <c r="ET61" i="2"/>
  <c r="ET29" i="2"/>
  <c r="ET62" i="2"/>
  <c r="W66" i="2"/>
  <c r="W41" i="2"/>
  <c r="Q58" i="2"/>
  <c r="CJ39" i="2"/>
  <c r="CJ63" i="2"/>
  <c r="CJ77" i="2"/>
  <c r="CJ30" i="2"/>
  <c r="CJ60" i="3"/>
  <c r="CJ63" i="3" s="1"/>
  <c r="CJ31" i="2"/>
  <c r="CK60" i="3"/>
  <c r="CK63" i="3" s="1"/>
  <c r="CL60" i="3"/>
  <c r="CL63" i="3" s="1"/>
  <c r="CL30" i="2"/>
  <c r="CL31" i="2"/>
  <c r="CL39" i="2"/>
  <c r="CL77" i="2"/>
  <c r="CL63" i="2"/>
  <c r="Q198" i="2"/>
  <c r="V198" i="2"/>
  <c r="CA58" i="3"/>
  <c r="BO31" i="3"/>
  <c r="BN41" i="3"/>
  <c r="AE89" i="4"/>
  <c r="BI70" i="4"/>
  <c r="BI89" i="4"/>
  <c r="BV74" i="4"/>
  <c r="BV82" i="4"/>
  <c r="BV85" i="4" s="1"/>
  <c r="BV90" i="4" s="1"/>
  <c r="BV106" i="2"/>
  <c r="BV108" i="2" s="1"/>
  <c r="CR53" i="4"/>
  <c r="BA78" i="4"/>
  <c r="CY93" i="2"/>
  <c r="EW88" i="2"/>
  <c r="EW93" i="2" s="1"/>
  <c r="AQ58" i="3"/>
  <c r="CH89" i="4"/>
  <c r="CH118" i="2"/>
  <c r="CH119" i="2" s="1"/>
  <c r="CH70" i="4"/>
  <c r="CK138" i="2"/>
  <c r="CK142" i="2" s="1"/>
  <c r="C64" i="2"/>
  <c r="EM29" i="2"/>
  <c r="AW60" i="3"/>
  <c r="AW31" i="2"/>
  <c r="AW63" i="2"/>
  <c r="AW30" i="2"/>
  <c r="AW77" i="2"/>
  <c r="AW39" i="2"/>
  <c r="AZ29" i="2"/>
  <c r="AJ66" i="2"/>
  <c r="AJ41" i="2"/>
  <c r="CX61" i="3"/>
  <c r="AQ66" i="2"/>
  <c r="AQ41" i="2"/>
  <c r="BN30" i="2"/>
  <c r="BN77" i="2"/>
  <c r="BN31" i="2"/>
  <c r="BN39" i="2"/>
  <c r="BN63" i="2"/>
  <c r="BP60" i="3"/>
  <c r="BP63" i="3" s="1"/>
  <c r="BQ60" i="3"/>
  <c r="BQ63" i="3" s="1"/>
  <c r="BO99" i="4"/>
  <c r="BO58" i="2"/>
  <c r="BO61" i="2"/>
  <c r="BO73" i="2"/>
  <c r="H5" i="1" s="1"/>
  <c r="BO74" i="2"/>
  <c r="BJ74" i="2"/>
  <c r="AY64" i="2"/>
  <c r="AN39" i="2"/>
  <c r="AN63" i="2"/>
  <c r="AN77" i="2"/>
  <c r="AN30" i="2"/>
  <c r="AN60" i="3"/>
  <c r="AN31" i="2"/>
  <c r="BO40" i="3"/>
  <c r="BD114" i="2"/>
  <c r="BC108" i="4"/>
  <c r="BN53" i="4"/>
  <c r="EF42" i="4"/>
  <c r="AN39" i="4"/>
  <c r="CO58" i="3"/>
  <c r="EB89" i="4"/>
  <c r="T53" i="4"/>
  <c r="U51" i="4"/>
  <c r="BU78" i="4"/>
  <c r="BO39" i="3"/>
  <c r="DV133" i="3"/>
  <c r="DW133" i="3" s="1"/>
  <c r="DV89" i="4"/>
  <c r="DB133" i="3"/>
  <c r="DC133" i="3" s="1"/>
  <c r="DB89" i="4"/>
  <c r="BI53" i="4"/>
  <c r="EE42" i="4"/>
  <c r="P85" i="4"/>
  <c r="AA82" i="4"/>
  <c r="AA85" i="4" s="1"/>
  <c r="AA90" i="4" s="1"/>
  <c r="Z31" i="4"/>
  <c r="Z14" i="4"/>
  <c r="BY178" i="3"/>
  <c r="M65" i="2"/>
  <c r="CY101" i="3"/>
  <c r="CX109" i="3"/>
  <c r="BK77" i="2"/>
  <c r="BO29" i="2"/>
  <c r="CT60" i="3"/>
  <c r="CT63" i="3" s="1"/>
  <c r="CT77" i="2"/>
  <c r="CT39" i="2"/>
  <c r="BJ44" i="3"/>
  <c r="BI47" i="3"/>
  <c r="BJ40" i="3"/>
  <c r="CC70" i="4"/>
  <c r="CC89" i="4"/>
  <c r="DB56" i="4"/>
  <c r="DA57" i="4"/>
  <c r="AY53" i="4"/>
  <c r="Q78" i="4"/>
  <c r="AZ58" i="3"/>
  <c r="DQ133" i="3"/>
  <c r="DR133" i="3" s="1"/>
  <c r="DQ89" i="4"/>
  <c r="P53" i="4"/>
  <c r="AO53" i="4"/>
  <c r="BS37" i="4"/>
  <c r="AT37" i="4"/>
  <c r="AR79" i="2"/>
  <c r="AR65" i="2"/>
  <c r="DC115" i="2"/>
  <c r="CV60" i="3"/>
  <c r="CV63" i="3" s="1"/>
  <c r="CM77" i="2"/>
  <c r="BG60" i="3"/>
  <c r="BG63" i="3" s="1"/>
  <c r="CN99" i="4"/>
  <c r="CN57" i="2"/>
  <c r="CN29" i="2"/>
  <c r="CN56" i="2"/>
  <c r="CN74" i="2"/>
  <c r="CN73" i="2"/>
  <c r="CS73" i="2"/>
  <c r="CN58" i="2"/>
  <c r="CN61" i="2"/>
  <c r="CN62" i="2"/>
  <c r="T60" i="3"/>
  <c r="S65" i="2"/>
  <c r="EG31" i="2"/>
  <c r="K64" i="2"/>
  <c r="CD74" i="2"/>
  <c r="EO73" i="2"/>
  <c r="EO58" i="2"/>
  <c r="EO61" i="2"/>
  <c r="CE41" i="2"/>
  <c r="CE73" i="3" s="1"/>
  <c r="CE64" i="3" s="1"/>
  <c r="CE66" i="2"/>
  <c r="CE65" i="2"/>
  <c r="CE32" i="2"/>
  <c r="AI64" i="2"/>
  <c r="DC39" i="3"/>
  <c r="Z68" i="4"/>
  <c r="Z70" i="4" s="1"/>
  <c r="Y114" i="2"/>
  <c r="CS118" i="2"/>
  <c r="AO70" i="4"/>
  <c r="AT53" i="4"/>
  <c r="AH74" i="4"/>
  <c r="AH82" i="4"/>
  <c r="AH85" i="4" s="1"/>
  <c r="AH90" i="4" s="1"/>
  <c r="U37" i="4"/>
  <c r="BH39" i="4"/>
  <c r="CN58" i="3"/>
  <c r="DM63" i="4"/>
  <c r="BU108" i="4"/>
  <c r="BV108" i="4"/>
  <c r="BS84" i="4"/>
  <c r="BS108" i="4"/>
  <c r="BT108" i="4" s="1"/>
  <c r="BS99" i="4"/>
  <c r="BS107" i="2"/>
  <c r="X39" i="4"/>
  <c r="EE21" i="4"/>
  <c r="AS60" i="3"/>
  <c r="AS30" i="2"/>
  <c r="AS77" i="2"/>
  <c r="AS31" i="2"/>
  <c r="AS39" i="2"/>
  <c r="AS63" i="2"/>
  <c r="V73" i="2"/>
  <c r="Q29" i="2"/>
  <c r="Q67" i="2"/>
  <c r="Q73" i="2"/>
  <c r="Q62" i="2"/>
  <c r="Q61" i="2"/>
  <c r="CZ34" i="3"/>
  <c r="U114" i="2"/>
  <c r="V68" i="4"/>
  <c r="CM118" i="2"/>
  <c r="CM119" i="2" s="1"/>
  <c r="C76" i="4"/>
  <c r="G76" i="4"/>
  <c r="CR94" i="4"/>
  <c r="CR114" i="2"/>
  <c r="CR120" i="2" s="1"/>
  <c r="CR119" i="2" s="1"/>
  <c r="CG119" i="2"/>
  <c r="CC53" i="4"/>
  <c r="CR37" i="4"/>
  <c r="BT61" i="3"/>
  <c r="BT99" i="4"/>
  <c r="BT57" i="2"/>
  <c r="BT58" i="2"/>
  <c r="BT61" i="2"/>
  <c r="BT62" i="2"/>
  <c r="CI74" i="2"/>
  <c r="BT74" i="2"/>
  <c r="BT73" i="2"/>
  <c r="I5" i="1" s="1"/>
  <c r="BY73" i="2"/>
  <c r="BT56" i="2"/>
  <c r="AJ64" i="2"/>
  <c r="AJ159" i="2"/>
  <c r="AX60" i="3"/>
  <c r="AX30" i="2"/>
  <c r="AX77" i="2"/>
  <c r="AX31" i="2"/>
  <c r="AX39" i="2"/>
  <c r="AX63" i="2"/>
  <c r="Z60" i="3"/>
  <c r="AA31" i="2"/>
  <c r="AA60" i="3"/>
  <c r="AA30" i="2"/>
  <c r="AA63" i="2"/>
  <c r="AA77" i="2"/>
  <c r="AA39" i="2"/>
  <c r="BI30" i="2"/>
  <c r="BI77" i="2"/>
  <c r="BI31" i="2"/>
  <c r="BI39" i="2"/>
  <c r="BI63" i="2"/>
  <c r="BL60" i="3"/>
  <c r="BL63" i="3" s="1"/>
  <c r="AY65" i="2"/>
  <c r="BI41" i="3"/>
  <c r="BX89" i="4"/>
  <c r="BI86" i="4"/>
  <c r="BB74" i="4"/>
  <c r="BB82" i="4"/>
  <c r="BB85" i="4" s="1"/>
  <c r="BB90" i="4" s="1"/>
  <c r="BB106" i="2"/>
  <c r="BB108" i="2" s="1"/>
  <c r="CB39" i="4"/>
  <c r="BH95" i="2"/>
  <c r="CY47" i="3"/>
  <c r="CZ44" i="3"/>
  <c r="BI37" i="4"/>
  <c r="CQ39" i="4"/>
  <c r="AD60" i="3"/>
  <c r="AD30" i="2"/>
  <c r="AD63" i="2"/>
  <c r="AD77" i="2"/>
  <c r="AD31" i="2"/>
  <c r="AI79" i="2" s="1"/>
  <c r="AD39" i="2"/>
  <c r="EI29" i="2"/>
  <c r="BV60" i="3"/>
  <c r="BV63" i="3" s="1"/>
  <c r="BV30" i="2"/>
  <c r="BV31" i="2"/>
  <c r="BV39" i="2"/>
  <c r="BV77" i="2"/>
  <c r="ER29" i="2"/>
  <c r="BV63" i="2"/>
  <c r="V58" i="3"/>
  <c r="CU95" i="4"/>
  <c r="CU70" i="4"/>
  <c r="AY89" i="4"/>
  <c r="AY70" i="4"/>
  <c r="BS89" i="4"/>
  <c r="F74" i="4"/>
  <c r="F82" i="4"/>
  <c r="F85" i="4" s="1"/>
  <c r="X58" i="3"/>
  <c r="BY58" i="3"/>
  <c r="BY158" i="3"/>
  <c r="AK78" i="4"/>
  <c r="BJ39" i="3"/>
  <c r="CQ120" i="2"/>
  <c r="O53" i="4"/>
  <c r="BD53" i="4"/>
  <c r="BW39" i="4"/>
  <c r="AR64" i="2"/>
  <c r="BM60" i="3"/>
  <c r="BM63" i="3" s="1"/>
  <c r="BM31" i="2"/>
  <c r="BM63" i="2"/>
  <c r="BM30" i="2"/>
  <c r="BM77" i="2"/>
  <c r="BM39" i="2"/>
  <c r="EP29" i="2"/>
  <c r="BC60" i="3"/>
  <c r="BC63" i="3" s="1"/>
  <c r="AM64" i="2"/>
  <c r="AT30" i="2"/>
  <c r="AT63" i="2"/>
  <c r="AT31" i="2"/>
  <c r="AY79" i="2" s="1"/>
  <c r="AT39" i="2"/>
  <c r="AT77" i="2"/>
  <c r="AV60" i="3"/>
  <c r="AP73" i="2"/>
  <c r="AP99" i="4"/>
  <c r="AP61" i="2"/>
  <c r="AP58" i="2"/>
  <c r="AP29" i="2"/>
  <c r="AP62" i="2"/>
  <c r="BE74" i="2"/>
  <c r="BO62" i="2"/>
  <c r="CM65" i="2"/>
  <c r="CM32" i="2"/>
  <c r="BG64" i="2"/>
  <c r="BA60" i="3"/>
  <c r="BA63" i="3" s="1"/>
  <c r="BA31" i="2"/>
  <c r="BA39" i="2"/>
  <c r="BA30" i="2"/>
  <c r="BA77" i="2"/>
  <c r="BA63" i="2"/>
  <c r="S66" i="2"/>
  <c r="EG39" i="2"/>
  <c r="S41" i="2"/>
  <c r="K66" i="2"/>
  <c r="K41" i="2"/>
  <c r="CU77" i="2"/>
  <c r="CU60" i="3"/>
  <c r="CU63" i="3" s="1"/>
  <c r="AI66" i="2"/>
  <c r="AI41" i="2"/>
  <c r="CZ142" i="3"/>
  <c r="BD70" i="4"/>
  <c r="BX99" i="4"/>
  <c r="BZ108" i="4"/>
  <c r="CA108" i="4"/>
  <c r="BX84" i="4"/>
  <c r="BX108" i="4"/>
  <c r="BY108" i="4" s="1"/>
  <c r="CB108" i="4"/>
  <c r="BX107" i="2"/>
  <c r="BX53" i="4"/>
  <c r="EH50" i="4"/>
  <c r="EH84" i="4" s="1"/>
  <c r="AJ99" i="4"/>
  <c r="AJ84" i="4"/>
  <c r="AJ53" i="4"/>
  <c r="Y37" i="4"/>
  <c r="BR39" i="4"/>
  <c r="AD39" i="4"/>
  <c r="DQ101" i="4"/>
  <c r="AM74" i="4"/>
  <c r="AM82" i="4"/>
  <c r="AM85" i="4" s="1"/>
  <c r="AM90" i="4" s="1"/>
  <c r="Z31" i="2"/>
  <c r="EU73" i="2"/>
  <c r="EF12" i="4"/>
  <c r="AH60" i="3"/>
  <c r="CG65" i="2" l="1"/>
  <c r="BH57" i="3"/>
  <c r="CG145" i="3"/>
  <c r="CG146" i="3" s="1"/>
  <c r="BJ31" i="3"/>
  <c r="BJ41" i="3" s="1"/>
  <c r="BH75" i="3"/>
  <c r="BH48" i="3"/>
  <c r="BH74" i="3"/>
  <c r="BU64" i="2"/>
  <c r="CU64" i="2"/>
  <c r="CJ58" i="3"/>
  <c r="CK44" i="2"/>
  <c r="CK53" i="2" s="1"/>
  <c r="CA65" i="2"/>
  <c r="CA78" i="2"/>
  <c r="CK213" i="2"/>
  <c r="CK141" i="3"/>
  <c r="CK144" i="3" s="1"/>
  <c r="CK145" i="3" s="1"/>
  <c r="CK146" i="3" s="1"/>
  <c r="CK67" i="2"/>
  <c r="CK214" i="2"/>
  <c r="CK215" i="2" s="1"/>
  <c r="CD60" i="3"/>
  <c r="CD63" i="3" s="1"/>
  <c r="BG65" i="2"/>
  <c r="CW65" i="2"/>
  <c r="CA64" i="2"/>
  <c r="CW79" i="2"/>
  <c r="CM78" i="2"/>
  <c r="CQ32" i="2"/>
  <c r="CR78" i="2"/>
  <c r="O12" i="1"/>
  <c r="L5" i="1"/>
  <c r="M5" i="1"/>
  <c r="AE66" i="2"/>
  <c r="CA41" i="2"/>
  <c r="CA73" i="3" s="1"/>
  <c r="CA64" i="3" s="1"/>
  <c r="CA66" i="2"/>
  <c r="BG66" i="2"/>
  <c r="BG41" i="2"/>
  <c r="BG53" i="2" s="1"/>
  <c r="BG79" i="2"/>
  <c r="BL79" i="2"/>
  <c r="CQ79" i="2"/>
  <c r="N65" i="2"/>
  <c r="CV79" i="2"/>
  <c r="AI63" i="3"/>
  <c r="BK41" i="2"/>
  <c r="BK73" i="3" s="1"/>
  <c r="BK64" i="3" s="1"/>
  <c r="AI159" i="2"/>
  <c r="AI165" i="2" s="1"/>
  <c r="BK66" i="2"/>
  <c r="AJ79" i="2"/>
  <c r="AE64" i="2"/>
  <c r="AE65" i="2"/>
  <c r="CK48" i="3"/>
  <c r="CU66" i="2"/>
  <c r="CU138" i="2" s="1"/>
  <c r="CU142" i="2" s="1"/>
  <c r="BK79" i="2"/>
  <c r="BG58" i="3"/>
  <c r="CK74" i="3"/>
  <c r="CK75" i="3"/>
  <c r="CK57" i="3"/>
  <c r="X67" i="2"/>
  <c r="AJ65" i="2"/>
  <c r="CU65" i="2"/>
  <c r="CM66" i="2"/>
  <c r="CM138" i="2" s="1"/>
  <c r="CM142" i="2" s="1"/>
  <c r="CD63" i="2"/>
  <c r="X50" i="2"/>
  <c r="AC81" i="2" s="1"/>
  <c r="X213" i="2"/>
  <c r="X80" i="2"/>
  <c r="R214" i="2"/>
  <c r="R215" i="2" s="1"/>
  <c r="X214" i="2"/>
  <c r="X215" i="2" s="1"/>
  <c r="CS75" i="3"/>
  <c r="CS57" i="3"/>
  <c r="CS58" i="3" s="1"/>
  <c r="CV66" i="2"/>
  <c r="CS48" i="3"/>
  <c r="BS95" i="2"/>
  <c r="CX133" i="3"/>
  <c r="EG53" i="4"/>
  <c r="CU79" i="2"/>
  <c r="BS53" i="2"/>
  <c r="BS73" i="3"/>
  <c r="BS64" i="3" s="1"/>
  <c r="CE159" i="2"/>
  <c r="CE165" i="2" s="1"/>
  <c r="H50" i="2"/>
  <c r="J214" i="2"/>
  <c r="J215" i="2" s="1"/>
  <c r="CG159" i="2"/>
  <c r="CG165" i="2" s="1"/>
  <c r="BC79" i="2"/>
  <c r="CL106" i="2"/>
  <c r="CL108" i="2" s="1"/>
  <c r="CL74" i="4"/>
  <c r="BC65" i="2"/>
  <c r="AQ64" i="3"/>
  <c r="CC60" i="3"/>
  <c r="CC63" i="3" s="1"/>
  <c r="EM77" i="2"/>
  <c r="H213" i="2"/>
  <c r="CD77" i="2"/>
  <c r="BE63" i="2"/>
  <c r="CD30" i="2"/>
  <c r="K6" i="1" s="1"/>
  <c r="H214" i="2"/>
  <c r="H215" i="2" s="1"/>
  <c r="BD60" i="3"/>
  <c r="BD63" i="3" s="1"/>
  <c r="CD39" i="2"/>
  <c r="R67" i="2"/>
  <c r="R213" i="2"/>
  <c r="R80" i="2"/>
  <c r="J67" i="2"/>
  <c r="CW66" i="2"/>
  <c r="CV78" i="2"/>
  <c r="CW41" i="2"/>
  <c r="BD65" i="2"/>
  <c r="CU78" i="2"/>
  <c r="BD79" i="2"/>
  <c r="BE30" i="2"/>
  <c r="F6" i="1" s="1"/>
  <c r="BE39" i="2"/>
  <c r="BE31" i="2"/>
  <c r="BU66" i="2"/>
  <c r="BU41" i="2"/>
  <c r="BU73" i="3" s="1"/>
  <c r="BU64" i="3" s="1"/>
  <c r="N64" i="2"/>
  <c r="CX95" i="2"/>
  <c r="J213" i="2"/>
  <c r="F213" i="2"/>
  <c r="F214" i="2"/>
  <c r="F50" i="2"/>
  <c r="U70" i="4"/>
  <c r="CV39" i="4"/>
  <c r="CR79" i="2"/>
  <c r="EU77" i="2"/>
  <c r="EU63" i="2"/>
  <c r="AQ65" i="2"/>
  <c r="CS39" i="2"/>
  <c r="CR60" i="3"/>
  <c r="CR63" i="3" s="1"/>
  <c r="CS31" i="2"/>
  <c r="CS30" i="2"/>
  <c r="N6" i="1" s="1"/>
  <c r="CS60" i="3"/>
  <c r="CS63" i="3" s="1"/>
  <c r="CS63" i="2"/>
  <c r="BX161" i="2"/>
  <c r="BX68" i="3" s="1"/>
  <c r="BX104" i="2" s="1"/>
  <c r="CV32" i="2"/>
  <c r="EU31" i="2"/>
  <c r="M17" i="1" s="1"/>
  <c r="BU159" i="2"/>
  <c r="BU165" i="2" s="1"/>
  <c r="CU159" i="2"/>
  <c r="CU160" i="2" s="1"/>
  <c r="CV65" i="2"/>
  <c r="CE161" i="2"/>
  <c r="CE68" i="3" s="1"/>
  <c r="CE104" i="2" s="1"/>
  <c r="ES30" i="2"/>
  <c r="ES64" i="2" s="1"/>
  <c r="CR58" i="3"/>
  <c r="CC161" i="2"/>
  <c r="CD161" i="2" s="1"/>
  <c r="CG106" i="2"/>
  <c r="CG108" i="2" s="1"/>
  <c r="BK161" i="2"/>
  <c r="BK68" i="3" s="1"/>
  <c r="BK104" i="2" s="1"/>
  <c r="AR159" i="2"/>
  <c r="AR160" i="2" s="1"/>
  <c r="EK31" i="2"/>
  <c r="U50" i="2"/>
  <c r="U67" i="2"/>
  <c r="U213" i="2"/>
  <c r="U214" i="2"/>
  <c r="U215" i="2" s="1"/>
  <c r="CC41" i="2"/>
  <c r="CC73" i="3" s="1"/>
  <c r="CC64" i="3" s="1"/>
  <c r="CC66" i="2"/>
  <c r="BQ66" i="2"/>
  <c r="BQ41" i="2"/>
  <c r="BQ73" i="3" s="1"/>
  <c r="BQ64" i="3" s="1"/>
  <c r="CC32" i="2"/>
  <c r="CC65" i="2"/>
  <c r="CC64" i="2"/>
  <c r="CW64" i="2"/>
  <c r="BQ64" i="2"/>
  <c r="BQ32" i="2"/>
  <c r="BQ65" i="2"/>
  <c r="AW58" i="3"/>
  <c r="AM64" i="3"/>
  <c r="BG161" i="2"/>
  <c r="BX39" i="4"/>
  <c r="CA107" i="4" s="1"/>
  <c r="EV100" i="2"/>
  <c r="BN95" i="2"/>
  <c r="BY39" i="2"/>
  <c r="BY60" i="3"/>
  <c r="BY63" i="3" s="1"/>
  <c r="BX60" i="3"/>
  <c r="BX63" i="3" s="1"/>
  <c r="BY30" i="2"/>
  <c r="J6" i="1" s="1"/>
  <c r="BY63" i="2"/>
  <c r="BY31" i="2"/>
  <c r="CD79" i="2" s="1"/>
  <c r="AV79" i="2"/>
  <c r="CG82" i="4"/>
  <c r="CG85" i="4" s="1"/>
  <c r="CG90" i="4" s="1"/>
  <c r="ES63" i="2"/>
  <c r="ES31" i="2"/>
  <c r="BS159" i="2"/>
  <c r="BT159" i="2" s="1"/>
  <c r="CR70" i="4"/>
  <c r="CB78" i="2"/>
  <c r="BP95" i="2"/>
  <c r="BH161" i="2"/>
  <c r="BH79" i="2"/>
  <c r="CF78" i="2"/>
  <c r="BL95" i="2"/>
  <c r="BX32" i="2"/>
  <c r="CC79" i="2"/>
  <c r="BX65" i="2"/>
  <c r="BX66" i="2"/>
  <c r="BX41" i="2"/>
  <c r="BX73" i="3" s="1"/>
  <c r="BX64" i="3" s="1"/>
  <c r="BD39" i="4"/>
  <c r="BF107" i="4" s="1"/>
  <c r="AX82" i="4"/>
  <c r="AX85" i="4" s="1"/>
  <c r="AX90" i="4" s="1"/>
  <c r="CC78" i="2"/>
  <c r="BX64" i="2"/>
  <c r="CB159" i="2"/>
  <c r="CB165" i="2" s="1"/>
  <c r="CR32" i="2"/>
  <c r="CR65" i="2"/>
  <c r="CR66" i="2"/>
  <c r="CR41" i="2"/>
  <c r="CR64" i="2"/>
  <c r="CW78" i="2"/>
  <c r="BJ95" i="2"/>
  <c r="BT95" i="2"/>
  <c r="DN102" i="3"/>
  <c r="DO102" i="3" s="1"/>
  <c r="DP102" i="3" s="1"/>
  <c r="DQ102" i="3" s="1"/>
  <c r="DR102" i="3" s="1"/>
  <c r="CR89" i="4"/>
  <c r="BP79" i="2"/>
  <c r="BS70" i="4"/>
  <c r="CM39" i="4"/>
  <c r="EK39" i="4" s="1"/>
  <c r="EK82" i="4" s="1"/>
  <c r="EK85" i="4" s="1"/>
  <c r="M21" i="1" s="1"/>
  <c r="AJ39" i="4"/>
  <c r="AJ82" i="4" s="1"/>
  <c r="AJ85" i="4" s="1"/>
  <c r="AJ90" i="4" s="1"/>
  <c r="CY109" i="3"/>
  <c r="CY123" i="3" s="1"/>
  <c r="BS161" i="2"/>
  <c r="BS67" i="3" s="1"/>
  <c r="BH159" i="2"/>
  <c r="BH160" i="2" s="1"/>
  <c r="CG74" i="4"/>
  <c r="BM74" i="4"/>
  <c r="CF159" i="2"/>
  <c r="CF165" i="2" s="1"/>
  <c r="CH60" i="3"/>
  <c r="CH63" i="3" s="1"/>
  <c r="CI39" i="2"/>
  <c r="CI77" i="2"/>
  <c r="CI31" i="2"/>
  <c r="CI79" i="2" s="1"/>
  <c r="CI30" i="2"/>
  <c r="L6" i="1" s="1"/>
  <c r="CI60" i="3"/>
  <c r="CI63" i="3" s="1"/>
  <c r="CI63" i="2"/>
  <c r="BP32" i="2"/>
  <c r="BP65" i="2"/>
  <c r="BP64" i="2"/>
  <c r="AO41" i="2"/>
  <c r="I41" i="2"/>
  <c r="I66" i="2"/>
  <c r="BP41" i="2"/>
  <c r="BP66" i="2"/>
  <c r="CV67" i="2"/>
  <c r="CG47" i="2"/>
  <c r="CG52" i="2"/>
  <c r="AU58" i="3"/>
  <c r="DA93" i="2"/>
  <c r="CC37" i="4"/>
  <c r="CF161" i="2"/>
  <c r="CG161" i="2"/>
  <c r="CF79" i="2"/>
  <c r="CF65" i="2"/>
  <c r="CK79" i="2"/>
  <c r="CF32" i="2"/>
  <c r="BI39" i="4"/>
  <c r="EE39" i="4" s="1"/>
  <c r="EE82" i="4" s="1"/>
  <c r="EE85" i="4" s="1"/>
  <c r="G21" i="1" s="1"/>
  <c r="CM70" i="4"/>
  <c r="CB65" i="2"/>
  <c r="CB32" i="2"/>
  <c r="CG79" i="2"/>
  <c r="O10" i="1"/>
  <c r="CK78" i="2"/>
  <c r="CF64" i="2"/>
  <c r="CM89" i="4"/>
  <c r="CB64" i="2"/>
  <c r="CG78" i="2"/>
  <c r="CB41" i="2"/>
  <c r="CB73" i="3" s="1"/>
  <c r="CB64" i="3" s="1"/>
  <c r="CB66" i="2"/>
  <c r="BG159" i="2"/>
  <c r="BG165" i="2" s="1"/>
  <c r="BE95" i="2"/>
  <c r="CF41" i="2"/>
  <c r="CF66" i="2"/>
  <c r="BT58" i="3"/>
  <c r="DA32" i="3"/>
  <c r="V65" i="4"/>
  <c r="BH66" i="2"/>
  <c r="BH41" i="2"/>
  <c r="BH80" i="2" s="1"/>
  <c r="Y50" i="2"/>
  <c r="Y67" i="2"/>
  <c r="Y213" i="2"/>
  <c r="Y214" i="2"/>
  <c r="Y215" i="2" s="1"/>
  <c r="BD41" i="2"/>
  <c r="BD66" i="2"/>
  <c r="BH64" i="2"/>
  <c r="DA36" i="3"/>
  <c r="BH65" i="2"/>
  <c r="BD64" i="2"/>
  <c r="BL66" i="2"/>
  <c r="BL41" i="2"/>
  <c r="BL64" i="2"/>
  <c r="BL65" i="2"/>
  <c r="BQ79" i="2"/>
  <c r="CD118" i="2"/>
  <c r="CD119" i="2" s="1"/>
  <c r="CU108" i="2"/>
  <c r="CZ94" i="2"/>
  <c r="CZ93" i="2"/>
  <c r="Z53" i="4"/>
  <c r="EE53" i="4"/>
  <c r="AO39" i="4"/>
  <c r="AO74" i="4" s="1"/>
  <c r="BM106" i="2"/>
  <c r="BM108" i="2" s="1"/>
  <c r="AO65" i="2"/>
  <c r="AO79" i="2"/>
  <c r="V84" i="4"/>
  <c r="V85" i="4" s="1"/>
  <c r="V53" i="4"/>
  <c r="CM161" i="2"/>
  <c r="CM68" i="3" s="1"/>
  <c r="CM104" i="2" s="1"/>
  <c r="CS120" i="2"/>
  <c r="CS119" i="2" s="1"/>
  <c r="CA161" i="2"/>
  <c r="CA67" i="3" s="1"/>
  <c r="CC159" i="2"/>
  <c r="CC160" i="2" s="1"/>
  <c r="CA159" i="2"/>
  <c r="CA160" i="2" s="1"/>
  <c r="CB161" i="2"/>
  <c r="CB67" i="3" s="1"/>
  <c r="CE78" i="2"/>
  <c r="CV161" i="2"/>
  <c r="CV67" i="3" s="1"/>
  <c r="CS116" i="2"/>
  <c r="CI118" i="2"/>
  <c r="CI119" i="2" s="1"/>
  <c r="EW100" i="2"/>
  <c r="Z50" i="2"/>
  <c r="Z214" i="2"/>
  <c r="Z215" i="2" s="1"/>
  <c r="Z80" i="2"/>
  <c r="Z67" i="2"/>
  <c r="Z213" i="2"/>
  <c r="AV64" i="2"/>
  <c r="AV65" i="2"/>
  <c r="BC159" i="2"/>
  <c r="BC160" i="2" s="1"/>
  <c r="AV41" i="2"/>
  <c r="AV66" i="2"/>
  <c r="EO31" i="2"/>
  <c r="G17" i="1" s="1"/>
  <c r="E65" i="2"/>
  <c r="E64" i="2"/>
  <c r="CR159" i="2"/>
  <c r="CS159" i="2" s="1"/>
  <c r="E41" i="2"/>
  <c r="CQ161" i="2"/>
  <c r="CQ67" i="3" s="1"/>
  <c r="AM50" i="2"/>
  <c r="AM213" i="2"/>
  <c r="AM67" i="2"/>
  <c r="AM214" i="2"/>
  <c r="AM215" i="2" s="1"/>
  <c r="AM80" i="2"/>
  <c r="BY116" i="2"/>
  <c r="BT116" i="2"/>
  <c r="BR74" i="4"/>
  <c r="BR82" i="4"/>
  <c r="BR85" i="4" s="1"/>
  <c r="BR90" i="4" s="1"/>
  <c r="BR106" i="2"/>
  <c r="BR108" i="2" s="1"/>
  <c r="BA65" i="2"/>
  <c r="BA79" i="2"/>
  <c r="AT64" i="2"/>
  <c r="AT159" i="2"/>
  <c r="AV159" i="2"/>
  <c r="AM165" i="2"/>
  <c r="AM160" i="2"/>
  <c r="EP77" i="2"/>
  <c r="EP63" i="2"/>
  <c r="O74" i="4"/>
  <c r="AE50" i="2"/>
  <c r="AE213" i="2"/>
  <c r="AE67" i="2"/>
  <c r="AE80" i="2"/>
  <c r="AE214" i="2"/>
  <c r="AE215" i="2" s="1"/>
  <c r="ER39" i="2"/>
  <c r="BV41" i="2"/>
  <c r="BV66" i="2"/>
  <c r="CD184" i="2"/>
  <c r="CD197" i="2"/>
  <c r="CD198" i="2" s="1"/>
  <c r="CB74" i="4"/>
  <c r="CB82" i="4"/>
  <c r="CB85" i="4" s="1"/>
  <c r="CB90" i="4" s="1"/>
  <c r="CB106" i="2"/>
  <c r="CB108" i="2" s="1"/>
  <c r="BI64" i="2"/>
  <c r="BI159" i="2"/>
  <c r="AA65" i="2"/>
  <c r="AS41" i="2"/>
  <c r="AS66" i="2"/>
  <c r="AS63" i="3"/>
  <c r="AS64" i="3"/>
  <c r="DM89" i="4"/>
  <c r="CE138" i="2"/>
  <c r="CE142" i="2" s="1"/>
  <c r="CE45" i="2"/>
  <c r="DC24" i="3"/>
  <c r="BI48" i="3"/>
  <c r="CZ101" i="3"/>
  <c r="BV76" i="4"/>
  <c r="BU79" i="4"/>
  <c r="AN63" i="3"/>
  <c r="AN64" i="3"/>
  <c r="AN41" i="2"/>
  <c r="BN64" i="2"/>
  <c r="BN159" i="2"/>
  <c r="BQ159" i="2"/>
  <c r="BP159" i="2"/>
  <c r="AJ67" i="2"/>
  <c r="AJ80" i="2"/>
  <c r="AJ214" i="2"/>
  <c r="AJ215" i="2" s="1"/>
  <c r="AJ50" i="2"/>
  <c r="AJ213" i="2"/>
  <c r="AZ39" i="2"/>
  <c r="AZ63" i="2"/>
  <c r="AZ77" i="2"/>
  <c r="E7" i="1" s="1"/>
  <c r="AY60" i="3"/>
  <c r="AZ60" i="3"/>
  <c r="AZ63" i="3" s="1"/>
  <c r="AZ30" i="2"/>
  <c r="E6" i="1" s="1"/>
  <c r="AZ31" i="2"/>
  <c r="BE77" i="2"/>
  <c r="F7" i="1" s="1"/>
  <c r="AT39" i="4"/>
  <c r="BO41" i="3"/>
  <c r="S78" i="4"/>
  <c r="BS39" i="4"/>
  <c r="BW107" i="4" s="1"/>
  <c r="CO78" i="2"/>
  <c r="CO64" i="2"/>
  <c r="CO159" i="2"/>
  <c r="AB63" i="3"/>
  <c r="AB64" i="3"/>
  <c r="AB66" i="2"/>
  <c r="AB41" i="2"/>
  <c r="EH39" i="2"/>
  <c r="AR67" i="2"/>
  <c r="AR80" i="2"/>
  <c r="AR214" i="2"/>
  <c r="AR215" i="2" s="1"/>
  <c r="AR213" i="2"/>
  <c r="AR50" i="2"/>
  <c r="CT39" i="4"/>
  <c r="BL159" i="2"/>
  <c r="L63" i="2"/>
  <c r="L77" i="2"/>
  <c r="K60" i="3"/>
  <c r="L31" i="2"/>
  <c r="L39" i="2"/>
  <c r="L60" i="3"/>
  <c r="L30" i="2"/>
  <c r="AH81" i="2"/>
  <c r="CW74" i="3"/>
  <c r="CX41" i="3"/>
  <c r="CW48" i="3"/>
  <c r="CW57" i="3"/>
  <c r="CW75" i="3"/>
  <c r="CY35" i="3"/>
  <c r="CY146" i="2" s="1"/>
  <c r="CX66" i="3"/>
  <c r="Z37" i="4"/>
  <c r="AL79" i="2"/>
  <c r="AL65" i="2"/>
  <c r="CX89" i="4"/>
  <c r="CX70" i="4"/>
  <c r="EV39" i="2"/>
  <c r="EV77" i="2"/>
  <c r="EV31" i="2"/>
  <c r="N17" i="1" s="1"/>
  <c r="EV63" i="2"/>
  <c r="BZ65" i="2"/>
  <c r="BZ79" i="2"/>
  <c r="BZ32" i="2"/>
  <c r="BZ161" i="2"/>
  <c r="BZ64" i="2"/>
  <c r="BZ78" i="2"/>
  <c r="BZ159" i="2"/>
  <c r="BB79" i="2"/>
  <c r="EN31" i="2"/>
  <c r="F17" i="1" s="1"/>
  <c r="BB65" i="2"/>
  <c r="BF41" i="2"/>
  <c r="BF53" i="2" s="1"/>
  <c r="BF66" i="2"/>
  <c r="CU74" i="4"/>
  <c r="DB95" i="4"/>
  <c r="AY50" i="2"/>
  <c r="AY53" i="2" s="1"/>
  <c r="AY213" i="2"/>
  <c r="AY67" i="2"/>
  <c r="AY214" i="2"/>
  <c r="AY215" i="2" s="1"/>
  <c r="BT39" i="2"/>
  <c r="BT63" i="2"/>
  <c r="BT77" i="2"/>
  <c r="I7" i="1" s="1"/>
  <c r="BS60" i="3"/>
  <c r="BS63" i="3" s="1"/>
  <c r="BT60" i="3"/>
  <c r="BT63" i="3" s="1"/>
  <c r="BT31" i="2"/>
  <c r="BY77" i="2"/>
  <c r="BR41" i="2"/>
  <c r="EQ39" i="2"/>
  <c r="BR66" i="2"/>
  <c r="AT60" i="3"/>
  <c r="AU31" i="2"/>
  <c r="AU60" i="3"/>
  <c r="AU39" i="2"/>
  <c r="AU77" i="2"/>
  <c r="D7" i="1" s="1"/>
  <c r="AU30" i="2"/>
  <c r="D6" i="1" s="1"/>
  <c r="AU63" i="2"/>
  <c r="P65" i="2"/>
  <c r="CR161" i="2"/>
  <c r="AK64" i="2"/>
  <c r="AK63" i="3"/>
  <c r="AK64" i="3"/>
  <c r="BW138" i="2"/>
  <c r="BW142" i="2" s="1"/>
  <c r="EJ31" i="2"/>
  <c r="AH63" i="3"/>
  <c r="AH64" i="3"/>
  <c r="Z65" i="2"/>
  <c r="EH31" i="2"/>
  <c r="AP60" i="3"/>
  <c r="AP30" i="2"/>
  <c r="AO60" i="3"/>
  <c r="AP31" i="2"/>
  <c r="AP39" i="2"/>
  <c r="AP63" i="2"/>
  <c r="AP77" i="2"/>
  <c r="AT40" i="2"/>
  <c r="AT41" i="2" s="1"/>
  <c r="BM66" i="2"/>
  <c r="BM41" i="2"/>
  <c r="EP39" i="2"/>
  <c r="BM79" i="2"/>
  <c r="BM161" i="2"/>
  <c r="BM65" i="2"/>
  <c r="EP31" i="2"/>
  <c r="H17" i="1" s="1"/>
  <c r="BW74" i="4"/>
  <c r="BW82" i="4"/>
  <c r="BW85" i="4" s="1"/>
  <c r="BW90" i="4" s="1"/>
  <c r="BW106" i="2"/>
  <c r="BW108" i="2" s="1"/>
  <c r="ER31" i="2"/>
  <c r="J17" i="1" s="1"/>
  <c r="BV32" i="2"/>
  <c r="BV79" i="2"/>
  <c r="BV161" i="2"/>
  <c r="BV65" i="2"/>
  <c r="AD41" i="2"/>
  <c r="AI80" i="2" s="1"/>
  <c r="AD66" i="2"/>
  <c r="EI39" i="2"/>
  <c r="AD64" i="2"/>
  <c r="AH159" i="2"/>
  <c r="CQ74" i="4"/>
  <c r="CQ82" i="4"/>
  <c r="CQ85" i="4" s="1"/>
  <c r="CQ90" i="4" s="1"/>
  <c r="CQ106" i="2"/>
  <c r="CQ108" i="2" s="1"/>
  <c r="BI75" i="3"/>
  <c r="BI74" i="3"/>
  <c r="BI57" i="3"/>
  <c r="BI41" i="2"/>
  <c r="BI53" i="2" s="1"/>
  <c r="BI66" i="2"/>
  <c r="Z63" i="3"/>
  <c r="Z64" i="3"/>
  <c r="AX64" i="2"/>
  <c r="AX159" i="2"/>
  <c r="AJ160" i="2"/>
  <c r="AK159" i="2"/>
  <c r="AJ165" i="2"/>
  <c r="G78" i="4"/>
  <c r="AS65" i="2"/>
  <c r="AS79" i="2"/>
  <c r="Z114" i="2"/>
  <c r="AA68" i="4"/>
  <c r="AA70" i="4" s="1"/>
  <c r="CE141" i="3"/>
  <c r="CE213" i="2"/>
  <c r="CE67" i="2"/>
  <c r="CE44" i="2"/>
  <c r="CE53" i="2" s="1"/>
  <c r="CE214" i="2"/>
  <c r="CE215" i="2" s="1"/>
  <c r="CN39" i="2"/>
  <c r="CN63" i="2"/>
  <c r="CN77" i="2"/>
  <c r="CM60" i="3"/>
  <c r="CM63" i="3" s="1"/>
  <c r="CN60" i="3"/>
  <c r="CN63" i="3" s="1"/>
  <c r="CN30" i="2"/>
  <c r="M6" i="1" s="1"/>
  <c r="CN31" i="2"/>
  <c r="CN100" i="4" s="1"/>
  <c r="CS77" i="2"/>
  <c r="EL31" i="2"/>
  <c r="BJ47" i="3"/>
  <c r="EV30" i="2"/>
  <c r="CT64" i="2"/>
  <c r="CT78" i="2"/>
  <c r="CT159" i="2"/>
  <c r="CW159" i="2"/>
  <c r="BH58" i="3"/>
  <c r="AN159" i="2"/>
  <c r="AN64" i="2"/>
  <c r="AO159" i="2"/>
  <c r="BN41" i="2"/>
  <c r="BN66" i="2"/>
  <c r="EM39" i="2"/>
  <c r="AW66" i="2"/>
  <c r="AW41" i="2"/>
  <c r="EM31" i="2"/>
  <c r="AW79" i="2"/>
  <c r="AW65" i="2"/>
  <c r="CL64" i="2"/>
  <c r="CL78" i="2"/>
  <c r="CL159" i="2"/>
  <c r="EU30" i="2"/>
  <c r="CJ32" i="2"/>
  <c r="CJ79" i="2"/>
  <c r="CJ161" i="2"/>
  <c r="CJ65" i="2"/>
  <c r="CK161" i="2"/>
  <c r="CO41" i="2"/>
  <c r="CO73" i="3" s="1"/>
  <c r="CO64" i="3" s="1"/>
  <c r="CO66" i="2"/>
  <c r="AC63" i="3"/>
  <c r="AC64" i="3"/>
  <c r="AB79" i="2"/>
  <c r="AB65" i="2"/>
  <c r="AG79" i="2"/>
  <c r="CM67" i="2"/>
  <c r="CM213" i="2"/>
  <c r="CM44" i="2"/>
  <c r="CM53" i="2" s="1"/>
  <c r="CM141" i="3"/>
  <c r="CM214" i="2"/>
  <c r="CM215" i="2" s="1"/>
  <c r="CW161" i="2"/>
  <c r="EL39" i="2"/>
  <c r="BN39" i="4"/>
  <c r="BR107" i="4" s="1"/>
  <c r="CX37" i="4"/>
  <c r="DB53" i="3"/>
  <c r="AG159" i="2"/>
  <c r="AI74" i="4"/>
  <c r="AI82" i="4"/>
  <c r="AI85" i="4" s="1"/>
  <c r="AI90" i="4" s="1"/>
  <c r="BM58" i="3"/>
  <c r="CA79" i="2"/>
  <c r="CQ138" i="2"/>
  <c r="CQ142" i="2" s="1"/>
  <c r="EU41" i="2"/>
  <c r="EU53" i="2" s="1"/>
  <c r="EU66" i="2"/>
  <c r="DB31" i="3"/>
  <c r="CM159" i="2"/>
  <c r="AL40" i="2"/>
  <c r="AL41" i="2" s="1"/>
  <c r="AQ80" i="2" s="1"/>
  <c r="EJ39" i="2"/>
  <c r="AL64" i="2"/>
  <c r="AL159" i="2"/>
  <c r="EK39" i="2"/>
  <c r="W78" i="4"/>
  <c r="T74" i="4"/>
  <c r="T82" i="4"/>
  <c r="T85" i="4" s="1"/>
  <c r="DC38" i="3"/>
  <c r="EN39" i="2"/>
  <c r="EN66" i="2" s="1"/>
  <c r="BB41" i="2"/>
  <c r="BB66" i="2"/>
  <c r="EN63" i="2"/>
  <c r="EN77" i="2"/>
  <c r="BF79" i="2"/>
  <c r="BF161" i="2"/>
  <c r="BF65" i="2"/>
  <c r="EF70" i="4"/>
  <c r="DB11" i="3"/>
  <c r="CX60" i="3"/>
  <c r="CX63" i="3" s="1"/>
  <c r="CX30" i="2"/>
  <c r="O6" i="1" s="1"/>
  <c r="CW60" i="3"/>
  <c r="CW63" i="3" s="1"/>
  <c r="CX77" i="2"/>
  <c r="CX31" i="2"/>
  <c r="CX39" i="2"/>
  <c r="CX66" i="2" s="1"/>
  <c r="BR79" i="2"/>
  <c r="BR65" i="2"/>
  <c r="BR161" i="2"/>
  <c r="BR32" i="2"/>
  <c r="BR64" i="2"/>
  <c r="BR159" i="2"/>
  <c r="EQ30" i="2"/>
  <c r="BT30" i="2"/>
  <c r="I6" i="1" s="1"/>
  <c r="CH79" i="2"/>
  <c r="CH65" i="2"/>
  <c r="CH161" i="2"/>
  <c r="CH32" i="2"/>
  <c r="C50" i="2"/>
  <c r="C213" i="2"/>
  <c r="C214" i="2"/>
  <c r="CN118" i="2"/>
  <c r="CN119" i="2" s="1"/>
  <c r="P41" i="2"/>
  <c r="P66" i="2"/>
  <c r="V67" i="2"/>
  <c r="V80" i="2"/>
  <c r="V214" i="2"/>
  <c r="V215" i="2" s="1"/>
  <c r="V50" i="2"/>
  <c r="V213" i="2"/>
  <c r="CQ78" i="2"/>
  <c r="AJ63" i="3"/>
  <c r="AJ64" i="3"/>
  <c r="BW50" i="2"/>
  <c r="BW67" i="2"/>
  <c r="BW213" i="2"/>
  <c r="BW141" i="3"/>
  <c r="BW47" i="2"/>
  <c r="BW214" i="2"/>
  <c r="BW215" i="2" s="1"/>
  <c r="BW44" i="2"/>
  <c r="BW53" i="2" s="1"/>
  <c r="H80" i="2"/>
  <c r="AI50" i="2"/>
  <c r="AI213" i="2"/>
  <c r="AI67" i="2"/>
  <c r="AI214" i="2"/>
  <c r="AI215" i="2" s="1"/>
  <c r="BA64" i="2"/>
  <c r="BA159" i="2"/>
  <c r="AT65" i="2"/>
  <c r="AT79" i="2"/>
  <c r="ER63" i="2"/>
  <c r="ER77" i="2"/>
  <c r="ER30" i="2"/>
  <c r="ER64" i="2" s="1"/>
  <c r="BV64" i="2"/>
  <c r="BV159" i="2"/>
  <c r="AD65" i="2"/>
  <c r="AD79" i="2"/>
  <c r="EI31" i="2"/>
  <c r="AD63" i="3"/>
  <c r="AD64" i="3"/>
  <c r="CZ47" i="3"/>
  <c r="DA44" i="3"/>
  <c r="BI65" i="2"/>
  <c r="BI79" i="2"/>
  <c r="BI161" i="2"/>
  <c r="BJ161" i="2" s="1"/>
  <c r="AA64" i="2"/>
  <c r="AX41" i="2"/>
  <c r="BC80" i="2" s="1"/>
  <c r="AX66" i="2"/>
  <c r="AX63" i="3"/>
  <c r="AX64" i="3"/>
  <c r="C78" i="4"/>
  <c r="V114" i="2"/>
  <c r="Q60" i="3"/>
  <c r="P60" i="3"/>
  <c r="Q31" i="2"/>
  <c r="Q63" i="2"/>
  <c r="Q30" i="2"/>
  <c r="Q77" i="2"/>
  <c r="V77" i="2"/>
  <c r="BH74" i="4"/>
  <c r="BH82" i="4"/>
  <c r="BH85" i="4" s="1"/>
  <c r="BH90" i="4" s="1"/>
  <c r="BH106" i="2"/>
  <c r="BH108" i="2" s="1"/>
  <c r="U39" i="4"/>
  <c r="CD100" i="4"/>
  <c r="CD32" i="2"/>
  <c r="CD65" i="2"/>
  <c r="P74" i="4"/>
  <c r="DB57" i="4"/>
  <c r="CT41" i="2"/>
  <c r="CT73" i="3" s="1"/>
  <c r="CT64" i="3" s="1"/>
  <c r="CT66" i="2"/>
  <c r="CT45" i="2" s="1"/>
  <c r="U53" i="4"/>
  <c r="AN74" i="4"/>
  <c r="AN82" i="4"/>
  <c r="AN85" i="4" s="1"/>
  <c r="AN90" i="4" s="1"/>
  <c r="AY159" i="2"/>
  <c r="BN79" i="2"/>
  <c r="BN65" i="2"/>
  <c r="BN161" i="2"/>
  <c r="BP161" i="2"/>
  <c r="BQ161" i="2"/>
  <c r="AW63" i="3"/>
  <c r="AW64" i="3"/>
  <c r="CL41" i="2"/>
  <c r="CL66" i="2"/>
  <c r="CJ66" i="2"/>
  <c r="CJ41" i="2"/>
  <c r="CJ73" i="3" s="1"/>
  <c r="CJ64" i="3" s="1"/>
  <c r="BW161" i="2"/>
  <c r="ES77" i="2"/>
  <c r="BW159" i="2"/>
  <c r="BC74" i="4"/>
  <c r="BC82" i="4"/>
  <c r="BC85" i="4" s="1"/>
  <c r="BC90" i="4" s="1"/>
  <c r="BC106" i="2"/>
  <c r="BC108" i="2" s="1"/>
  <c r="CO79" i="2"/>
  <c r="CO161" i="2"/>
  <c r="CO32" i="2"/>
  <c r="CO65" i="2"/>
  <c r="CU161" i="2"/>
  <c r="CV80" i="2"/>
  <c r="CV141" i="3"/>
  <c r="CV44" i="2"/>
  <c r="CV214" i="2"/>
  <c r="CV215" i="2" s="1"/>
  <c r="CV213" i="2"/>
  <c r="CV47" i="2"/>
  <c r="BK159" i="2"/>
  <c r="M50" i="2"/>
  <c r="M67" i="2"/>
  <c r="M80" i="2"/>
  <c r="M214" i="2"/>
  <c r="M215" i="2" s="1"/>
  <c r="M213" i="2"/>
  <c r="CS95" i="2"/>
  <c r="AY39" i="4"/>
  <c r="BC107" i="4" s="1"/>
  <c r="AQ159" i="2"/>
  <c r="EA138" i="2"/>
  <c r="EA142" i="2" s="1"/>
  <c r="CQ44" i="2"/>
  <c r="CQ53" i="2" s="1"/>
  <c r="CQ213" i="2"/>
  <c r="CQ47" i="2"/>
  <c r="CQ141" i="3"/>
  <c r="CQ67" i="2"/>
  <c r="CQ214" i="2"/>
  <c r="CQ215" i="2" s="1"/>
  <c r="EF53" i="4"/>
  <c r="AE39" i="4"/>
  <c r="AF39" i="2"/>
  <c r="AF63" i="2"/>
  <c r="AF77" i="2"/>
  <c r="AE60" i="3"/>
  <c r="AF60" i="3"/>
  <c r="AF31" i="2"/>
  <c r="AK79" i="2" s="1"/>
  <c r="AF30" i="2"/>
  <c r="EO39" i="2"/>
  <c r="EO66" i="2" s="1"/>
  <c r="CV159" i="2"/>
  <c r="AL63" i="3"/>
  <c r="AL64" i="3"/>
  <c r="EK40" i="2"/>
  <c r="AG63" i="3"/>
  <c r="AG64" i="3"/>
  <c r="BB64" i="2"/>
  <c r="BB159" i="2"/>
  <c r="BD159" i="2"/>
  <c r="BJ60" i="3"/>
  <c r="BJ63" i="3" s="1"/>
  <c r="BJ30" i="2"/>
  <c r="G6" i="1" s="1"/>
  <c r="BI60" i="3"/>
  <c r="BI63" i="3" s="1"/>
  <c r="BJ63" i="2"/>
  <c r="BJ31" i="2"/>
  <c r="BJ39" i="2"/>
  <c r="BJ77" i="2"/>
  <c r="G7" i="1" s="1"/>
  <c r="BF64" i="2"/>
  <c r="BF159" i="2"/>
  <c r="CP41" i="2"/>
  <c r="CP66" i="2"/>
  <c r="CP64" i="2"/>
  <c r="CP78" i="2"/>
  <c r="CP159" i="2"/>
  <c r="CH41" i="2"/>
  <c r="CH73" i="3" s="1"/>
  <c r="CH64" i="3" s="1"/>
  <c r="CH66" i="2"/>
  <c r="DA33" i="3"/>
  <c r="CH39" i="4"/>
  <c r="CK58" i="3"/>
  <c r="CQ159" i="2"/>
  <c r="AK66" i="2"/>
  <c r="AK41" i="2"/>
  <c r="BS138" i="2"/>
  <c r="DC56" i="4"/>
  <c r="BU161" i="2"/>
  <c r="DV101" i="4"/>
  <c r="AD74" i="4"/>
  <c r="AD82" i="4"/>
  <c r="AD85" i="4" s="1"/>
  <c r="AD90" i="4" s="1"/>
  <c r="DA142" i="3"/>
  <c r="K50" i="2"/>
  <c r="K67" i="2"/>
  <c r="K80" i="2"/>
  <c r="K213" i="2"/>
  <c r="K214" i="2"/>
  <c r="K215" i="2" s="1"/>
  <c r="S50" i="2"/>
  <c r="S213" i="2"/>
  <c r="EG41" i="2"/>
  <c r="S67" i="2"/>
  <c r="S214" i="2"/>
  <c r="S215" i="2" s="1"/>
  <c r="BA66" i="2"/>
  <c r="BA41" i="2"/>
  <c r="AV63" i="3"/>
  <c r="AV64" i="3"/>
  <c r="BM64" i="2"/>
  <c r="BM159" i="2"/>
  <c r="AL76" i="4"/>
  <c r="AP76" i="4"/>
  <c r="AA41" i="2"/>
  <c r="AA66" i="2"/>
  <c r="AA63" i="3"/>
  <c r="AA64" i="3"/>
  <c r="AX79" i="2"/>
  <c r="AX65" i="2"/>
  <c r="DA34" i="3"/>
  <c r="AS64" i="2"/>
  <c r="AS159" i="2"/>
  <c r="X74" i="4"/>
  <c r="X82" i="4"/>
  <c r="X85" i="4" s="1"/>
  <c r="P10" i="1"/>
  <c r="Y39" i="4"/>
  <c r="CQ119" i="2"/>
  <c r="CT32" i="2"/>
  <c r="CT65" i="2"/>
  <c r="CT161" i="2"/>
  <c r="CT79" i="2"/>
  <c r="BN60" i="3"/>
  <c r="BN63" i="3" s="1"/>
  <c r="BO31" i="2"/>
  <c r="BO60" i="3"/>
  <c r="BO63" i="3" s="1"/>
  <c r="BO30" i="2"/>
  <c r="H6" i="1" s="1"/>
  <c r="BO63" i="2"/>
  <c r="BO77" i="2"/>
  <c r="H7" i="1" s="1"/>
  <c r="BO39" i="2"/>
  <c r="AN79" i="2"/>
  <c r="AN65" i="2"/>
  <c r="AQ50" i="2"/>
  <c r="AQ67" i="2"/>
  <c r="AQ213" i="2"/>
  <c r="AQ214" i="2"/>
  <c r="AQ215" i="2" s="1"/>
  <c r="AW64" i="2"/>
  <c r="AW159" i="2"/>
  <c r="BB76" i="4"/>
  <c r="BA79" i="4"/>
  <c r="BN57" i="3"/>
  <c r="BN75" i="3"/>
  <c r="BN48" i="3"/>
  <c r="BN74" i="3"/>
  <c r="CL32" i="2"/>
  <c r="CL79" i="2"/>
  <c r="CL161" i="2"/>
  <c r="CL65" i="2"/>
  <c r="CJ78" i="2"/>
  <c r="CJ64" i="2"/>
  <c r="CJ159" i="2"/>
  <c r="CK159" i="2"/>
  <c r="W50" i="2"/>
  <c r="W213" i="2"/>
  <c r="W67" i="2"/>
  <c r="W214" i="2"/>
  <c r="W215" i="2" s="1"/>
  <c r="W80" i="2"/>
  <c r="ET77" i="2"/>
  <c r="ET31" i="2"/>
  <c r="L17" i="1" s="1"/>
  <c r="ET39" i="2"/>
  <c r="ET63" i="2"/>
  <c r="BS79" i="2"/>
  <c r="ES41" i="2"/>
  <c r="ES53" i="2" s="1"/>
  <c r="ES66" i="2"/>
  <c r="BX159" i="2"/>
  <c r="AB64" i="2"/>
  <c r="BC50" i="2"/>
  <c r="BC53" i="2" s="1"/>
  <c r="BC47" i="2"/>
  <c r="BC213" i="2"/>
  <c r="BC67" i="2"/>
  <c r="BC214" i="2"/>
  <c r="BC215" i="2" s="1"/>
  <c r="AR63" i="3"/>
  <c r="AR64" i="3"/>
  <c r="CX116" i="2"/>
  <c r="BL161" i="2"/>
  <c r="O39" i="2"/>
  <c r="N41" i="2"/>
  <c r="N66" i="2"/>
  <c r="EE70" i="4"/>
  <c r="DA103" i="2"/>
  <c r="DA111" i="3"/>
  <c r="G50" i="2"/>
  <c r="G213" i="2"/>
  <c r="G214" i="2"/>
  <c r="G215" i="2" s="1"/>
  <c r="CU141" i="3"/>
  <c r="CU213" i="2"/>
  <c r="CU67" i="2"/>
  <c r="CU44" i="2"/>
  <c r="CU214" i="2"/>
  <c r="CU215" i="2" s="1"/>
  <c r="AS74" i="4"/>
  <c r="AS82" i="4"/>
  <c r="AS85" i="4" s="1"/>
  <c r="AS90" i="4" s="1"/>
  <c r="BE76" i="4"/>
  <c r="AE79" i="2"/>
  <c r="BZ41" i="2"/>
  <c r="BZ73" i="3" s="1"/>
  <c r="BZ64" i="3" s="1"/>
  <c r="BZ66" i="2"/>
  <c r="CU83" i="4"/>
  <c r="CU85" i="4"/>
  <c r="CU90" i="4" s="1"/>
  <c r="CP65" i="2"/>
  <c r="CP79" i="2"/>
  <c r="CP32" i="2"/>
  <c r="CP161" i="2"/>
  <c r="EQ63" i="2"/>
  <c r="EQ77" i="2"/>
  <c r="CH64" i="2"/>
  <c r="CH78" i="2"/>
  <c r="CH159" i="2"/>
  <c r="ET30" i="2"/>
  <c r="AQ79" i="2"/>
  <c r="CY92" i="2"/>
  <c r="EW87" i="2"/>
  <c r="DA143" i="3"/>
  <c r="P64" i="2"/>
  <c r="ES179" i="2"/>
  <c r="CE185" i="2"/>
  <c r="ES185" i="2" s="1"/>
  <c r="CF185" i="2"/>
  <c r="AK77" i="2"/>
  <c r="AK65" i="2"/>
  <c r="BS50" i="2"/>
  <c r="BS47" i="2"/>
  <c r="BS213" i="2"/>
  <c r="BS141" i="3"/>
  <c r="BS67" i="2"/>
  <c r="BS214" i="2"/>
  <c r="BS215" i="2" s="1"/>
  <c r="EO77" i="2"/>
  <c r="J7" i="1" l="1"/>
  <c r="CK50" i="2"/>
  <c r="CK47" i="2"/>
  <c r="CE160" i="2"/>
  <c r="CG160" i="2"/>
  <c r="O7" i="1"/>
  <c r="CA138" i="2"/>
  <c r="CA142" i="2" s="1"/>
  <c r="CA67" i="2"/>
  <c r="BG214" i="2"/>
  <c r="BG215" i="2" s="1"/>
  <c r="BG50" i="2"/>
  <c r="BG67" i="2"/>
  <c r="BG47" i="2"/>
  <c r="BG80" i="2"/>
  <c r="BG213" i="2"/>
  <c r="AI160" i="2"/>
  <c r="L7" i="1"/>
  <c r="M18" i="1"/>
  <c r="CA214" i="2"/>
  <c r="CA215" i="2" s="1"/>
  <c r="CA44" i="2"/>
  <c r="CA53" i="2" s="1"/>
  <c r="N18" i="1"/>
  <c r="CA141" i="3"/>
  <c r="CA144" i="3" s="1"/>
  <c r="CA145" i="3" s="1"/>
  <c r="CA146" i="3" s="1"/>
  <c r="CA213" i="2"/>
  <c r="N7" i="1"/>
  <c r="M7" i="1"/>
  <c r="K7" i="1"/>
  <c r="CD41" i="2"/>
  <c r="CD73" i="3" s="1"/>
  <c r="CD64" i="3" s="1"/>
  <c r="CV138" i="2"/>
  <c r="CV142" i="2" s="1"/>
  <c r="BK50" i="2"/>
  <c r="H18" i="1"/>
  <c r="G18" i="1"/>
  <c r="X81" i="2"/>
  <c r="BK67" i="2"/>
  <c r="CE67" i="3"/>
  <c r="BK214" i="2"/>
  <c r="BK215" i="2" s="1"/>
  <c r="BK213" i="2"/>
  <c r="BK53" i="2"/>
  <c r="BK141" i="3"/>
  <c r="BK144" i="3" s="1"/>
  <c r="BK145" i="3" s="1"/>
  <c r="BK146" i="3" s="1"/>
  <c r="BK47" i="2"/>
  <c r="CD66" i="2"/>
  <c r="CU45" i="2"/>
  <c r="CU47" i="2" s="1"/>
  <c r="BR53" i="2"/>
  <c r="BR73" i="3"/>
  <c r="BR64" i="3" s="1"/>
  <c r="BN53" i="2"/>
  <c r="BN73" i="3"/>
  <c r="BN64" i="3" s="1"/>
  <c r="BM53" i="2"/>
  <c r="BM73" i="3"/>
  <c r="BM64" i="3" s="1"/>
  <c r="CA80" i="2"/>
  <c r="BV73" i="3"/>
  <c r="BV64" i="3" s="1"/>
  <c r="BL80" i="2"/>
  <c r="BL73" i="3"/>
  <c r="BL64" i="3" s="1"/>
  <c r="CF80" i="2"/>
  <c r="CF73" i="3"/>
  <c r="CF64" i="3" s="1"/>
  <c r="CU80" i="2"/>
  <c r="CP73" i="3"/>
  <c r="CP64" i="3" s="1"/>
  <c r="CQ80" i="2"/>
  <c r="CL73" i="3"/>
  <c r="CL64" i="3" s="1"/>
  <c r="CR80" i="2"/>
  <c r="CR73" i="3"/>
  <c r="CR64" i="3" s="1"/>
  <c r="CW44" i="2"/>
  <c r="CW53" i="2" s="1"/>
  <c r="CW73" i="3"/>
  <c r="CW64" i="3" s="1"/>
  <c r="BP80" i="2"/>
  <c r="BP73" i="3"/>
  <c r="BP64" i="3" s="1"/>
  <c r="BZ107" i="4"/>
  <c r="AJ74" i="4"/>
  <c r="CV106" i="2"/>
  <c r="CV108" i="2" s="1"/>
  <c r="CW141" i="3"/>
  <c r="CW144" i="3" s="1"/>
  <c r="CW145" i="3" s="1"/>
  <c r="CW146" i="3" s="1"/>
  <c r="CW47" i="2"/>
  <c r="CD64" i="2"/>
  <c r="BU160" i="2"/>
  <c r="CW214" i="2"/>
  <c r="CW213" i="2"/>
  <c r="CW67" i="2"/>
  <c r="CW138" i="2"/>
  <c r="CW142" i="2" s="1"/>
  <c r="BY161" i="2"/>
  <c r="BY67" i="3" s="1"/>
  <c r="CD78" i="2"/>
  <c r="ES65" i="2"/>
  <c r="CC67" i="3"/>
  <c r="CA165" i="2"/>
  <c r="BY95" i="2"/>
  <c r="CV74" i="4"/>
  <c r="BU138" i="2"/>
  <c r="BU142" i="2" s="1"/>
  <c r="BE65" i="2"/>
  <c r="BE100" i="4"/>
  <c r="BE66" i="2"/>
  <c r="BE41" i="2"/>
  <c r="BU47" i="2"/>
  <c r="BU50" i="2"/>
  <c r="BU213" i="2"/>
  <c r="BU141" i="3"/>
  <c r="BU214" i="2"/>
  <c r="BU215" i="2" s="1"/>
  <c r="BU44" i="2"/>
  <c r="BU67" i="2"/>
  <c r="BE64" i="2"/>
  <c r="CX64" i="2"/>
  <c r="CI78" i="2"/>
  <c r="CX65" i="2"/>
  <c r="CX100" i="4"/>
  <c r="CC68" i="3"/>
  <c r="CC104" i="2" s="1"/>
  <c r="AR165" i="2"/>
  <c r="CV82" i="4"/>
  <c r="CV83" i="4" s="1"/>
  <c r="BX67" i="3"/>
  <c r="CU165" i="2"/>
  <c r="EU65" i="2"/>
  <c r="BS160" i="2"/>
  <c r="CB107" i="4"/>
  <c r="CB109" i="4" s="1"/>
  <c r="BX106" i="2"/>
  <c r="BX108" i="2" s="1"/>
  <c r="EH39" i="4"/>
  <c r="EH82" i="4" s="1"/>
  <c r="EH85" i="4" s="1"/>
  <c r="J21" i="1" s="1"/>
  <c r="ES79" i="2"/>
  <c r="BX107" i="4"/>
  <c r="BY107" i="4" s="1"/>
  <c r="BK67" i="3"/>
  <c r="BX82" i="4"/>
  <c r="BX85" i="4" s="1"/>
  <c r="BX90" i="4" s="1"/>
  <c r="CS64" i="2"/>
  <c r="CS41" i="2"/>
  <c r="CS73" i="3" s="1"/>
  <c r="CS64" i="3" s="1"/>
  <c r="BH107" i="4"/>
  <c r="BX74" i="4"/>
  <c r="BD107" i="4"/>
  <c r="BE107" i="4" s="1"/>
  <c r="CS32" i="2"/>
  <c r="CS65" i="2"/>
  <c r="CS100" i="4"/>
  <c r="EG70" i="4"/>
  <c r="BT161" i="2"/>
  <c r="BT68" i="3" s="1"/>
  <c r="BT104" i="2" s="1"/>
  <c r="BS165" i="2"/>
  <c r="CD159" i="2"/>
  <c r="CD160" i="2" s="1"/>
  <c r="BS68" i="3"/>
  <c r="BS104" i="2" s="1"/>
  <c r="BQ138" i="2"/>
  <c r="BQ142" i="2" s="1"/>
  <c r="CC138" i="2"/>
  <c r="CC142" i="2" s="1"/>
  <c r="CC45" i="2"/>
  <c r="ES45" i="2" s="1"/>
  <c r="BQ53" i="2"/>
  <c r="BQ214" i="2"/>
  <c r="BQ215" i="2" s="1"/>
  <c r="BQ134" i="3"/>
  <c r="BQ50" i="2"/>
  <c r="BQ213" i="2"/>
  <c r="BQ141" i="3"/>
  <c r="BQ47" i="2"/>
  <c r="BQ67" i="2"/>
  <c r="CC141" i="3"/>
  <c r="CC144" i="3" s="1"/>
  <c r="CC145" i="3" s="1"/>
  <c r="CC146" i="3" s="1"/>
  <c r="CC214" i="2"/>
  <c r="CC215" i="2" s="1"/>
  <c r="CC44" i="2"/>
  <c r="CC67" i="2"/>
  <c r="CC213" i="2"/>
  <c r="BY100" i="4"/>
  <c r="BY65" i="2"/>
  <c r="BK80" i="2"/>
  <c r="BY66" i="2"/>
  <c r="BY41" i="2"/>
  <c r="BY64" i="2"/>
  <c r="BO95" i="2"/>
  <c r="BG107" i="4"/>
  <c r="BD82" i="4"/>
  <c r="BD85" i="4" s="1"/>
  <c r="BD90" i="4" s="1"/>
  <c r="BD74" i="4"/>
  <c r="ES32" i="2"/>
  <c r="K17" i="1" s="1"/>
  <c r="K18" i="1" s="1"/>
  <c r="BD106" i="2"/>
  <c r="BD108" i="2" s="1"/>
  <c r="CA68" i="3"/>
  <c r="CA104" i="2" s="1"/>
  <c r="CQ68" i="3"/>
  <c r="CQ104" i="2" s="1"/>
  <c r="CM106" i="2"/>
  <c r="CM108" i="2" s="1"/>
  <c r="BH165" i="2"/>
  <c r="ET19" i="2"/>
  <c r="CH56" i="2"/>
  <c r="EO41" i="2"/>
  <c r="EO44" i="2" s="1"/>
  <c r="BS80" i="2"/>
  <c r="BG160" i="2"/>
  <c r="V70" i="4"/>
  <c r="CM67" i="3"/>
  <c r="CB160" i="2"/>
  <c r="CN161" i="2"/>
  <c r="CN68" i="3" s="1"/>
  <c r="CN104" i="2" s="1"/>
  <c r="CV68" i="3"/>
  <c r="CV104" i="2" s="1"/>
  <c r="CF160" i="2"/>
  <c r="CC80" i="2"/>
  <c r="BX80" i="2"/>
  <c r="BX213" i="2"/>
  <c r="BX67" i="2"/>
  <c r="BX141" i="3"/>
  <c r="BX144" i="3" s="1"/>
  <c r="BX145" i="3" s="1"/>
  <c r="BX146" i="3" s="1"/>
  <c r="BX44" i="2"/>
  <c r="BX214" i="2"/>
  <c r="BX215" i="2" s="1"/>
  <c r="BX47" i="2"/>
  <c r="BX50" i="2"/>
  <c r="Y81" i="2"/>
  <c r="BX138" i="2"/>
  <c r="BX142" i="2" s="1"/>
  <c r="CR138" i="2"/>
  <c r="CR142" i="2" s="1"/>
  <c r="CR47" i="2"/>
  <c r="CR67" i="2"/>
  <c r="CW80" i="2"/>
  <c r="CR141" i="3"/>
  <c r="CR144" i="3" s="1"/>
  <c r="CR145" i="3" s="1"/>
  <c r="CR146" i="3" s="1"/>
  <c r="CR44" i="2"/>
  <c r="CR214" i="2"/>
  <c r="CR215" i="2" s="1"/>
  <c r="CR213" i="2"/>
  <c r="EO65" i="2"/>
  <c r="DS102" i="3"/>
  <c r="DT102" i="3" s="1"/>
  <c r="DU102" i="3" s="1"/>
  <c r="DV102" i="3" s="1"/>
  <c r="DW102" i="3" s="1"/>
  <c r="CP107" i="4"/>
  <c r="CM74" i="4"/>
  <c r="CQ107" i="4"/>
  <c r="BK107" i="4"/>
  <c r="CM107" i="4"/>
  <c r="CC39" i="4"/>
  <c r="EI39" i="4" s="1"/>
  <c r="EI82" i="4" s="1"/>
  <c r="EI85" i="4" s="1"/>
  <c r="K21" i="1" s="1"/>
  <c r="CO107" i="4"/>
  <c r="CM82" i="4"/>
  <c r="CM85" i="4" s="1"/>
  <c r="CM90" i="4" s="1"/>
  <c r="AO82" i="4"/>
  <c r="AO85" i="4" s="1"/>
  <c r="AO90" i="4" s="1"/>
  <c r="EM79" i="2"/>
  <c r="DB93" i="2"/>
  <c r="CZ109" i="3"/>
  <c r="CZ123" i="3" s="1"/>
  <c r="BM107" i="4"/>
  <c r="BR109" i="4" s="1"/>
  <c r="BI106" i="2"/>
  <c r="BI108" i="2" s="1"/>
  <c r="BI74" i="4"/>
  <c r="CR160" i="2"/>
  <c r="CB68" i="3"/>
  <c r="CB104" i="2" s="1"/>
  <c r="BI107" i="4"/>
  <c r="BJ107" i="4" s="1"/>
  <c r="BL107" i="4"/>
  <c r="BI82" i="4"/>
  <c r="BI85" i="4" s="1"/>
  <c r="BI90" i="4" s="1"/>
  <c r="CR165" i="2"/>
  <c r="BC165" i="2"/>
  <c r="BP53" i="2"/>
  <c r="BU80" i="2"/>
  <c r="BP141" i="3"/>
  <c r="BP214" i="2"/>
  <c r="BP215" i="2" s="1"/>
  <c r="BP213" i="2"/>
  <c r="BP67" i="2"/>
  <c r="BP50" i="2"/>
  <c r="BP134" i="3"/>
  <c r="BP47" i="2"/>
  <c r="AO67" i="2"/>
  <c r="AO50" i="2"/>
  <c r="AO213" i="2"/>
  <c r="AO214" i="2"/>
  <c r="AO215" i="2" s="1"/>
  <c r="CI41" i="2"/>
  <c r="CI73" i="3" s="1"/>
  <c r="CI64" i="3" s="1"/>
  <c r="CI66" i="2"/>
  <c r="CI64" i="2"/>
  <c r="BP138" i="2"/>
  <c r="BP142" i="2" s="1"/>
  <c r="I80" i="2"/>
  <c r="I50" i="2"/>
  <c r="I214" i="2"/>
  <c r="I215" i="2" s="1"/>
  <c r="I213" i="2"/>
  <c r="I67" i="2"/>
  <c r="AO80" i="2"/>
  <c r="CI65" i="2"/>
  <c r="CI100" i="4"/>
  <c r="CI32" i="2"/>
  <c r="CV53" i="2"/>
  <c r="DA94" i="2"/>
  <c r="BG73" i="3"/>
  <c r="BG64" i="3" s="1"/>
  <c r="CF45" i="2"/>
  <c r="CI45" i="2" s="1"/>
  <c r="CF138" i="2"/>
  <c r="CF142" i="2" s="1"/>
  <c r="CB80" i="2"/>
  <c r="CG80" i="2"/>
  <c r="CB141" i="3"/>
  <c r="CB144" i="3" s="1"/>
  <c r="CB145" i="3" s="1"/>
  <c r="CB146" i="3" s="1"/>
  <c r="CB44" i="2"/>
  <c r="CB67" i="2"/>
  <c r="CB213" i="2"/>
  <c r="CB214" i="2"/>
  <c r="CB215" i="2" s="1"/>
  <c r="CC165" i="2"/>
  <c r="CB138" i="2"/>
  <c r="CB142" i="2" s="1"/>
  <c r="CG67" i="3"/>
  <c r="CG68" i="3"/>
  <c r="CG104" i="2" s="1"/>
  <c r="CF67" i="3"/>
  <c r="CF68" i="3"/>
  <c r="CF104" i="2" s="1"/>
  <c r="BD80" i="2"/>
  <c r="CF67" i="2"/>
  <c r="CF213" i="2"/>
  <c r="CF44" i="2"/>
  <c r="CK80" i="2"/>
  <c r="CF141" i="3"/>
  <c r="CF144" i="3" s="1"/>
  <c r="CF145" i="3" s="1"/>
  <c r="CF146" i="3" s="1"/>
  <c r="CF214" i="2"/>
  <c r="CF215" i="2" s="1"/>
  <c r="BW80" i="2"/>
  <c r="BC73" i="3"/>
  <c r="BC64" i="3" s="1"/>
  <c r="DB32" i="3"/>
  <c r="BD214" i="2"/>
  <c r="BD215" i="2" s="1"/>
  <c r="BD47" i="2"/>
  <c r="BD67" i="2"/>
  <c r="BD213" i="2"/>
  <c r="BD50" i="2"/>
  <c r="DB36" i="3"/>
  <c r="BL53" i="2"/>
  <c r="BL214" i="2"/>
  <c r="BL215" i="2" s="1"/>
  <c r="BQ80" i="2"/>
  <c r="BL213" i="2"/>
  <c r="BL67" i="2"/>
  <c r="BL50" i="2"/>
  <c r="BL141" i="3"/>
  <c r="BL144" i="3" s="1"/>
  <c r="BL145" i="3" s="1"/>
  <c r="BL146" i="3" s="1"/>
  <c r="BL47" i="2"/>
  <c r="BH53" i="2"/>
  <c r="BH214" i="2"/>
  <c r="BH215" i="2" s="1"/>
  <c r="BH67" i="2"/>
  <c r="BH213" i="2"/>
  <c r="BH47" i="2"/>
  <c r="BH50" i="2"/>
  <c r="CZ92" i="2"/>
  <c r="CU53" i="2"/>
  <c r="BV78" i="4"/>
  <c r="BV79" i="4" s="1"/>
  <c r="CY95" i="2"/>
  <c r="AV67" i="2"/>
  <c r="AV214" i="2"/>
  <c r="AV215" i="2" s="1"/>
  <c r="AV50" i="2"/>
  <c r="AV213" i="2"/>
  <c r="Z81" i="2"/>
  <c r="AV80" i="2"/>
  <c r="EL41" i="2"/>
  <c r="EL44" i="2" s="1"/>
  <c r="E213" i="2"/>
  <c r="J80" i="2"/>
  <c r="E50" i="2"/>
  <c r="E214" i="2"/>
  <c r="AA74" i="4"/>
  <c r="CG185" i="2"/>
  <c r="BZ141" i="3"/>
  <c r="BZ214" i="2"/>
  <c r="BZ215" i="2" s="1"/>
  <c r="BZ67" i="2"/>
  <c r="BZ80" i="2"/>
  <c r="BZ44" i="2"/>
  <c r="BZ53" i="2" s="1"/>
  <c r="BZ213" i="2"/>
  <c r="BE78" i="4"/>
  <c r="G81" i="2"/>
  <c r="DC54" i="3"/>
  <c r="DB143" i="3"/>
  <c r="CH160" i="2"/>
  <c r="CH165" i="2"/>
  <c r="CI159" i="2"/>
  <c r="CD67" i="3"/>
  <c r="CD68" i="3"/>
  <c r="CD104" i="2" s="1"/>
  <c r="ET32" i="2"/>
  <c r="ET65" i="2"/>
  <c r="ET79" i="2"/>
  <c r="EV32" i="2"/>
  <c r="DC14" i="3"/>
  <c r="AS165" i="2"/>
  <c r="AS160" i="2"/>
  <c r="BU67" i="3"/>
  <c r="BU68" i="3"/>
  <c r="BU104" i="2" s="1"/>
  <c r="AK213" i="2"/>
  <c r="AK50" i="2"/>
  <c r="AK53" i="2" s="1"/>
  <c r="AK67" i="2"/>
  <c r="AK214" i="2"/>
  <c r="AK215" i="2" s="1"/>
  <c r="CV160" i="2"/>
  <c r="CV165" i="2"/>
  <c r="AF63" i="3"/>
  <c r="AF64" i="3"/>
  <c r="AF66" i="2"/>
  <c r="AF41" i="2"/>
  <c r="CV50" i="2"/>
  <c r="CO67" i="3"/>
  <c r="CO68" i="3"/>
  <c r="CO104" i="2" s="1"/>
  <c r="BN68" i="3"/>
  <c r="BN104" i="2" s="1"/>
  <c r="BN67" i="3"/>
  <c r="BO161" i="2"/>
  <c r="AX50" i="2"/>
  <c r="AX53" i="2" s="1"/>
  <c r="AX80" i="2"/>
  <c r="AX214" i="2"/>
  <c r="AX215" i="2" s="1"/>
  <c r="AX213" i="2"/>
  <c r="AX67" i="2"/>
  <c r="BV160" i="2"/>
  <c r="BV165" i="2"/>
  <c r="BA165" i="2"/>
  <c r="BA160" i="2"/>
  <c r="BW144" i="3"/>
  <c r="BW145" i="3" s="1"/>
  <c r="BW146" i="3" s="1"/>
  <c r="P67" i="2"/>
  <c r="P80" i="2"/>
  <c r="P214" i="2"/>
  <c r="P215" i="2" s="1"/>
  <c r="P50" i="2"/>
  <c r="U80" i="2"/>
  <c r="P213" i="2"/>
  <c r="EQ31" i="2"/>
  <c r="I17" i="1" s="1"/>
  <c r="J18" i="1" s="1"/>
  <c r="EQ64" i="2"/>
  <c r="EQ32" i="2"/>
  <c r="BT32" i="2"/>
  <c r="X76" i="4"/>
  <c r="EJ40" i="2"/>
  <c r="CW37" i="4"/>
  <c r="CM144" i="3"/>
  <c r="CM145" i="3" s="1"/>
  <c r="CM146" i="3" s="1"/>
  <c r="CJ68" i="3"/>
  <c r="CJ104" i="2" s="1"/>
  <c r="CJ67" i="3"/>
  <c r="CN64" i="2"/>
  <c r="CN78" i="2"/>
  <c r="CS78" i="2"/>
  <c r="CE80" i="2"/>
  <c r="AD50" i="2"/>
  <c r="AI81" i="2" s="1"/>
  <c r="AD214" i="2"/>
  <c r="AD215" i="2" s="1"/>
  <c r="AD67" i="2"/>
  <c r="AD80" i="2"/>
  <c r="AD213" i="2"/>
  <c r="EI41" i="2"/>
  <c r="BW109" i="4"/>
  <c r="EP65" i="2"/>
  <c r="EP79" i="2"/>
  <c r="AU40" i="2"/>
  <c r="AU41" i="2" s="1"/>
  <c r="EL40" i="2"/>
  <c r="AP64" i="2"/>
  <c r="AT63" i="3"/>
  <c r="AT64" i="3"/>
  <c r="EQ66" i="2"/>
  <c r="BT79" i="2"/>
  <c r="BT100" i="4"/>
  <c r="BT65" i="2"/>
  <c r="BY79" i="2"/>
  <c r="DC95" i="4"/>
  <c r="L66" i="2"/>
  <c r="L41" i="2"/>
  <c r="BL160" i="2"/>
  <c r="BL165" i="2"/>
  <c r="AB67" i="2"/>
  <c r="AB80" i="2"/>
  <c r="AB214" i="2"/>
  <c r="AB215" i="2" s="1"/>
  <c r="AB50" i="2"/>
  <c r="AB213" i="2"/>
  <c r="AG80" i="2"/>
  <c r="EH41" i="2"/>
  <c r="CO165" i="2"/>
  <c r="CO160" i="2"/>
  <c r="BS74" i="4"/>
  <c r="BS82" i="4"/>
  <c r="BS85" i="4" s="1"/>
  <c r="BS90" i="4" s="1"/>
  <c r="BS107" i="4"/>
  <c r="BS106" i="2"/>
  <c r="BS108" i="2" s="1"/>
  <c r="BU107" i="4"/>
  <c r="BV107" i="4"/>
  <c r="AZ64" i="2"/>
  <c r="BN160" i="2"/>
  <c r="BO159" i="2"/>
  <c r="BN165" i="2"/>
  <c r="CE184" i="2"/>
  <c r="ES178" i="2"/>
  <c r="ES180" i="2"/>
  <c r="AT160" i="2"/>
  <c r="AU159" i="2"/>
  <c r="AT165" i="2"/>
  <c r="CS165" i="2"/>
  <c r="CS160" i="2"/>
  <c r="BZ138" i="2"/>
  <c r="BZ142" i="2" s="1"/>
  <c r="EN62" i="2"/>
  <c r="BO57" i="3"/>
  <c r="BN58" i="3"/>
  <c r="BO41" i="2"/>
  <c r="BO66" i="2"/>
  <c r="AP78" i="4"/>
  <c r="BM165" i="2"/>
  <c r="BM160" i="2"/>
  <c r="EW92" i="2"/>
  <c r="EW90" i="2"/>
  <c r="EW95" i="2" s="1"/>
  <c r="BL67" i="3"/>
  <c r="BL68" i="3"/>
  <c r="BL104" i="2" s="1"/>
  <c r="BX160" i="2"/>
  <c r="BY159" i="2"/>
  <c r="BX165" i="2"/>
  <c r="CK165" i="2"/>
  <c r="CK160" i="2"/>
  <c r="EU32" i="2"/>
  <c r="AW165" i="2"/>
  <c r="AW160" i="2"/>
  <c r="BO64" i="2"/>
  <c r="Y74" i="4"/>
  <c r="Y82" i="4"/>
  <c r="Y85" i="4" s="1"/>
  <c r="EG44" i="2"/>
  <c r="EG50" i="2"/>
  <c r="K81" i="2"/>
  <c r="DB33" i="3"/>
  <c r="CH138" i="2"/>
  <c r="CH142" i="2" s="1"/>
  <c r="CP160" i="2"/>
  <c r="CP165" i="2"/>
  <c r="CP138" i="2"/>
  <c r="CP142" i="2" s="1"/>
  <c r="DC22" i="3"/>
  <c r="AE63" i="3"/>
  <c r="AE64" i="3"/>
  <c r="AE74" i="4"/>
  <c r="AE82" i="4"/>
  <c r="AE85" i="4" s="1"/>
  <c r="AE90" i="4" s="1"/>
  <c r="BK160" i="2"/>
  <c r="BK165" i="2"/>
  <c r="DC10" i="3"/>
  <c r="CV144" i="3"/>
  <c r="CV145" i="3" s="1"/>
  <c r="CV146" i="3" s="1"/>
  <c r="CU68" i="3"/>
  <c r="CU104" i="2" s="1"/>
  <c r="CU67" i="3"/>
  <c r="CL138" i="2"/>
  <c r="CL142" i="2" s="1"/>
  <c r="AZ159" i="2"/>
  <c r="AY160" i="2"/>
  <c r="AY165" i="2"/>
  <c r="CT47" i="2"/>
  <c r="CT138" i="2"/>
  <c r="CT142" i="2" s="1"/>
  <c r="U74" i="4"/>
  <c r="U82" i="4"/>
  <c r="U85" i="4" s="1"/>
  <c r="Q64" i="2"/>
  <c r="D76" i="4"/>
  <c r="BJ67" i="3"/>
  <c r="BJ68" i="3"/>
  <c r="BJ104" i="2" s="1"/>
  <c r="BJ57" i="3"/>
  <c r="BJ75" i="3"/>
  <c r="BJ74" i="3"/>
  <c r="DC19" i="3"/>
  <c r="CH68" i="3"/>
  <c r="CH104" i="2" s="1"/>
  <c r="CH67" i="3"/>
  <c r="CI161" i="2"/>
  <c r="BR160" i="2"/>
  <c r="BR165" i="2"/>
  <c r="BR68" i="3"/>
  <c r="BR104" i="2" s="1"/>
  <c r="BR67" i="3"/>
  <c r="CX41" i="2"/>
  <c r="BT160" i="2"/>
  <c r="BT165" i="2"/>
  <c r="DC15" i="3"/>
  <c r="AG165" i="2"/>
  <c r="AG160" i="2"/>
  <c r="CM50" i="2"/>
  <c r="CM47" i="2"/>
  <c r="CO138" i="2"/>
  <c r="CO142" i="2" s="1"/>
  <c r="EU64" i="2"/>
  <c r="AW67" i="2"/>
  <c r="AW80" i="2"/>
  <c r="AW214" i="2"/>
  <c r="AW215" i="2" s="1"/>
  <c r="AW213" i="2"/>
  <c r="EM41" i="2"/>
  <c r="AW50" i="2"/>
  <c r="AW53" i="2" s="1"/>
  <c r="AN160" i="2"/>
  <c r="AN165" i="2"/>
  <c r="CX159" i="2"/>
  <c r="CW165" i="2"/>
  <c r="CW160" i="2"/>
  <c r="EV64" i="2"/>
  <c r="CN41" i="2"/>
  <c r="CN73" i="3" s="1"/>
  <c r="CN64" i="3" s="1"/>
  <c r="CN66" i="2"/>
  <c r="AX160" i="2"/>
  <c r="AX165" i="2"/>
  <c r="BI58" i="3"/>
  <c r="DC52" i="3"/>
  <c r="ER32" i="2"/>
  <c r="BY32" i="2"/>
  <c r="EP66" i="2"/>
  <c r="AT50" i="2"/>
  <c r="AT67" i="2"/>
  <c r="AT80" i="2"/>
  <c r="AT213" i="2"/>
  <c r="AT214" i="2"/>
  <c r="AT215" i="2" s="1"/>
  <c r="AP41" i="2"/>
  <c r="AP66" i="2"/>
  <c r="AP63" i="3"/>
  <c r="AP64" i="3"/>
  <c r="H81" i="2"/>
  <c r="CS161" i="2"/>
  <c r="CR68" i="3"/>
  <c r="CR104" i="2" s="1"/>
  <c r="CR67" i="3"/>
  <c r="BR141" i="3"/>
  <c r="BR67" i="2"/>
  <c r="BR80" i="2"/>
  <c r="EQ41" i="2"/>
  <c r="EQ53" i="2" s="1"/>
  <c r="BR214" i="2"/>
  <c r="BR215" i="2" s="1"/>
  <c r="BR47" i="2"/>
  <c r="BR50" i="2"/>
  <c r="BR213" i="2"/>
  <c r="BT41" i="2"/>
  <c r="BT66" i="2"/>
  <c r="AY80" i="2"/>
  <c r="DD95" i="4"/>
  <c r="BF214" i="2"/>
  <c r="BF215" i="2" s="1"/>
  <c r="BF47" i="2"/>
  <c r="BF50" i="2"/>
  <c r="BF73" i="3"/>
  <c r="BF64" i="3" s="1"/>
  <c r="BF67" i="2"/>
  <c r="BF80" i="2"/>
  <c r="BF213" i="2"/>
  <c r="BH73" i="3"/>
  <c r="BH64" i="3" s="1"/>
  <c r="EV41" i="2"/>
  <c r="EV53" i="2" s="1"/>
  <c r="EV66" i="2"/>
  <c r="CZ35" i="3"/>
  <c r="CZ146" i="2" s="1"/>
  <c r="CW58" i="3"/>
  <c r="L65" i="2"/>
  <c r="CT74" i="4"/>
  <c r="CT82" i="4"/>
  <c r="CT106" i="2"/>
  <c r="BO75" i="3"/>
  <c r="BO48" i="3"/>
  <c r="BO74" i="3"/>
  <c r="AT74" i="4"/>
  <c r="AT82" i="4"/>
  <c r="AT85" i="4" s="1"/>
  <c r="AT90" i="4" s="1"/>
  <c r="AZ41" i="2"/>
  <c r="AZ66" i="2"/>
  <c r="AJ81" i="2"/>
  <c r="CE52" i="2"/>
  <c r="BV138" i="2"/>
  <c r="BV142" i="2" s="1"/>
  <c r="DC116" i="2"/>
  <c r="CH74" i="4"/>
  <c r="CH82" i="4"/>
  <c r="CH85" i="4" s="1"/>
  <c r="CH90" i="4" s="1"/>
  <c r="CH107" i="4"/>
  <c r="CH106" i="2"/>
  <c r="CH108" i="2" s="1"/>
  <c r="CK107" i="4"/>
  <c r="CJ107" i="4"/>
  <c r="EJ39" i="4"/>
  <c r="EJ82" i="4" s="1"/>
  <c r="EJ85" i="4" s="1"/>
  <c r="L21" i="1" s="1"/>
  <c r="CL107" i="4"/>
  <c r="CH141" i="3"/>
  <c r="CH67" i="2"/>
  <c r="CH80" i="2"/>
  <c r="CH213" i="2"/>
  <c r="CH44" i="2"/>
  <c r="CH53" i="2" s="1"/>
  <c r="CH214" i="2"/>
  <c r="CH215" i="2" s="1"/>
  <c r="CP141" i="3"/>
  <c r="CP67" i="2"/>
  <c r="CP80" i="2"/>
  <c r="CP44" i="2"/>
  <c r="CP53" i="2" s="1"/>
  <c r="CP213" i="2"/>
  <c r="CP214" i="2"/>
  <c r="CP215" i="2" s="1"/>
  <c r="BF160" i="2"/>
  <c r="BF165" i="2"/>
  <c r="BJ41" i="2"/>
  <c r="BJ53" i="2" s="1"/>
  <c r="G8" i="1" s="1"/>
  <c r="BJ66" i="2"/>
  <c r="BJ64" i="2"/>
  <c r="BE159" i="2"/>
  <c r="BD165" i="2"/>
  <c r="BD160" i="2"/>
  <c r="AF64" i="2"/>
  <c r="CQ50" i="2"/>
  <c r="BW160" i="2"/>
  <c r="BW165" i="2"/>
  <c r="BW68" i="3"/>
  <c r="BW104" i="2" s="1"/>
  <c r="BW67" i="3"/>
  <c r="CJ67" i="2"/>
  <c r="CJ80" i="2"/>
  <c r="CJ141" i="3"/>
  <c r="CJ214" i="2"/>
  <c r="CJ215" i="2" s="1"/>
  <c r="CJ213" i="2"/>
  <c r="CJ44" i="2"/>
  <c r="CJ53" i="2" s="1"/>
  <c r="CL141" i="3"/>
  <c r="CL44" i="2"/>
  <c r="CL53" i="2" s="1"/>
  <c r="CL214" i="2"/>
  <c r="CL215" i="2" s="1"/>
  <c r="CL67" i="2"/>
  <c r="CL80" i="2"/>
  <c r="CL213" i="2"/>
  <c r="BQ67" i="3"/>
  <c r="BQ68" i="3"/>
  <c r="BQ104" i="2" s="1"/>
  <c r="CT141" i="3"/>
  <c r="CT214" i="2"/>
  <c r="CT215" i="2" s="1"/>
  <c r="CT44" i="2"/>
  <c r="CT53" i="2" s="1"/>
  <c r="CT213" i="2"/>
  <c r="CT67" i="2"/>
  <c r="CT80" i="2"/>
  <c r="DC93" i="2"/>
  <c r="CX79" i="2"/>
  <c r="CX32" i="2"/>
  <c r="CX78" i="2"/>
  <c r="DC11" i="3"/>
  <c r="DD11" i="3" s="1"/>
  <c r="BB67" i="2"/>
  <c r="BB80" i="2"/>
  <c r="BB73" i="3"/>
  <c r="BB64" i="3" s="1"/>
  <c r="EN41" i="2"/>
  <c r="BB47" i="2"/>
  <c r="BB50" i="2"/>
  <c r="BB53" i="2" s="1"/>
  <c r="BB213" i="2"/>
  <c r="BB214" i="2"/>
  <c r="BB215" i="2" s="1"/>
  <c r="CM160" i="2"/>
  <c r="CN159" i="2"/>
  <c r="CM165" i="2"/>
  <c r="DC31" i="3"/>
  <c r="DD31" i="3" s="1"/>
  <c r="DC53" i="3"/>
  <c r="DD53" i="3" s="1"/>
  <c r="BN74" i="4"/>
  <c r="BN82" i="4"/>
  <c r="BN85" i="4" s="1"/>
  <c r="BN90" i="4" s="1"/>
  <c r="BN107" i="4"/>
  <c r="BN106" i="2"/>
  <c r="BN108" i="2" s="1"/>
  <c r="BQ107" i="4"/>
  <c r="BP107" i="4"/>
  <c r="EF39" i="4"/>
  <c r="EF82" i="4" s="1"/>
  <c r="EF85" i="4" s="1"/>
  <c r="H21" i="1" s="1"/>
  <c r="CX161" i="2"/>
  <c r="CW68" i="3"/>
  <c r="CW104" i="2" s="1"/>
  <c r="CW67" i="3"/>
  <c r="CO141" i="3"/>
  <c r="CO44" i="2"/>
  <c r="CO53" i="2" s="1"/>
  <c r="CO67" i="2"/>
  <c r="CO213" i="2"/>
  <c r="CO80" i="2"/>
  <c r="CO214" i="2"/>
  <c r="CO215" i="2" s="1"/>
  <c r="CK68" i="3"/>
  <c r="CK104" i="2" s="1"/>
  <c r="CK67" i="3"/>
  <c r="CL160" i="2"/>
  <c r="CL165" i="2"/>
  <c r="BN141" i="3"/>
  <c r="BN47" i="2"/>
  <c r="BN50" i="2"/>
  <c r="BS81" i="2" s="1"/>
  <c r="BN67" i="2"/>
  <c r="BN213" i="2"/>
  <c r="BN80" i="2"/>
  <c r="BN214" i="2"/>
  <c r="BN215" i="2" s="1"/>
  <c r="CT160" i="2"/>
  <c r="CT165" i="2"/>
  <c r="AA114" i="2"/>
  <c r="ER65" i="2"/>
  <c r="BM67" i="3"/>
  <c r="BM68" i="3"/>
  <c r="BM104" i="2" s="1"/>
  <c r="BM141" i="3"/>
  <c r="BM47" i="2"/>
  <c r="BM67" i="2"/>
  <c r="BM80" i="2"/>
  <c r="BM213" i="2"/>
  <c r="BM50" i="2"/>
  <c r="BM214" i="2"/>
  <c r="BM215" i="2" s="1"/>
  <c r="EP41" i="2"/>
  <c r="AP100" i="4"/>
  <c r="AP65" i="2"/>
  <c r="AP79" i="2"/>
  <c r="AU63" i="3"/>
  <c r="AU64" i="3"/>
  <c r="BZ160" i="2"/>
  <c r="BZ165" i="2"/>
  <c r="BZ68" i="3"/>
  <c r="BZ104" i="2" s="1"/>
  <c r="BZ67" i="3"/>
  <c r="Z39" i="4"/>
  <c r="L64" i="2"/>
  <c r="AY63" i="3"/>
  <c r="AY64" i="3"/>
  <c r="BP165" i="2"/>
  <c r="BP160" i="2"/>
  <c r="DA101" i="3"/>
  <c r="DC57" i="4"/>
  <c r="DC23" i="3"/>
  <c r="BB78" i="4"/>
  <c r="CF184" i="2"/>
  <c r="BV141" i="3"/>
  <c r="BV44" i="2"/>
  <c r="BV53" i="2" s="1"/>
  <c r="BV47" i="2"/>
  <c r="BV50" i="2"/>
  <c r="BV67" i="2"/>
  <c r="BV80" i="2"/>
  <c r="BV213" i="2"/>
  <c r="BV214" i="2"/>
  <c r="BV215" i="2" s="1"/>
  <c r="AE81" i="2"/>
  <c r="AM81" i="2"/>
  <c r="BS144" i="3"/>
  <c r="BS145" i="3" s="1"/>
  <c r="BS146" i="3" s="1"/>
  <c r="CP68" i="3"/>
  <c r="CP104" i="2" s="1"/>
  <c r="CP67" i="3"/>
  <c r="CU144" i="3"/>
  <c r="CU145" i="3" s="1"/>
  <c r="CU146" i="3" s="1"/>
  <c r="N50" i="2"/>
  <c r="S81" i="2" s="1"/>
  <c r="N214" i="2"/>
  <c r="N215" i="2" s="1"/>
  <c r="N67" i="2"/>
  <c r="N80" i="2"/>
  <c r="N213" i="2"/>
  <c r="CJ160" i="2"/>
  <c r="CJ165" i="2"/>
  <c r="CT68" i="3"/>
  <c r="CT104" i="2" s="1"/>
  <c r="CT67" i="3"/>
  <c r="EA101" i="4"/>
  <c r="ET64" i="2"/>
  <c r="DC45" i="3"/>
  <c r="DB111" i="3"/>
  <c r="DB103" i="2"/>
  <c r="O41" i="2"/>
  <c r="O66" i="2"/>
  <c r="ES44" i="2"/>
  <c r="ES67" i="2"/>
  <c r="ET41" i="2"/>
  <c r="ET53" i="2" s="1"/>
  <c r="ET66" i="2"/>
  <c r="W81" i="2"/>
  <c r="CL68" i="3"/>
  <c r="CL104" i="2" s="1"/>
  <c r="CL67" i="3"/>
  <c r="BO65" i="2"/>
  <c r="BO100" i="4"/>
  <c r="BO79" i="2"/>
  <c r="DB34" i="3"/>
  <c r="AA50" i="2"/>
  <c r="AA67" i="2"/>
  <c r="AA80" i="2"/>
  <c r="AA213" i="2"/>
  <c r="AA214" i="2"/>
  <c r="AA215" i="2" s="1"/>
  <c r="AL78" i="4"/>
  <c r="BA47" i="2"/>
  <c r="BA73" i="3"/>
  <c r="BA64" i="3" s="1"/>
  <c r="BA214" i="2"/>
  <c r="BA215" i="2" s="1"/>
  <c r="BA213" i="2"/>
  <c r="BA50" i="2"/>
  <c r="BA53" i="2" s="1"/>
  <c r="BA67" i="2"/>
  <c r="BA80" i="2"/>
  <c r="S80" i="2"/>
  <c r="DB142" i="3"/>
  <c r="DC51" i="3"/>
  <c r="DD51" i="3" s="1"/>
  <c r="CQ160" i="2"/>
  <c r="CQ165" i="2"/>
  <c r="BJ100" i="4"/>
  <c r="BJ65" i="2"/>
  <c r="BJ79" i="2"/>
  <c r="BB160" i="2"/>
  <c r="BB165" i="2"/>
  <c r="AF79" i="2"/>
  <c r="AF65" i="2"/>
  <c r="CQ144" i="3"/>
  <c r="CQ145" i="3" s="1"/>
  <c r="CQ146" i="3" s="1"/>
  <c r="AQ160" i="2"/>
  <c r="AQ165" i="2"/>
  <c r="DC37" i="3"/>
  <c r="DC154" i="2" s="1"/>
  <c r="AY74" i="4"/>
  <c r="AY82" i="4"/>
  <c r="AY85" i="4" s="1"/>
  <c r="AY90" i="4" s="1"/>
  <c r="BA107" i="4"/>
  <c r="BB107" i="4"/>
  <c r="M81" i="2"/>
  <c r="CJ138" i="2"/>
  <c r="CJ142" i="2" s="1"/>
  <c r="BP67" i="3"/>
  <c r="BP68" i="3"/>
  <c r="BP104" i="2" s="1"/>
  <c r="Q65" i="2"/>
  <c r="DB44" i="3"/>
  <c r="DA47" i="3"/>
  <c r="BT64" i="2"/>
  <c r="AL160" i="2"/>
  <c r="AL165" i="2"/>
  <c r="AL67" i="2"/>
  <c r="AL80" i="2"/>
  <c r="AL214" i="2"/>
  <c r="AL215" i="2" s="1"/>
  <c r="AL50" i="2"/>
  <c r="AL213" i="2"/>
  <c r="EU67" i="2"/>
  <c r="EU44" i="2"/>
  <c r="CM80" i="2"/>
  <c r="AP159" i="2"/>
  <c r="AO165" i="2"/>
  <c r="AO160" i="2"/>
  <c r="BJ48" i="3"/>
  <c r="CN32" i="2"/>
  <c r="CN79" i="2"/>
  <c r="CN65" i="2"/>
  <c r="CS79" i="2"/>
  <c r="CE50" i="2"/>
  <c r="CE47" i="2"/>
  <c r="CE144" i="3"/>
  <c r="CE145" i="3" s="1"/>
  <c r="CE146" i="3" s="1"/>
  <c r="H76" i="4"/>
  <c r="L76" i="4"/>
  <c r="AK165" i="2"/>
  <c r="AK160" i="2"/>
  <c r="BI47" i="2"/>
  <c r="BI50" i="2"/>
  <c r="BI214" i="2"/>
  <c r="BI215" i="2" s="1"/>
  <c r="BI213" i="2"/>
  <c r="BI80" i="2"/>
  <c r="BI67" i="2"/>
  <c r="AH160" i="2"/>
  <c r="AH165" i="2"/>
  <c r="BV68" i="3"/>
  <c r="BV104" i="2" s="1"/>
  <c r="BV67" i="3"/>
  <c r="AO63" i="3"/>
  <c r="AO64" i="3"/>
  <c r="AU64" i="2"/>
  <c r="AU65" i="2"/>
  <c r="AU100" i="4"/>
  <c r="AU79" i="2"/>
  <c r="BR138" i="2"/>
  <c r="EN79" i="2"/>
  <c r="EN65" i="2"/>
  <c r="EV79" i="2"/>
  <c r="EV65" i="2"/>
  <c r="EU79" i="2"/>
  <c r="CX57" i="3"/>
  <c r="CX75" i="3"/>
  <c r="CX74" i="3"/>
  <c r="CX48" i="3"/>
  <c r="AR81" i="2"/>
  <c r="T76" i="4"/>
  <c r="DC46" i="3"/>
  <c r="AZ79" i="2"/>
  <c r="AZ100" i="4"/>
  <c r="AZ65" i="2"/>
  <c r="BE79" i="2"/>
  <c r="BQ165" i="2"/>
  <c r="BQ160" i="2"/>
  <c r="AN67" i="2"/>
  <c r="AN80" i="2"/>
  <c r="AN50" i="2"/>
  <c r="AN214" i="2"/>
  <c r="AN215" i="2" s="1"/>
  <c r="AN213" i="2"/>
  <c r="AS50" i="2"/>
  <c r="AS67" i="2"/>
  <c r="AS80" i="2"/>
  <c r="AS214" i="2"/>
  <c r="AS215" i="2" s="1"/>
  <c r="AS213" i="2"/>
  <c r="BJ159" i="2"/>
  <c r="BI165" i="2"/>
  <c r="BI160" i="2"/>
  <c r="ER41" i="2"/>
  <c r="ER53" i="2" s="1"/>
  <c r="ER66" i="2"/>
  <c r="AV160" i="2"/>
  <c r="AV165" i="2"/>
  <c r="R81" i="2"/>
  <c r="EO79" i="2"/>
  <c r="EG39" i="4"/>
  <c r="EG82" i="4" s="1"/>
  <c r="EG85" i="4" s="1"/>
  <c r="I21" i="1" s="1"/>
  <c r="EK41" i="2"/>
  <c r="EJ41" i="2"/>
  <c r="BG83" i="2" l="1"/>
  <c r="CA47" i="2"/>
  <c r="CD213" i="2"/>
  <c r="I18" i="1"/>
  <c r="CA50" i="2"/>
  <c r="L18" i="1"/>
  <c r="CD141" i="3"/>
  <c r="CD144" i="3" s="1"/>
  <c r="CD145" i="3" s="1"/>
  <c r="CD146" i="3" s="1"/>
  <c r="CD214" i="2"/>
  <c r="CD215" i="2" s="1"/>
  <c r="CD67" i="2"/>
  <c r="CW50" i="2"/>
  <c r="BK83" i="2"/>
  <c r="CU52" i="2"/>
  <c r="CU50" i="2"/>
  <c r="BP81" i="2"/>
  <c r="DC155" i="2"/>
  <c r="BK81" i="2"/>
  <c r="CD138" i="2"/>
  <c r="CD142" i="2" s="1"/>
  <c r="EO67" i="2"/>
  <c r="BT134" i="3"/>
  <c r="BY68" i="3"/>
  <c r="BY104" i="2" s="1"/>
  <c r="DC174" i="2"/>
  <c r="BO53" i="2"/>
  <c r="BO73" i="3"/>
  <c r="BO64" i="3" s="1"/>
  <c r="BT53" i="2"/>
  <c r="BT73" i="3"/>
  <c r="BT64" i="3" s="1"/>
  <c r="CX67" i="2"/>
  <c r="CX73" i="3"/>
  <c r="CX64" i="3" s="1"/>
  <c r="CD80" i="2"/>
  <c r="BY73" i="3"/>
  <c r="BY64" i="3" s="1"/>
  <c r="BT67" i="3"/>
  <c r="DD55" i="3"/>
  <c r="CN67" i="3"/>
  <c r="CV85" i="4"/>
  <c r="CV90" i="4" s="1"/>
  <c r="BE138" i="2"/>
  <c r="BU144" i="3"/>
  <c r="BU145" i="3" s="1"/>
  <c r="BU146" i="3" s="1"/>
  <c r="BE50" i="2"/>
  <c r="F8" i="1" s="1"/>
  <c r="BE214" i="2"/>
  <c r="BE215" i="2" s="1"/>
  <c r="BE213" i="2"/>
  <c r="BE73" i="3"/>
  <c r="BE47" i="2"/>
  <c r="BE67" i="2"/>
  <c r="BU53" i="2"/>
  <c r="ER79" i="2"/>
  <c r="DD16" i="3"/>
  <c r="DD26" i="3" s="1"/>
  <c r="CD165" i="2"/>
  <c r="BX109" i="4"/>
  <c r="CS47" i="2"/>
  <c r="CS214" i="2"/>
  <c r="CS215" i="2" s="1"/>
  <c r="CS10" i="4"/>
  <c r="CS44" i="2"/>
  <c r="CS141" i="3"/>
  <c r="CS144" i="3" s="1"/>
  <c r="CS145" i="3" s="1"/>
  <c r="CS146" i="3" s="1"/>
  <c r="CS67" i="2"/>
  <c r="CS213" i="2"/>
  <c r="BC81" i="2"/>
  <c r="CC107" i="4"/>
  <c r="CH109" i="4" s="1"/>
  <c r="BQ144" i="3"/>
  <c r="BQ145" i="3" s="1"/>
  <c r="BQ146" i="3" s="1"/>
  <c r="CD45" i="2"/>
  <c r="CC52" i="2"/>
  <c r="CC53" i="2"/>
  <c r="CC47" i="2"/>
  <c r="CC50" i="2"/>
  <c r="CC81" i="2" s="1"/>
  <c r="EO50" i="2"/>
  <c r="G19" i="1" s="1"/>
  <c r="BQ109" i="4"/>
  <c r="EO80" i="2"/>
  <c r="BY138" i="2"/>
  <c r="BY142" i="2" s="1"/>
  <c r="BY141" i="3"/>
  <c r="BY144" i="3" s="1"/>
  <c r="BY145" i="3" s="1"/>
  <c r="BY146" i="3" s="1"/>
  <c r="BY67" i="2"/>
  <c r="BY47" i="2"/>
  <c r="BY214" i="2"/>
  <c r="BY215" i="2" s="1"/>
  <c r="BY50" i="2"/>
  <c r="J8" i="1" s="1"/>
  <c r="BY213" i="2"/>
  <c r="BP109" i="4"/>
  <c r="CG107" i="4"/>
  <c r="CG109" i="4" s="1"/>
  <c r="CE107" i="4"/>
  <c r="CE109" i="4" s="1"/>
  <c r="V74" i="4"/>
  <c r="CM109" i="4"/>
  <c r="BX162" i="2"/>
  <c r="BY162" i="2" s="1"/>
  <c r="BX53" i="2"/>
  <c r="CN107" i="4"/>
  <c r="BG162" i="2"/>
  <c r="BX81" i="2"/>
  <c r="ES47" i="2"/>
  <c r="ES50" i="2" s="1"/>
  <c r="K19" i="1" s="1"/>
  <c r="BS83" i="2"/>
  <c r="CF107" i="4"/>
  <c r="CF109" i="4" s="1"/>
  <c r="CC82" i="4"/>
  <c r="CC85" i="4" s="1"/>
  <c r="CC90" i="4" s="1"/>
  <c r="CC106" i="2"/>
  <c r="CC108" i="2" s="1"/>
  <c r="CC74" i="4"/>
  <c r="CR53" i="2"/>
  <c r="CR50" i="2"/>
  <c r="CR81" i="2" s="1"/>
  <c r="DX102" i="3"/>
  <c r="DY102" i="3" s="1"/>
  <c r="DZ102" i="3" s="1"/>
  <c r="EA102" i="3" s="1"/>
  <c r="EB102" i="3" s="1"/>
  <c r="AO81" i="2"/>
  <c r="DB94" i="2"/>
  <c r="DA109" i="3"/>
  <c r="DA123" i="3" s="1"/>
  <c r="CI138" i="2"/>
  <c r="CI142" i="2" s="1"/>
  <c r="I81" i="2"/>
  <c r="CI214" i="2"/>
  <c r="CI215" i="2" s="1"/>
  <c r="CI213" i="2"/>
  <c r="CI67" i="2"/>
  <c r="CI141" i="3"/>
  <c r="CI144" i="3" s="1"/>
  <c r="CI145" i="3" s="1"/>
  <c r="CI146" i="3" s="1"/>
  <c r="CI80" i="2"/>
  <c r="BU81" i="2"/>
  <c r="BP144" i="3"/>
  <c r="BP145" i="3" s="1"/>
  <c r="BP146" i="3" s="1"/>
  <c r="L50" i="2"/>
  <c r="DA92" i="2"/>
  <c r="BW76" i="4"/>
  <c r="CF53" i="2"/>
  <c r="CF50" i="2"/>
  <c r="CF47" i="2"/>
  <c r="CI44" i="2"/>
  <c r="CI53" i="2" s="1"/>
  <c r="EU80" i="2"/>
  <c r="CB53" i="2"/>
  <c r="CB50" i="2"/>
  <c r="CQ83" i="2" s="1"/>
  <c r="CB47" i="2"/>
  <c r="BW83" i="2"/>
  <c r="ET45" i="2"/>
  <c r="CF52" i="2"/>
  <c r="DC32" i="3"/>
  <c r="DD32" i="3" s="1"/>
  <c r="BL81" i="2"/>
  <c r="BD53" i="2"/>
  <c r="BD83" i="2"/>
  <c r="BD81" i="2"/>
  <c r="DC36" i="3"/>
  <c r="DD36" i="3" s="1"/>
  <c r="AV81" i="2"/>
  <c r="AV53" i="2"/>
  <c r="BQ81" i="2"/>
  <c r="CZ95" i="2"/>
  <c r="CT108" i="2"/>
  <c r="EL50" i="2"/>
  <c r="J81" i="2"/>
  <c r="ER67" i="2"/>
  <c r="ER80" i="2"/>
  <c r="ER44" i="2"/>
  <c r="ER47" i="2" s="1"/>
  <c r="ER50" i="2" s="1"/>
  <c r="J19" i="1" s="1"/>
  <c r="EJ50" i="2"/>
  <c r="EJ44" i="2"/>
  <c r="BJ160" i="2"/>
  <c r="BJ165" i="2"/>
  <c r="AS81" i="2"/>
  <c r="BH83" i="2"/>
  <c r="AN81" i="2"/>
  <c r="BI83" i="2"/>
  <c r="BI162" i="2"/>
  <c r="BJ162" i="2" s="1"/>
  <c r="BX83" i="2"/>
  <c r="CE83" i="2"/>
  <c r="AP160" i="2"/>
  <c r="AP165" i="2"/>
  <c r="AL81" i="2"/>
  <c r="AM76" i="4"/>
  <c r="ET80" i="2"/>
  <c r="ET67" i="2"/>
  <c r="ET44" i="2"/>
  <c r="ES80" i="2"/>
  <c r="N81" i="2"/>
  <c r="BV81" i="2"/>
  <c r="BV83" i="2"/>
  <c r="BV162" i="2"/>
  <c r="BC76" i="4"/>
  <c r="BB79" i="4"/>
  <c r="BM83" i="2"/>
  <c r="BM162" i="2"/>
  <c r="BM81" i="2"/>
  <c r="CN165" i="2"/>
  <c r="CN160" i="2"/>
  <c r="BB83" i="2"/>
  <c r="BB81" i="2"/>
  <c r="BQ83" i="2"/>
  <c r="CT50" i="2"/>
  <c r="CJ50" i="2"/>
  <c r="CJ47" i="2"/>
  <c r="CP50" i="2"/>
  <c r="CP47" i="2"/>
  <c r="CI103" i="4"/>
  <c r="CI52" i="2"/>
  <c r="DA35" i="3"/>
  <c r="DA146" i="2" s="1"/>
  <c r="BT138" i="2"/>
  <c r="BT142" i="2" s="1"/>
  <c r="CG83" i="2"/>
  <c r="BR162" i="2"/>
  <c r="BR83" i="2"/>
  <c r="BR81" i="2"/>
  <c r="AU50" i="2"/>
  <c r="D8" i="1" s="1"/>
  <c r="AU73" i="3"/>
  <c r="AU213" i="2"/>
  <c r="AU67" i="2"/>
  <c r="AU80" i="2"/>
  <c r="AU214" i="2"/>
  <c r="AU215" i="2" s="1"/>
  <c r="AT81" i="2"/>
  <c r="CN67" i="2"/>
  <c r="CN80" i="2"/>
  <c r="CN141" i="3"/>
  <c r="CN214" i="2"/>
  <c r="CN215" i="2" s="1"/>
  <c r="CN213" i="2"/>
  <c r="CN44" i="2"/>
  <c r="CN53" i="2" s="1"/>
  <c r="CS80" i="2"/>
  <c r="CX160" i="2"/>
  <c r="CX165" i="2"/>
  <c r="CX141" i="3"/>
  <c r="CX10" i="4"/>
  <c r="CX80" i="2"/>
  <c r="CX214" i="2"/>
  <c r="CX215" i="2" s="1"/>
  <c r="CX213" i="2"/>
  <c r="CX44" i="2"/>
  <c r="CX53" i="2" s="1"/>
  <c r="BJ58" i="3"/>
  <c r="CP109" i="4"/>
  <c r="BO138" i="2"/>
  <c r="ES177" i="2"/>
  <c r="CF197" i="2"/>
  <c r="CF198" i="2" s="1"/>
  <c r="ES184" i="2"/>
  <c r="AY81" i="2"/>
  <c r="EI44" i="2"/>
  <c r="EI50" i="2"/>
  <c r="EQ79" i="2"/>
  <c r="EQ65" i="2"/>
  <c r="BO67" i="3"/>
  <c r="BO68" i="3"/>
  <c r="BO104" i="2" s="1"/>
  <c r="AF67" i="2"/>
  <c r="AF80" i="2"/>
  <c r="AF214" i="2"/>
  <c r="AF215" i="2" s="1"/>
  <c r="AF213" i="2"/>
  <c r="AF50" i="2"/>
  <c r="AK81" i="2" s="1"/>
  <c r="AQ81" i="2"/>
  <c r="CX123" i="2"/>
  <c r="DC143" i="3"/>
  <c r="BZ50" i="2"/>
  <c r="CE81" i="2" s="1"/>
  <c r="CD44" i="2"/>
  <c r="CD53" i="2" s="1"/>
  <c r="BZ47" i="2"/>
  <c r="BZ144" i="3"/>
  <c r="BZ145" i="3" s="1"/>
  <c r="BZ146" i="3" s="1"/>
  <c r="AA78" i="4"/>
  <c r="BU162" i="2"/>
  <c r="CX58" i="3"/>
  <c r="DC44" i="3"/>
  <c r="DD44" i="3" s="1"/>
  <c r="DD47" i="3" s="1"/>
  <c r="DB47" i="3"/>
  <c r="AA81" i="2"/>
  <c r="DC111" i="3"/>
  <c r="DC103" i="2"/>
  <c r="BN144" i="3"/>
  <c r="BN145" i="3" s="1"/>
  <c r="BN146" i="3" s="1"/>
  <c r="CO47" i="2"/>
  <c r="CO50" i="2"/>
  <c r="BN109" i="4"/>
  <c r="BO107" i="4"/>
  <c r="CK83" i="2"/>
  <c r="CQ82" i="2"/>
  <c r="CL47" i="2"/>
  <c r="CL50" i="2"/>
  <c r="CQ81" i="2" s="1"/>
  <c r="BE165" i="2"/>
  <c r="BE160" i="2"/>
  <c r="BJ138" i="2"/>
  <c r="CI107" i="4"/>
  <c r="AZ138" i="2"/>
  <c r="AT78" i="4"/>
  <c r="CT83" i="4"/>
  <c r="CT85" i="4"/>
  <c r="CT90" i="4" s="1"/>
  <c r="BT67" i="2"/>
  <c r="BT80" i="2"/>
  <c r="BT141" i="3"/>
  <c r="BT50" i="2"/>
  <c r="I8" i="1" s="1"/>
  <c r="BT214" i="2"/>
  <c r="BT215" i="2" s="1"/>
  <c r="BT213" i="2"/>
  <c r="BT47" i="2"/>
  <c r="BY80" i="2"/>
  <c r="CQ109" i="4"/>
  <c r="T78" i="4"/>
  <c r="D78" i="4"/>
  <c r="CT52" i="2"/>
  <c r="CX45" i="2"/>
  <c r="EV45" i="2"/>
  <c r="DC33" i="3"/>
  <c r="DD33" i="3" s="1"/>
  <c r="BY165" i="2"/>
  <c r="BY160" i="2"/>
  <c r="BO141" i="3"/>
  <c r="BO213" i="2"/>
  <c r="BO47" i="2"/>
  <c r="BO67" i="2"/>
  <c r="BO80" i="2"/>
  <c r="BO214" i="2"/>
  <c r="BO215" i="2" s="1"/>
  <c r="AU165" i="2"/>
  <c r="AU160" i="2"/>
  <c r="CE197" i="2"/>
  <c r="CE198" i="2" s="1"/>
  <c r="BO160" i="2"/>
  <c r="BO165" i="2"/>
  <c r="BS109" i="4"/>
  <c r="BT107" i="4"/>
  <c r="L67" i="2"/>
  <c r="L80" i="2"/>
  <c r="Q80" i="2"/>
  <c r="L214" i="2"/>
  <c r="L215" i="2" s="1"/>
  <c r="L213" i="2"/>
  <c r="AU66" i="2"/>
  <c r="AD81" i="2"/>
  <c r="BW162" i="2"/>
  <c r="AX81" i="2"/>
  <c r="BF76" i="4"/>
  <c r="BJ76" i="4"/>
  <c r="BE79" i="4"/>
  <c r="BL162" i="2"/>
  <c r="L78" i="4"/>
  <c r="EU47" i="2"/>
  <c r="EU50" i="2" s="1"/>
  <c r="M19" i="1" s="1"/>
  <c r="BY44" i="2"/>
  <c r="BY53" i="2" s="1"/>
  <c r="CG184" i="2"/>
  <c r="CG197" i="2" s="1"/>
  <c r="CG198" i="2" s="1"/>
  <c r="Z74" i="4"/>
  <c r="Z82" i="4"/>
  <c r="Z85" i="4" s="1"/>
  <c r="EP80" i="2"/>
  <c r="EP50" i="2"/>
  <c r="H19" i="1" s="1"/>
  <c r="EP67" i="2"/>
  <c r="EP44" i="2"/>
  <c r="BM144" i="3"/>
  <c r="BM145" i="3" s="1"/>
  <c r="BM146" i="3" s="1"/>
  <c r="BN81" i="2"/>
  <c r="CO144" i="3"/>
  <c r="CO145" i="3" s="1"/>
  <c r="CO146" i="3" s="1"/>
  <c r="EN50" i="2"/>
  <c r="F19" i="1" s="1"/>
  <c r="EN80" i="2"/>
  <c r="EN44" i="2"/>
  <c r="EN67" i="2"/>
  <c r="CL144" i="3"/>
  <c r="CL145" i="3" s="1"/>
  <c r="CL146" i="3" s="1"/>
  <c r="BJ141" i="3"/>
  <c r="BJ73" i="3"/>
  <c r="BJ47" i="2"/>
  <c r="BJ214" i="2"/>
  <c r="BJ215" i="2" s="1"/>
  <c r="BJ67" i="2"/>
  <c r="BJ80" i="2"/>
  <c r="BJ213" i="2"/>
  <c r="BJ50" i="2"/>
  <c r="CH50" i="2"/>
  <c r="CM81" i="2" s="1"/>
  <c r="CH47" i="2"/>
  <c r="CH144" i="3"/>
  <c r="CH145" i="3" s="1"/>
  <c r="CH146" i="3" s="1"/>
  <c r="AZ73" i="3"/>
  <c r="AZ64" i="3" s="1"/>
  <c r="AZ67" i="2"/>
  <c r="AZ80" i="2"/>
  <c r="AZ214" i="2"/>
  <c r="AZ215" i="2" s="1"/>
  <c r="AZ213" i="2"/>
  <c r="AZ47" i="2"/>
  <c r="AZ50" i="2"/>
  <c r="E8" i="1" s="1"/>
  <c r="BE80" i="2"/>
  <c r="EV44" i="2"/>
  <c r="EV80" i="2"/>
  <c r="EV67" i="2"/>
  <c r="BF162" i="2"/>
  <c r="BF83" i="2"/>
  <c r="BH162" i="2"/>
  <c r="BU83" i="2"/>
  <c r="BR144" i="3"/>
  <c r="BR145" i="3" s="1"/>
  <c r="BR146" i="3" s="1"/>
  <c r="AP214" i="2"/>
  <c r="AP215" i="2" s="1"/>
  <c r="AP73" i="3"/>
  <c r="AP50" i="2"/>
  <c r="AP53" i="2" s="1"/>
  <c r="AP67" i="2"/>
  <c r="AP80" i="2"/>
  <c r="AP213" i="2"/>
  <c r="AW81" i="2"/>
  <c r="BL83" i="2"/>
  <c r="CM83" i="2"/>
  <c r="CI67" i="3"/>
  <c r="CI68" i="3"/>
  <c r="CI104" i="2" s="1"/>
  <c r="BC83" i="2"/>
  <c r="CU82" i="2"/>
  <c r="BO58" i="3"/>
  <c r="BV109" i="4"/>
  <c r="CA109" i="4"/>
  <c r="AB81" i="2"/>
  <c r="AG81" i="2"/>
  <c r="CV82" i="2"/>
  <c r="X78" i="4"/>
  <c r="CH185" i="2"/>
  <c r="EK44" i="2"/>
  <c r="EK50" i="2"/>
  <c r="DC40" i="3"/>
  <c r="H78" i="4"/>
  <c r="CZ35" i="2"/>
  <c r="CZ125" i="3"/>
  <c r="CZ126" i="3" s="1"/>
  <c r="DC142" i="3"/>
  <c r="BA83" i="2"/>
  <c r="BA81" i="2"/>
  <c r="BP83" i="2"/>
  <c r="DC34" i="3"/>
  <c r="DD34" i="3" s="1"/>
  <c r="O50" i="2"/>
  <c r="O213" i="2"/>
  <c r="O67" i="2"/>
  <c r="O80" i="2"/>
  <c r="O214" i="2"/>
  <c r="O215" i="2" s="1"/>
  <c r="T80" i="2"/>
  <c r="BV144" i="3"/>
  <c r="BV145" i="3" s="1"/>
  <c r="BV146" i="3" s="1"/>
  <c r="DC94" i="2"/>
  <c r="BN83" i="2"/>
  <c r="BN162" i="2"/>
  <c r="BO162" i="2" s="1"/>
  <c r="BQ162" i="2"/>
  <c r="BP162" i="2"/>
  <c r="CX67" i="3"/>
  <c r="CX68" i="3"/>
  <c r="CX104" i="2" s="1"/>
  <c r="BK162" i="2"/>
  <c r="CT144" i="3"/>
  <c r="CT145" i="3" s="1"/>
  <c r="CT146" i="3" s="1"/>
  <c r="CJ144" i="3"/>
  <c r="CJ145" i="3" s="1"/>
  <c r="CJ146" i="3" s="1"/>
  <c r="CP144" i="3"/>
  <c r="CP145" i="3" s="1"/>
  <c r="CP146" i="3" s="1"/>
  <c r="EQ47" i="2"/>
  <c r="EQ50" i="2" s="1"/>
  <c r="I19" i="1" s="1"/>
  <c r="EQ67" i="2"/>
  <c r="EQ44" i="2"/>
  <c r="EQ80" i="2"/>
  <c r="CS67" i="3"/>
  <c r="CS68" i="3"/>
  <c r="CS104" i="2" s="1"/>
  <c r="CN138" i="2"/>
  <c r="CN142" i="2" s="1"/>
  <c r="EM44" i="2"/>
  <c r="EM50" i="2"/>
  <c r="EM80" i="2"/>
  <c r="CX138" i="2"/>
  <c r="CX142" i="2" s="1"/>
  <c r="AZ160" i="2"/>
  <c r="AZ165" i="2"/>
  <c r="BH81" i="2"/>
  <c r="AQ76" i="4"/>
  <c r="AU76" i="4"/>
  <c r="BS162" i="2"/>
  <c r="BT162" i="2" s="1"/>
  <c r="BU109" i="4"/>
  <c r="EH50" i="2"/>
  <c r="EH44" i="2"/>
  <c r="BZ109" i="4"/>
  <c r="P81" i="2"/>
  <c r="U81" i="2"/>
  <c r="BW81" i="2"/>
  <c r="CV83" i="2"/>
  <c r="CV81" i="2"/>
  <c r="AK80" i="2"/>
  <c r="CO109" i="4"/>
  <c r="CI160" i="2"/>
  <c r="CI165" i="2"/>
  <c r="CA83" i="2" l="1"/>
  <c r="CA81" i="2"/>
  <c r="J9" i="1"/>
  <c r="J20" i="1"/>
  <c r="K20" i="1"/>
  <c r="H20" i="1"/>
  <c r="I20" i="1"/>
  <c r="G20" i="1"/>
  <c r="CL109" i="4"/>
  <c r="CJ109" i="4"/>
  <c r="CU81" i="2"/>
  <c r="EV50" i="2"/>
  <c r="N19" i="1" s="1"/>
  <c r="CG162" i="2"/>
  <c r="BD73" i="3"/>
  <c r="BD64" i="3" s="1"/>
  <c r="BE64" i="3"/>
  <c r="BE53" i="2"/>
  <c r="CC83" i="2"/>
  <c r="AZ53" i="2"/>
  <c r="EN53" i="2"/>
  <c r="EP53" i="2"/>
  <c r="AU53" i="2"/>
  <c r="EO53" i="2"/>
  <c r="CD107" i="4"/>
  <c r="CC109" i="4"/>
  <c r="CS53" i="2"/>
  <c r="CS50" i="2"/>
  <c r="N8" i="1" s="1"/>
  <c r="CS103" i="4"/>
  <c r="CR10" i="4"/>
  <c r="CS39" i="4"/>
  <c r="V78" i="4"/>
  <c r="CU83" i="2"/>
  <c r="FE83" i="2" s="1"/>
  <c r="FG83" i="2" s="1"/>
  <c r="CD52" i="2"/>
  <c r="CD50" i="2"/>
  <c r="K8" i="1" s="1"/>
  <c r="K9" i="1" s="1"/>
  <c r="CB83" i="2"/>
  <c r="ES81" i="2"/>
  <c r="BW78" i="4"/>
  <c r="CK109" i="4"/>
  <c r="CR82" i="2"/>
  <c r="CW82" i="2"/>
  <c r="CR83" i="2"/>
  <c r="CW81" i="2"/>
  <c r="EO81" i="2"/>
  <c r="CM162" i="2"/>
  <c r="CN162" i="2" s="1"/>
  <c r="EM81" i="2"/>
  <c r="CI50" i="2"/>
  <c r="L8" i="1" s="1"/>
  <c r="CI47" i="2"/>
  <c r="DB92" i="2"/>
  <c r="DB109" i="3"/>
  <c r="DB123" i="3" s="1"/>
  <c r="L81" i="2"/>
  <c r="DA95" i="2"/>
  <c r="CK82" i="2"/>
  <c r="CQ162" i="2"/>
  <c r="CB81" i="2"/>
  <c r="CG81" i="2"/>
  <c r="CE162" i="2"/>
  <c r="BI81" i="2"/>
  <c r="CF83" i="2"/>
  <c r="CF81" i="2"/>
  <c r="CK81" i="2"/>
  <c r="CF162" i="2"/>
  <c r="DC31" i="4"/>
  <c r="CW162" i="2"/>
  <c r="CX162" i="2" s="1"/>
  <c r="CU162" i="2"/>
  <c r="CV162" i="2"/>
  <c r="AQ78" i="4"/>
  <c r="EQ81" i="2"/>
  <c r="CI185" i="2"/>
  <c r="BJ83" i="2"/>
  <c r="BY83" i="2"/>
  <c r="BO144" i="3"/>
  <c r="BO145" i="3" s="1"/>
  <c r="BO146" i="3" s="1"/>
  <c r="BT83" i="2"/>
  <c r="BY81" i="2"/>
  <c r="DD111" i="3"/>
  <c r="DD103" i="2"/>
  <c r="DC47" i="3"/>
  <c r="AB76" i="4"/>
  <c r="AF76" i="4"/>
  <c r="CX50" i="2"/>
  <c r="O8" i="1" s="1"/>
  <c r="DB35" i="3"/>
  <c r="DB146" i="2" s="1"/>
  <c r="CP82" i="2"/>
  <c r="CJ82" i="2"/>
  <c r="DD142" i="3"/>
  <c r="BF81" i="2"/>
  <c r="CH81" i="2"/>
  <c r="CH83" i="2"/>
  <c r="CH162" i="2"/>
  <c r="CI162" i="2" s="1"/>
  <c r="CW83" i="2"/>
  <c r="EN81" i="2"/>
  <c r="M76" i="4"/>
  <c r="BJ78" i="4"/>
  <c r="E76" i="4"/>
  <c r="BT144" i="3"/>
  <c r="BT145" i="3" s="1"/>
  <c r="BT146" i="3" s="1"/>
  <c r="CL82" i="2"/>
  <c r="DJ116" i="2"/>
  <c r="BG81" i="2"/>
  <c r="ET47" i="2"/>
  <c r="ET50" i="2" s="1"/>
  <c r="L19" i="1" s="1"/>
  <c r="AP81" i="2"/>
  <c r="BE83" i="2"/>
  <c r="EV47" i="2"/>
  <c r="BJ64" i="3"/>
  <c r="BI73" i="3"/>
  <c r="BI64" i="3" s="1"/>
  <c r="BF78" i="4"/>
  <c r="BO50" i="2"/>
  <c r="H8" i="1" s="1"/>
  <c r="BO81" i="2"/>
  <c r="H9" i="1" s="1"/>
  <c r="CX52" i="2"/>
  <c r="CO82" i="2"/>
  <c r="CD47" i="2"/>
  <c r="DD143" i="3"/>
  <c r="AF81" i="2"/>
  <c r="DC32" i="4"/>
  <c r="CX47" i="2"/>
  <c r="CW10" i="4"/>
  <c r="CX103" i="4"/>
  <c r="CX39" i="4"/>
  <c r="CN144" i="3"/>
  <c r="CN145" i="3" s="1"/>
  <c r="CN146" i="3" s="1"/>
  <c r="CJ83" i="2"/>
  <c r="CJ162" i="2"/>
  <c r="CJ81" i="2"/>
  <c r="CK162" i="2"/>
  <c r="CT81" i="2"/>
  <c r="CT83" i="2"/>
  <c r="CT162" i="2"/>
  <c r="DC101" i="3"/>
  <c r="CY125" i="3"/>
  <c r="CY35" i="2"/>
  <c r="EW34" i="2"/>
  <c r="ER81" i="2"/>
  <c r="AU78" i="4"/>
  <c r="DF95" i="4"/>
  <c r="O81" i="2"/>
  <c r="T81" i="2"/>
  <c r="Q50" i="2"/>
  <c r="I76" i="4"/>
  <c r="Y76" i="4"/>
  <c r="AZ83" i="2"/>
  <c r="AZ81" i="2"/>
  <c r="E9" i="1" s="1"/>
  <c r="BE81" i="2"/>
  <c r="F9" i="1" s="1"/>
  <c r="BJ144" i="3"/>
  <c r="BJ145" i="3" s="1"/>
  <c r="BJ146" i="3" s="1"/>
  <c r="DC92" i="2"/>
  <c r="EP81" i="2"/>
  <c r="CH184" i="2"/>
  <c r="CH197" i="2" s="1"/>
  <c r="CH198" i="2" s="1"/>
  <c r="U76" i="4"/>
  <c r="CL81" i="2"/>
  <c r="CL83" i="2"/>
  <c r="CL162" i="2"/>
  <c r="CO83" i="2"/>
  <c r="CO81" i="2"/>
  <c r="CO162" i="2"/>
  <c r="BZ83" i="2"/>
  <c r="BZ162" i="2"/>
  <c r="BZ81" i="2"/>
  <c r="CC162" i="2"/>
  <c r="CD162" i="2" s="1"/>
  <c r="CB162" i="2"/>
  <c r="CA162" i="2"/>
  <c r="CX144" i="3"/>
  <c r="CX145" i="3" s="1"/>
  <c r="CX146" i="3" s="1"/>
  <c r="CM82" i="2"/>
  <c r="CN50" i="2"/>
  <c r="M8" i="1" s="1"/>
  <c r="CN47" i="2"/>
  <c r="AU81" i="2"/>
  <c r="D9" i="1" s="1"/>
  <c r="CP83" i="2"/>
  <c r="FH83" i="2" s="1"/>
  <c r="CP162" i="2"/>
  <c r="CP81" i="2"/>
  <c r="CR162" i="2"/>
  <c r="CS162" i="2" s="1"/>
  <c r="CT82" i="2"/>
  <c r="BC78" i="4"/>
  <c r="AM78" i="4"/>
  <c r="O9" i="1" l="1"/>
  <c r="L20" i="1"/>
  <c r="M20" i="1"/>
  <c r="M9" i="1"/>
  <c r="L9" i="1"/>
  <c r="N9" i="1"/>
  <c r="N38" i="1"/>
  <c r="N20" i="1"/>
  <c r="DH117" i="2"/>
  <c r="DH115" i="2" s="1"/>
  <c r="DH116" i="2" s="1"/>
  <c r="BJ81" i="2"/>
  <c r="G9" i="1" s="1"/>
  <c r="EU81" i="2"/>
  <c r="DD101" i="3"/>
  <c r="DD109" i="3" s="1"/>
  <c r="DD123" i="3" s="1"/>
  <c r="DC109" i="3"/>
  <c r="CS82" i="4"/>
  <c r="CS85" i="4" s="1"/>
  <c r="CS90" i="4" s="1"/>
  <c r="CS106" i="2"/>
  <c r="CS108" i="2" s="1"/>
  <c r="CS74" i="4"/>
  <c r="CR39" i="4"/>
  <c r="BX76" i="4"/>
  <c r="CS83" i="2"/>
  <c r="CD81" i="2"/>
  <c r="CI83" i="2"/>
  <c r="CI81" i="2"/>
  <c r="BW79" i="4"/>
  <c r="DB95" i="2"/>
  <c r="BD76" i="4"/>
  <c r="BC79" i="4"/>
  <c r="CN82" i="2"/>
  <c r="CS82" i="2"/>
  <c r="AV76" i="4"/>
  <c r="CX74" i="4"/>
  <c r="CX82" i="4"/>
  <c r="CX85" i="4" s="1"/>
  <c r="CX90" i="4" s="1"/>
  <c r="CX106" i="2"/>
  <c r="CX108" i="2" s="1"/>
  <c r="DE143" i="3"/>
  <c r="BO83" i="2"/>
  <c r="CD83" i="2"/>
  <c r="ET81" i="2"/>
  <c r="M78" i="4"/>
  <c r="DH21" i="3"/>
  <c r="DC35" i="3"/>
  <c r="AR76" i="4"/>
  <c r="CN83" i="2"/>
  <c r="CN81" i="2"/>
  <c r="CS81" i="2"/>
  <c r="AN76" i="4"/>
  <c r="EX89" i="2"/>
  <c r="EX94" i="2" s="1"/>
  <c r="DD94" i="2"/>
  <c r="I78" i="4"/>
  <c r="DG95" i="4"/>
  <c r="EV81" i="2"/>
  <c r="CX81" i="2"/>
  <c r="CX83" i="2"/>
  <c r="U78" i="4"/>
  <c r="Q81" i="2"/>
  <c r="V81" i="2"/>
  <c r="EW35" i="2"/>
  <c r="CW39" i="4"/>
  <c r="BG76" i="4"/>
  <c r="BF79" i="4"/>
  <c r="DH39" i="3"/>
  <c r="DD93" i="2"/>
  <c r="EX88" i="2"/>
  <c r="EX93" i="2" s="1"/>
  <c r="E78" i="4"/>
  <c r="DE142" i="3"/>
  <c r="AF78" i="4"/>
  <c r="BT81" i="2"/>
  <c r="I9" i="1" s="1"/>
  <c r="DH95" i="4"/>
  <c r="P11" i="1"/>
  <c r="P12" i="1" s="1"/>
  <c r="Y78" i="4"/>
  <c r="DH18" i="3"/>
  <c r="CY126" i="3"/>
  <c r="BK76" i="4"/>
  <c r="BO76" i="4"/>
  <c r="BJ79" i="4"/>
  <c r="AB78" i="4"/>
  <c r="DE111" i="3"/>
  <c r="DE103" i="2"/>
  <c r="BX78" i="4" l="1"/>
  <c r="BY78" i="4" s="1"/>
  <c r="DF93" i="2"/>
  <c r="DE94" i="2"/>
  <c r="DE93" i="2"/>
  <c r="DD146" i="2"/>
  <c r="DD41" i="3"/>
  <c r="DD126" i="3"/>
  <c r="CR82" i="4"/>
  <c r="CR85" i="4" s="1"/>
  <c r="CR90" i="4" s="1"/>
  <c r="CV107" i="4"/>
  <c r="CV109" i="4" s="1"/>
  <c r="CR107" i="4"/>
  <c r="CU107" i="4"/>
  <c r="CU109" i="4" s="1"/>
  <c r="CR106" i="2"/>
  <c r="CR108" i="2" s="1"/>
  <c r="CT107" i="4"/>
  <c r="CT109" i="4" s="1"/>
  <c r="CR74" i="4"/>
  <c r="EL39" i="4"/>
  <c r="EL82" i="4" s="1"/>
  <c r="EL85" i="4" s="1"/>
  <c r="N21" i="1" s="1"/>
  <c r="DE109" i="3"/>
  <c r="DE123" i="3" s="1"/>
  <c r="DC145" i="2"/>
  <c r="DI39" i="3"/>
  <c r="BG78" i="4"/>
  <c r="BK78" i="4"/>
  <c r="DH38" i="3"/>
  <c r="F76" i="4"/>
  <c r="CW74" i="4"/>
  <c r="CW82" i="4"/>
  <c r="CW107" i="4"/>
  <c r="CW106" i="2"/>
  <c r="CI184" i="2"/>
  <c r="CI197" i="2"/>
  <c r="CI198" i="2" s="1"/>
  <c r="AR78" i="4"/>
  <c r="BO78" i="4"/>
  <c r="DF111" i="3"/>
  <c r="DF103" i="2"/>
  <c r="AC76" i="4"/>
  <c r="DE47" i="3"/>
  <c r="Z76" i="4"/>
  <c r="DA35" i="2"/>
  <c r="DC34" i="2"/>
  <c r="EX87" i="2"/>
  <c r="DD92" i="2"/>
  <c r="J76" i="4"/>
  <c r="AN78" i="4"/>
  <c r="EW54" i="2"/>
  <c r="N76" i="4"/>
  <c r="BD78" i="4"/>
  <c r="DC95" i="2"/>
  <c r="AG76" i="4"/>
  <c r="DF142" i="3"/>
  <c r="DB125" i="3"/>
  <c r="DB126" i="3" s="1"/>
  <c r="DB35" i="2"/>
  <c r="DF143" i="3"/>
  <c r="AV78" i="4"/>
  <c r="DI95" i="4"/>
  <c r="DH24" i="3"/>
  <c r="N36" i="1" l="1"/>
  <c r="BX79" i="4"/>
  <c r="DF94" i="2"/>
  <c r="DE92" i="2"/>
  <c r="DD48" i="3"/>
  <c r="CR109" i="4"/>
  <c r="CS107" i="4"/>
  <c r="DD95" i="2"/>
  <c r="DG109" i="3"/>
  <c r="DG123" i="3" s="1"/>
  <c r="DF109" i="3"/>
  <c r="DF123" i="3" s="1"/>
  <c r="FG38" i="2"/>
  <c r="CY52" i="2"/>
  <c r="EW45" i="2"/>
  <c r="DH14" i="3"/>
  <c r="DH15" i="3"/>
  <c r="AW76" i="4"/>
  <c r="CY93" i="4"/>
  <c r="CY70" i="4"/>
  <c r="DG111" i="3"/>
  <c r="DH45" i="3"/>
  <c r="DG103" i="2"/>
  <c r="DH51" i="3"/>
  <c r="DG142" i="3"/>
  <c r="AG78" i="4"/>
  <c r="BD79" i="4"/>
  <c r="AO76" i="4"/>
  <c r="Z78" i="4"/>
  <c r="DH22" i="3"/>
  <c r="BP76" i="4"/>
  <c r="BT76" i="4"/>
  <c r="BO79" i="4"/>
  <c r="DH19" i="3"/>
  <c r="DH23" i="3"/>
  <c r="BZ76" i="4"/>
  <c r="CD76" i="4"/>
  <c r="BY79" i="4"/>
  <c r="CW109" i="4"/>
  <c r="CX107" i="4"/>
  <c r="DN116" i="3"/>
  <c r="BL76" i="4"/>
  <c r="BK79" i="4"/>
  <c r="DH46" i="3"/>
  <c r="CW83" i="4"/>
  <c r="CX83" i="4" s="1"/>
  <c r="CW85" i="4"/>
  <c r="CW90" i="4" s="1"/>
  <c r="F78" i="4"/>
  <c r="BH76" i="4"/>
  <c r="BG79" i="4"/>
  <c r="DH10" i="3"/>
  <c r="DH52" i="3"/>
  <c r="DH37" i="3"/>
  <c r="DH154" i="2" s="1"/>
  <c r="DH155" i="2" s="1"/>
  <c r="DJ95" i="4"/>
  <c r="DH53" i="3"/>
  <c r="DG143" i="3"/>
  <c r="DH54" i="3"/>
  <c r="DK119" i="2"/>
  <c r="DK118" i="2" s="1"/>
  <c r="DK117" i="2"/>
  <c r="DH11" i="3"/>
  <c r="N78" i="4"/>
  <c r="EX90" i="2"/>
  <c r="EX95" i="2" s="1"/>
  <c r="EX92" i="2"/>
  <c r="DA126" i="3"/>
  <c r="DC125" i="3"/>
  <c r="AC78" i="4"/>
  <c r="AS76" i="4"/>
  <c r="DC35" i="2"/>
  <c r="DC38" i="2"/>
  <c r="EW38" i="2"/>
  <c r="J78" i="4"/>
  <c r="DH31" i="3"/>
  <c r="DF47" i="3"/>
  <c r="CW108" i="2"/>
  <c r="DM155" i="2" l="1"/>
  <c r="DR155" i="2" s="1"/>
  <c r="DH174" i="2"/>
  <c r="DG94" i="2"/>
  <c r="DG93" i="2"/>
  <c r="DF92" i="2"/>
  <c r="DE95" i="2"/>
  <c r="DH32" i="3"/>
  <c r="DH36" i="3"/>
  <c r="BH78" i="4"/>
  <c r="CZ93" i="4"/>
  <c r="CZ70" i="4"/>
  <c r="K76" i="4"/>
  <c r="DH93" i="2"/>
  <c r="BL78" i="4"/>
  <c r="DH142" i="3"/>
  <c r="AW78" i="4"/>
  <c r="DG47" i="3"/>
  <c r="DH44" i="3"/>
  <c r="DN115" i="2"/>
  <c r="DL119" i="2"/>
  <c r="DL118" i="2" s="1"/>
  <c r="DM118" i="2" s="1"/>
  <c r="DL117" i="2"/>
  <c r="DM117" i="2" s="1"/>
  <c r="DM115" i="2" s="1"/>
  <c r="DM116" i="2" s="1"/>
  <c r="DH33" i="3"/>
  <c r="DH143" i="3"/>
  <c r="DK95" i="4"/>
  <c r="AH76" i="4"/>
  <c r="DH34" i="3"/>
  <c r="CD78" i="4"/>
  <c r="DA93" i="4"/>
  <c r="DA70" i="4"/>
  <c r="BT78" i="4"/>
  <c r="AO78" i="4"/>
  <c r="AD76" i="4"/>
  <c r="O76" i="4"/>
  <c r="DH40" i="3"/>
  <c r="DH94" i="2"/>
  <c r="DO116" i="3"/>
  <c r="BZ78" i="4"/>
  <c r="BP78" i="4"/>
  <c r="DH111" i="3"/>
  <c r="DH103" i="2"/>
  <c r="DW155" i="2" l="1"/>
  <c r="EB155" i="2" s="1"/>
  <c r="DG92" i="2"/>
  <c r="DF95" i="2"/>
  <c r="FG43" i="2"/>
  <c r="DC54" i="2"/>
  <c r="AH78" i="4"/>
  <c r="DL95" i="4"/>
  <c r="DH92" i="2"/>
  <c r="BQ76" i="4"/>
  <c r="BP79" i="4"/>
  <c r="DJ15" i="3"/>
  <c r="DI111" i="3"/>
  <c r="DI103" i="2"/>
  <c r="FH103" i="2" s="1"/>
  <c r="CA76" i="4"/>
  <c r="BZ79" i="4"/>
  <c r="O78" i="4"/>
  <c r="DG146" i="2"/>
  <c r="BY76" i="4"/>
  <c r="BT79" i="4"/>
  <c r="DM65" i="4"/>
  <c r="DI143" i="3"/>
  <c r="DO115" i="2"/>
  <c r="DN117" i="2"/>
  <c r="DN119" i="2"/>
  <c r="DN118" i="2" s="1"/>
  <c r="FH89" i="2"/>
  <c r="DP116" i="3"/>
  <c r="DH113" i="2"/>
  <c r="AD78" i="4"/>
  <c r="FH88" i="2"/>
  <c r="EW22" i="2"/>
  <c r="AX76" i="4"/>
  <c r="DI142" i="3"/>
  <c r="DH101" i="3"/>
  <c r="DE125" i="3"/>
  <c r="DE126" i="3" s="1"/>
  <c r="DE35" i="2"/>
  <c r="CE76" i="4"/>
  <c r="CI76" i="4"/>
  <c r="CD79" i="4"/>
  <c r="DD35" i="2"/>
  <c r="EX34" i="2"/>
  <c r="DL58" i="4"/>
  <c r="DH47" i="3"/>
  <c r="BM76" i="4"/>
  <c r="BL79" i="4"/>
  <c r="K78" i="4"/>
  <c r="BI76" i="4"/>
  <c r="BH79" i="4"/>
  <c r="CY69" i="2"/>
  <c r="EW10" i="2"/>
  <c r="DL39" i="3"/>
  <c r="DE113" i="2" l="1"/>
  <c r="DC84" i="2"/>
  <c r="DJ93" i="2"/>
  <c r="DI101" i="3"/>
  <c r="DI109" i="3" s="1"/>
  <c r="DI123" i="3" s="1"/>
  <c r="DH109" i="3"/>
  <c r="DG95" i="2"/>
  <c r="EX43" i="2"/>
  <c r="DA69" i="2"/>
  <c r="EW59" i="2"/>
  <c r="BQ78" i="4"/>
  <c r="DM39" i="3"/>
  <c r="EW69" i="2"/>
  <c r="DL38" i="3"/>
  <c r="BM78" i="4"/>
  <c r="CI78" i="4"/>
  <c r="AX78" i="4"/>
  <c r="DI47" i="3"/>
  <c r="DM18" i="3"/>
  <c r="DC124" i="2"/>
  <c r="DM95" i="4"/>
  <c r="BI78" i="4"/>
  <c r="DI94" i="2"/>
  <c r="FH94" i="2" s="1"/>
  <c r="EY89" i="2"/>
  <c r="EY94" i="2" s="1"/>
  <c r="P76" i="4"/>
  <c r="DM58" i="4"/>
  <c r="EX35" i="2"/>
  <c r="FH87" i="2"/>
  <c r="DJ142" i="3"/>
  <c r="EY88" i="2"/>
  <c r="EY93" i="2" s="1"/>
  <c r="DI93" i="2"/>
  <c r="FH93" i="2" s="1"/>
  <c r="AE76" i="4"/>
  <c r="DB52" i="2"/>
  <c r="DQ116" i="3"/>
  <c r="DO119" i="2"/>
  <c r="DO118" i="2" s="1"/>
  <c r="DP115" i="2"/>
  <c r="DO117" i="2"/>
  <c r="DJ143" i="3"/>
  <c r="CA78" i="4"/>
  <c r="CZ70" i="2"/>
  <c r="AI76" i="4"/>
  <c r="CE78" i="4"/>
  <c r="CZ69" i="2"/>
  <c r="DH35" i="3"/>
  <c r="DI146" i="2" s="1"/>
  <c r="DM21" i="3"/>
  <c r="DB93" i="4"/>
  <c r="DB70" i="4"/>
  <c r="EW13" i="2"/>
  <c r="CY70" i="2"/>
  <c r="DJ111" i="3"/>
  <c r="DJ103" i="2"/>
  <c r="DL56" i="4"/>
  <c r="Q11" i="1"/>
  <c r="DN95" i="4"/>
  <c r="DO65" i="4"/>
  <c r="Q12" i="1" l="1"/>
  <c r="DK93" i="2"/>
  <c r="DJ101" i="3"/>
  <c r="DJ109" i="3" s="1"/>
  <c r="DJ123" i="3" s="1"/>
  <c r="DJ94" i="2"/>
  <c r="EX100" i="2"/>
  <c r="DC56" i="3"/>
  <c r="DD57" i="3" s="1"/>
  <c r="DL11" i="3"/>
  <c r="CI79" i="4"/>
  <c r="CJ76" i="4"/>
  <c r="CN76" i="4"/>
  <c r="DL57" i="4"/>
  <c r="DM56" i="4"/>
  <c r="DH95" i="2"/>
  <c r="DC93" i="4"/>
  <c r="DC70" i="4"/>
  <c r="DN21" i="3"/>
  <c r="AE78" i="4"/>
  <c r="DK142" i="3"/>
  <c r="FH90" i="2"/>
  <c r="DM38" i="3"/>
  <c r="DO95" i="4"/>
  <c r="DP65" i="4"/>
  <c r="DJ47" i="3"/>
  <c r="DK111" i="3"/>
  <c r="DK103" i="2"/>
  <c r="DM24" i="3"/>
  <c r="CA79" i="4"/>
  <c r="CB76" i="4"/>
  <c r="EY87" i="2"/>
  <c r="DI92" i="2"/>
  <c r="FH92" i="2" s="1"/>
  <c r="DN18" i="3"/>
  <c r="AY76" i="4"/>
  <c r="DN39" i="3"/>
  <c r="BR76" i="4"/>
  <c r="BQ79" i="4"/>
  <c r="AI78" i="4"/>
  <c r="P78" i="4"/>
  <c r="DL15" i="3"/>
  <c r="CE79" i="4"/>
  <c r="CF76" i="4"/>
  <c r="DK143" i="3"/>
  <c r="DQ115" i="2"/>
  <c r="DP119" i="2"/>
  <c r="DP118" i="2" s="1"/>
  <c r="DP117" i="2"/>
  <c r="DS116" i="3"/>
  <c r="DN58" i="4"/>
  <c r="DL154" i="2"/>
  <c r="BI79" i="4"/>
  <c r="EE78" i="4"/>
  <c r="DL31" i="3"/>
  <c r="BN76" i="4"/>
  <c r="BM79" i="4"/>
  <c r="DK101" i="3" l="1"/>
  <c r="DK109" i="3" s="1"/>
  <c r="DK123" i="3" s="1"/>
  <c r="DK94" i="2"/>
  <c r="DJ92" i="2"/>
  <c r="DI95" i="2"/>
  <c r="FH95" i="2" s="1"/>
  <c r="DL101" i="3"/>
  <c r="DL109" i="3" s="1"/>
  <c r="DL123" i="3" s="1"/>
  <c r="DL32" i="3"/>
  <c r="DL36" i="3"/>
  <c r="DM29" i="4"/>
  <c r="DL143" i="3"/>
  <c r="DM54" i="3"/>
  <c r="EY92" i="2"/>
  <c r="EY90" i="2"/>
  <c r="EY95" i="2" s="1"/>
  <c r="DM45" i="3"/>
  <c r="DL111" i="3"/>
  <c r="DL103" i="2"/>
  <c r="CN78" i="4"/>
  <c r="BN78" i="4"/>
  <c r="DO58" i="4"/>
  <c r="DM31" i="3"/>
  <c r="DM23" i="3"/>
  <c r="DQ119" i="2"/>
  <c r="DQ118" i="2" s="1"/>
  <c r="DR118" i="2" s="1"/>
  <c r="DR119" i="2" s="1"/>
  <c r="DQ117" i="2"/>
  <c r="DR117" i="2" s="1"/>
  <c r="DR115" i="2" s="1"/>
  <c r="DR116" i="2" s="1"/>
  <c r="DS115" i="2"/>
  <c r="DM19" i="3"/>
  <c r="AY78" i="4"/>
  <c r="DN38" i="3"/>
  <c r="DM14" i="3"/>
  <c r="DM22" i="3"/>
  <c r="DA70" i="2"/>
  <c r="DM51" i="3"/>
  <c r="DL142" i="3"/>
  <c r="DM57" i="4"/>
  <c r="DM11" i="3"/>
  <c r="DT116" i="3"/>
  <c r="CF78" i="4"/>
  <c r="BR78" i="4"/>
  <c r="DN24" i="3"/>
  <c r="DL34" i="3"/>
  <c r="DM53" i="3"/>
  <c r="DL33" i="3"/>
  <c r="DQ65" i="4"/>
  <c r="DP95" i="4"/>
  <c r="DO21" i="3"/>
  <c r="CJ78" i="4"/>
  <c r="DM46" i="3"/>
  <c r="DM37" i="3"/>
  <c r="DM154" i="2" s="1"/>
  <c r="DM153" i="2" s="1"/>
  <c r="DM149" i="2" s="1"/>
  <c r="DO39" i="3"/>
  <c r="DO18" i="3"/>
  <c r="CB78" i="4"/>
  <c r="DB69" i="2"/>
  <c r="DC10" i="2"/>
  <c r="DN56" i="4"/>
  <c r="DM15" i="3"/>
  <c r="AJ76" i="4"/>
  <c r="DM52" i="3"/>
  <c r="DM10" i="3"/>
  <c r="DL93" i="2" l="1"/>
  <c r="DL94" i="2"/>
  <c r="DK92" i="2"/>
  <c r="DJ95" i="2"/>
  <c r="DD69" i="2"/>
  <c r="EX10" i="2"/>
  <c r="DB70" i="2"/>
  <c r="EX13" i="2"/>
  <c r="DC13" i="2"/>
  <c r="DC70" i="2" s="1"/>
  <c r="DM32" i="3"/>
  <c r="DM36" i="3"/>
  <c r="DD70" i="2"/>
  <c r="DN57" i="4"/>
  <c r="DO56" i="4"/>
  <c r="CC76" i="4"/>
  <c r="CB79" i="4"/>
  <c r="DM40" i="3"/>
  <c r="AJ78" i="4"/>
  <c r="DN46" i="3"/>
  <c r="CK76" i="4"/>
  <c r="CJ79" i="4"/>
  <c r="DN53" i="3"/>
  <c r="DM34" i="3"/>
  <c r="DM94" i="2"/>
  <c r="DN51" i="3"/>
  <c r="DM142" i="3"/>
  <c r="DN14" i="3"/>
  <c r="DN29" i="4" s="1"/>
  <c r="DN54" i="3"/>
  <c r="DM143" i="3"/>
  <c r="DO38" i="3"/>
  <c r="DN19" i="3"/>
  <c r="DM17" i="4"/>
  <c r="DT115" i="2"/>
  <c r="DS119" i="2"/>
  <c r="DS118" i="2" s="1"/>
  <c r="DS117" i="2"/>
  <c r="DM35" i="4"/>
  <c r="DN31" i="3"/>
  <c r="DP58" i="4"/>
  <c r="CO76" i="4"/>
  <c r="CS76" i="4"/>
  <c r="CN79" i="4"/>
  <c r="DC69" i="2"/>
  <c r="DP21" i="3"/>
  <c r="DS65" i="4"/>
  <c r="DQ95" i="4"/>
  <c r="DR65" i="4"/>
  <c r="DM93" i="2"/>
  <c r="DN10" i="3"/>
  <c r="DN15" i="3"/>
  <c r="DP18" i="3"/>
  <c r="DP39" i="3"/>
  <c r="DN37" i="3"/>
  <c r="DN154" i="2" s="1"/>
  <c r="DM33" i="3"/>
  <c r="DO24" i="3"/>
  <c r="BS76" i="4"/>
  <c r="BR79" i="4"/>
  <c r="DU116" i="3"/>
  <c r="DN11" i="3"/>
  <c r="DN22" i="3"/>
  <c r="DN45" i="3"/>
  <c r="DM111" i="3"/>
  <c r="DM103" i="2"/>
  <c r="DL47" i="3"/>
  <c r="DM44" i="3"/>
  <c r="DN52" i="3"/>
  <c r="CG76" i="4"/>
  <c r="CF79" i="4"/>
  <c r="DN23" i="3"/>
  <c r="BN79" i="4"/>
  <c r="EF78" i="4"/>
  <c r="DL92" i="2" l="1"/>
  <c r="DK95" i="2"/>
  <c r="EX69" i="2"/>
  <c r="FH100" i="2"/>
  <c r="DM33" i="4"/>
  <c r="DM31" i="4"/>
  <c r="DN32" i="3"/>
  <c r="DN36" i="3"/>
  <c r="DM36" i="4"/>
  <c r="DM32" i="4"/>
  <c r="DN35" i="4"/>
  <c r="DO37" i="3"/>
  <c r="DO154" i="2" s="1"/>
  <c r="DQ18" i="3"/>
  <c r="DO23" i="3"/>
  <c r="DN44" i="3"/>
  <c r="DM47" i="3"/>
  <c r="DO11" i="3"/>
  <c r="DN33" i="3"/>
  <c r="DQ39" i="3"/>
  <c r="FE88" i="2"/>
  <c r="FG88" i="2" s="1"/>
  <c r="DO22" i="3"/>
  <c r="FE89" i="2"/>
  <c r="FI89" i="2" s="1"/>
  <c r="DV116" i="3"/>
  <c r="BS78" i="4"/>
  <c r="DS95" i="4"/>
  <c r="DT65" i="4"/>
  <c r="CO78" i="4"/>
  <c r="DU115" i="2"/>
  <c r="DT119" i="2"/>
  <c r="DT118" i="2" s="1"/>
  <c r="DT117" i="2"/>
  <c r="DO14" i="3"/>
  <c r="DO29" i="4" s="1"/>
  <c r="DO53" i="3"/>
  <c r="CK78" i="4"/>
  <c r="CC78" i="4"/>
  <c r="DM101" i="3"/>
  <c r="DP38" i="3"/>
  <c r="DO52" i="3"/>
  <c r="DP24" i="3"/>
  <c r="DM92" i="2"/>
  <c r="DR95" i="4"/>
  <c r="DQ21" i="3"/>
  <c r="DQ58" i="4"/>
  <c r="DO31" i="3"/>
  <c r="DO19" i="3"/>
  <c r="DO54" i="3"/>
  <c r="DN143" i="3"/>
  <c r="DN40" i="3"/>
  <c r="DO57" i="4"/>
  <c r="DP56" i="4"/>
  <c r="DO45" i="3"/>
  <c r="DN111" i="3"/>
  <c r="DN103" i="2"/>
  <c r="FE103" i="2" s="1"/>
  <c r="DN34" i="3"/>
  <c r="Q10" i="1"/>
  <c r="CG78" i="4"/>
  <c r="DN17" i="4"/>
  <c r="DO15" i="3"/>
  <c r="DO10" i="3"/>
  <c r="CS78" i="4"/>
  <c r="DN142" i="3"/>
  <c r="DO51" i="3"/>
  <c r="DO46" i="3"/>
  <c r="DL35" i="3"/>
  <c r="D28" i="1" s="1"/>
  <c r="FI103" i="2" l="1"/>
  <c r="FG103" i="2"/>
  <c r="D29" i="1"/>
  <c r="N32" i="1"/>
  <c r="N33" i="1"/>
  <c r="FG89" i="2"/>
  <c r="DL95" i="2"/>
  <c r="EY100" i="2"/>
  <c r="DN101" i="3"/>
  <c r="DN109" i="3" s="1"/>
  <c r="DN123" i="3" s="1"/>
  <c r="DM109" i="3"/>
  <c r="DG69" i="2"/>
  <c r="DF69" i="2"/>
  <c r="DO32" i="3"/>
  <c r="DN31" i="4"/>
  <c r="DN36" i="4"/>
  <c r="DO36" i="3"/>
  <c r="CH76" i="4"/>
  <c r="CG79" i="4"/>
  <c r="DQ38" i="3"/>
  <c r="DM35" i="3"/>
  <c r="DO93" i="2"/>
  <c r="DP10" i="3"/>
  <c r="DN33" i="4"/>
  <c r="DO34" i="3"/>
  <c r="DR58" i="4"/>
  <c r="DR21" i="3"/>
  <c r="DO94" i="2"/>
  <c r="CP76" i="4"/>
  <c r="CO79" i="4"/>
  <c r="DN93" i="2"/>
  <c r="FE93" i="2" s="1"/>
  <c r="FG93" i="2" s="1"/>
  <c r="EZ88" i="2"/>
  <c r="EZ93" i="2" s="1"/>
  <c r="DR39" i="3"/>
  <c r="DN32" i="4"/>
  <c r="DO33" i="3"/>
  <c r="BS79" i="4"/>
  <c r="EG78" i="4"/>
  <c r="DP22" i="3"/>
  <c r="EZ89" i="2"/>
  <c r="EZ94" i="2" s="1"/>
  <c r="DN94" i="2"/>
  <c r="FE94" i="2" s="1"/>
  <c r="FG94" i="2" s="1"/>
  <c r="DO111" i="3"/>
  <c r="DP45" i="3"/>
  <c r="DO103" i="2"/>
  <c r="DQ56" i="4"/>
  <c r="DP57" i="4"/>
  <c r="DO40" i="3"/>
  <c r="DO143" i="3"/>
  <c r="DP54" i="3"/>
  <c r="DP31" i="3"/>
  <c r="DP52" i="3"/>
  <c r="CC79" i="4"/>
  <c r="DU119" i="2"/>
  <c r="DU118" i="2" s="1"/>
  <c r="DV115" i="2"/>
  <c r="DU117" i="2"/>
  <c r="DO44" i="3"/>
  <c r="DN47" i="3"/>
  <c r="DP23" i="3"/>
  <c r="DF70" i="2"/>
  <c r="DR18" i="3"/>
  <c r="DP37" i="3"/>
  <c r="DP154" i="2" s="1"/>
  <c r="DO35" i="4"/>
  <c r="CT76" i="4"/>
  <c r="CX76" i="4"/>
  <c r="CS79" i="4"/>
  <c r="DO17" i="4"/>
  <c r="DP15" i="3"/>
  <c r="DQ24" i="3"/>
  <c r="DP46" i="3"/>
  <c r="DP51" i="3"/>
  <c r="DO142" i="3"/>
  <c r="DP19" i="3"/>
  <c r="R11" i="1"/>
  <c r="FE87" i="2"/>
  <c r="FI88" i="2" s="1"/>
  <c r="CL76" i="4"/>
  <c r="CK79" i="4"/>
  <c r="DP53" i="3"/>
  <c r="DP14" i="3"/>
  <c r="DP29" i="4" s="1"/>
  <c r="DU65" i="4"/>
  <c r="DT95" i="4"/>
  <c r="DX116" i="3"/>
  <c r="DP11" i="3"/>
  <c r="N35" i="1" l="1"/>
  <c r="N34" i="1"/>
  <c r="FI87" i="2"/>
  <c r="FG87" i="2"/>
  <c r="R12" i="1"/>
  <c r="V11" i="1"/>
  <c r="DO101" i="3"/>
  <c r="DO109" i="3" s="1"/>
  <c r="DO123" i="3" s="1"/>
  <c r="DG70" i="2"/>
  <c r="DI70" i="2"/>
  <c r="FH70" i="2" s="1"/>
  <c r="DH10" i="2"/>
  <c r="DH56" i="3"/>
  <c r="DO31" i="4"/>
  <c r="DP32" i="3"/>
  <c r="DO36" i="4"/>
  <c r="DP36" i="3"/>
  <c r="DH13" i="2"/>
  <c r="DH70" i="2" s="1"/>
  <c r="DV65" i="4"/>
  <c r="DU95" i="4"/>
  <c r="DP40" i="3"/>
  <c r="DQ45" i="3"/>
  <c r="DP111" i="3"/>
  <c r="DP103" i="2"/>
  <c r="DS21" i="3"/>
  <c r="DS58" i="4"/>
  <c r="DQ11" i="3"/>
  <c r="DQ14" i="3"/>
  <c r="DQ29" i="4" s="1"/>
  <c r="DQ53" i="3"/>
  <c r="CL78" i="4"/>
  <c r="EZ87" i="2"/>
  <c r="DN92" i="2"/>
  <c r="FE92" i="2" s="1"/>
  <c r="FG92" i="2" s="1"/>
  <c r="DP93" i="2"/>
  <c r="DQ19" i="3"/>
  <c r="DQ51" i="3"/>
  <c r="DP142" i="3"/>
  <c r="DQ46" i="3"/>
  <c r="DP17" i="4"/>
  <c r="DQ15" i="3"/>
  <c r="CX78" i="4"/>
  <c r="DQ37" i="3"/>
  <c r="DQ154" i="2" s="1"/>
  <c r="DP35" i="4"/>
  <c r="DS18" i="3"/>
  <c r="DQ57" i="4"/>
  <c r="DR56" i="4"/>
  <c r="DS39" i="3"/>
  <c r="CP78" i="4"/>
  <c r="DQ23" i="3"/>
  <c r="DO32" i="4"/>
  <c r="DP33" i="3"/>
  <c r="DO92" i="2"/>
  <c r="DQ93" i="2"/>
  <c r="DO33" i="4"/>
  <c r="DP34" i="3"/>
  <c r="CT78" i="4"/>
  <c r="DO47" i="3"/>
  <c r="DP44" i="3"/>
  <c r="DY116" i="3"/>
  <c r="DM95" i="2"/>
  <c r="DR24" i="3"/>
  <c r="DV119" i="2"/>
  <c r="DV118" i="2" s="1"/>
  <c r="DW118" i="2" s="1"/>
  <c r="DW119" i="2" s="1"/>
  <c r="DX115" i="2"/>
  <c r="DV117" i="2"/>
  <c r="DW117" i="2" s="1"/>
  <c r="DW115" i="2" s="1"/>
  <c r="DW116" i="2" s="1"/>
  <c r="DQ52" i="3"/>
  <c r="DQ31" i="3"/>
  <c r="DP143" i="3"/>
  <c r="DQ54" i="3"/>
  <c r="DQ22" i="3"/>
  <c r="DQ10" i="3"/>
  <c r="DN35" i="3"/>
  <c r="DR38" i="3"/>
  <c r="CH78" i="4"/>
  <c r="DP101" i="3" l="1"/>
  <c r="DP109" i="3" s="1"/>
  <c r="DP123" i="3" s="1"/>
  <c r="DN95" i="2"/>
  <c r="FE95" i="2" s="1"/>
  <c r="FG95" i="2" s="1"/>
  <c r="FE90" i="2"/>
  <c r="DH69" i="2"/>
  <c r="EY13" i="2"/>
  <c r="R10" i="1"/>
  <c r="V10" i="1" s="1"/>
  <c r="DQ32" i="3"/>
  <c r="DP31" i="4"/>
  <c r="DP36" i="4"/>
  <c r="DQ36" i="3"/>
  <c r="DR29" i="4"/>
  <c r="DS38" i="3"/>
  <c r="DO95" i="2"/>
  <c r="CQ76" i="4"/>
  <c r="CP79" i="4"/>
  <c r="DS56" i="4"/>
  <c r="DQ17" i="4"/>
  <c r="DR15" i="3"/>
  <c r="DR19" i="3"/>
  <c r="EZ90" i="2"/>
  <c r="EZ95" i="2" s="1"/>
  <c r="EZ92" i="2"/>
  <c r="DP94" i="2"/>
  <c r="DR45" i="3"/>
  <c r="DQ111" i="3"/>
  <c r="DQ103" i="2"/>
  <c r="DQ94" i="2"/>
  <c r="DR22" i="3"/>
  <c r="DR52" i="3"/>
  <c r="DS24" i="3"/>
  <c r="CU76" i="4"/>
  <c r="CT79" i="4"/>
  <c r="DR57" i="4"/>
  <c r="DQ35" i="4"/>
  <c r="DR37" i="3"/>
  <c r="DR154" i="2" s="1"/>
  <c r="DR153" i="2" s="1"/>
  <c r="DR149" i="2" s="1"/>
  <c r="DR51" i="3"/>
  <c r="DQ142" i="3"/>
  <c r="DR53" i="3"/>
  <c r="DV95" i="4"/>
  <c r="DX65" i="4"/>
  <c r="DP47" i="3"/>
  <c r="DQ44" i="3"/>
  <c r="DR93" i="2"/>
  <c r="DT18" i="3"/>
  <c r="CY76" i="4"/>
  <c r="DC76" i="4"/>
  <c r="CX79" i="4"/>
  <c r="DR46" i="3"/>
  <c r="DT58" i="4"/>
  <c r="DT21" i="3"/>
  <c r="DQ40" i="3"/>
  <c r="CH79" i="4"/>
  <c r="DO35" i="3"/>
  <c r="DR54" i="3"/>
  <c r="DQ143" i="3"/>
  <c r="DR10" i="3"/>
  <c r="DR31" i="3"/>
  <c r="DY115" i="2"/>
  <c r="DX119" i="2"/>
  <c r="DX118" i="2" s="1"/>
  <c r="DX117" i="2"/>
  <c r="DZ116" i="3"/>
  <c r="DP33" i="4"/>
  <c r="DQ34" i="3"/>
  <c r="DP32" i="4"/>
  <c r="DQ33" i="3"/>
  <c r="DR23" i="3"/>
  <c r="DT39" i="3"/>
  <c r="CM76" i="4"/>
  <c r="CL79" i="4"/>
  <c r="DR14" i="3"/>
  <c r="DR11" i="3"/>
  <c r="DW65" i="4"/>
  <c r="DQ101" i="3" l="1"/>
  <c r="DQ109" i="3" s="1"/>
  <c r="DQ123" i="3" s="1"/>
  <c r="FG90" i="2"/>
  <c r="FI90" i="2"/>
  <c r="DQ149" i="2"/>
  <c r="DQ151" i="2" s="1"/>
  <c r="DN149" i="2"/>
  <c r="DP149" i="2"/>
  <c r="DP151" i="2" s="1"/>
  <c r="DO149" i="2"/>
  <c r="DO151" i="2" s="1"/>
  <c r="DJ70" i="2"/>
  <c r="DK70" i="2"/>
  <c r="DR17" i="4"/>
  <c r="DQ31" i="4"/>
  <c r="DR32" i="3"/>
  <c r="DR36" i="3"/>
  <c r="DQ36" i="4"/>
  <c r="DS11" i="3"/>
  <c r="DU39" i="3"/>
  <c r="DY65" i="4"/>
  <c r="DX95" i="4"/>
  <c r="CU78" i="4"/>
  <c r="DT24" i="3"/>
  <c r="DP95" i="2"/>
  <c r="DR94" i="2"/>
  <c r="DS45" i="3"/>
  <c r="DR111" i="3"/>
  <c r="DR103" i="2"/>
  <c r="DS23" i="3"/>
  <c r="DR33" i="3"/>
  <c r="DQ32" i="4"/>
  <c r="DQ33" i="4"/>
  <c r="DR34" i="3"/>
  <c r="DS31" i="3"/>
  <c r="DS10" i="3"/>
  <c r="DR40" i="3"/>
  <c r="DU21" i="3"/>
  <c r="DS53" i="3"/>
  <c r="DS37" i="3"/>
  <c r="DS154" i="2" s="1"/>
  <c r="DP92" i="2"/>
  <c r="DS57" i="4"/>
  <c r="DT56" i="4"/>
  <c r="EA116" i="3"/>
  <c r="DY119" i="2"/>
  <c r="DY118" i="2" s="1"/>
  <c r="DY117" i="2"/>
  <c r="DZ115" i="2"/>
  <c r="DQ92" i="2"/>
  <c r="DP35" i="3"/>
  <c r="DR142" i="3"/>
  <c r="DS51" i="3"/>
  <c r="DS52" i="3"/>
  <c r="DS22" i="3"/>
  <c r="DS19" i="3"/>
  <c r="CQ78" i="4"/>
  <c r="DT38" i="3"/>
  <c r="CM78" i="4"/>
  <c r="DW95" i="4"/>
  <c r="DS14" i="3"/>
  <c r="DS54" i="3"/>
  <c r="DR143" i="3"/>
  <c r="DU58" i="4"/>
  <c r="DS46" i="3"/>
  <c r="DU18" i="3"/>
  <c r="DR44" i="3"/>
  <c r="DQ47" i="3"/>
  <c r="DS15" i="3"/>
  <c r="DR35" i="4"/>
  <c r="DR32" i="4" l="1"/>
  <c r="DR33" i="4"/>
  <c r="DS32" i="3"/>
  <c r="DR31" i="4"/>
  <c r="DS36" i="3"/>
  <c r="DR36" i="4"/>
  <c r="DT93" i="2"/>
  <c r="CQ79" i="4"/>
  <c r="CR76" i="4"/>
  <c r="DT51" i="3"/>
  <c r="DS142" i="3"/>
  <c r="DQ95" i="2"/>
  <c r="DU56" i="4"/>
  <c r="DT57" i="4"/>
  <c r="DT53" i="3"/>
  <c r="DV21" i="3"/>
  <c r="DS34" i="3"/>
  <c r="DS33" i="3"/>
  <c r="DT23" i="3"/>
  <c r="DS111" i="3"/>
  <c r="DT45" i="3"/>
  <c r="DS103" i="2"/>
  <c r="DS93" i="2"/>
  <c r="FA88" i="2"/>
  <c r="DT46" i="3"/>
  <c r="DS143" i="3"/>
  <c r="DT54" i="3"/>
  <c r="DT19" i="3"/>
  <c r="DT22" i="3"/>
  <c r="DQ35" i="3"/>
  <c r="DR92" i="2"/>
  <c r="EA115" i="2"/>
  <c r="DZ117" i="2"/>
  <c r="DZ119" i="2"/>
  <c r="DZ118" i="2" s="1"/>
  <c r="CZ15" i="2"/>
  <c r="CZ71" i="2"/>
  <c r="DS40" i="3"/>
  <c r="DT10" i="3"/>
  <c r="DT31" i="3"/>
  <c r="CU79" i="4"/>
  <c r="CV76" i="4"/>
  <c r="CY15" i="2"/>
  <c r="CY71" i="2"/>
  <c r="EW14" i="2"/>
  <c r="DV39" i="3"/>
  <c r="DT11" i="3"/>
  <c r="DR47" i="3"/>
  <c r="DV18" i="3"/>
  <c r="DT14" i="3"/>
  <c r="DT37" i="3"/>
  <c r="DT154" i="2" s="1"/>
  <c r="DS35" i="4"/>
  <c r="DR101" i="3"/>
  <c r="DS17" i="4"/>
  <c r="DT15" i="3"/>
  <c r="DS44" i="3"/>
  <c r="DV58" i="4"/>
  <c r="DS29" i="4"/>
  <c r="CM79" i="4"/>
  <c r="DU38" i="3"/>
  <c r="DT52" i="3"/>
  <c r="DU24" i="3"/>
  <c r="DZ65" i="4"/>
  <c r="DY95" i="4"/>
  <c r="DN70" i="2" l="1"/>
  <c r="FE70" i="2" s="1"/>
  <c r="FE13" i="2"/>
  <c r="DL70" i="2"/>
  <c r="DS101" i="3"/>
  <c r="DS109" i="3" s="1"/>
  <c r="DS123" i="3" s="1"/>
  <c r="DR109" i="3"/>
  <c r="CZ60" i="2"/>
  <c r="CY60" i="2"/>
  <c r="DL56" i="3"/>
  <c r="DS31" i="4"/>
  <c r="DT32" i="3"/>
  <c r="DT36" i="3"/>
  <c r="DS36" i="4"/>
  <c r="DW58" i="4"/>
  <c r="DX58" i="4" s="1"/>
  <c r="DZ95" i="4"/>
  <c r="EA65" i="4"/>
  <c r="EB65" i="4" s="1"/>
  <c r="DV24" i="3"/>
  <c r="DV38" i="3"/>
  <c r="DT17" i="4"/>
  <c r="DU15" i="3"/>
  <c r="DU11" i="3"/>
  <c r="DC14" i="2"/>
  <c r="EW23" i="2"/>
  <c r="EA119" i="2"/>
  <c r="EA118" i="2" s="1"/>
  <c r="EB118" i="2" s="1"/>
  <c r="EB119" i="2" s="1"/>
  <c r="EA117" i="2"/>
  <c r="EB117" i="2" s="1"/>
  <c r="EB115" i="2" s="1"/>
  <c r="EB116" i="2" s="1"/>
  <c r="DR35" i="3"/>
  <c r="FA93" i="2"/>
  <c r="DU23" i="3"/>
  <c r="DS33" i="4"/>
  <c r="DT34" i="3"/>
  <c r="DV56" i="4"/>
  <c r="DU57" i="4"/>
  <c r="DU52" i="3"/>
  <c r="DU37" i="3"/>
  <c r="DU154" i="2" s="1"/>
  <c r="DT35" i="4"/>
  <c r="CV78" i="4"/>
  <c r="DU10" i="3"/>
  <c r="DT40" i="3"/>
  <c r="CZ72" i="2"/>
  <c r="CZ17" i="2"/>
  <c r="DU22" i="3"/>
  <c r="DU19" i="3"/>
  <c r="DT94" i="2"/>
  <c r="CY81" i="3"/>
  <c r="EW21" i="2"/>
  <c r="CY167" i="2"/>
  <c r="DW21" i="3"/>
  <c r="DU53" i="3"/>
  <c r="DU14" i="3"/>
  <c r="DW18" i="3"/>
  <c r="DW39" i="3"/>
  <c r="DU31" i="3"/>
  <c r="DB71" i="2"/>
  <c r="DB15" i="2"/>
  <c r="S11" i="1"/>
  <c r="DO70" i="2"/>
  <c r="DU93" i="2"/>
  <c r="DU45" i="3"/>
  <c r="DT111" i="3"/>
  <c r="DT103" i="2"/>
  <c r="DS32" i="4"/>
  <c r="DT33" i="3"/>
  <c r="DU51" i="3"/>
  <c r="DT142" i="3"/>
  <c r="DA15" i="2"/>
  <c r="DA71" i="2"/>
  <c r="EW26" i="2"/>
  <c r="DS47" i="3"/>
  <c r="DT44" i="3"/>
  <c r="DT29" i="4"/>
  <c r="CY72" i="2"/>
  <c r="EW15" i="2"/>
  <c r="EW72" i="2" s="1"/>
  <c r="CY17" i="2"/>
  <c r="CY29" i="2" s="1"/>
  <c r="CY30" i="2" s="1"/>
  <c r="CY75" i="2"/>
  <c r="EW27" i="2"/>
  <c r="DT143" i="3"/>
  <c r="DU54" i="3"/>
  <c r="DU46" i="3"/>
  <c r="DS94" i="2"/>
  <c r="FA89" i="2"/>
  <c r="CR78" i="4"/>
  <c r="DT101" i="3" l="1"/>
  <c r="DT109" i="3" s="1"/>
  <c r="DT123" i="3" s="1"/>
  <c r="FG70" i="2"/>
  <c r="FI13" i="2"/>
  <c r="FG13" i="2"/>
  <c r="S12" i="1"/>
  <c r="DM13" i="2"/>
  <c r="DM70" i="2" s="1"/>
  <c r="EZ13" i="2"/>
  <c r="CZ99" i="4"/>
  <c r="CZ29" i="2"/>
  <c r="CY99" i="4"/>
  <c r="DB60" i="2"/>
  <c r="CY86" i="3"/>
  <c r="CY87" i="3"/>
  <c r="CY58" i="2"/>
  <c r="CY62" i="2"/>
  <c r="CY61" i="2"/>
  <c r="DM56" i="3"/>
  <c r="CZ58" i="2"/>
  <c r="CZ62" i="2"/>
  <c r="CZ61" i="2"/>
  <c r="DA60" i="2"/>
  <c r="DT31" i="4"/>
  <c r="DU32" i="3"/>
  <c r="DT36" i="4"/>
  <c r="DU36" i="3"/>
  <c r="DV46" i="3"/>
  <c r="DV54" i="3"/>
  <c r="DU143" i="3"/>
  <c r="EW75" i="2"/>
  <c r="DY58" i="4"/>
  <c r="DB75" i="2"/>
  <c r="DX39" i="3"/>
  <c r="DX18" i="3"/>
  <c r="CZ57" i="2"/>
  <c r="CZ80" i="3"/>
  <c r="CZ85" i="3" s="1"/>
  <c r="CZ158" i="2"/>
  <c r="CZ56" i="2"/>
  <c r="CZ74" i="2"/>
  <c r="CZ73" i="2"/>
  <c r="CW76" i="4"/>
  <c r="CV79" i="4"/>
  <c r="DB81" i="3"/>
  <c r="DB167" i="2"/>
  <c r="DU94" i="2"/>
  <c r="DU17" i="4"/>
  <c r="DV15" i="3"/>
  <c r="FA94" i="2"/>
  <c r="CR79" i="4"/>
  <c r="DA75" i="2"/>
  <c r="DV31" i="3"/>
  <c r="DA167" i="2"/>
  <c r="DA81" i="3"/>
  <c r="DV19" i="3"/>
  <c r="DV10" i="3"/>
  <c r="DU35" i="4"/>
  <c r="DV37" i="3"/>
  <c r="DV154" i="2" s="1"/>
  <c r="DV52" i="3"/>
  <c r="DS95" i="2"/>
  <c r="DV57" i="4"/>
  <c r="DW56" i="4"/>
  <c r="DV23" i="3"/>
  <c r="EW60" i="2"/>
  <c r="DC15" i="2"/>
  <c r="DC71" i="2"/>
  <c r="DW24" i="3"/>
  <c r="DT47" i="3"/>
  <c r="DU44" i="3"/>
  <c r="DT32" i="4"/>
  <c r="DU33" i="3"/>
  <c r="DR95" i="2"/>
  <c r="DV14" i="3"/>
  <c r="DV29" i="4" s="1"/>
  <c r="DU40" i="3"/>
  <c r="DT33" i="4"/>
  <c r="DU34" i="3"/>
  <c r="DV11" i="3"/>
  <c r="DW38" i="3"/>
  <c r="EA95" i="4"/>
  <c r="EB95" i="4"/>
  <c r="CY80" i="3"/>
  <c r="CY85" i="3" s="1"/>
  <c r="CY56" i="2"/>
  <c r="CY74" i="2"/>
  <c r="CY57" i="2"/>
  <c r="CY158" i="2"/>
  <c r="CY73" i="2"/>
  <c r="EW17" i="2"/>
  <c r="O15" i="1" s="1"/>
  <c r="DA72" i="2"/>
  <c r="DA17" i="2"/>
  <c r="DP70" i="2"/>
  <c r="DV51" i="3"/>
  <c r="DU142" i="3"/>
  <c r="DV45" i="3"/>
  <c r="DU103" i="2"/>
  <c r="DU111" i="3"/>
  <c r="DB72" i="2"/>
  <c r="DB17" i="2"/>
  <c r="DU29" i="4"/>
  <c r="DV53" i="3"/>
  <c r="DX21" i="3"/>
  <c r="DV22" i="3"/>
  <c r="FA87" i="2"/>
  <c r="DS92" i="2"/>
  <c r="DT92" i="2"/>
  <c r="DS35" i="3"/>
  <c r="DU101" i="3" l="1"/>
  <c r="DU109" i="3" s="1"/>
  <c r="DU123" i="3" s="1"/>
  <c r="O16" i="1"/>
  <c r="O37" i="1"/>
  <c r="DQ70" i="2"/>
  <c r="DA99" i="4"/>
  <c r="EW58" i="2"/>
  <c r="CZ31" i="2"/>
  <c r="DB62" i="2"/>
  <c r="DB58" i="2"/>
  <c r="DB61" i="2"/>
  <c r="DB87" i="3"/>
  <c r="DB86" i="3"/>
  <c r="DW57" i="4"/>
  <c r="DA87" i="3"/>
  <c r="DA86" i="3"/>
  <c r="DN56" i="3"/>
  <c r="DA61" i="2"/>
  <c r="DA62" i="2"/>
  <c r="DA58" i="2"/>
  <c r="CY63" i="2"/>
  <c r="DU31" i="4"/>
  <c r="DV32" i="3"/>
  <c r="DV36" i="3"/>
  <c r="DU36" i="4"/>
  <c r="DE15" i="2"/>
  <c r="DE71" i="2"/>
  <c r="FA92" i="2"/>
  <c r="FA90" i="2"/>
  <c r="DY21" i="3"/>
  <c r="DW11" i="3"/>
  <c r="DW14" i="3"/>
  <c r="DV35" i="4"/>
  <c r="DW37" i="3"/>
  <c r="DW154" i="2" s="1"/>
  <c r="DW153" i="2" s="1"/>
  <c r="DW149" i="2" s="1"/>
  <c r="CZ53" i="4"/>
  <c r="CZ84" i="4"/>
  <c r="CZ108" i="4"/>
  <c r="CZ107" i="2"/>
  <c r="DY39" i="3"/>
  <c r="CY82" i="3"/>
  <c r="EW25" i="2"/>
  <c r="CY163" i="2"/>
  <c r="CY164" i="2" s="1"/>
  <c r="DW54" i="3"/>
  <c r="DV143" i="3"/>
  <c r="DT95" i="2"/>
  <c r="EW24" i="2"/>
  <c r="CY83" i="3"/>
  <c r="DW22" i="3"/>
  <c r="DB73" i="2"/>
  <c r="DB74" i="2"/>
  <c r="DB80" i="3"/>
  <c r="DB85" i="3" s="1"/>
  <c r="DB158" i="2"/>
  <c r="DC158" i="2" s="1"/>
  <c r="DB56" i="2"/>
  <c r="DB57" i="2"/>
  <c r="DW45" i="3"/>
  <c r="DV111" i="3"/>
  <c r="DV103" i="2"/>
  <c r="DU92" i="2"/>
  <c r="DW10" i="3"/>
  <c r="DW19" i="3"/>
  <c r="DV93" i="2"/>
  <c r="DW46" i="3"/>
  <c r="EW73" i="2"/>
  <c r="DX38" i="3"/>
  <c r="DU33" i="4"/>
  <c r="DV34" i="3"/>
  <c r="DV40" i="3"/>
  <c r="CY41" i="3"/>
  <c r="DW23" i="3"/>
  <c r="DW52" i="3"/>
  <c r="DW31" i="3"/>
  <c r="DV17" i="4"/>
  <c r="DW15" i="3"/>
  <c r="CW78" i="4"/>
  <c r="DY18" i="3"/>
  <c r="DZ58" i="4"/>
  <c r="DT35" i="3"/>
  <c r="DW53" i="3"/>
  <c r="DV142" i="3"/>
  <c r="DW51" i="3"/>
  <c r="DA56" i="2"/>
  <c r="DA80" i="3"/>
  <c r="DA85" i="3" s="1"/>
  <c r="DA57" i="2"/>
  <c r="DA74" i="2"/>
  <c r="DA73" i="2"/>
  <c r="DA158" i="2"/>
  <c r="CY53" i="4"/>
  <c r="CY84" i="4"/>
  <c r="CY108" i="4"/>
  <c r="CY107" i="2"/>
  <c r="EM50" i="4"/>
  <c r="EM84" i="4" s="1"/>
  <c r="DV33" i="3"/>
  <c r="DU32" i="4"/>
  <c r="DV44" i="3"/>
  <c r="DU47" i="3"/>
  <c r="DX24" i="3"/>
  <c r="DW29" i="4"/>
  <c r="DC72" i="2"/>
  <c r="DC17" i="2"/>
  <c r="P4" i="1" s="1"/>
  <c r="P5" i="1" s="1"/>
  <c r="DX56" i="4"/>
  <c r="DV94" i="2"/>
  <c r="DV101" i="3" l="1"/>
  <c r="DV109" i="3" s="1"/>
  <c r="DV123" i="3" s="1"/>
  <c r="DT149" i="2"/>
  <c r="DT151" i="2" s="1"/>
  <c r="DU149" i="2"/>
  <c r="DU151" i="2" s="1"/>
  <c r="DV149" i="2"/>
  <c r="DV151" i="2" s="1"/>
  <c r="DS149" i="2"/>
  <c r="DS151" i="2" s="1"/>
  <c r="DW151" i="2"/>
  <c r="DE60" i="2"/>
  <c r="DR13" i="2"/>
  <c r="DR70" i="2" s="1"/>
  <c r="CZ100" i="4"/>
  <c r="DE17" i="2"/>
  <c r="DC99" i="4"/>
  <c r="CY32" i="2"/>
  <c r="CY64" i="2"/>
  <c r="DO56" i="3"/>
  <c r="DV31" i="4"/>
  <c r="DW32" i="3"/>
  <c r="DW35" i="4"/>
  <c r="DV36" i="4"/>
  <c r="DW36" i="3"/>
  <c r="DW17" i="4"/>
  <c r="CY39" i="2"/>
  <c r="EW29" i="2"/>
  <c r="EW31" i="2" s="1"/>
  <c r="O17" i="1" s="1"/>
  <c r="DU70" i="2"/>
  <c r="DY56" i="4"/>
  <c r="DX57" i="4"/>
  <c r="DW94" i="2"/>
  <c r="DB82" i="3"/>
  <c r="DB76" i="2"/>
  <c r="DA29" i="2"/>
  <c r="DX31" i="3"/>
  <c r="DX52" i="3"/>
  <c r="CY48" i="3"/>
  <c r="DW40" i="3"/>
  <c r="CY75" i="3"/>
  <c r="CY31" i="2"/>
  <c r="CY100" i="4" s="1"/>
  <c r="CY60" i="3"/>
  <c r="CY77" i="2"/>
  <c r="DC13" i="3"/>
  <c r="DB83" i="3"/>
  <c r="DZ21" i="3"/>
  <c r="DY24" i="3"/>
  <c r="DS70" i="2"/>
  <c r="FA13" i="2"/>
  <c r="DW44" i="3"/>
  <c r="DV47" i="3"/>
  <c r="DX53" i="3"/>
  <c r="EA58" i="4"/>
  <c r="DZ18" i="3"/>
  <c r="CY37" i="4"/>
  <c r="DX19" i="3"/>
  <c r="DU95" i="2"/>
  <c r="DW111" i="3"/>
  <c r="DX45" i="3"/>
  <c r="DW103" i="2"/>
  <c r="DC12" i="3"/>
  <c r="DW143" i="3"/>
  <c r="DX54" i="3"/>
  <c r="DA41" i="3"/>
  <c r="DA75" i="3" s="1"/>
  <c r="DA83" i="3"/>
  <c r="DX11" i="3"/>
  <c r="DX51" i="3"/>
  <c r="DW142" i="3"/>
  <c r="CW79" i="4"/>
  <c r="DX15" i="3"/>
  <c r="DV33" i="4"/>
  <c r="DW34" i="3"/>
  <c r="DV92" i="2"/>
  <c r="DB29" i="2"/>
  <c r="DB84" i="4"/>
  <c r="DB108" i="4"/>
  <c r="DC108" i="4" s="1"/>
  <c r="DB107" i="2"/>
  <c r="DX22" i="3"/>
  <c r="EW61" i="2"/>
  <c r="DF71" i="2"/>
  <c r="EW62" i="2"/>
  <c r="DX37" i="3"/>
  <c r="DX154" i="2" s="1"/>
  <c r="FA95" i="2"/>
  <c r="DE72" i="2"/>
  <c r="DV32" i="4"/>
  <c r="DW33" i="3"/>
  <c r="DA76" i="2"/>
  <c r="DA82" i="3"/>
  <c r="DC57" i="2"/>
  <c r="DC73" i="2"/>
  <c r="DC56" i="2"/>
  <c r="DC74" i="2"/>
  <c r="DA84" i="4"/>
  <c r="DA108" i="4"/>
  <c r="DA53" i="4"/>
  <c r="DA107" i="2"/>
  <c r="DU35" i="3"/>
  <c r="DX23" i="3"/>
  <c r="DY38" i="3"/>
  <c r="DX46" i="3"/>
  <c r="DW93" i="2"/>
  <c r="DX10" i="3"/>
  <c r="DZ39" i="3"/>
  <c r="DC30" i="3"/>
  <c r="DB41" i="3"/>
  <c r="DB75" i="3" s="1"/>
  <c r="DX14" i="3"/>
  <c r="DX29" i="4" s="1"/>
  <c r="DT70" i="2"/>
  <c r="O18" i="1" l="1"/>
  <c r="O33" i="1"/>
  <c r="O32" i="1"/>
  <c r="O35" i="1"/>
  <c r="O34" i="1"/>
  <c r="DX93" i="2"/>
  <c r="FB88" i="2"/>
  <c r="FB93" i="2" s="1"/>
  <c r="DE99" i="4"/>
  <c r="DE80" i="3"/>
  <c r="DE85" i="3" s="1"/>
  <c r="DE56" i="2"/>
  <c r="DE62" i="2"/>
  <c r="DE58" i="2"/>
  <c r="DE61" i="2"/>
  <c r="DE57" i="2"/>
  <c r="DA31" i="2"/>
  <c r="CY66" i="2"/>
  <c r="CY65" i="2"/>
  <c r="DB30" i="2"/>
  <c r="DG78" i="2" s="1"/>
  <c r="DB63" i="2"/>
  <c r="DB39" i="2"/>
  <c r="DA63" i="2"/>
  <c r="DP56" i="3"/>
  <c r="EW63" i="2"/>
  <c r="DX32" i="3"/>
  <c r="DW31" i="4"/>
  <c r="DW36" i="4"/>
  <c r="DX36" i="3"/>
  <c r="DW33" i="4"/>
  <c r="EW77" i="2"/>
  <c r="EW39" i="2"/>
  <c r="DY93" i="2"/>
  <c r="DY10" i="3"/>
  <c r="DZ38" i="3"/>
  <c r="DV35" i="3"/>
  <c r="DE74" i="2"/>
  <c r="DE73" i="2"/>
  <c r="DX143" i="3"/>
  <c r="DY54" i="3"/>
  <c r="EW65" i="2"/>
  <c r="EW79" i="2"/>
  <c r="EA18" i="3"/>
  <c r="DW32" i="4"/>
  <c r="DZ24" i="3"/>
  <c r="CY159" i="2"/>
  <c r="CY78" i="2"/>
  <c r="EW30" i="2"/>
  <c r="CY161" i="2"/>
  <c r="CY67" i="3" s="1"/>
  <c r="CY79" i="2"/>
  <c r="DY31" i="3"/>
  <c r="DY14" i="3"/>
  <c r="DY46" i="3"/>
  <c r="DX33" i="3"/>
  <c r="DY37" i="3"/>
  <c r="DY154" i="2" s="1"/>
  <c r="DX35" i="4"/>
  <c r="DY22" i="3"/>
  <c r="DX17" i="4"/>
  <c r="DY15" i="3"/>
  <c r="EB58" i="4"/>
  <c r="DX40" i="3"/>
  <c r="DA77" i="2"/>
  <c r="DA39" i="2"/>
  <c r="DC41" i="3"/>
  <c r="DB48" i="3"/>
  <c r="DF72" i="2"/>
  <c r="DB31" i="2"/>
  <c r="DB77" i="2"/>
  <c r="DV95" i="2"/>
  <c r="DY45" i="3"/>
  <c r="DX111" i="3"/>
  <c r="DX103" i="2"/>
  <c r="DY19" i="3"/>
  <c r="DY53" i="3"/>
  <c r="DW47" i="3"/>
  <c r="EA21" i="3"/>
  <c r="DY52" i="3"/>
  <c r="DC84" i="4"/>
  <c r="DC107" i="2"/>
  <c r="EA39" i="3"/>
  <c r="DY23" i="3"/>
  <c r="DW92" i="2"/>
  <c r="DW101" i="3"/>
  <c r="DX34" i="3"/>
  <c r="DY51" i="3"/>
  <c r="DX142" i="3"/>
  <c r="DY11" i="3"/>
  <c r="DA48" i="3"/>
  <c r="DX44" i="3"/>
  <c r="DF167" i="2"/>
  <c r="DF81" i="3"/>
  <c r="DZ56" i="4"/>
  <c r="DY57" i="4"/>
  <c r="DX94" i="2" l="1"/>
  <c r="FB89" i="2"/>
  <c r="FB94" i="2" s="1"/>
  <c r="DX101" i="3"/>
  <c r="DX109" i="3" s="1"/>
  <c r="DX123" i="3" s="1"/>
  <c r="DW109" i="3"/>
  <c r="DB66" i="2"/>
  <c r="DB138" i="2" s="1"/>
  <c r="DB142" i="2" s="1"/>
  <c r="DB100" i="4"/>
  <c r="DB32" i="2"/>
  <c r="DF86" i="3"/>
  <c r="DF87" i="3"/>
  <c r="DA100" i="4"/>
  <c r="CY138" i="2"/>
  <c r="CY142" i="2" s="1"/>
  <c r="DB65" i="2"/>
  <c r="DB64" i="2"/>
  <c r="DA66" i="2"/>
  <c r="DQ56" i="3"/>
  <c r="DA65" i="2"/>
  <c r="DY32" i="3"/>
  <c r="DX31" i="4"/>
  <c r="DY36" i="3"/>
  <c r="DX36" i="4"/>
  <c r="CY41" i="2"/>
  <c r="CY73" i="3" s="1"/>
  <c r="DZ23" i="3"/>
  <c r="DZ19" i="3"/>
  <c r="DB78" i="2"/>
  <c r="DY17" i="4"/>
  <c r="DZ15" i="3"/>
  <c r="DZ14" i="3"/>
  <c r="DZ29" i="4" s="1"/>
  <c r="EA24" i="3"/>
  <c r="DZ54" i="3"/>
  <c r="DY143" i="3"/>
  <c r="DW35" i="3"/>
  <c r="DZ10" i="3"/>
  <c r="EB21" i="3"/>
  <c r="DZ45" i="3"/>
  <c r="DY111" i="3"/>
  <c r="DY103" i="2"/>
  <c r="DY29" i="4"/>
  <c r="DZ31" i="3"/>
  <c r="CY160" i="2"/>
  <c r="CY165" i="2"/>
  <c r="DG71" i="2"/>
  <c r="DX47" i="3"/>
  <c r="DY44" i="3"/>
  <c r="DB79" i="2"/>
  <c r="DF73" i="2"/>
  <c r="DF74" i="2"/>
  <c r="DF80" i="3"/>
  <c r="DF85" i="3" s="1"/>
  <c r="DY40" i="3"/>
  <c r="EW40" i="2"/>
  <c r="DZ22" i="3"/>
  <c r="EW32" i="2"/>
  <c r="EA38" i="3"/>
  <c r="DZ93" i="2"/>
  <c r="DZ57" i="4"/>
  <c r="EA56" i="4"/>
  <c r="EB56" i="4" s="1"/>
  <c r="DZ11" i="3"/>
  <c r="DZ51" i="3"/>
  <c r="DY142" i="3"/>
  <c r="DX33" i="4"/>
  <c r="DY34" i="3"/>
  <c r="EB39" i="3"/>
  <c r="DZ52" i="3"/>
  <c r="DZ53" i="3"/>
  <c r="DY94" i="2"/>
  <c r="DC48" i="3"/>
  <c r="DA79" i="2"/>
  <c r="DC75" i="3"/>
  <c r="DY35" i="4"/>
  <c r="DZ37" i="3"/>
  <c r="DZ154" i="2" s="1"/>
  <c r="DX32" i="4"/>
  <c r="DY33" i="3"/>
  <c r="DZ46" i="3"/>
  <c r="EW64" i="2"/>
  <c r="EB18" i="3"/>
  <c r="DE107" i="2"/>
  <c r="DW95" i="2" l="1"/>
  <c r="T11" i="1"/>
  <c r="T12" i="1" s="1"/>
  <c r="DY101" i="3"/>
  <c r="DY109" i="3" s="1"/>
  <c r="DY123" i="3" s="1"/>
  <c r="FI14" i="2"/>
  <c r="FG14" i="2"/>
  <c r="DX92" i="2"/>
  <c r="FB87" i="2"/>
  <c r="DA45" i="2"/>
  <c r="DA52" i="2" s="1"/>
  <c r="CY67" i="2"/>
  <c r="CY47" i="2"/>
  <c r="DR56" i="3"/>
  <c r="DA138" i="2"/>
  <c r="DA142" i="2" s="1"/>
  <c r="DY31" i="4"/>
  <c r="DZ32" i="3"/>
  <c r="DZ36" i="3"/>
  <c r="DY36" i="4"/>
  <c r="CY214" i="2"/>
  <c r="CY80" i="2"/>
  <c r="CY141" i="3"/>
  <c r="CY213" i="2"/>
  <c r="CY44" i="2"/>
  <c r="DB41" i="2"/>
  <c r="DB73" i="3" s="1"/>
  <c r="EA22" i="3"/>
  <c r="EW66" i="2"/>
  <c r="EW41" i="2"/>
  <c r="EW53" i="2" s="1"/>
  <c r="DZ40" i="3"/>
  <c r="DF107" i="2"/>
  <c r="EA45" i="3"/>
  <c r="DZ111" i="3"/>
  <c r="DZ103" i="2"/>
  <c r="EA10" i="3"/>
  <c r="DX35" i="3"/>
  <c r="EA52" i="3"/>
  <c r="DZ142" i="3"/>
  <c r="EA51" i="3"/>
  <c r="EA57" i="4"/>
  <c r="DF41" i="3"/>
  <c r="DF75" i="3" s="1"/>
  <c r="DJ71" i="2"/>
  <c r="DJ15" i="2"/>
  <c r="DG81" i="3"/>
  <c r="DG167" i="2"/>
  <c r="DY92" i="2"/>
  <c r="DZ17" i="4"/>
  <c r="EA15" i="3"/>
  <c r="DX95" i="2"/>
  <c r="DZ94" i="2"/>
  <c r="DY33" i="4"/>
  <c r="DZ34" i="3"/>
  <c r="DV70" i="2"/>
  <c r="DW13" i="2"/>
  <c r="DW70" i="2" s="1"/>
  <c r="EB38" i="3"/>
  <c r="DZ44" i="3"/>
  <c r="DY47" i="3"/>
  <c r="EA31" i="3"/>
  <c r="EA19" i="3"/>
  <c r="EA46" i="3"/>
  <c r="DZ33" i="3"/>
  <c r="DY32" i="4"/>
  <c r="DZ35" i="4"/>
  <c r="EA37" i="3"/>
  <c r="EA154" i="2" s="1"/>
  <c r="EA53" i="3"/>
  <c r="EA11" i="3"/>
  <c r="DA41" i="2"/>
  <c r="DA73" i="3" s="1"/>
  <c r="DG72" i="2"/>
  <c r="EA54" i="3"/>
  <c r="DZ143" i="3"/>
  <c r="EB24" i="3"/>
  <c r="EA14" i="3"/>
  <c r="FB13" i="2"/>
  <c r="EA23" i="3"/>
  <c r="DZ101" i="3" l="1"/>
  <c r="DZ109" i="3" s="1"/>
  <c r="DZ123" i="3" s="1"/>
  <c r="DJ60" i="2"/>
  <c r="FB90" i="2"/>
  <c r="FB95" i="2" s="1"/>
  <c r="FB92" i="2"/>
  <c r="DG86" i="3"/>
  <c r="DL86" i="3" s="1"/>
  <c r="DQ86" i="3" s="1"/>
  <c r="DV86" i="3" s="1"/>
  <c r="EA86" i="3" s="1"/>
  <c r="DG87" i="3"/>
  <c r="DL87" i="3" s="1"/>
  <c r="DQ87" i="3" s="1"/>
  <c r="DV87" i="3" s="1"/>
  <c r="EA87" i="3" s="1"/>
  <c r="DA30" i="2"/>
  <c r="DA78" i="2" s="1"/>
  <c r="DB67" i="2"/>
  <c r="DA47" i="2"/>
  <c r="CY53" i="2"/>
  <c r="DB47" i="2"/>
  <c r="DA67" i="2"/>
  <c r="DS56" i="3"/>
  <c r="DZ31" i="4"/>
  <c r="EA32" i="3"/>
  <c r="DZ36" i="4"/>
  <c r="EA36" i="3"/>
  <c r="EB57" i="4"/>
  <c r="DB214" i="2"/>
  <c r="DB44" i="2"/>
  <c r="DB141" i="3"/>
  <c r="DB80" i="2"/>
  <c r="CY50" i="2"/>
  <c r="CY39" i="4"/>
  <c r="DY70" i="2"/>
  <c r="EB23" i="3"/>
  <c r="EA143" i="3"/>
  <c r="EB54" i="3"/>
  <c r="EB53" i="3"/>
  <c r="DZ33" i="4"/>
  <c r="EA34" i="3"/>
  <c r="EA17" i="4"/>
  <c r="EB15" i="3"/>
  <c r="EB51" i="3"/>
  <c r="EA142" i="3"/>
  <c r="EA111" i="3"/>
  <c r="EB45" i="3"/>
  <c r="EA103" i="2"/>
  <c r="DZ92" i="2"/>
  <c r="EW44" i="2"/>
  <c r="EW67" i="2"/>
  <c r="EW80" i="2"/>
  <c r="EB11" i="3"/>
  <c r="EB37" i="3"/>
  <c r="EA35" i="4"/>
  <c r="DZ32" i="4"/>
  <c r="EA33" i="3"/>
  <c r="EB19" i="3"/>
  <c r="EA93" i="2"/>
  <c r="DJ72" i="2"/>
  <c r="DY35" i="3"/>
  <c r="EB22" i="3"/>
  <c r="DX70" i="2"/>
  <c r="EB14" i="3"/>
  <c r="DG80" i="3"/>
  <c r="DG85" i="3" s="1"/>
  <c r="DL85" i="3" s="1"/>
  <c r="DQ85" i="3" s="1"/>
  <c r="DV85" i="3" s="1"/>
  <c r="EA85" i="3" s="1"/>
  <c r="DG74" i="2"/>
  <c r="DG73" i="2"/>
  <c r="EB31" i="3"/>
  <c r="EA44" i="3"/>
  <c r="DZ47" i="3"/>
  <c r="DY95" i="2"/>
  <c r="EB52" i="3"/>
  <c r="EA40" i="3"/>
  <c r="EA94" i="2"/>
  <c r="EA29" i="4"/>
  <c r="DA141" i="3"/>
  <c r="DA44" i="2"/>
  <c r="DA213" i="2"/>
  <c r="DA80" i="2"/>
  <c r="DA214" i="2"/>
  <c r="EB46" i="3"/>
  <c r="DF48" i="3"/>
  <c r="EB10" i="3"/>
  <c r="EA101" i="3" l="1"/>
  <c r="EA109" i="3" s="1"/>
  <c r="EA123" i="3" s="1"/>
  <c r="EB154" i="2"/>
  <c r="EB153" i="2" s="1"/>
  <c r="EB149" i="2" s="1"/>
  <c r="CY82" i="4"/>
  <c r="CY85" i="4" s="1"/>
  <c r="CY90" i="4" s="1"/>
  <c r="DA64" i="2"/>
  <c r="DA32" i="2"/>
  <c r="DB213" i="2"/>
  <c r="DB50" i="2"/>
  <c r="DA53" i="2"/>
  <c r="DT56" i="3"/>
  <c r="EX42" i="2"/>
  <c r="EB32" i="3"/>
  <c r="EA31" i="4"/>
  <c r="EA36" i="4"/>
  <c r="EB36" i="3"/>
  <c r="EB17" i="4"/>
  <c r="CY106" i="2"/>
  <c r="DB53" i="2"/>
  <c r="EM39" i="4"/>
  <c r="EM82" i="4" s="1"/>
  <c r="EM85" i="4" s="1"/>
  <c r="O21" i="1" s="1"/>
  <c r="O36" i="1" s="1"/>
  <c r="CY74" i="4"/>
  <c r="CY107" i="4"/>
  <c r="CY144" i="3"/>
  <c r="CY145" i="3" s="1"/>
  <c r="CY82" i="2"/>
  <c r="CY55" i="3"/>
  <c r="CY57" i="3" s="1"/>
  <c r="CY81" i="2"/>
  <c r="CY83" i="2"/>
  <c r="CY162" i="2"/>
  <c r="DL71" i="2"/>
  <c r="DZ95" i="2"/>
  <c r="EB142" i="3"/>
  <c r="DA50" i="2"/>
  <c r="EB29" i="4"/>
  <c r="EA47" i="3"/>
  <c r="EB44" i="3"/>
  <c r="DH13" i="3"/>
  <c r="EB111" i="3"/>
  <c r="EB103" i="2"/>
  <c r="EA33" i="4"/>
  <c r="EB34" i="3"/>
  <c r="EB143" i="3"/>
  <c r="EB40" i="3"/>
  <c r="DG53" i="4"/>
  <c r="DG107" i="2"/>
  <c r="EA92" i="2"/>
  <c r="DZ35" i="3"/>
  <c r="DH30" i="3"/>
  <c r="DG41" i="3"/>
  <c r="DG75" i="3" s="1"/>
  <c r="EB93" i="2"/>
  <c r="EB35" i="4"/>
  <c r="EB94" i="2"/>
  <c r="DH12" i="3"/>
  <c r="EA32" i="4"/>
  <c r="EB33" i="3"/>
  <c r="EW47" i="2"/>
  <c r="EW50" i="2" s="1"/>
  <c r="O19" i="1" s="1"/>
  <c r="O20" i="1" l="1"/>
  <c r="O38" i="1"/>
  <c r="DY149" i="2"/>
  <c r="DY151" i="2" s="1"/>
  <c r="DZ149" i="2"/>
  <c r="DZ151" i="2" s="1"/>
  <c r="DX149" i="2"/>
  <c r="DX151" i="2" s="1"/>
  <c r="EA149" i="2"/>
  <c r="EA151" i="2" s="1"/>
  <c r="EB151" i="2"/>
  <c r="EB36" i="4"/>
  <c r="EB33" i="4"/>
  <c r="CY109" i="4"/>
  <c r="CY108" i="2"/>
  <c r="DU56" i="3"/>
  <c r="EB31" i="4"/>
  <c r="CY78" i="4"/>
  <c r="CZ76" i="4" s="1"/>
  <c r="CZ140" i="3"/>
  <c r="DB82" i="2"/>
  <c r="DB83" i="2"/>
  <c r="DB81" i="2"/>
  <c r="CY66" i="3"/>
  <c r="CY146" i="3"/>
  <c r="EA70" i="2"/>
  <c r="DA82" i="2"/>
  <c r="EW81" i="2"/>
  <c r="DZ70" i="2"/>
  <c r="DA83" i="2"/>
  <c r="DA81" i="2"/>
  <c r="DL72" i="2"/>
  <c r="DH41" i="3"/>
  <c r="DH75" i="3" s="1"/>
  <c r="DG48" i="3"/>
  <c r="EA35" i="3"/>
  <c r="EA95" i="2"/>
  <c r="EB47" i="3"/>
  <c r="DK15" i="2"/>
  <c r="DK71" i="2"/>
  <c r="EB32" i="4"/>
  <c r="EB92" i="2"/>
  <c r="EB101" i="3"/>
  <c r="EB109" i="3" s="1"/>
  <c r="DK60" i="2" l="1"/>
  <c r="DP71" i="2"/>
  <c r="DU138" i="2"/>
  <c r="DU142" i="2" s="1"/>
  <c r="DZ66" i="2"/>
  <c r="DV56" i="3"/>
  <c r="EB13" i="2"/>
  <c r="EB70" i="2" s="1"/>
  <c r="DK72" i="2"/>
  <c r="EB95" i="2"/>
  <c r="EB35" i="3"/>
  <c r="DO15" i="2"/>
  <c r="DO71" i="2"/>
  <c r="CY16" i="3"/>
  <c r="CY102" i="2"/>
  <c r="CY68" i="3"/>
  <c r="CY104" i="2" s="1"/>
  <c r="DH48" i="3"/>
  <c r="CY79" i="4"/>
  <c r="DP15" i="2" l="1"/>
  <c r="DP72" i="2" s="1"/>
  <c r="DW56" i="3"/>
  <c r="DZ138" i="2"/>
  <c r="DZ142" i="2" s="1"/>
  <c r="DO72" i="2"/>
  <c r="CY26" i="3"/>
  <c r="CY74" i="3"/>
  <c r="CY62" i="3" l="1"/>
  <c r="DX56" i="3"/>
  <c r="CY58" i="3"/>
  <c r="CY61" i="3"/>
  <c r="DY56" i="3" l="1"/>
  <c r="DQ15" i="2"/>
  <c r="DQ71" i="2"/>
  <c r="CY64" i="3"/>
  <c r="CY63" i="3"/>
  <c r="DZ56" i="3" l="1"/>
  <c r="DQ72" i="2"/>
  <c r="EA56" i="3" l="1"/>
  <c r="EB56" i="3" l="1"/>
  <c r="CZ75" i="2" l="1"/>
  <c r="DC27" i="2"/>
  <c r="DC24" i="2"/>
  <c r="DC22" i="2"/>
  <c r="DC23" i="2"/>
  <c r="DC75" i="2" l="1"/>
  <c r="CZ81" i="3"/>
  <c r="DC21" i="2"/>
  <c r="CZ167" i="2"/>
  <c r="DC60" i="2"/>
  <c r="DC59" i="2"/>
  <c r="DC61" i="2"/>
  <c r="CZ82" i="3"/>
  <c r="DC25" i="2"/>
  <c r="DC127" i="2" s="1"/>
  <c r="DB163" i="2"/>
  <c r="CZ76" i="2"/>
  <c r="DA163" i="2"/>
  <c r="DA164" i="2" s="1"/>
  <c r="CZ163" i="2"/>
  <c r="CZ164" i="2" s="1"/>
  <c r="DC133" i="2" l="1"/>
  <c r="DC135" i="2" s="1"/>
  <c r="DC134" i="2" s="1"/>
  <c r="DC29" i="2"/>
  <c r="DB60" i="3" s="1"/>
  <c r="CZ86" i="3"/>
  <c r="CZ87" i="3"/>
  <c r="DE167" i="2"/>
  <c r="DC58" i="2"/>
  <c r="DC167" i="2"/>
  <c r="DC163" i="2"/>
  <c r="DC164" i="2" s="1"/>
  <c r="DB164" i="2"/>
  <c r="DC76" i="2"/>
  <c r="DC62" i="2"/>
  <c r="CZ41" i="3" l="1"/>
  <c r="CZ75" i="3" s="1"/>
  <c r="DE41" i="3" l="1"/>
  <c r="DE75" i="3" s="1"/>
  <c r="DC40" i="2"/>
  <c r="DA37" i="4"/>
  <c r="DA39" i="4" s="1"/>
  <c r="DC20" i="3"/>
  <c r="CZ48" i="3"/>
  <c r="CZ37" i="4"/>
  <c r="DE48" i="3" l="1"/>
  <c r="DC37" i="4"/>
  <c r="DB39" i="4" l="1"/>
  <c r="DE107" i="4" s="1"/>
  <c r="DA74" i="4"/>
  <c r="DA82" i="4"/>
  <c r="DA85" i="4" s="1"/>
  <c r="DA90" i="4" s="1"/>
  <c r="DA106" i="2"/>
  <c r="DB82" i="4" l="1"/>
  <c r="DB85" i="4" s="1"/>
  <c r="DB106" i="2"/>
  <c r="DA108" i="2"/>
  <c r="DB108" i="2" l="1"/>
  <c r="EX14" i="2" l="1"/>
  <c r="DD15" i="2"/>
  <c r="DH14" i="2"/>
  <c r="DD71" i="2"/>
  <c r="DD60" i="2" l="1"/>
  <c r="DH71" i="2"/>
  <c r="DH15" i="2"/>
  <c r="DD17" i="2"/>
  <c r="EX15" i="2"/>
  <c r="EX72" i="2" s="1"/>
  <c r="DD72" i="2"/>
  <c r="DD99" i="4" l="1"/>
  <c r="DD61" i="2"/>
  <c r="DD57" i="2"/>
  <c r="DD62" i="2"/>
  <c r="DD58" i="2"/>
  <c r="DD56" i="2"/>
  <c r="DD80" i="3"/>
  <c r="DD85" i="3" s="1"/>
  <c r="EX17" i="2"/>
  <c r="P15" i="1" s="1"/>
  <c r="DF158" i="2"/>
  <c r="DD74" i="2"/>
  <c r="DG158" i="2"/>
  <c r="DH158" i="2" s="1"/>
  <c r="DD73" i="2"/>
  <c r="DD158" i="2"/>
  <c r="DE158" i="2"/>
  <c r="DH17" i="2"/>
  <c r="Q4" i="1" s="1"/>
  <c r="DH72" i="2"/>
  <c r="Q5" i="1" l="1"/>
  <c r="P16" i="1"/>
  <c r="P37" i="1"/>
  <c r="EX73" i="2"/>
  <c r="DH56" i="2"/>
  <c r="DH57" i="2"/>
  <c r="DH74" i="2"/>
  <c r="DH73" i="2"/>
  <c r="EN50" i="4"/>
  <c r="EN84" i="4" s="1"/>
  <c r="DF108" i="4"/>
  <c r="DG108" i="4"/>
  <c r="DH108" i="4" s="1"/>
  <c r="DD107" i="2"/>
  <c r="DH53" i="4" l="1"/>
  <c r="DH99" i="4"/>
  <c r="DH107" i="2"/>
  <c r="DM14" i="2"/>
  <c r="EY14" i="2"/>
  <c r="DI71" i="2"/>
  <c r="FH71" i="2" l="1"/>
  <c r="EY15" i="2"/>
  <c r="EY72" i="2" s="1"/>
  <c r="DI72" i="2"/>
  <c r="FH72" i="2" s="1"/>
  <c r="DM15" i="2"/>
  <c r="DM71" i="2"/>
  <c r="DM72" i="2" l="1"/>
  <c r="FE15" i="2" l="1"/>
  <c r="EZ14" i="2"/>
  <c r="DR14" i="2"/>
  <c r="DN71" i="2"/>
  <c r="FE71" i="2" s="1"/>
  <c r="FG71" i="2" s="1"/>
  <c r="FG15" i="2" l="1"/>
  <c r="FI15" i="2"/>
  <c r="DR71" i="2"/>
  <c r="DR15" i="2"/>
  <c r="EZ15" i="2"/>
  <c r="EZ72" i="2" s="1"/>
  <c r="DN72" i="2"/>
  <c r="FE72" i="2" s="1"/>
  <c r="FG72" i="2" s="1"/>
  <c r="DR72" i="2" l="1"/>
  <c r="DS33" i="2" l="1"/>
  <c r="FA33" i="2" l="1"/>
  <c r="DT33" i="2" l="1"/>
  <c r="DU33" i="2" l="1"/>
  <c r="DV33" i="2" l="1"/>
  <c r="DW33" i="2" l="1"/>
  <c r="DX33" i="2" l="1"/>
  <c r="FB33" i="2" s="1"/>
  <c r="DY33" i="2" l="1"/>
  <c r="DZ33" i="2" l="1"/>
  <c r="EA33" i="2" l="1"/>
  <c r="EB33" i="2" l="1"/>
  <c r="CW123" i="2" l="1"/>
  <c r="CW215" i="2"/>
  <c r="CZ113" i="2"/>
  <c r="CY123" i="2"/>
  <c r="CY215" i="2"/>
  <c r="DC118" i="2"/>
  <c r="CY119" i="2"/>
  <c r="DH21" i="2" l="1"/>
  <c r="DH58" i="2" s="1"/>
  <c r="DH22" i="2"/>
  <c r="DH59" i="2" s="1"/>
  <c r="EX21" i="2" l="1"/>
  <c r="EX58" i="2" s="1"/>
  <c r="EX24" i="2"/>
  <c r="DD81" i="3"/>
  <c r="DD217" i="2"/>
  <c r="EX22" i="2"/>
  <c r="DD75" i="2"/>
  <c r="DH24" i="2"/>
  <c r="DH61" i="2" s="1"/>
  <c r="EX27" i="2"/>
  <c r="EX75" i="2" s="1"/>
  <c r="DH23" i="2"/>
  <c r="EX23" i="2"/>
  <c r="DD167" i="2"/>
  <c r="EX61" i="2" l="1"/>
  <c r="DD87" i="3"/>
  <c r="DD86" i="3"/>
  <c r="EX59" i="2"/>
  <c r="DH60" i="2"/>
  <c r="DH167" i="2"/>
  <c r="EX60" i="2"/>
  <c r="DD75" i="3" l="1"/>
  <c r="DH20" i="3" l="1"/>
  <c r="DE75" i="2" l="1"/>
  <c r="CZ217" i="2" l="1"/>
  <c r="CZ83" i="3" l="1"/>
  <c r="FG26" i="2"/>
  <c r="EX26" i="2"/>
  <c r="DC26" i="2"/>
  <c r="DC217" i="2" s="1"/>
  <c r="CZ63" i="2" l="1"/>
  <c r="CZ77" i="2"/>
  <c r="CZ65" i="2"/>
  <c r="CZ60" i="3"/>
  <c r="DA60" i="3"/>
  <c r="CZ39" i="2"/>
  <c r="CZ66" i="2" l="1"/>
  <c r="DE217" i="2"/>
  <c r="DC39" i="2"/>
  <c r="DC31" i="2"/>
  <c r="DC100" i="4" s="1"/>
  <c r="DC77" i="2"/>
  <c r="DC63" i="2"/>
  <c r="DC60" i="3"/>
  <c r="CZ161" i="2"/>
  <c r="CZ67" i="3" s="1"/>
  <c r="DB161" i="2"/>
  <c r="CZ79" i="2"/>
  <c r="DA161" i="2"/>
  <c r="DA67" i="3" s="1"/>
  <c r="CZ41" i="2"/>
  <c r="CZ73" i="3" s="1"/>
  <c r="CZ45" i="2" l="1"/>
  <c r="CZ47" i="2" s="1"/>
  <c r="CZ67" i="2"/>
  <c r="DJ217" i="2"/>
  <c r="CZ138" i="2"/>
  <c r="CZ142" i="2" s="1"/>
  <c r="CZ213" i="2"/>
  <c r="CZ214" i="2"/>
  <c r="CZ80" i="2"/>
  <c r="CZ141" i="3"/>
  <c r="CZ44" i="2"/>
  <c r="DB67" i="3"/>
  <c r="DC161" i="2"/>
  <c r="DC67" i="3" s="1"/>
  <c r="DC66" i="2"/>
  <c r="DC41" i="2"/>
  <c r="DC73" i="3" s="1"/>
  <c r="DC65" i="2"/>
  <c r="DC79" i="2"/>
  <c r="CZ30" i="2" l="1"/>
  <c r="DC45" i="2"/>
  <c r="DC47" i="2" s="1"/>
  <c r="CZ52" i="2"/>
  <c r="CZ50" i="2"/>
  <c r="DO217" i="2"/>
  <c r="DC138" i="2"/>
  <c r="DC142" i="2" s="1"/>
  <c r="CZ39" i="4"/>
  <c r="DC213" i="2"/>
  <c r="DC80" i="2"/>
  <c r="DC67" i="2"/>
  <c r="DC214" i="2"/>
  <c r="DC215" i="2" s="1"/>
  <c r="DC141" i="3"/>
  <c r="DC44" i="2"/>
  <c r="CZ53" i="2"/>
  <c r="DC50" i="2" l="1"/>
  <c r="P8" i="1" s="1"/>
  <c r="DD107" i="4"/>
  <c r="DD109" i="4" s="1"/>
  <c r="DC103" i="4"/>
  <c r="DC52" i="2"/>
  <c r="CZ32" i="2"/>
  <c r="DC30" i="2"/>
  <c r="P6" i="1" s="1"/>
  <c r="P7" i="1" s="1"/>
  <c r="CZ64" i="2"/>
  <c r="DB159" i="2"/>
  <c r="CZ159" i="2"/>
  <c r="CZ78" i="2"/>
  <c r="DA159" i="2"/>
  <c r="DT217" i="2"/>
  <c r="DY217" i="2"/>
  <c r="DC53" i="2"/>
  <c r="DA162" i="2"/>
  <c r="CZ83" i="2"/>
  <c r="CZ162" i="2"/>
  <c r="DB162" i="2"/>
  <c r="DC162" i="2" s="1"/>
  <c r="CZ81" i="2"/>
  <c r="CZ82" i="2"/>
  <c r="DC39" i="4"/>
  <c r="DB107" i="4"/>
  <c r="DA107" i="4"/>
  <c r="DA109" i="4" s="1"/>
  <c r="CZ107" i="4"/>
  <c r="CZ106" i="2"/>
  <c r="CZ82" i="4"/>
  <c r="CZ85" i="4" s="1"/>
  <c r="CZ90" i="4" s="1"/>
  <c r="CZ74" i="4"/>
  <c r="CZ144" i="3"/>
  <c r="CZ145" i="3" s="1"/>
  <c r="CZ55" i="3"/>
  <c r="P9" i="1" l="1"/>
  <c r="DC159" i="2"/>
  <c r="DB165" i="2"/>
  <c r="DB160" i="2"/>
  <c r="CZ160" i="2"/>
  <c r="CZ165" i="2"/>
  <c r="DC32" i="2"/>
  <c r="DC64" i="2"/>
  <c r="DC78" i="2"/>
  <c r="CZ109" i="4"/>
  <c r="DE109" i="4"/>
  <c r="DA160" i="2"/>
  <c r="DA165" i="2"/>
  <c r="CZ146" i="3"/>
  <c r="CZ108" i="2"/>
  <c r="DB109" i="4"/>
  <c r="DC107" i="4"/>
  <c r="DC82" i="2"/>
  <c r="DA144" i="3"/>
  <c r="DA55" i="3"/>
  <c r="DO138" i="2"/>
  <c r="DO142" i="2" s="1"/>
  <c r="CZ78" i="4"/>
  <c r="DC82" i="4"/>
  <c r="DC85" i="4" s="1"/>
  <c r="DC106" i="2"/>
  <c r="DC108" i="2" s="1"/>
  <c r="CZ66" i="3"/>
  <c r="CZ57" i="3"/>
  <c r="DA140" i="3"/>
  <c r="DC81" i="2"/>
  <c r="DC83" i="2"/>
  <c r="DC160" i="2" l="1"/>
  <c r="DC165" i="2"/>
  <c r="DA145" i="3"/>
  <c r="DA146" i="3" s="1"/>
  <c r="CZ79" i="4"/>
  <c r="DA76" i="4"/>
  <c r="DT138" i="2"/>
  <c r="DT142" i="2" s="1"/>
  <c r="DY66" i="2"/>
  <c r="DB144" i="3"/>
  <c r="DB55" i="3"/>
  <c r="DC50" i="3"/>
  <c r="DA57" i="3"/>
  <c r="DA66" i="3"/>
  <c r="DB140" i="3"/>
  <c r="DB145" i="3" l="1"/>
  <c r="DB146" i="3" s="1"/>
  <c r="DB66" i="3"/>
  <c r="DB57" i="3"/>
  <c r="DA78" i="4"/>
  <c r="DC144" i="3"/>
  <c r="DC145" i="3" s="1"/>
  <c r="DC55" i="3"/>
  <c r="DY138" i="2"/>
  <c r="DY142" i="2" s="1"/>
  <c r="CZ102" i="2"/>
  <c r="CZ68" i="3"/>
  <c r="CZ104" i="2" s="1"/>
  <c r="CZ16" i="3"/>
  <c r="DC66" i="3" l="1"/>
  <c r="DC57" i="3"/>
  <c r="DH140" i="3"/>
  <c r="DD140" i="3"/>
  <c r="CZ74" i="3"/>
  <c r="CZ26" i="3"/>
  <c r="DC146" i="3"/>
  <c r="DB76" i="4"/>
  <c r="DA79" i="4"/>
  <c r="CZ62" i="3" l="1"/>
  <c r="DA102" i="2"/>
  <c r="DA68" i="3"/>
  <c r="DA104" i="2" s="1"/>
  <c r="CZ58" i="3"/>
  <c r="CZ61" i="3"/>
  <c r="CZ64" i="3" l="1"/>
  <c r="CZ63" i="3"/>
  <c r="DA74" i="3"/>
  <c r="DA26" i="3"/>
  <c r="DA62" i="3" l="1"/>
  <c r="DA58" i="3"/>
  <c r="DA61" i="3"/>
  <c r="DB102" i="2"/>
  <c r="DC9" i="3"/>
  <c r="DC152" i="2" s="1"/>
  <c r="DB16" i="3"/>
  <c r="DB68" i="3"/>
  <c r="DB104" i="2" s="1"/>
  <c r="DA64" i="3" l="1"/>
  <c r="DA63" i="3"/>
  <c r="DB26" i="3"/>
  <c r="DB74" i="3"/>
  <c r="DC68" i="3"/>
  <c r="DC104" i="2" s="1"/>
  <c r="DC16" i="3"/>
  <c r="DC102" i="2"/>
  <c r="DD62" i="3" l="1"/>
  <c r="DC62" i="3"/>
  <c r="DB62" i="3"/>
  <c r="DC26" i="3"/>
  <c r="DC74" i="3"/>
  <c r="DB58" i="3"/>
  <c r="DB61" i="3"/>
  <c r="DC61" i="3" l="1"/>
  <c r="DB64" i="3"/>
  <c r="DB63" i="3"/>
  <c r="DC58" i="3"/>
  <c r="DC64" i="3" l="1"/>
  <c r="DC63" i="3"/>
  <c r="DF75" i="2" l="1"/>
  <c r="DF217" i="2" l="1"/>
  <c r="DK217" i="2" l="1"/>
  <c r="DP217" i="2" l="1"/>
  <c r="DU217" i="2" l="1"/>
  <c r="DZ217" i="2"/>
  <c r="DH101" i="4" l="1"/>
  <c r="DM101" i="4"/>
  <c r="DO101" i="4" l="1"/>
  <c r="DR101" i="4" s="1"/>
  <c r="DT101" i="4" l="1"/>
  <c r="DY101" i="4" s="1"/>
  <c r="DW101" i="4" l="1"/>
  <c r="EB101" i="4"/>
  <c r="DG75" i="2" l="1"/>
  <c r="DH27" i="2"/>
  <c r="DH75" i="2" l="1"/>
  <c r="DG217" i="2" l="1"/>
  <c r="DH26" i="2" l="1"/>
  <c r="DH217" i="2" s="1"/>
  <c r="DL217" i="2"/>
  <c r="DQ217" i="2" l="1"/>
  <c r="EA217" i="2" l="1"/>
  <c r="DV217" i="2"/>
  <c r="DG163" i="2" l="1"/>
  <c r="DD82" i="3"/>
  <c r="DG82" i="3"/>
  <c r="DG83" i="3"/>
  <c r="DG76" i="2"/>
  <c r="DH25" i="2" l="1"/>
  <c r="DD163" i="2"/>
  <c r="DD164" i="2" s="1"/>
  <c r="DD83" i="3"/>
  <c r="DD29" i="2"/>
  <c r="DD76" i="2"/>
  <c r="EX25" i="2"/>
  <c r="EX62" i="2" s="1"/>
  <c r="DG77" i="2"/>
  <c r="DG31" i="2"/>
  <c r="DF76" i="2"/>
  <c r="DF82" i="3"/>
  <c r="DF83" i="3"/>
  <c r="DF163" i="2"/>
  <c r="DF164" i="2" s="1"/>
  <c r="DF29" i="2"/>
  <c r="DE76" i="2"/>
  <c r="DE163" i="2"/>
  <c r="DE164" i="2" s="1"/>
  <c r="DE29" i="2"/>
  <c r="DG164" i="2"/>
  <c r="DH163" i="2"/>
  <c r="DH164" i="2" s="1"/>
  <c r="DG100" i="4" l="1"/>
  <c r="DE30" i="2"/>
  <c r="DE78" i="2" s="1"/>
  <c r="DF30" i="2"/>
  <c r="DD30" i="2"/>
  <c r="DD78" i="2" s="1"/>
  <c r="DH76" i="2"/>
  <c r="DH127" i="2"/>
  <c r="DH133" i="2" s="1"/>
  <c r="DH134" i="2" s="1"/>
  <c r="DG65" i="2"/>
  <c r="DF63" i="2"/>
  <c r="DE60" i="3"/>
  <c r="DE63" i="2"/>
  <c r="DE31" i="2"/>
  <c r="DD31" i="2"/>
  <c r="DH29" i="2"/>
  <c r="DG60" i="3" s="1"/>
  <c r="DH62" i="2"/>
  <c r="DD39" i="2"/>
  <c r="DD63" i="2"/>
  <c r="EX29" i="2"/>
  <c r="EX77" i="2" s="1"/>
  <c r="DD77" i="2"/>
  <c r="DD60" i="3"/>
  <c r="DE77" i="2"/>
  <c r="DE39" i="2"/>
  <c r="DF77" i="2"/>
  <c r="DF60" i="3"/>
  <c r="DF31" i="2"/>
  <c r="DG79" i="2"/>
  <c r="DF78" i="2" l="1"/>
  <c r="DK78" i="2"/>
  <c r="DF100" i="4"/>
  <c r="DD66" i="2"/>
  <c r="DD65" i="2"/>
  <c r="DD79" i="2"/>
  <c r="DF65" i="2"/>
  <c r="DE66" i="2"/>
  <c r="DE100" i="4"/>
  <c r="DE65" i="2"/>
  <c r="DD100" i="4"/>
  <c r="DD32" i="2"/>
  <c r="DH63" i="2"/>
  <c r="DD161" i="2"/>
  <c r="DD67" i="3" s="1"/>
  <c r="DH60" i="3"/>
  <c r="DH77" i="2"/>
  <c r="DH31" i="2"/>
  <c r="DH100" i="4" s="1"/>
  <c r="EX31" i="2"/>
  <c r="P17" i="1" s="1"/>
  <c r="EX63" i="2"/>
  <c r="EX39" i="2"/>
  <c r="DD41" i="2"/>
  <c r="DG161" i="2"/>
  <c r="DH161" i="2" s="1"/>
  <c r="DF79" i="2"/>
  <c r="DF161" i="2"/>
  <c r="DF67" i="3" s="1"/>
  <c r="DE79" i="2"/>
  <c r="DE161" i="2"/>
  <c r="EX40" i="2"/>
  <c r="P32" i="1" l="1"/>
  <c r="P33" i="1"/>
  <c r="P18" i="1"/>
  <c r="P35" i="1"/>
  <c r="P34" i="1"/>
  <c r="DD73" i="3"/>
  <c r="DD138" i="2"/>
  <c r="DD142" i="2" s="1"/>
  <c r="DD45" i="2"/>
  <c r="DD47" i="2" s="1"/>
  <c r="DH67" i="3"/>
  <c r="DE45" i="2"/>
  <c r="DE138" i="2"/>
  <c r="DE142" i="2" s="1"/>
  <c r="DE67" i="3"/>
  <c r="DE68" i="3"/>
  <c r="DH79" i="2"/>
  <c r="DH65" i="2"/>
  <c r="EX79" i="2"/>
  <c r="EX65" i="2"/>
  <c r="DD67" i="2"/>
  <c r="EX41" i="2"/>
  <c r="EX67" i="2" s="1"/>
  <c r="DD44" i="2"/>
  <c r="DD80" i="2"/>
  <c r="DD214" i="2"/>
  <c r="DD141" i="3"/>
  <c r="DD213" i="2"/>
  <c r="DG67" i="3"/>
  <c r="DE41" i="2"/>
  <c r="EX66" i="2"/>
  <c r="DE73" i="3" l="1"/>
  <c r="DD52" i="2"/>
  <c r="DD50" i="2"/>
  <c r="DE32" i="2"/>
  <c r="DE67" i="2"/>
  <c r="EX80" i="2"/>
  <c r="EX44" i="2"/>
  <c r="DE213" i="2"/>
  <c r="DE141" i="3"/>
  <c r="DE80" i="2"/>
  <c r="DE44" i="2"/>
  <c r="DE214" i="2"/>
  <c r="DS138" i="2" l="1"/>
  <c r="DS142" i="2" s="1"/>
  <c r="DD106" i="2"/>
  <c r="EN39" i="4"/>
  <c r="EN82" i="4" s="1"/>
  <c r="EN85" i="4" s="1"/>
  <c r="P21" i="1" s="1"/>
  <c r="P36" i="1" s="1"/>
  <c r="DD108" i="2" l="1"/>
  <c r="DX138" i="2"/>
  <c r="DX142" i="2" s="1"/>
  <c r="DE106" i="2"/>
  <c r="DE90" i="4"/>
  <c r="DE108" i="2" l="1"/>
  <c r="DB47" i="4" l="1"/>
  <c r="DC86" i="4" l="1"/>
  <c r="DC90" i="4" s="1"/>
  <c r="DB46" i="4"/>
  <c r="DC53" i="4"/>
  <c r="DB86" i="4" l="1"/>
  <c r="DB90" i="4" s="1"/>
  <c r="DB53" i="4"/>
  <c r="DC74" i="4"/>
  <c r="DC78" i="4" l="1"/>
  <c r="DD76" i="4" s="1"/>
  <c r="DD78" i="4" s="1"/>
  <c r="DB74" i="4"/>
  <c r="DD79" i="4" l="1"/>
  <c r="DE76" i="4"/>
  <c r="DE78" i="4" s="1"/>
  <c r="DF76" i="4" s="1"/>
  <c r="DB78" i="4"/>
  <c r="DC79" i="4"/>
  <c r="DH76" i="4"/>
  <c r="DB79" i="4" l="1"/>
  <c r="CZ120" i="2" l="1"/>
  <c r="DC121" i="2"/>
  <c r="DD120" i="2" s="1"/>
  <c r="DD119" i="2" s="1"/>
  <c r="DD123" i="2" l="1"/>
  <c r="DB215" i="2"/>
  <c r="CZ119" i="2"/>
  <c r="DC120" i="2"/>
  <c r="DC119" i="2" s="1"/>
  <c r="DC123" i="2" l="1"/>
  <c r="DE52" i="2" l="1"/>
  <c r="DE47" i="2"/>
  <c r="DE50" i="2"/>
  <c r="DE53" i="2"/>
  <c r="DE64" i="2" l="1"/>
  <c r="DE82" i="2"/>
  <c r="DD53" i="2"/>
  <c r="EX54" i="2"/>
  <c r="EX32" i="2" l="1"/>
  <c r="EX53" i="2"/>
  <c r="DD64" i="2"/>
  <c r="EX45" i="2"/>
  <c r="DE83" i="2"/>
  <c r="DE81" i="2"/>
  <c r="DD82" i="2"/>
  <c r="DE162" i="2" l="1"/>
  <c r="DE159" i="2"/>
  <c r="DE160" i="2" s="1"/>
  <c r="EX47" i="2"/>
  <c r="EX50" i="2" s="1"/>
  <c r="P19" i="1" s="1"/>
  <c r="DD144" i="3"/>
  <c r="DD145" i="3" s="1"/>
  <c r="EX30" i="2"/>
  <c r="DD159" i="2"/>
  <c r="DD83" i="2"/>
  <c r="DD81" i="2"/>
  <c r="DD162" i="2"/>
  <c r="P38" i="1" l="1"/>
  <c r="P20" i="1"/>
  <c r="DE165" i="2"/>
  <c r="DD146" i="3"/>
  <c r="EX64" i="2"/>
  <c r="DD66" i="3"/>
  <c r="DE140" i="3"/>
  <c r="DD160" i="2"/>
  <c r="DD165" i="2"/>
  <c r="DE144" i="3"/>
  <c r="DE55" i="3"/>
  <c r="DE66" i="3" s="1"/>
  <c r="EX81" i="2"/>
  <c r="DE145" i="3" l="1"/>
  <c r="DE146" i="3" s="1"/>
  <c r="DE57" i="3"/>
  <c r="DF140" i="3"/>
  <c r="DD102" i="2" l="1"/>
  <c r="DD68" i="3"/>
  <c r="DD104" i="2" s="1"/>
  <c r="DD74" i="3" l="1"/>
  <c r="DD61" i="3" l="1"/>
  <c r="DD58" i="3"/>
  <c r="DE102" i="2"/>
  <c r="DE16" i="3"/>
  <c r="DE74" i="3" s="1"/>
  <c r="DE104" i="2"/>
  <c r="DE79" i="4"/>
  <c r="DE26" i="3" l="1"/>
  <c r="DD63" i="3"/>
  <c r="DD64" i="3"/>
  <c r="DE62" i="3" l="1"/>
  <c r="DE61" i="3"/>
  <c r="DE58" i="3"/>
  <c r="DE64" i="3" l="1"/>
  <c r="DE63" i="3"/>
  <c r="DA113" i="2" l="1"/>
  <c r="CZ215" i="2"/>
  <c r="CZ123" i="2"/>
  <c r="DA215" i="2"/>
  <c r="DB113" i="2"/>
  <c r="DA123" i="2"/>
  <c r="DI217" i="2" l="1"/>
  <c r="EY26" i="2"/>
  <c r="DM217" i="2" l="1"/>
  <c r="DN217" i="2" l="1"/>
  <c r="EZ26" i="2"/>
  <c r="DX217" i="2" l="1"/>
  <c r="DR217" i="2"/>
  <c r="DS217" i="2"/>
  <c r="FA26" i="2"/>
  <c r="EB217" i="2" l="1"/>
  <c r="DW217" i="2"/>
  <c r="DF93" i="4" l="1"/>
  <c r="DF70" i="4"/>
  <c r="DF74" i="4" s="1"/>
  <c r="DF78" i="4" s="1"/>
  <c r="DD215" i="2" l="1"/>
  <c r="DE146" i="2" l="1"/>
  <c r="DG125" i="3" l="1"/>
  <c r="DG126" i="3" s="1"/>
  <c r="DG35" i="2"/>
  <c r="DG39" i="2" l="1"/>
  <c r="DF125" i="3"/>
  <c r="DH34" i="2"/>
  <c r="DG66" i="2" l="1"/>
  <c r="DF39" i="2"/>
  <c r="DH35" i="2"/>
  <c r="DH125" i="3"/>
  <c r="DF126" i="3"/>
  <c r="DG138" i="2" l="1"/>
  <c r="DG142" i="2" s="1"/>
  <c r="DF66" i="2"/>
  <c r="DG41" i="2"/>
  <c r="DH39" i="2"/>
  <c r="DG73" i="3" l="1"/>
  <c r="DG67" i="2"/>
  <c r="DF138" i="2"/>
  <c r="DF142" i="2" s="1"/>
  <c r="DF41" i="2"/>
  <c r="DG80" i="2"/>
  <c r="DG141" i="3"/>
  <c r="DG213" i="2"/>
  <c r="DG214" i="2"/>
  <c r="DG44" i="2"/>
  <c r="DH40" i="2"/>
  <c r="DG50" i="2" l="1"/>
  <c r="DF47" i="2"/>
  <c r="DF73" i="3"/>
  <c r="DF67" i="2"/>
  <c r="DF44" i="2"/>
  <c r="DF80" i="2"/>
  <c r="DF214" i="2"/>
  <c r="DF213" i="2"/>
  <c r="DF141" i="3"/>
  <c r="DH66" i="2"/>
  <c r="DH41" i="2"/>
  <c r="DH73" i="3" s="1"/>
  <c r="DF50" i="2" l="1"/>
  <c r="DH44" i="2"/>
  <c r="DF53" i="2"/>
  <c r="DP138" i="2"/>
  <c r="DP142" i="2" s="1"/>
  <c r="DF64" i="2"/>
  <c r="DF159" i="2"/>
  <c r="DF32" i="2"/>
  <c r="DH67" i="2"/>
  <c r="DH213" i="2"/>
  <c r="DH80" i="2"/>
  <c r="DH141" i="3"/>
  <c r="DH214" i="2"/>
  <c r="DF144" i="3"/>
  <c r="DF145" i="3" s="1"/>
  <c r="DF55" i="3"/>
  <c r="DH138" i="2"/>
  <c r="DH142" i="2" s="1"/>
  <c r="DF82" i="2" l="1"/>
  <c r="DF81" i="2"/>
  <c r="DF160" i="2"/>
  <c r="DF165" i="2"/>
  <c r="DF83" i="2"/>
  <c r="DF162" i="2"/>
  <c r="DF90" i="4"/>
  <c r="DF107" i="4"/>
  <c r="DF109" i="4" s="1"/>
  <c r="DF106" i="2"/>
  <c r="DF146" i="3"/>
  <c r="DF66" i="3"/>
  <c r="DF57" i="3"/>
  <c r="DG140" i="3"/>
  <c r="DF108" i="2" l="1"/>
  <c r="DG76" i="4"/>
  <c r="DF79" i="4"/>
  <c r="DF102" i="2" l="1"/>
  <c r="DF68" i="3"/>
  <c r="DF104" i="2" s="1"/>
  <c r="DF16" i="3"/>
  <c r="DF74" i="3" l="1"/>
  <c r="DF26" i="3"/>
  <c r="DF62" i="3" l="1"/>
  <c r="DF58" i="3"/>
  <c r="DF61" i="3"/>
  <c r="DF63" i="3" l="1"/>
  <c r="DF64" i="3"/>
  <c r="DH148" i="2" l="1"/>
  <c r="DH151" i="2" l="1"/>
  <c r="DH121" i="2" l="1"/>
  <c r="DG215" i="2" l="1"/>
  <c r="DI113" i="2" l="1"/>
  <c r="DM113" i="2" s="1"/>
  <c r="DH54" i="2"/>
  <c r="DH84" i="2" s="1"/>
  <c r="DG53" i="2"/>
  <c r="DH45" i="2" l="1"/>
  <c r="DG52" i="2"/>
  <c r="DG47" i="2"/>
  <c r="DG70" i="4"/>
  <c r="DG93" i="4"/>
  <c r="DG82" i="2"/>
  <c r="DH53" i="2"/>
  <c r="DH124" i="2"/>
  <c r="DH48" i="2"/>
  <c r="DH50" i="3" l="1"/>
  <c r="DG144" i="3"/>
  <c r="DG145" i="3" s="1"/>
  <c r="DG55" i="3"/>
  <c r="DH52" i="2"/>
  <c r="DG162" i="2"/>
  <c r="DH162" i="2" s="1"/>
  <c r="DG81" i="2"/>
  <c r="DG83" i="2"/>
  <c r="DG159" i="2"/>
  <c r="EY180" i="2"/>
  <c r="EY54" i="2"/>
  <c r="DH82" i="2"/>
  <c r="DH103" i="4"/>
  <c r="DH70" i="4"/>
  <c r="DH93" i="4"/>
  <c r="DH30" i="2"/>
  <c r="DH47" i="2"/>
  <c r="DH50" i="2"/>
  <c r="Q8" i="1" s="1"/>
  <c r="DH215" i="2"/>
  <c r="Q6" i="1" l="1"/>
  <c r="Q7" i="1" s="1"/>
  <c r="DH78" i="2"/>
  <c r="Q9" i="1"/>
  <c r="DI70" i="4"/>
  <c r="DI93" i="4"/>
  <c r="DH32" i="2"/>
  <c r="DH64" i="2"/>
  <c r="DH159" i="2"/>
  <c r="DG165" i="2"/>
  <c r="DG160" i="2"/>
  <c r="DG57" i="3"/>
  <c r="DG66" i="3"/>
  <c r="DJ70" i="4"/>
  <c r="DJ93" i="4"/>
  <c r="DH81" i="2"/>
  <c r="DH83" i="2"/>
  <c r="DG146" i="3"/>
  <c r="DH55" i="3"/>
  <c r="DH144" i="3"/>
  <c r="DH145" i="3" s="1"/>
  <c r="DH57" i="3" l="1"/>
  <c r="DH66" i="3"/>
  <c r="DI140" i="3"/>
  <c r="DM140" i="3"/>
  <c r="DH146" i="3"/>
  <c r="DH160" i="2"/>
  <c r="DH165" i="2"/>
  <c r="DH9" i="3" l="1"/>
  <c r="DH152" i="2" s="1"/>
  <c r="DG16" i="3"/>
  <c r="DG68" i="3"/>
  <c r="DG104" i="2" s="1"/>
  <c r="DG102" i="2"/>
  <c r="DH68" i="3" l="1"/>
  <c r="DH104" i="2" s="1"/>
  <c r="DG26" i="3"/>
  <c r="DG74" i="3"/>
  <c r="DH16" i="3"/>
  <c r="DH102" i="2"/>
  <c r="DG62" i="3" l="1"/>
  <c r="DH62" i="3"/>
  <c r="DG61" i="3"/>
  <c r="DH26" i="3"/>
  <c r="DH74" i="3"/>
  <c r="DG58" i="3"/>
  <c r="DH58" i="3" l="1"/>
  <c r="DH61" i="3"/>
  <c r="DG63" i="3"/>
  <c r="DG64" i="3"/>
  <c r="DH63" i="3" l="1"/>
  <c r="DH64" i="3"/>
  <c r="DH123" i="2" l="1"/>
  <c r="DE120" i="2"/>
  <c r="DE119" i="2" s="1"/>
  <c r="DF120" i="2"/>
  <c r="DF119" i="2" s="1"/>
  <c r="DH120" i="2" l="1"/>
  <c r="DF215" i="2"/>
  <c r="DE215" i="2"/>
  <c r="DE123" i="2"/>
  <c r="DF123" i="2"/>
  <c r="DI17" i="2" l="1"/>
  <c r="DI99" i="4" l="1"/>
  <c r="FH17" i="2"/>
  <c r="DI62" i="2"/>
  <c r="FH62" i="2" s="1"/>
  <c r="DI58" i="2"/>
  <c r="FH58" i="2" s="1"/>
  <c r="DI61" i="2"/>
  <c r="FH61" i="2" s="1"/>
  <c r="DI57" i="2"/>
  <c r="DI56" i="2"/>
  <c r="EY10" i="2"/>
  <c r="DI69" i="2"/>
  <c r="FH69" i="2" s="1"/>
  <c r="DI80" i="3"/>
  <c r="DI85" i="3" s="1"/>
  <c r="DN85" i="3" s="1"/>
  <c r="DS85" i="3" s="1"/>
  <c r="DX85" i="3" s="1"/>
  <c r="EY17" i="2"/>
  <c r="Q15" i="1" s="1"/>
  <c r="DI73" i="2"/>
  <c r="FH73" i="2" s="1"/>
  <c r="DI74" i="2"/>
  <c r="FH74" i="2" s="1"/>
  <c r="DI158" i="2"/>
  <c r="Q16" i="1" l="1"/>
  <c r="Q37" i="1"/>
  <c r="EY69" i="2"/>
  <c r="DL69" i="2"/>
  <c r="DL17" i="2"/>
  <c r="DJ17" i="2"/>
  <c r="DJ99" i="4" s="1"/>
  <c r="DJ69" i="2"/>
  <c r="DJ81" i="3"/>
  <c r="EY73" i="2"/>
  <c r="EO50" i="4"/>
  <c r="EO84" i="4" s="1"/>
  <c r="DI53" i="4"/>
  <c r="DI108" i="4"/>
  <c r="DI107" i="2"/>
  <c r="FH107" i="2" s="1"/>
  <c r="EZ100" i="2" l="1"/>
  <c r="FE100" i="2"/>
  <c r="DL56" i="2"/>
  <c r="DL58" i="2"/>
  <c r="DL62" i="2"/>
  <c r="DL61" i="2"/>
  <c r="DL57" i="2"/>
  <c r="DJ87" i="3"/>
  <c r="DO87" i="3" s="1"/>
  <c r="DT87" i="3" s="1"/>
  <c r="DY87" i="3" s="1"/>
  <c r="DJ86" i="3"/>
  <c r="DO86" i="3" s="1"/>
  <c r="DT86" i="3" s="1"/>
  <c r="DY86" i="3" s="1"/>
  <c r="DJ57" i="2"/>
  <c r="DJ61" i="2"/>
  <c r="DJ58" i="2"/>
  <c r="DJ62" i="2"/>
  <c r="DJ56" i="2"/>
  <c r="EY22" i="2"/>
  <c r="EY59" i="2" s="1"/>
  <c r="DL75" i="2"/>
  <c r="DL167" i="2"/>
  <c r="DL80" i="3"/>
  <c r="DL73" i="2"/>
  <c r="DL74" i="2"/>
  <c r="DL81" i="3"/>
  <c r="DJ80" i="3"/>
  <c r="DJ85" i="3" s="1"/>
  <c r="DO85" i="3" s="1"/>
  <c r="DT85" i="3" s="1"/>
  <c r="DY85" i="3" s="1"/>
  <c r="DJ73" i="2"/>
  <c r="DJ158" i="2"/>
  <c r="DJ74" i="2"/>
  <c r="DI81" i="3"/>
  <c r="EY21" i="2"/>
  <c r="DM10" i="2"/>
  <c r="DK17" i="2"/>
  <c r="DK99" i="4" s="1"/>
  <c r="DK69" i="2"/>
  <c r="DI82" i="3"/>
  <c r="EY25" i="2"/>
  <c r="DI76" i="2"/>
  <c r="FH76" i="2" s="1"/>
  <c r="DI163" i="2"/>
  <c r="DI164" i="2" s="1"/>
  <c r="DL82" i="3"/>
  <c r="DL76" i="2"/>
  <c r="FI100" i="2" l="1"/>
  <c r="FG100" i="2"/>
  <c r="DK62" i="2"/>
  <c r="DK58" i="2"/>
  <c r="DK29" i="2"/>
  <c r="DK61" i="2"/>
  <c r="DK57" i="2"/>
  <c r="DK56" i="2"/>
  <c r="DJ167" i="2"/>
  <c r="DI86" i="3"/>
  <c r="DN86" i="3" s="1"/>
  <c r="DS86" i="3" s="1"/>
  <c r="DX86" i="3" s="1"/>
  <c r="DI87" i="3"/>
  <c r="DN87" i="3" s="1"/>
  <c r="DS87" i="3" s="1"/>
  <c r="DX87" i="3" s="1"/>
  <c r="DL83" i="3"/>
  <c r="DM12" i="3"/>
  <c r="DL84" i="4"/>
  <c r="DL53" i="4"/>
  <c r="DL107" i="2"/>
  <c r="DL29" i="2"/>
  <c r="DL31" i="2" s="1"/>
  <c r="DJ108" i="4"/>
  <c r="DJ53" i="4"/>
  <c r="DJ107" i="2"/>
  <c r="DI29" i="2"/>
  <c r="DJ83" i="3"/>
  <c r="DJ75" i="2"/>
  <c r="EY24" i="2"/>
  <c r="DM22" i="2"/>
  <c r="DK81" i="3"/>
  <c r="DL158" i="2"/>
  <c r="DM158" i="2" s="1"/>
  <c r="DK74" i="2"/>
  <c r="DK80" i="3"/>
  <c r="DK85" i="3" s="1"/>
  <c r="DP85" i="3" s="1"/>
  <c r="DU85" i="3" s="1"/>
  <c r="DZ85" i="3" s="1"/>
  <c r="DK73" i="2"/>
  <c r="DK158" i="2"/>
  <c r="DI167" i="2"/>
  <c r="EY58" i="2"/>
  <c r="DM69" i="2"/>
  <c r="DM17" i="2"/>
  <c r="R4" i="1" s="1"/>
  <c r="V4" i="1" s="1"/>
  <c r="DM21" i="2"/>
  <c r="DM27" i="2"/>
  <c r="EY27" i="2"/>
  <c r="DI75" i="2"/>
  <c r="FH75" i="2" s="1"/>
  <c r="DJ41" i="3"/>
  <c r="DK167" i="2"/>
  <c r="DI83" i="3"/>
  <c r="DM24" i="2"/>
  <c r="EY23" i="2"/>
  <c r="S10" i="1"/>
  <c r="EY62" i="2"/>
  <c r="DI63" i="2" l="1"/>
  <c r="FH63" i="2" s="1"/>
  <c r="FH29" i="2"/>
  <c r="DL63" i="2"/>
  <c r="DL39" i="2"/>
  <c r="DL65" i="2"/>
  <c r="R5" i="1"/>
  <c r="DK87" i="3"/>
  <c r="DP87" i="3" s="1"/>
  <c r="DU87" i="3" s="1"/>
  <c r="DZ87" i="3" s="1"/>
  <c r="DK86" i="3"/>
  <c r="DP86" i="3" s="1"/>
  <c r="DU86" i="3" s="1"/>
  <c r="DZ86" i="3" s="1"/>
  <c r="DI60" i="3"/>
  <c r="DK63" i="2"/>
  <c r="DM23" i="2"/>
  <c r="DM167" i="2" s="1"/>
  <c r="DI77" i="2"/>
  <c r="FH77" i="2" s="1"/>
  <c r="DL41" i="3"/>
  <c r="DM30" i="3"/>
  <c r="DM13" i="3"/>
  <c r="DL77" i="2"/>
  <c r="DI31" i="2"/>
  <c r="DJ82" i="3"/>
  <c r="DJ76" i="2"/>
  <c r="DJ163" i="2"/>
  <c r="DJ164" i="2" s="1"/>
  <c r="EY29" i="2"/>
  <c r="DJ29" i="2"/>
  <c r="DM61" i="2"/>
  <c r="DJ48" i="3"/>
  <c r="DJ75" i="3"/>
  <c r="EY75" i="2"/>
  <c r="DK75" i="2"/>
  <c r="DI41" i="3"/>
  <c r="DI75" i="3" s="1"/>
  <c r="DM75" i="2"/>
  <c r="DM58" i="2"/>
  <c r="DM59" i="2"/>
  <c r="DK107" i="2"/>
  <c r="DL108" i="4"/>
  <c r="DM108" i="4" s="1"/>
  <c r="DM50" i="4"/>
  <c r="DK108" i="4"/>
  <c r="DK84" i="4"/>
  <c r="EY60" i="2"/>
  <c r="DK83" i="3"/>
  <c r="DM73" i="2"/>
  <c r="DM74" i="2"/>
  <c r="DM56" i="2"/>
  <c r="DM57" i="2"/>
  <c r="EY61" i="2"/>
  <c r="FE17" i="2"/>
  <c r="DN69" i="2"/>
  <c r="FE69" i="2" s="1"/>
  <c r="FG69" i="2" s="1"/>
  <c r="DQ17" i="2"/>
  <c r="DQ69" i="2"/>
  <c r="DI100" i="4" l="1"/>
  <c r="FH31" i="2"/>
  <c r="FE22" i="2"/>
  <c r="FG22" i="2" s="1"/>
  <c r="FI17" i="2"/>
  <c r="FG17" i="2"/>
  <c r="FE21" i="2"/>
  <c r="FE10" i="2"/>
  <c r="EZ10" i="2"/>
  <c r="DL66" i="2"/>
  <c r="DL41" i="2"/>
  <c r="DM60" i="2"/>
  <c r="DJ63" i="2"/>
  <c r="DJ39" i="2"/>
  <c r="DJ66" i="2" s="1"/>
  <c r="DI65" i="2"/>
  <c r="FH65" i="2" s="1"/>
  <c r="DM12" i="4"/>
  <c r="DL75" i="3"/>
  <c r="DL48" i="3"/>
  <c r="DM41" i="3"/>
  <c r="DM75" i="3" s="1"/>
  <c r="EY31" i="2"/>
  <c r="DL79" i="2"/>
  <c r="DJ77" i="2"/>
  <c r="DJ31" i="2"/>
  <c r="DJ100" i="4" s="1"/>
  <c r="DJ60" i="3"/>
  <c r="EY63" i="2"/>
  <c r="DI161" i="2"/>
  <c r="DI67" i="3" s="1"/>
  <c r="DI79" i="2"/>
  <c r="FH79" i="2" s="1"/>
  <c r="EY77" i="2"/>
  <c r="DI37" i="4"/>
  <c r="DM27" i="4"/>
  <c r="DI48" i="3"/>
  <c r="DJ37" i="4"/>
  <c r="DK76" i="2"/>
  <c r="DK82" i="3"/>
  <c r="DM25" i="2"/>
  <c r="DL163" i="2"/>
  <c r="DK163" i="2"/>
  <c r="DK164" i="2" s="1"/>
  <c r="DM53" i="4"/>
  <c r="DM107" i="2"/>
  <c r="DM84" i="4"/>
  <c r="DM99" i="4"/>
  <c r="DQ81" i="3"/>
  <c r="DQ58" i="2"/>
  <c r="DN59" i="2"/>
  <c r="FE59" i="2" s="1"/>
  <c r="EZ22" i="2"/>
  <c r="DQ167" i="2"/>
  <c r="DN81" i="3"/>
  <c r="DN58" i="2"/>
  <c r="FE58" i="2" s="1"/>
  <c r="EZ21" i="2"/>
  <c r="DQ59" i="2"/>
  <c r="FE27" i="2"/>
  <c r="DQ80" i="3"/>
  <c r="DQ12" i="3" s="1"/>
  <c r="DQ50" i="4"/>
  <c r="DQ56" i="2"/>
  <c r="DQ57" i="2"/>
  <c r="DQ73" i="2"/>
  <c r="DQ74" i="2"/>
  <c r="DN80" i="3"/>
  <c r="DN12" i="3" s="1"/>
  <c r="DN50" i="4"/>
  <c r="DN56" i="2"/>
  <c r="DN57" i="2"/>
  <c r="DN73" i="2"/>
  <c r="FE73" i="2" s="1"/>
  <c r="FG73" i="2" s="1"/>
  <c r="DN74" i="2"/>
  <c r="FE74" i="2" s="1"/>
  <c r="FG74" i="2" s="1"/>
  <c r="DN158" i="2"/>
  <c r="EZ17" i="2"/>
  <c r="R15" i="1" s="1"/>
  <c r="V15" i="1" s="1"/>
  <c r="FE24" i="2" l="1"/>
  <c r="FI24" i="2" s="1"/>
  <c r="EZ69" i="2"/>
  <c r="DL67" i="2"/>
  <c r="DL44" i="2"/>
  <c r="FI22" i="2"/>
  <c r="FI10" i="2"/>
  <c r="FG10" i="2"/>
  <c r="DN167" i="2"/>
  <c r="FE23" i="2"/>
  <c r="FI59" i="2"/>
  <c r="FG59" i="2"/>
  <c r="FG27" i="2"/>
  <c r="FI27" i="2"/>
  <c r="FI21" i="2"/>
  <c r="FG21" i="2"/>
  <c r="FI58" i="2"/>
  <c r="FG58" i="2"/>
  <c r="EY65" i="2"/>
  <c r="Q17" i="1"/>
  <c r="DL138" i="2"/>
  <c r="DL142" i="2" s="1"/>
  <c r="FA100" i="2"/>
  <c r="R37" i="1"/>
  <c r="R16" i="1"/>
  <c r="DJ65" i="2"/>
  <c r="DJ45" i="2"/>
  <c r="DJ138" i="2"/>
  <c r="DJ142" i="2" s="1"/>
  <c r="EY79" i="2"/>
  <c r="DM48" i="3"/>
  <c r="DJ161" i="2"/>
  <c r="DJ67" i="3" s="1"/>
  <c r="DJ79" i="2"/>
  <c r="DM30" i="4"/>
  <c r="DL164" i="2"/>
  <c r="DM163" i="2"/>
  <c r="DM164" i="2" s="1"/>
  <c r="DM29" i="2"/>
  <c r="DM62" i="2"/>
  <c r="DM76" i="2"/>
  <c r="DK75" i="3"/>
  <c r="DK77" i="2"/>
  <c r="DK31" i="2"/>
  <c r="DK100" i="4" s="1"/>
  <c r="DK60" i="3"/>
  <c r="DM28" i="4"/>
  <c r="EZ73" i="2"/>
  <c r="DN53" i="4"/>
  <c r="DN84" i="4"/>
  <c r="DN108" i="4"/>
  <c r="DN107" i="2"/>
  <c r="FE107" i="2" s="1"/>
  <c r="EP50" i="4"/>
  <c r="EP84" i="4" s="1"/>
  <c r="DN13" i="3"/>
  <c r="DN30" i="3"/>
  <c r="DQ13" i="3"/>
  <c r="DQ30" i="3"/>
  <c r="DQ12" i="4"/>
  <c r="DQ61" i="2"/>
  <c r="DN27" i="4"/>
  <c r="DN60" i="2"/>
  <c r="FE60" i="2" s="1"/>
  <c r="EZ23" i="2"/>
  <c r="DQ53" i="4"/>
  <c r="DQ84" i="4"/>
  <c r="DQ107" i="2"/>
  <c r="DN75" i="2"/>
  <c r="FE75" i="2" s="1"/>
  <c r="FG75" i="2" s="1"/>
  <c r="EZ27" i="2"/>
  <c r="EZ58" i="2"/>
  <c r="DQ60" i="2"/>
  <c r="DN12" i="4"/>
  <c r="DN61" i="2"/>
  <c r="FE61" i="2" s="1"/>
  <c r="EZ24" i="2"/>
  <c r="EZ59" i="2"/>
  <c r="DR12" i="3"/>
  <c r="DQ75" i="2"/>
  <c r="FG24" i="2" l="1"/>
  <c r="FG107" i="2"/>
  <c r="FI107" i="2"/>
  <c r="FI23" i="2"/>
  <c r="FG23" i="2"/>
  <c r="FG61" i="2"/>
  <c r="FI61" i="2"/>
  <c r="FG60" i="2"/>
  <c r="FI60" i="2"/>
  <c r="DN163" i="2"/>
  <c r="DN164" i="2" s="1"/>
  <c r="Q18" i="1"/>
  <c r="Q33" i="1"/>
  <c r="Q32" i="1"/>
  <c r="Q35" i="1"/>
  <c r="Q34" i="1"/>
  <c r="DK65" i="2"/>
  <c r="DJ52" i="2"/>
  <c r="DJ30" i="2"/>
  <c r="DJ78" i="2" s="1"/>
  <c r="DM37" i="4"/>
  <c r="DK79" i="2"/>
  <c r="DK161" i="2"/>
  <c r="DK67" i="3" s="1"/>
  <c r="DL161" i="2"/>
  <c r="DM31" i="2"/>
  <c r="DM77" i="2"/>
  <c r="DM60" i="3"/>
  <c r="DM63" i="2"/>
  <c r="DL60" i="3"/>
  <c r="DS69" i="2"/>
  <c r="DN28" i="4"/>
  <c r="DQ82" i="3"/>
  <c r="DQ62" i="2"/>
  <c r="DQ76" i="2"/>
  <c r="DQ83" i="3"/>
  <c r="DQ29" i="2"/>
  <c r="EZ60" i="2"/>
  <c r="EZ61" i="2"/>
  <c r="DV69" i="2"/>
  <c r="DQ41" i="3"/>
  <c r="DR30" i="3"/>
  <c r="EZ75" i="2"/>
  <c r="DR13" i="3"/>
  <c r="DN41" i="3"/>
  <c r="DN30" i="4"/>
  <c r="DN82" i="3" l="1"/>
  <c r="FE25" i="2"/>
  <c r="DN29" i="2"/>
  <c r="DN83" i="3"/>
  <c r="DN76" i="2"/>
  <c r="FE76" i="2" s="1"/>
  <c r="FG76" i="2" s="1"/>
  <c r="EZ25" i="2"/>
  <c r="EZ29" i="2" s="1"/>
  <c r="EZ77" i="2" s="1"/>
  <c r="DN62" i="2"/>
  <c r="FE62" i="2" s="1"/>
  <c r="DJ32" i="2"/>
  <c r="DJ64" i="2"/>
  <c r="DM20" i="3"/>
  <c r="DM65" i="2"/>
  <c r="DM79" i="2"/>
  <c r="DL67" i="3"/>
  <c r="DM161" i="2"/>
  <c r="DM67" i="3" s="1"/>
  <c r="DQ48" i="3"/>
  <c r="DR41" i="3"/>
  <c r="DR75" i="3" s="1"/>
  <c r="DQ75" i="3"/>
  <c r="DV59" i="2"/>
  <c r="DN37" i="4"/>
  <c r="DQ31" i="2"/>
  <c r="DQ63" i="2"/>
  <c r="DQ77" i="2"/>
  <c r="DN48" i="3"/>
  <c r="DN75" i="3"/>
  <c r="DS59" i="2"/>
  <c r="FE29" i="2" l="1"/>
  <c r="FG29" i="2" s="1"/>
  <c r="DN31" i="2"/>
  <c r="FE31" i="2" s="1"/>
  <c r="FG31" i="2" s="1"/>
  <c r="DN39" i="2"/>
  <c r="DN77" i="2"/>
  <c r="FE77" i="2" s="1"/>
  <c r="FG77" i="2" s="1"/>
  <c r="DN63" i="2"/>
  <c r="FE63" i="2" s="1"/>
  <c r="FI63" i="2" s="1"/>
  <c r="DN60" i="3"/>
  <c r="FG62" i="2"/>
  <c r="FI62" i="2"/>
  <c r="FI25" i="2"/>
  <c r="FG25" i="2"/>
  <c r="EZ31" i="2"/>
  <c r="R17" i="1" s="1"/>
  <c r="R34" i="1" s="1"/>
  <c r="EZ63" i="2"/>
  <c r="EZ62" i="2"/>
  <c r="DN20" i="3"/>
  <c r="DQ65" i="2"/>
  <c r="DQ79" i="2"/>
  <c r="DR48" i="3"/>
  <c r="FI29" i="2" l="1"/>
  <c r="DN41" i="2"/>
  <c r="DN44" i="2" s="1"/>
  <c r="DN50" i="2" s="1"/>
  <c r="DN66" i="2"/>
  <c r="DN161" i="2"/>
  <c r="DN67" i="3" s="1"/>
  <c r="DN65" i="2"/>
  <c r="FE65" i="2" s="1"/>
  <c r="FI65" i="2" s="1"/>
  <c r="FI31" i="2"/>
  <c r="DN79" i="2"/>
  <c r="FE79" i="2" s="1"/>
  <c r="FG79" i="2" s="1"/>
  <c r="FG63" i="2"/>
  <c r="EZ79" i="2"/>
  <c r="R32" i="1"/>
  <c r="V17" i="1"/>
  <c r="EZ65" i="2"/>
  <c r="R18" i="1"/>
  <c r="EA69" i="2"/>
  <c r="DX69" i="2"/>
  <c r="FE66" i="2" l="1"/>
  <c r="DN138" i="2"/>
  <c r="DN142" i="2" s="1"/>
  <c r="DN32" i="2"/>
  <c r="FG65" i="2"/>
  <c r="EA59" i="2"/>
  <c r="DX59" i="2"/>
  <c r="DH145" i="2" l="1"/>
  <c r="DK125" i="3"/>
  <c r="DK126" i="3" s="1"/>
  <c r="DQ146" i="2" l="1"/>
  <c r="DL145" i="2"/>
  <c r="DN146" i="2"/>
  <c r="DQ145" i="2" l="1"/>
  <c r="DQ34" i="2" s="1"/>
  <c r="DV146" i="2"/>
  <c r="DS146" i="2"/>
  <c r="DJ125" i="3"/>
  <c r="DJ126" i="3" s="1"/>
  <c r="DL125" i="3"/>
  <c r="DL126" i="3" s="1"/>
  <c r="DO146" i="2"/>
  <c r="DO145" i="2" s="1"/>
  <c r="DO34" i="2" s="1"/>
  <c r="DN145" i="2"/>
  <c r="DO125" i="3" l="1"/>
  <c r="DO126" i="3" s="1"/>
  <c r="DO35" i="2"/>
  <c r="DX146" i="2"/>
  <c r="EA146" i="2"/>
  <c r="EA145" i="2" s="1"/>
  <c r="EA34" i="2" s="1"/>
  <c r="DV145" i="2"/>
  <c r="DV34" i="2" s="1"/>
  <c r="DQ125" i="3"/>
  <c r="DQ126" i="3" s="1"/>
  <c r="DQ35" i="2"/>
  <c r="DQ39" i="2" s="1"/>
  <c r="DM34" i="2"/>
  <c r="DI125" i="3"/>
  <c r="DI126" i="3" s="1"/>
  <c r="EY34" i="2"/>
  <c r="FE34" i="2"/>
  <c r="FG34" i="2" s="1"/>
  <c r="DT146" i="2"/>
  <c r="DT145" i="2" s="1"/>
  <c r="DT34" i="2" s="1"/>
  <c r="DS145" i="2"/>
  <c r="FI34" i="2" l="1"/>
  <c r="EY39" i="2"/>
  <c r="DV125" i="3"/>
  <c r="DV126" i="3" s="1"/>
  <c r="DV35" i="2"/>
  <c r="DN125" i="3"/>
  <c r="EZ34" i="2"/>
  <c r="DM125" i="3"/>
  <c r="EA125" i="3"/>
  <c r="EA126" i="3" s="1"/>
  <c r="EA35" i="2"/>
  <c r="DS34" i="2"/>
  <c r="DY146" i="2"/>
  <c r="DY145" i="2" s="1"/>
  <c r="DY34" i="2" s="1"/>
  <c r="DX145" i="2"/>
  <c r="DT125" i="3"/>
  <c r="DT126" i="3" s="1"/>
  <c r="DT35" i="2"/>
  <c r="EY35" i="2"/>
  <c r="DI39" i="2"/>
  <c r="FH39" i="2" s="1"/>
  <c r="DI66" i="2" l="1"/>
  <c r="FH66" i="2" s="1"/>
  <c r="DX34" i="2"/>
  <c r="DN126" i="3"/>
  <c r="DJ41" i="2"/>
  <c r="DJ67" i="2" s="1"/>
  <c r="DY125" i="3"/>
  <c r="DY126" i="3" s="1"/>
  <c r="DY35" i="2"/>
  <c r="DS125" i="3"/>
  <c r="DS35" i="2"/>
  <c r="DQ40" i="2"/>
  <c r="DJ73" i="3" l="1"/>
  <c r="DI45" i="2"/>
  <c r="FH45" i="2" s="1"/>
  <c r="DI138" i="2"/>
  <c r="DI142" i="2" s="1"/>
  <c r="FH48" i="2"/>
  <c r="DI41" i="2"/>
  <c r="DS126" i="3"/>
  <c r="DX125" i="3"/>
  <c r="DX35" i="2"/>
  <c r="DQ41" i="2"/>
  <c r="DQ73" i="3" s="1"/>
  <c r="DJ141" i="3"/>
  <c r="DJ214" i="2"/>
  <c r="DJ80" i="2"/>
  <c r="DJ44" i="2"/>
  <c r="DJ47" i="2"/>
  <c r="DJ213" i="2"/>
  <c r="EY40" i="2"/>
  <c r="DI73" i="3" l="1"/>
  <c r="FH41" i="2"/>
  <c r="DI67" i="2"/>
  <c r="FH67" i="2" s="1"/>
  <c r="DI52" i="2"/>
  <c r="FH52" i="2" s="1"/>
  <c r="EY45" i="2"/>
  <c r="DI30" i="2"/>
  <c r="DI80" i="2"/>
  <c r="FH80" i="2" s="1"/>
  <c r="DI44" i="2"/>
  <c r="FH44" i="2" s="1"/>
  <c r="DI141" i="3"/>
  <c r="DI214" i="2"/>
  <c r="DI213" i="2"/>
  <c r="DI47" i="2"/>
  <c r="FH47" i="2" s="1"/>
  <c r="DJ53" i="2"/>
  <c r="DJ50" i="2"/>
  <c r="DX126" i="3"/>
  <c r="EY66" i="2"/>
  <c r="EY41" i="2"/>
  <c r="DJ39" i="4"/>
  <c r="DJ82" i="4" s="1"/>
  <c r="DJ85" i="4" s="1"/>
  <c r="DJ90" i="4" s="1"/>
  <c r="DQ67" i="2"/>
  <c r="DQ141" i="3"/>
  <c r="DQ213" i="2"/>
  <c r="DQ44" i="2"/>
  <c r="DQ214" i="2"/>
  <c r="DQ10" i="4"/>
  <c r="DI78" i="2" l="1"/>
  <c r="FH78" i="2" s="1"/>
  <c r="DN78" i="2"/>
  <c r="FE78" i="2" s="1"/>
  <c r="DM30" i="2"/>
  <c r="DM78" i="2" s="1"/>
  <c r="FH30" i="2"/>
  <c r="DI64" i="2"/>
  <c r="FH64" i="2" s="1"/>
  <c r="EY30" i="2"/>
  <c r="DI32" i="2"/>
  <c r="FH32" i="2" s="1"/>
  <c r="DI159" i="2"/>
  <c r="DJ159" i="2"/>
  <c r="DI144" i="3"/>
  <c r="DI145" i="3" s="1"/>
  <c r="DI39" i="4"/>
  <c r="DI53" i="2"/>
  <c r="FH53" i="2" s="1"/>
  <c r="DI50" i="2"/>
  <c r="FH50" i="2" s="1"/>
  <c r="DJ106" i="2"/>
  <c r="DJ74" i="4"/>
  <c r="DJ81" i="2"/>
  <c r="DJ83" i="2"/>
  <c r="EY67" i="2"/>
  <c r="EY53" i="2"/>
  <c r="EY80" i="2"/>
  <c r="EY44" i="2"/>
  <c r="DJ82" i="2"/>
  <c r="DJ108" i="2" l="1"/>
  <c r="DI106" i="2"/>
  <c r="DI82" i="4"/>
  <c r="DI85" i="4" s="1"/>
  <c r="DI90" i="4" s="1"/>
  <c r="DI160" i="2"/>
  <c r="DI165" i="2"/>
  <c r="EY32" i="2"/>
  <c r="DJ160" i="2"/>
  <c r="DJ165" i="2"/>
  <c r="EY64" i="2"/>
  <c r="DI74" i="4"/>
  <c r="DI55" i="3"/>
  <c r="DI66" i="3" s="1"/>
  <c r="DI162" i="2"/>
  <c r="DI82" i="2"/>
  <c r="FH82" i="2" s="1"/>
  <c r="DI83" i="2"/>
  <c r="DJ162" i="2"/>
  <c r="DI81" i="2"/>
  <c r="FH81" i="2" s="1"/>
  <c r="EY47" i="2"/>
  <c r="EY50" i="2" s="1"/>
  <c r="Q19" i="1" s="1"/>
  <c r="DJ144" i="3"/>
  <c r="DJ55" i="3"/>
  <c r="DI108" i="2" l="1"/>
  <c r="FH108" i="2" s="1"/>
  <c r="FH106" i="2"/>
  <c r="Q20" i="1"/>
  <c r="Q38" i="1"/>
  <c r="DJ140" i="3"/>
  <c r="DJ145" i="3" s="1"/>
  <c r="DJ146" i="3" s="1"/>
  <c r="DI57" i="3"/>
  <c r="DI146" i="3"/>
  <c r="DK140" i="3"/>
  <c r="DJ57" i="3"/>
  <c r="DJ66" i="3"/>
  <c r="EY81" i="2"/>
  <c r="DH118" i="2" l="1"/>
  <c r="DH119" i="2" s="1"/>
  <c r="DG33" i="4"/>
  <c r="DH37" i="4"/>
  <c r="DH39" i="4" s="1"/>
  <c r="DH82" i="4" s="1"/>
  <c r="DH85" i="4" s="1"/>
  <c r="DH90" i="4" s="1"/>
  <c r="DH106" i="2" l="1"/>
  <c r="DH108" i="2" s="1"/>
  <c r="DH74" i="4"/>
  <c r="DG37" i="4"/>
  <c r="DH78" i="4" l="1"/>
  <c r="DG39" i="4"/>
  <c r="DI107" i="4" s="1"/>
  <c r="DG82" i="4" l="1"/>
  <c r="DG85" i="4" s="1"/>
  <c r="DG90" i="4" s="1"/>
  <c r="DG74" i="4"/>
  <c r="DH79" i="4"/>
  <c r="DI76" i="4"/>
  <c r="DM76" i="4"/>
  <c r="DJ107" i="4"/>
  <c r="EO39" i="4"/>
  <c r="EO82" i="4" s="1"/>
  <c r="EO85" i="4" s="1"/>
  <c r="Q21" i="1" s="1"/>
  <c r="DG106" i="2"/>
  <c r="DG107" i="4"/>
  <c r="Q36" i="1" l="1"/>
  <c r="DI78" i="4"/>
  <c r="DI109" i="4"/>
  <c r="DG109" i="4"/>
  <c r="DH107" i="4"/>
  <c r="DG108" i="2"/>
  <c r="DG78" i="4"/>
  <c r="DJ109" i="4"/>
  <c r="DI79" i="4" l="1"/>
  <c r="DJ76" i="4"/>
  <c r="DG79" i="4"/>
  <c r="DJ78" i="4" l="1"/>
  <c r="DI102" i="2"/>
  <c r="FH102" i="2" s="1"/>
  <c r="DI16" i="3"/>
  <c r="DI68" i="3"/>
  <c r="DI104" i="2" s="1"/>
  <c r="FH104" i="2" s="1"/>
  <c r="DI26" i="3" l="1"/>
  <c r="DI74" i="3"/>
  <c r="DJ79" i="4"/>
  <c r="DK76" i="4"/>
  <c r="DI62" i="3" l="1"/>
  <c r="DJ68" i="3"/>
  <c r="DJ104" i="2" s="1"/>
  <c r="DJ102" i="2"/>
  <c r="DJ16" i="3"/>
  <c r="DI58" i="3"/>
  <c r="DI61" i="3"/>
  <c r="DI63" i="3" l="1"/>
  <c r="DI64" i="3"/>
  <c r="DJ74" i="3"/>
  <c r="DJ26" i="3"/>
  <c r="DJ62" i="3" l="1"/>
  <c r="DJ61" i="3"/>
  <c r="DJ58" i="3"/>
  <c r="DJ63" i="3" l="1"/>
  <c r="DJ64" i="3"/>
  <c r="DV71" i="2" l="1"/>
  <c r="DV15" i="2" l="1"/>
  <c r="DV72" i="2" s="1"/>
  <c r="DV17" i="2" l="1"/>
  <c r="DV57" i="2" s="1"/>
  <c r="DU71" i="2"/>
  <c r="DU15" i="2"/>
  <c r="DV73" i="2" l="1"/>
  <c r="DV50" i="4"/>
  <c r="DV74" i="2"/>
  <c r="DV56" i="2"/>
  <c r="DV80" i="3"/>
  <c r="DV12" i="3" s="1"/>
  <c r="DV61" i="2"/>
  <c r="DV81" i="3"/>
  <c r="DV30" i="3" s="1"/>
  <c r="DV58" i="2"/>
  <c r="DY15" i="2"/>
  <c r="DT71" i="2"/>
  <c r="DT15" i="2"/>
  <c r="DV75" i="2"/>
  <c r="DS71" i="2"/>
  <c r="FA14" i="2"/>
  <c r="DW14" i="2"/>
  <c r="DS15" i="2"/>
  <c r="DV60" i="2"/>
  <c r="DU72" i="2"/>
  <c r="DV167" i="2"/>
  <c r="DV84" i="4" l="1"/>
  <c r="DV53" i="4"/>
  <c r="DV107" i="2"/>
  <c r="DW12" i="3"/>
  <c r="DV12" i="4"/>
  <c r="DV29" i="2"/>
  <c r="DV13" i="3"/>
  <c r="DY71" i="2"/>
  <c r="DZ15" i="2"/>
  <c r="DZ71" i="2"/>
  <c r="EA15" i="2"/>
  <c r="EA71" i="2"/>
  <c r="DV76" i="2"/>
  <c r="DV62" i="2"/>
  <c r="DV82" i="3"/>
  <c r="DW71" i="2"/>
  <c r="DW15" i="2"/>
  <c r="DW30" i="3"/>
  <c r="DV41" i="3"/>
  <c r="DS72" i="2"/>
  <c r="FA15" i="2"/>
  <c r="FA72" i="2" s="1"/>
  <c r="DS17" i="2"/>
  <c r="DS167" i="2"/>
  <c r="DS81" i="3"/>
  <c r="DS60" i="2"/>
  <c r="DY72" i="2"/>
  <c r="DT72" i="2"/>
  <c r="DV83" i="3"/>
  <c r="DV63" i="2" l="1"/>
  <c r="DV31" i="2"/>
  <c r="DV79" i="2" s="1"/>
  <c r="DV77" i="2"/>
  <c r="DV39" i="2"/>
  <c r="DV40" i="2" s="1"/>
  <c r="DV75" i="3"/>
  <c r="DW13" i="3"/>
  <c r="EA75" i="2"/>
  <c r="EA167" i="2"/>
  <c r="EA60" i="2"/>
  <c r="DZ72" i="2"/>
  <c r="EA81" i="3"/>
  <c r="EA17" i="2"/>
  <c r="EA72" i="2"/>
  <c r="DX15" i="2"/>
  <c r="EB14" i="2"/>
  <c r="DX71" i="2"/>
  <c r="FB14" i="2"/>
  <c r="DV48" i="3"/>
  <c r="DW41" i="3"/>
  <c r="DW72" i="2"/>
  <c r="DS74" i="2"/>
  <c r="DS73" i="2"/>
  <c r="DS57" i="2"/>
  <c r="DS56" i="2"/>
  <c r="DS80" i="3"/>
  <c r="DS12" i="3" s="1"/>
  <c r="DS50" i="4"/>
  <c r="DS13" i="3"/>
  <c r="DS30" i="3"/>
  <c r="DS58" i="2"/>
  <c r="DV65" i="2" l="1"/>
  <c r="EA50" i="4"/>
  <c r="EA57" i="2"/>
  <c r="EA56" i="2"/>
  <c r="EA80" i="3"/>
  <c r="EA12" i="3" s="1"/>
  <c r="EA74" i="2"/>
  <c r="EA73" i="2"/>
  <c r="DX60" i="2"/>
  <c r="EA58" i="2"/>
  <c r="EA30" i="3"/>
  <c r="EA13" i="3"/>
  <c r="DX81" i="3"/>
  <c r="DX167" i="2"/>
  <c r="EB15" i="2"/>
  <c r="EB71" i="2"/>
  <c r="DX17" i="2"/>
  <c r="DX72" i="2"/>
  <c r="FB15" i="2"/>
  <c r="FB72" i="2" s="1"/>
  <c r="DS27" i="4"/>
  <c r="DV41" i="2"/>
  <c r="DV73" i="3" s="1"/>
  <c r="DS28" i="4"/>
  <c r="DS84" i="4"/>
  <c r="DS107" i="2"/>
  <c r="DS53" i="4"/>
  <c r="DS61" i="2"/>
  <c r="DS12" i="4"/>
  <c r="DW48" i="3"/>
  <c r="DW75" i="3"/>
  <c r="DS82" i="3"/>
  <c r="DS62" i="2"/>
  <c r="DS76" i="2"/>
  <c r="DS30" i="4"/>
  <c r="DS41" i="3"/>
  <c r="DS75" i="3" s="1"/>
  <c r="DX50" i="4" l="1"/>
  <c r="DX56" i="2"/>
  <c r="DX57" i="2"/>
  <c r="DX80" i="3"/>
  <c r="DX12" i="3" s="1"/>
  <c r="DX74" i="2"/>
  <c r="DX73" i="2"/>
  <c r="EA12" i="4"/>
  <c r="EA61" i="2"/>
  <c r="DX58" i="2"/>
  <c r="EB30" i="3"/>
  <c r="EA41" i="3"/>
  <c r="EA29" i="2"/>
  <c r="EA83" i="3"/>
  <c r="EA82" i="3"/>
  <c r="EA62" i="2"/>
  <c r="EA76" i="2"/>
  <c r="EB72" i="2"/>
  <c r="DX30" i="3"/>
  <c r="DX13" i="3"/>
  <c r="EB13" i="3"/>
  <c r="EB12" i="3"/>
  <c r="EA107" i="2"/>
  <c r="EA53" i="4"/>
  <c r="EA84" i="4"/>
  <c r="DV67" i="2"/>
  <c r="DV141" i="3"/>
  <c r="DV80" i="2"/>
  <c r="DV213" i="2"/>
  <c r="DV10" i="4"/>
  <c r="DV214" i="2"/>
  <c r="DV44" i="2"/>
  <c r="DS48" i="3"/>
  <c r="DS37" i="4"/>
  <c r="EA75" i="3" l="1"/>
  <c r="EB41" i="3"/>
  <c r="EB75" i="3" s="1"/>
  <c r="EA48" i="3"/>
  <c r="DX28" i="4"/>
  <c r="DX41" i="3"/>
  <c r="DX75" i="3" s="1"/>
  <c r="DX30" i="4"/>
  <c r="DX62" i="2"/>
  <c r="DX82" i="3"/>
  <c r="DX76" i="2"/>
  <c r="DX12" i="4"/>
  <c r="DX61" i="2"/>
  <c r="EA31" i="2"/>
  <c r="EA63" i="2"/>
  <c r="EA39" i="2"/>
  <c r="EA77" i="2"/>
  <c r="DX27" i="4"/>
  <c r="DX84" i="4"/>
  <c r="DX53" i="4"/>
  <c r="DX107" i="2"/>
  <c r="EB48" i="3" l="1"/>
  <c r="EA65" i="2"/>
  <c r="EA79" i="2"/>
  <c r="DX48" i="3"/>
  <c r="DX37" i="4"/>
  <c r="EA40" i="2"/>
  <c r="EA41" i="2" l="1"/>
  <c r="EA67" i="2" l="1"/>
  <c r="EA73" i="3"/>
  <c r="EA44" i="2"/>
  <c r="EA141" i="3"/>
  <c r="EA213" i="2"/>
  <c r="EA80" i="2"/>
  <c r="EA214" i="2"/>
  <c r="EA10" i="4"/>
  <c r="DK35" i="2" l="1"/>
  <c r="DK39" i="2" l="1"/>
  <c r="DK41" i="2" l="1"/>
  <c r="DK66" i="2"/>
  <c r="DK138" i="2" l="1"/>
  <c r="DK142" i="2" s="1"/>
  <c r="DK67" i="2"/>
  <c r="DK73" i="3"/>
  <c r="DK44" i="2"/>
  <c r="DK141" i="3"/>
  <c r="DK214" i="2"/>
  <c r="DK213" i="2"/>
  <c r="DK80" i="2"/>
  <c r="FI66" i="2" l="1"/>
  <c r="FG66" i="2"/>
  <c r="DK50" i="2"/>
  <c r="DK82" i="4" l="1"/>
  <c r="DK85" i="4" s="1"/>
  <c r="DK90" i="4" s="1"/>
  <c r="DK107" i="4"/>
  <c r="DK109" i="4" s="1"/>
  <c r="DK106" i="2"/>
  <c r="DK108" i="2" l="1"/>
  <c r="DT69" i="2" l="1"/>
  <c r="DT17" i="2"/>
  <c r="DO69" i="2"/>
  <c r="DO17" i="2"/>
  <c r="DT74" i="2" l="1"/>
  <c r="DT57" i="2"/>
  <c r="DT56" i="2"/>
  <c r="DT73" i="2"/>
  <c r="DT50" i="4"/>
  <c r="DT80" i="3"/>
  <c r="DT12" i="3" s="1"/>
  <c r="DO57" i="2"/>
  <c r="DO158" i="2"/>
  <c r="DO56" i="2"/>
  <c r="DO73" i="2"/>
  <c r="DO74" i="2"/>
  <c r="DO80" i="3"/>
  <c r="DO12" i="3" s="1"/>
  <c r="DO50" i="4"/>
  <c r="DY17" i="2" l="1"/>
  <c r="DY69" i="2"/>
  <c r="DO75" i="2"/>
  <c r="DO60" i="2"/>
  <c r="DO27" i="4"/>
  <c r="DT75" i="2"/>
  <c r="DT60" i="2"/>
  <c r="DT167" i="2"/>
  <c r="DT58" i="2"/>
  <c r="DT81" i="3"/>
  <c r="DO107" i="2"/>
  <c r="DO84" i="4"/>
  <c r="DO108" i="4"/>
  <c r="DO53" i="4"/>
  <c r="DO59" i="2"/>
  <c r="DO167" i="2"/>
  <c r="DO58" i="2"/>
  <c r="DO81" i="3"/>
  <c r="DT59" i="2"/>
  <c r="DT84" i="4"/>
  <c r="DT107" i="2"/>
  <c r="DT53" i="4"/>
  <c r="DT27" i="4"/>
  <c r="DT83" i="3" l="1"/>
  <c r="DY74" i="2"/>
  <c r="DY80" i="3"/>
  <c r="DY12" i="3" s="1"/>
  <c r="DY57" i="2"/>
  <c r="DY50" i="4"/>
  <c r="DY56" i="2"/>
  <c r="DY73" i="2"/>
  <c r="DO83" i="3"/>
  <c r="DT29" i="2"/>
  <c r="DO82" i="3"/>
  <c r="DO62" i="2"/>
  <c r="DO76" i="2"/>
  <c r="DO163" i="2"/>
  <c r="DO164" i="2" s="1"/>
  <c r="DT62" i="2"/>
  <c r="DT82" i="3"/>
  <c r="DT76" i="2"/>
  <c r="DT61" i="2"/>
  <c r="DT12" i="4"/>
  <c r="DO12" i="4"/>
  <c r="DO61" i="2"/>
  <c r="DO13" i="3"/>
  <c r="DO30" i="3"/>
  <c r="DT13" i="3"/>
  <c r="DT30" i="3"/>
  <c r="DO29" i="2"/>
  <c r="DO39" i="2" s="1"/>
  <c r="DY27" i="4" l="1"/>
  <c r="DY58" i="2"/>
  <c r="DY81" i="3"/>
  <c r="DY167" i="2"/>
  <c r="DY84" i="4"/>
  <c r="DY53" i="4"/>
  <c r="DY107" i="2"/>
  <c r="DY75" i="2"/>
  <c r="DY59" i="2"/>
  <c r="DY60" i="2"/>
  <c r="DT28" i="4"/>
  <c r="DO63" i="2"/>
  <c r="DO77" i="2"/>
  <c r="DO60" i="3"/>
  <c r="DO31" i="2"/>
  <c r="DO41" i="3"/>
  <c r="DO75" i="3" s="1"/>
  <c r="DO30" i="4"/>
  <c r="DT30" i="4"/>
  <c r="DT41" i="3"/>
  <c r="DO28" i="4"/>
  <c r="DO20" i="3"/>
  <c r="DT63" i="2"/>
  <c r="DT77" i="2"/>
  <c r="DT31" i="2"/>
  <c r="DT39" i="2"/>
  <c r="DY13" i="3" l="1"/>
  <c r="DY30" i="3"/>
  <c r="DY62" i="2"/>
  <c r="DY82" i="3"/>
  <c r="DY76" i="2"/>
  <c r="DY61" i="2"/>
  <c r="DY29" i="2"/>
  <c r="DY12" i="4"/>
  <c r="DY83" i="3"/>
  <c r="DO40" i="2"/>
  <c r="DT48" i="3"/>
  <c r="DO48" i="3"/>
  <c r="DO65" i="2"/>
  <c r="DO79" i="2"/>
  <c r="DO161" i="2"/>
  <c r="DO67" i="3" s="1"/>
  <c r="DT75" i="3"/>
  <c r="DT40" i="2"/>
  <c r="DT41" i="2" s="1"/>
  <c r="DT65" i="2"/>
  <c r="DT79" i="2"/>
  <c r="DO37" i="4"/>
  <c r="DT37" i="4"/>
  <c r="DY31" i="2" l="1"/>
  <c r="DY39" i="2"/>
  <c r="DY63" i="2"/>
  <c r="DY77" i="2"/>
  <c r="DY30" i="4"/>
  <c r="DY41" i="3"/>
  <c r="DY28" i="4"/>
  <c r="DT67" i="2"/>
  <c r="DT141" i="3"/>
  <c r="DT73" i="3"/>
  <c r="DT213" i="2"/>
  <c r="DT10" i="4"/>
  <c r="DT44" i="2"/>
  <c r="DT214" i="2"/>
  <c r="DO41" i="2"/>
  <c r="DT80" i="2" s="1"/>
  <c r="DY48" i="3" l="1"/>
  <c r="DY75" i="3"/>
  <c r="DY40" i="2"/>
  <c r="DY37" i="4"/>
  <c r="DY79" i="2"/>
  <c r="DY65" i="2"/>
  <c r="DT39" i="4"/>
  <c r="DO213" i="2"/>
  <c r="DO67" i="2"/>
  <c r="DO141" i="3"/>
  <c r="DO80" i="2"/>
  <c r="DO73" i="3"/>
  <c r="DO214" i="2"/>
  <c r="DO44" i="2"/>
  <c r="DO10" i="4"/>
  <c r="DY41" i="2" l="1"/>
  <c r="DO39" i="4"/>
  <c r="DT106" i="2"/>
  <c r="DT108" i="2" s="1"/>
  <c r="DT82" i="4"/>
  <c r="DT85" i="4" s="1"/>
  <c r="DT90" i="4" s="1"/>
  <c r="DY67" i="2" l="1"/>
  <c r="DY214" i="2"/>
  <c r="DY73" i="3"/>
  <c r="DY44" i="2"/>
  <c r="DY80" i="2"/>
  <c r="DY141" i="3"/>
  <c r="DY10" i="4"/>
  <c r="DY213" i="2"/>
  <c r="DO106" i="2"/>
  <c r="DO108" i="2" s="1"/>
  <c r="DO82" i="4"/>
  <c r="DO85" i="4" s="1"/>
  <c r="DO90" i="4" s="1"/>
  <c r="DY39" i="4" l="1"/>
  <c r="DY106" i="2" l="1"/>
  <c r="DY108" i="2" s="1"/>
  <c r="DY82" i="4"/>
  <c r="DY85" i="4" s="1"/>
  <c r="DY90" i="4" s="1"/>
  <c r="DI120" i="2" l="1"/>
  <c r="DI119" i="2" l="1"/>
  <c r="DJ120" i="2" l="1"/>
  <c r="DK121" i="2"/>
  <c r="DL121" i="2" s="1"/>
  <c r="DM121" i="2" s="1"/>
  <c r="DN121" i="2" l="1"/>
  <c r="DN122" i="2" s="1"/>
  <c r="DM120" i="2"/>
  <c r="DM119" i="2" s="1"/>
  <c r="DJ119" i="2"/>
  <c r="DK122" i="2"/>
  <c r="DK124" i="2" s="1"/>
  <c r="DL122" i="2"/>
  <c r="DL124" i="2" s="1"/>
  <c r="DL84" i="2" l="1"/>
  <c r="DN124" i="2"/>
  <c r="DM122" i="2"/>
  <c r="DL113" i="2"/>
  <c r="DK215" i="2"/>
  <c r="DO121" i="2"/>
  <c r="DO122" i="2" s="1"/>
  <c r="DO124" i="2" s="1"/>
  <c r="DK53" i="2" l="1"/>
  <c r="DM54" i="2"/>
  <c r="DM84" i="2" s="1"/>
  <c r="DO113" i="2"/>
  <c r="DP121" i="2"/>
  <c r="DN113" i="2"/>
  <c r="DR113" i="2" s="1"/>
  <c r="DO215" i="2"/>
  <c r="DP113" i="2"/>
  <c r="DO54" i="2"/>
  <c r="DO45" i="2" s="1"/>
  <c r="DO84" i="2" l="1"/>
  <c r="DN84" i="2"/>
  <c r="FE54" i="2"/>
  <c r="DK32" i="2"/>
  <c r="DK64" i="2"/>
  <c r="DK93" i="4"/>
  <c r="DM67" i="4"/>
  <c r="DO53" i="2"/>
  <c r="DO67" i="4"/>
  <c r="EZ54" i="2"/>
  <c r="DN67" i="4"/>
  <c r="DQ121" i="2"/>
  <c r="DR121" i="2" s="1"/>
  <c r="DM124" i="2"/>
  <c r="DL52" i="2"/>
  <c r="DL64" i="2"/>
  <c r="DK52" i="2"/>
  <c r="DK47" i="2"/>
  <c r="DM45" i="2"/>
  <c r="DL93" i="4"/>
  <c r="DL70" i="4"/>
  <c r="DP122" i="2"/>
  <c r="DK82" i="2"/>
  <c r="EZ45" i="2" l="1"/>
  <c r="FE45" i="2"/>
  <c r="FG45" i="2" s="1"/>
  <c r="FI54" i="2"/>
  <c r="FJ54" i="2"/>
  <c r="FG54" i="2"/>
  <c r="DL32" i="2"/>
  <c r="DQ122" i="2"/>
  <c r="DQ124" i="2" s="1"/>
  <c r="DQ215" i="2" s="1"/>
  <c r="DM52" i="2"/>
  <c r="DN93" i="4"/>
  <c r="DN70" i="4"/>
  <c r="DO82" i="2"/>
  <c r="DK144" i="3"/>
  <c r="DK145" i="3" s="1"/>
  <c r="DS121" i="2"/>
  <c r="DO93" i="4"/>
  <c r="DO70" i="4"/>
  <c r="DK74" i="4"/>
  <c r="DP124" i="2"/>
  <c r="DL159" i="2"/>
  <c r="DM123" i="2"/>
  <c r="DM93" i="4"/>
  <c r="DM70" i="4"/>
  <c r="DK159" i="2"/>
  <c r="DK162" i="2"/>
  <c r="DK81" i="2"/>
  <c r="DK83" i="2"/>
  <c r="DN52" i="2"/>
  <c r="DO47" i="2"/>
  <c r="DO52" i="2"/>
  <c r="DO50" i="2"/>
  <c r="DO30" i="2"/>
  <c r="DO78" i="2" s="1"/>
  <c r="FE52" i="2" l="1"/>
  <c r="FG52" i="2" s="1"/>
  <c r="EZ30" i="2"/>
  <c r="FE30" i="2"/>
  <c r="FG30" i="2" s="1"/>
  <c r="DR122" i="2"/>
  <c r="DQ54" i="2"/>
  <c r="DQ45" i="2" s="1"/>
  <c r="DK146" i="3"/>
  <c r="DM159" i="2"/>
  <c r="DL160" i="2"/>
  <c r="DL165" i="2"/>
  <c r="DT121" i="2"/>
  <c r="DK57" i="3"/>
  <c r="DK66" i="3"/>
  <c r="DL140" i="3"/>
  <c r="DO83" i="2"/>
  <c r="DO81" i="2"/>
  <c r="DO1" i="2"/>
  <c r="DO74" i="4"/>
  <c r="DK160" i="2"/>
  <c r="DK165" i="2"/>
  <c r="DQ113" i="2"/>
  <c r="DP54" i="2"/>
  <c r="DP45" i="2" s="1"/>
  <c r="DO159" i="2"/>
  <c r="DO64" i="2"/>
  <c r="DO32" i="2"/>
  <c r="DN159" i="2"/>
  <c r="FE64" i="2"/>
  <c r="FI64" i="2" s="1"/>
  <c r="DK78" i="4"/>
  <c r="DS122" i="2"/>
  <c r="DP84" i="2" l="1"/>
  <c r="EZ64" i="2"/>
  <c r="FE32" i="2"/>
  <c r="FG32" i="2" s="1"/>
  <c r="FG64" i="2"/>
  <c r="FI30" i="2"/>
  <c r="DQ84" i="2"/>
  <c r="DS113" i="2"/>
  <c r="DW113" i="2" s="1"/>
  <c r="DQ67" i="4"/>
  <c r="DQ93" i="4" s="1"/>
  <c r="DQ53" i="2"/>
  <c r="DL76" i="4"/>
  <c r="DK152" i="2"/>
  <c r="DO160" i="2"/>
  <c r="DO165" i="2"/>
  <c r="DU121" i="2"/>
  <c r="DU122" i="2" s="1"/>
  <c r="DU124" i="2" s="1"/>
  <c r="EZ32" i="2"/>
  <c r="DS124" i="2"/>
  <c r="DN160" i="2"/>
  <c r="DN165" i="2"/>
  <c r="DP67" i="4"/>
  <c r="DR54" i="2"/>
  <c r="DR84" i="2" s="1"/>
  <c r="DT122" i="2"/>
  <c r="DT124" i="2" s="1"/>
  <c r="DM160" i="2"/>
  <c r="DM165" i="2"/>
  <c r="FI32" i="2" l="1"/>
  <c r="DQ50" i="2"/>
  <c r="DQ83" i="2" s="1"/>
  <c r="DQ52" i="2"/>
  <c r="DQ47" i="2"/>
  <c r="DQ30" i="2"/>
  <c r="DQ70" i="4"/>
  <c r="DT113" i="2"/>
  <c r="DS54" i="2"/>
  <c r="DS84" i="2" s="1"/>
  <c r="DK102" i="2"/>
  <c r="DK68" i="3"/>
  <c r="DK104" i="2" s="1"/>
  <c r="DT215" i="2"/>
  <c r="DU113" i="2"/>
  <c r="DT54" i="2"/>
  <c r="DT84" i="2" s="1"/>
  <c r="DV113" i="2"/>
  <c r="DU54" i="2"/>
  <c r="DU84" i="2" s="1"/>
  <c r="DR124" i="2"/>
  <c r="DP52" i="2"/>
  <c r="DR45" i="2"/>
  <c r="DV121" i="2"/>
  <c r="DW121" i="2" s="1"/>
  <c r="DK79" i="4"/>
  <c r="DP93" i="4"/>
  <c r="DP70" i="4"/>
  <c r="DR67" i="4"/>
  <c r="DQ64" i="2" l="1"/>
  <c r="DQ78" i="2"/>
  <c r="DQ32" i="2"/>
  <c r="DQ1" i="2"/>
  <c r="DR123" i="2"/>
  <c r="DU67" i="4"/>
  <c r="DU45" i="2"/>
  <c r="DR93" i="4"/>
  <c r="DR70" i="4"/>
  <c r="DV122" i="2"/>
  <c r="DT53" i="2"/>
  <c r="DT45" i="2"/>
  <c r="DT67" i="4"/>
  <c r="DK74" i="3"/>
  <c r="DK26" i="3"/>
  <c r="DX121" i="2"/>
  <c r="DX122" i="2" s="1"/>
  <c r="DR52" i="2"/>
  <c r="FA54" i="2"/>
  <c r="DS45" i="2"/>
  <c r="DS67" i="4"/>
  <c r="DK62" i="3" l="1"/>
  <c r="DS52" i="2"/>
  <c r="FA45" i="2"/>
  <c r="DT82" i="2"/>
  <c r="DV124" i="2"/>
  <c r="DW122" i="2"/>
  <c r="DU52" i="2"/>
  <c r="DS93" i="4"/>
  <c r="DS70" i="4"/>
  <c r="DY121" i="2"/>
  <c r="DT93" i="4"/>
  <c r="DT70" i="4"/>
  <c r="DU93" i="4"/>
  <c r="DU70" i="4"/>
  <c r="DK61" i="3"/>
  <c r="DK58" i="3"/>
  <c r="DX124" i="2"/>
  <c r="DT52" i="2"/>
  <c r="DT47" i="2"/>
  <c r="DT30" i="2"/>
  <c r="DT78" i="2" s="1"/>
  <c r="DT50" i="2"/>
  <c r="DZ121" i="2" l="1"/>
  <c r="DZ122" i="2" s="1"/>
  <c r="DZ124" i="2" s="1"/>
  <c r="DT83" i="2"/>
  <c r="DT81" i="2"/>
  <c r="DT1" i="2"/>
  <c r="DT64" i="2"/>
  <c r="DT32" i="2"/>
  <c r="DK64" i="3"/>
  <c r="DK63" i="3"/>
  <c r="DV215" i="2"/>
  <c r="DV54" i="2"/>
  <c r="DV84" i="2" s="1"/>
  <c r="DT74" i="4"/>
  <c r="DY122" i="2"/>
  <c r="DY113" i="2"/>
  <c r="DX54" i="2"/>
  <c r="DX84" i="2" s="1"/>
  <c r="EA113" i="2" l="1"/>
  <c r="DZ54" i="2"/>
  <c r="DZ84" i="2" s="1"/>
  <c r="DX45" i="2"/>
  <c r="DX67" i="4"/>
  <c r="DX113" i="2"/>
  <c r="EB113" i="2" s="1"/>
  <c r="DV53" i="2"/>
  <c r="DV45" i="2"/>
  <c r="FB54" i="2"/>
  <c r="DV67" i="4"/>
  <c r="DW54" i="2"/>
  <c r="DW84" i="2" s="1"/>
  <c r="DY124" i="2"/>
  <c r="EA121" i="2"/>
  <c r="EB121" i="2" s="1"/>
  <c r="DV82" i="2" l="1"/>
  <c r="DX93" i="4"/>
  <c r="DX70" i="4"/>
  <c r="DV93" i="4"/>
  <c r="DV70" i="4"/>
  <c r="DW67" i="4"/>
  <c r="DZ45" i="2"/>
  <c r="DZ67" i="4"/>
  <c r="EA122" i="2"/>
  <c r="DZ113" i="2"/>
  <c r="DY215" i="2"/>
  <c r="DY54" i="2"/>
  <c r="DY84" i="2" s="1"/>
  <c r="DW124" i="2"/>
  <c r="DV47" i="2"/>
  <c r="DV52" i="2"/>
  <c r="DV50" i="2"/>
  <c r="DV30" i="2"/>
  <c r="DV78" i="2" s="1"/>
  <c r="DW45" i="2"/>
  <c r="FB45" i="2"/>
  <c r="DX52" i="2"/>
  <c r="DV81" i="2" l="1"/>
  <c r="DV83" i="2"/>
  <c r="DV1" i="2"/>
  <c r="EA124" i="2"/>
  <c r="EB122" i="2"/>
  <c r="DZ93" i="4"/>
  <c r="DZ70" i="4"/>
  <c r="DW52" i="2"/>
  <c r="DW123" i="2"/>
  <c r="DZ52" i="2"/>
  <c r="DW93" i="4"/>
  <c r="DW70" i="4"/>
  <c r="DV64" i="2"/>
  <c r="DV32" i="2"/>
  <c r="DY53" i="2"/>
  <c r="DY45" i="2"/>
  <c r="DY67" i="4"/>
  <c r="EA215" i="2" l="1"/>
  <c r="EA54" i="2"/>
  <c r="EA84" i="2" s="1"/>
  <c r="DY93" i="4"/>
  <c r="DY70" i="4"/>
  <c r="DY82" i="2"/>
  <c r="DY47" i="2"/>
  <c r="DY30" i="2"/>
  <c r="DY78" i="2" s="1"/>
  <c r="DY52" i="2"/>
  <c r="DY50" i="2"/>
  <c r="DY74" i="4" l="1"/>
  <c r="DY32" i="2"/>
  <c r="DY64" i="2"/>
  <c r="EA53" i="2"/>
  <c r="EA45" i="2"/>
  <c r="EA67" i="4"/>
  <c r="EB54" i="2"/>
  <c r="EB84" i="2" s="1"/>
  <c r="DY81" i="2"/>
  <c r="DY83" i="2"/>
  <c r="DY1" i="2"/>
  <c r="EA93" i="4" l="1"/>
  <c r="EA70" i="4"/>
  <c r="EB67" i="4"/>
  <c r="EA82" i="2"/>
  <c r="EB124" i="2"/>
  <c r="EA52" i="2"/>
  <c r="EA47" i="2"/>
  <c r="EA50" i="2"/>
  <c r="EA30" i="2"/>
  <c r="EA78" i="2" s="1"/>
  <c r="EB45" i="2"/>
  <c r="EA64" i="2" l="1"/>
  <c r="EA32" i="2"/>
  <c r="EA81" i="2"/>
  <c r="EA1" i="2"/>
  <c r="EB123" i="2"/>
  <c r="EB52" i="2"/>
  <c r="EB93" i="4"/>
  <c r="EB70" i="4"/>
  <c r="DK113" i="2" l="1"/>
  <c r="DJ215" i="2"/>
  <c r="DI215" i="2"/>
  <c r="DJ113" i="2"/>
  <c r="DI123" i="2"/>
  <c r="DJ123" i="2"/>
  <c r="R31" i="1" l="1"/>
  <c r="R33" i="1" l="1"/>
  <c r="R35" i="1"/>
  <c r="DO3" i="2" l="1"/>
  <c r="DQ3" i="2" l="1"/>
  <c r="DT3" i="2" l="1"/>
  <c r="DV3" i="2" l="1"/>
  <c r="DY3" i="2" l="1"/>
  <c r="EA3" i="2"/>
  <c r="DL148" i="2" l="1"/>
  <c r="DM148" i="2" l="1"/>
  <c r="DM151" i="2" s="1"/>
  <c r="DL151" i="2"/>
  <c r="DM33" i="2" l="1"/>
  <c r="DM35" i="2" l="1"/>
  <c r="DM39" i="2" l="1"/>
  <c r="DM40" i="2" l="1"/>
  <c r="DL141" i="3" l="1"/>
  <c r="DL80" i="2"/>
  <c r="DL214" i="2"/>
  <c r="DL215" i="2" s="1"/>
  <c r="DL73" i="3"/>
  <c r="DQ80" i="2"/>
  <c r="DM10" i="4"/>
  <c r="DL213" i="2"/>
  <c r="DL47" i="2"/>
  <c r="DM66" i="2"/>
  <c r="DM41" i="2"/>
  <c r="DL50" i="2" l="1"/>
  <c r="EA83" i="2" s="1"/>
  <c r="DL53" i="2"/>
  <c r="DL39" i="4"/>
  <c r="DL107" i="4" s="1"/>
  <c r="R6" i="1"/>
  <c r="V6" i="1" s="1"/>
  <c r="DM138" i="2"/>
  <c r="DM142" i="2" s="1"/>
  <c r="DM103" i="4"/>
  <c r="DM39" i="4"/>
  <c r="DM213" i="2"/>
  <c r="DM67" i="2"/>
  <c r="DM47" i="2"/>
  <c r="DM80" i="2"/>
  <c r="DM214" i="2"/>
  <c r="DM215" i="2" s="1"/>
  <c r="DM44" i="2"/>
  <c r="DM73" i="3"/>
  <c r="DM141" i="3"/>
  <c r="DQ82" i="2" l="1"/>
  <c r="DL81" i="2"/>
  <c r="DL74" i="4"/>
  <c r="DL82" i="4"/>
  <c r="DL85" i="4" s="1"/>
  <c r="DL90" i="4" s="1"/>
  <c r="DL106" i="2"/>
  <c r="DL108" i="2" s="1"/>
  <c r="DQ81" i="2"/>
  <c r="DL162" i="2"/>
  <c r="DM162" i="2" s="1"/>
  <c r="DL83" i="2"/>
  <c r="DL82" i="2"/>
  <c r="DL144" i="3"/>
  <c r="DL145" i="3" s="1"/>
  <c r="DL55" i="3"/>
  <c r="DM50" i="3"/>
  <c r="DM55" i="3" s="1"/>
  <c r="R7" i="1"/>
  <c r="DM106" i="2"/>
  <c r="DM108" i="2" s="1"/>
  <c r="DM82" i="4"/>
  <c r="DM85" i="4" s="1"/>
  <c r="DM90" i="4" s="1"/>
  <c r="DM74" i="4"/>
  <c r="DM107" i="4"/>
  <c r="DL109" i="4"/>
  <c r="DM53" i="2"/>
  <c r="DM50" i="2"/>
  <c r="R8" i="1" s="1"/>
  <c r="V8" i="1" s="1"/>
  <c r="DM32" i="2"/>
  <c r="DM64" i="2"/>
  <c r="DL78" i="4" l="1"/>
  <c r="DL79" i="4" s="1"/>
  <c r="DM144" i="3"/>
  <c r="DM145" i="3" s="1"/>
  <c r="DM146" i="3" s="1"/>
  <c r="DL146" i="3"/>
  <c r="DL57" i="3"/>
  <c r="DL66" i="3"/>
  <c r="R9" i="1"/>
  <c r="DM78" i="4"/>
  <c r="DM66" i="3"/>
  <c r="DN140" i="3"/>
  <c r="DM57" i="3"/>
  <c r="DR140" i="3"/>
  <c r="DM81" i="2"/>
  <c r="DM83" i="2"/>
  <c r="DM82" i="2"/>
  <c r="DR76" i="4" l="1"/>
  <c r="DN76" i="4"/>
  <c r="DL102" i="2"/>
  <c r="DM9" i="3"/>
  <c r="DL68" i="3"/>
  <c r="DL104" i="2" s="1"/>
  <c r="DL16" i="3"/>
  <c r="DM16" i="3" l="1"/>
  <c r="DM68" i="3"/>
  <c r="DM104" i="2" s="1"/>
  <c r="DM102" i="2"/>
  <c r="DM152" i="2"/>
  <c r="DL74" i="3"/>
  <c r="DL26" i="3"/>
  <c r="DM79" i="4"/>
  <c r="DM74" i="3" l="1"/>
  <c r="DM26" i="3"/>
  <c r="DL58" i="3"/>
  <c r="DM62" i="3"/>
  <c r="DL61" i="3"/>
  <c r="DL62" i="3"/>
  <c r="DM58" i="3" l="1"/>
  <c r="DL63" i="3"/>
  <c r="DM61" i="3"/>
  <c r="DL64" i="3"/>
  <c r="DM63" i="3" l="1"/>
  <c r="DM64" i="3"/>
  <c r="DR148" i="2"/>
  <c r="DR151" i="2" s="1"/>
  <c r="DN151" i="2"/>
  <c r="FE33" i="2"/>
  <c r="FG33" i="2" l="1"/>
  <c r="FI33" i="2"/>
  <c r="DR33" i="2"/>
  <c r="EZ33" i="2"/>
  <c r="FE35" i="2"/>
  <c r="FG35" i="2" s="1"/>
  <c r="EZ39" i="2" l="1"/>
  <c r="EZ35" i="2"/>
  <c r="FE39" i="2"/>
  <c r="FK66" i="2" l="1"/>
  <c r="FI39" i="2"/>
  <c r="FG39" i="2"/>
  <c r="FE41" i="2" l="1"/>
  <c r="FE40" i="2"/>
  <c r="EZ40" i="2"/>
  <c r="DN10" i="4" l="1"/>
  <c r="DN39" i="4" s="1"/>
  <c r="DN47" i="2"/>
  <c r="DN214" i="2"/>
  <c r="DN215" i="2" s="1"/>
  <c r="DN213" i="2"/>
  <c r="FE44" i="2"/>
  <c r="FG44" i="2" s="1"/>
  <c r="DN73" i="3"/>
  <c r="DN67" i="2"/>
  <c r="FE67" i="2" s="1"/>
  <c r="FI67" i="2" s="1"/>
  <c r="DN141" i="3"/>
  <c r="DN80" i="2"/>
  <c r="FE80" i="2" s="1"/>
  <c r="FG80" i="2" s="1"/>
  <c r="FG40" i="2"/>
  <c r="FI40" i="2"/>
  <c r="FG41" i="2"/>
  <c r="FI41" i="2"/>
  <c r="DN50" i="3"/>
  <c r="EZ66" i="2"/>
  <c r="EZ41" i="2"/>
  <c r="FE47" i="2" l="1"/>
  <c r="FI47" i="2" s="1"/>
  <c r="DN53" i="2"/>
  <c r="FE53" i="2" s="1"/>
  <c r="FI53" i="2" s="1"/>
  <c r="FI44" i="2"/>
  <c r="FG67" i="2"/>
  <c r="FE50" i="2"/>
  <c r="FI50" i="2" s="1"/>
  <c r="DN144" i="3"/>
  <c r="DN145" i="3" s="1"/>
  <c r="DN55" i="3"/>
  <c r="DO50" i="3"/>
  <c r="EZ80" i="2"/>
  <c r="EZ67" i="2"/>
  <c r="EZ53" i="2"/>
  <c r="EZ44" i="2"/>
  <c r="DO107" i="4"/>
  <c r="DN107" i="4"/>
  <c r="DN106" i="2"/>
  <c r="DN74" i="4"/>
  <c r="EP39" i="4"/>
  <c r="EP82" i="4" s="1"/>
  <c r="EP85" i="4" s="1"/>
  <c r="R21" i="1" s="1"/>
  <c r="DN82" i="4"/>
  <c r="DN85" i="4" s="1"/>
  <c r="DN90" i="4" s="1"/>
  <c r="FG53" i="2" l="1"/>
  <c r="FG47" i="2"/>
  <c r="DN162" i="2"/>
  <c r="DN1" i="2"/>
  <c r="DN3" i="2" s="1"/>
  <c r="DN81" i="2"/>
  <c r="FE81" i="2" s="1"/>
  <c r="FG81" i="2" s="1"/>
  <c r="DN83" i="2"/>
  <c r="DO162" i="2"/>
  <c r="DN82" i="2"/>
  <c r="FE82" i="2" s="1"/>
  <c r="FG50" i="2"/>
  <c r="R36" i="1"/>
  <c r="V21" i="1"/>
  <c r="DN108" i="2"/>
  <c r="FE108" i="2" s="1"/>
  <c r="FE106" i="2"/>
  <c r="DN109" i="4"/>
  <c r="DO109" i="4"/>
  <c r="EZ47" i="2"/>
  <c r="EZ50" i="2" s="1"/>
  <c r="R19" i="1" s="1"/>
  <c r="V19" i="1" s="1"/>
  <c r="DN146" i="3"/>
  <c r="DN78" i="4"/>
  <c r="DO144" i="3"/>
  <c r="DO55" i="3"/>
  <c r="DN66" i="3"/>
  <c r="DO140" i="3"/>
  <c r="DN57" i="3"/>
  <c r="FG108" i="2" l="1"/>
  <c r="FI108" i="2"/>
  <c r="FG106" i="2"/>
  <c r="FI106" i="2"/>
  <c r="R38" i="1"/>
  <c r="R20" i="1"/>
  <c r="DO145" i="3"/>
  <c r="DO146" i="3" s="1"/>
  <c r="DO57" i="3"/>
  <c r="DP140" i="3"/>
  <c r="DO66" i="3"/>
  <c r="DN9" i="3"/>
  <c r="DN79" i="4" s="1"/>
  <c r="DO76" i="4"/>
  <c r="EZ81" i="2"/>
  <c r="DO78" i="4" l="1"/>
  <c r="DN102" i="2"/>
  <c r="FE102" i="2" s="1"/>
  <c r="DN68" i="3"/>
  <c r="DN104" i="2" s="1"/>
  <c r="FE104" i="2" s="1"/>
  <c r="DN16" i="3"/>
  <c r="FG102" i="2" l="1"/>
  <c r="FI102" i="2"/>
  <c r="FI104" i="2"/>
  <c r="FG104" i="2"/>
  <c r="DO9" i="3"/>
  <c r="DO79" i="4" s="1"/>
  <c r="DP76" i="4"/>
  <c r="DN74" i="3"/>
  <c r="DN26" i="3"/>
  <c r="DO102" i="2" l="1"/>
  <c r="DO16" i="3"/>
  <c r="DO68" i="3"/>
  <c r="DO104" i="2" s="1"/>
  <c r="DN62" i="3"/>
  <c r="DN58" i="3"/>
  <c r="DN61" i="3"/>
  <c r="DO26" i="3" l="1"/>
  <c r="DO74" i="3"/>
  <c r="DN63" i="3"/>
  <c r="DN64" i="3"/>
  <c r="DO58" i="3" l="1"/>
  <c r="DO61" i="3"/>
  <c r="DO62" i="3"/>
  <c r="DO63" i="3" l="1"/>
  <c r="DO64" i="3"/>
  <c r="DP17" i="2" l="1"/>
  <c r="DP57" i="2" s="1"/>
  <c r="DP69" i="2"/>
  <c r="DR10" i="2"/>
  <c r="DR69" i="2" s="1"/>
  <c r="FA10" i="2"/>
  <c r="FB100" i="2"/>
  <c r="DT158" i="2" l="1"/>
  <c r="DP73" i="2"/>
  <c r="FA17" i="2"/>
  <c r="S15" i="1" s="1"/>
  <c r="S16" i="1" s="1"/>
  <c r="DP158" i="2"/>
  <c r="DP74" i="2"/>
  <c r="FA69" i="2"/>
  <c r="DP50" i="4"/>
  <c r="DQ158" i="2"/>
  <c r="DR158" i="2" s="1"/>
  <c r="DP56" i="2"/>
  <c r="DP80" i="3"/>
  <c r="DP12" i="3" s="1"/>
  <c r="DQ27" i="4" s="1"/>
  <c r="DS158" i="2"/>
  <c r="DR17" i="2"/>
  <c r="S4" i="1" s="1"/>
  <c r="S5" i="1" s="1"/>
  <c r="DP58" i="2"/>
  <c r="DR21" i="2"/>
  <c r="DP167" i="2"/>
  <c r="FA21" i="2"/>
  <c r="DP81" i="3"/>
  <c r="DR27" i="2"/>
  <c r="DP75" i="2"/>
  <c r="DU69" i="2"/>
  <c r="FB10" i="2"/>
  <c r="DW10" i="2"/>
  <c r="DU17" i="2"/>
  <c r="DP60" i="2"/>
  <c r="DR23" i="2"/>
  <c r="FA23" i="2"/>
  <c r="DP59" i="2"/>
  <c r="DR22" i="2"/>
  <c r="FA22" i="2"/>
  <c r="DP27" i="4" l="1"/>
  <c r="DT108" i="4"/>
  <c r="EQ50" i="4"/>
  <c r="EQ84" i="4" s="1"/>
  <c r="DS108" i="4"/>
  <c r="DP53" i="4"/>
  <c r="DP108" i="4"/>
  <c r="DP84" i="4"/>
  <c r="DP107" i="2"/>
  <c r="S37" i="1"/>
  <c r="DR50" i="4"/>
  <c r="DQ108" i="4"/>
  <c r="DR108" i="4" s="1"/>
  <c r="FA73" i="2"/>
  <c r="DR56" i="2"/>
  <c r="DR74" i="2"/>
  <c r="DR73" i="2"/>
  <c r="DR57" i="2"/>
  <c r="DP12" i="4"/>
  <c r="DP62" i="2"/>
  <c r="T10" i="1"/>
  <c r="FB69" i="2"/>
  <c r="FA59" i="2"/>
  <c r="FA58" i="2"/>
  <c r="DP13" i="3"/>
  <c r="DP30" i="3"/>
  <c r="DR59" i="2"/>
  <c r="FA60" i="2"/>
  <c r="DU74" i="2"/>
  <c r="DU57" i="2"/>
  <c r="DU73" i="2"/>
  <c r="DU158" i="2"/>
  <c r="DY158" i="2"/>
  <c r="DU56" i="2"/>
  <c r="DX158" i="2"/>
  <c r="DV158" i="2"/>
  <c r="DW158" i="2" s="1"/>
  <c r="DU50" i="4"/>
  <c r="DU80" i="3"/>
  <c r="DU12" i="3" s="1"/>
  <c r="FB17" i="2"/>
  <c r="DR60" i="2"/>
  <c r="DR27" i="4"/>
  <c r="DW69" i="2"/>
  <c r="DW17" i="2"/>
  <c r="T4" i="1" s="1"/>
  <c r="T5" i="1" s="1"/>
  <c r="DR75" i="2"/>
  <c r="DZ69" i="2"/>
  <c r="EB10" i="2"/>
  <c r="DZ17" i="2"/>
  <c r="DR167" i="2"/>
  <c r="DR58" i="2"/>
  <c r="S31" i="1" l="1"/>
  <c r="DR53" i="4"/>
  <c r="DR107" i="2"/>
  <c r="DR99" i="4"/>
  <c r="DR84" i="4"/>
  <c r="FA24" i="2"/>
  <c r="FA61" i="2" s="1"/>
  <c r="DP82" i="3"/>
  <c r="DR24" i="2"/>
  <c r="DP61" i="2"/>
  <c r="DS163" i="2"/>
  <c r="DS164" i="2" s="1"/>
  <c r="DQ163" i="2"/>
  <c r="DR163" i="2" s="1"/>
  <c r="DR164" i="2" s="1"/>
  <c r="DP83" i="3"/>
  <c r="DP29" i="2"/>
  <c r="DP77" i="2" s="1"/>
  <c r="FA25" i="2"/>
  <c r="FA62" i="2" s="1"/>
  <c r="DP163" i="2"/>
  <c r="DP164" i="2" s="1"/>
  <c r="DR25" i="2"/>
  <c r="DR62" i="2" s="1"/>
  <c r="DT163" i="2"/>
  <c r="DT164" i="2" s="1"/>
  <c r="DP76" i="2"/>
  <c r="T15" i="1"/>
  <c r="DZ74" i="2"/>
  <c r="DZ73" i="2"/>
  <c r="DZ56" i="2"/>
  <c r="DZ158" i="2"/>
  <c r="DZ57" i="2"/>
  <c r="EA158" i="2"/>
  <c r="EB158" i="2" s="1"/>
  <c r="DZ50" i="4"/>
  <c r="DZ80" i="3"/>
  <c r="DZ12" i="3" s="1"/>
  <c r="DU108" i="4"/>
  <c r="DY108" i="4"/>
  <c r="DU84" i="4"/>
  <c r="DU107" i="2"/>
  <c r="DV108" i="4"/>
  <c r="DW108" i="4" s="1"/>
  <c r="DX108" i="4"/>
  <c r="DU53" i="4"/>
  <c r="ER50" i="4"/>
  <c r="ER84" i="4" s="1"/>
  <c r="DW50" i="4"/>
  <c r="DP30" i="4"/>
  <c r="DP41" i="3"/>
  <c r="DP75" i="3" s="1"/>
  <c r="DQ30" i="4"/>
  <c r="DW57" i="2"/>
  <c r="DW56" i="2"/>
  <c r="DW74" i="2"/>
  <c r="DW73" i="2"/>
  <c r="DQ28" i="4"/>
  <c r="DP28" i="4"/>
  <c r="DU75" i="2"/>
  <c r="EB69" i="2"/>
  <c r="EB17" i="2"/>
  <c r="DU60" i="2"/>
  <c r="FB23" i="2"/>
  <c r="DW23" i="2"/>
  <c r="DR12" i="4"/>
  <c r="DP20" i="3"/>
  <c r="FB73" i="2"/>
  <c r="FB22" i="2"/>
  <c r="DU59" i="2"/>
  <c r="DW22" i="2"/>
  <c r="DU27" i="4"/>
  <c r="DV27" i="4"/>
  <c r="DU58" i="2"/>
  <c r="DW21" i="2"/>
  <c r="DU167" i="2"/>
  <c r="FB21" i="2"/>
  <c r="DU81" i="3"/>
  <c r="DR61" i="2" l="1"/>
  <c r="DP31" i="2"/>
  <c r="DP79" i="2" s="1"/>
  <c r="DP30" i="2"/>
  <c r="DP63" i="2"/>
  <c r="DP60" i="3"/>
  <c r="DQ164" i="2"/>
  <c r="DR29" i="2"/>
  <c r="DR31" i="2" s="1"/>
  <c r="DR76" i="2"/>
  <c r="T16" i="1"/>
  <c r="T37" i="1"/>
  <c r="FB59" i="2"/>
  <c r="FB58" i="2"/>
  <c r="FB60" i="2"/>
  <c r="DU83" i="3"/>
  <c r="DZ75" i="2"/>
  <c r="DU76" i="2"/>
  <c r="DW25" i="2"/>
  <c r="DU62" i="2"/>
  <c r="DU82" i="3"/>
  <c r="DY163" i="2"/>
  <c r="DY164" i="2" s="1"/>
  <c r="DV163" i="2"/>
  <c r="DX163" i="2"/>
  <c r="DX164" i="2" s="1"/>
  <c r="DU163" i="2"/>
  <c r="DU164" i="2" s="1"/>
  <c r="FB25" i="2"/>
  <c r="DZ60" i="2"/>
  <c r="EB23" i="2"/>
  <c r="DW58" i="2"/>
  <c r="DW167" i="2"/>
  <c r="DW27" i="4"/>
  <c r="DW59" i="2"/>
  <c r="DW60" i="2"/>
  <c r="EB56" i="2"/>
  <c r="EB57" i="2"/>
  <c r="EB74" i="2"/>
  <c r="EB73" i="2"/>
  <c r="DR28" i="4"/>
  <c r="DP37" i="4"/>
  <c r="DP48" i="3"/>
  <c r="DW107" i="2"/>
  <c r="DW99" i="4"/>
  <c r="DW84" i="4"/>
  <c r="DW53" i="4"/>
  <c r="DZ107" i="2"/>
  <c r="DZ108" i="4"/>
  <c r="DZ84" i="4"/>
  <c r="DZ53" i="4"/>
  <c r="EB50" i="4"/>
  <c r="EA108" i="4"/>
  <c r="EB108" i="4" s="1"/>
  <c r="DZ58" i="2"/>
  <c r="EB21" i="2"/>
  <c r="DZ167" i="2"/>
  <c r="DZ81" i="3"/>
  <c r="DQ37" i="4"/>
  <c r="DR30" i="4"/>
  <c r="DZ59" i="2"/>
  <c r="EB22" i="2"/>
  <c r="DU61" i="2"/>
  <c r="DW24" i="2"/>
  <c r="FB24" i="2"/>
  <c r="DU12" i="4"/>
  <c r="DU13" i="3"/>
  <c r="DU30" i="3"/>
  <c r="DU29" i="2"/>
  <c r="DQ20" i="3"/>
  <c r="T31" i="1"/>
  <c r="EA27" i="4"/>
  <c r="DZ27" i="4"/>
  <c r="DR30" i="2" l="1"/>
  <c r="DR78" i="2" s="1"/>
  <c r="DP78" i="2"/>
  <c r="DP161" i="2"/>
  <c r="DP67" i="3" s="1"/>
  <c r="DP65" i="2"/>
  <c r="DQ161" i="2"/>
  <c r="DR161" i="2" s="1"/>
  <c r="DR67" i="3" s="1"/>
  <c r="DR77" i="2"/>
  <c r="DP32" i="2"/>
  <c r="DP64" i="2"/>
  <c r="DP159" i="2"/>
  <c r="DP165" i="2" s="1"/>
  <c r="DQ159" i="2"/>
  <c r="DQ165" i="2" s="1"/>
  <c r="DR63" i="2"/>
  <c r="DQ60" i="3"/>
  <c r="DR60" i="3"/>
  <c r="FB61" i="2"/>
  <c r="FB62" i="2"/>
  <c r="DZ83" i="3"/>
  <c r="DW61" i="2"/>
  <c r="DQ39" i="4"/>
  <c r="DZ30" i="3"/>
  <c r="DZ13" i="3"/>
  <c r="EB167" i="2"/>
  <c r="EB58" i="2"/>
  <c r="DR37" i="4"/>
  <c r="DW163" i="2"/>
  <c r="DW164" i="2" s="1"/>
  <c r="DV164" i="2"/>
  <c r="DU63" i="2"/>
  <c r="DU77" i="2"/>
  <c r="DU30" i="2"/>
  <c r="DU78" i="2" s="1"/>
  <c r="DU31" i="2"/>
  <c r="DW76" i="2"/>
  <c r="DW62" i="2"/>
  <c r="EB27" i="4"/>
  <c r="DZ61" i="2"/>
  <c r="EB24" i="2"/>
  <c r="DZ12" i="4"/>
  <c r="EB59" i="2"/>
  <c r="DZ76" i="2"/>
  <c r="DZ163" i="2"/>
  <c r="DZ164" i="2" s="1"/>
  <c r="DZ82" i="3"/>
  <c r="DZ62" i="2"/>
  <c r="EB25" i="2"/>
  <c r="EA163" i="2"/>
  <c r="DR79" i="2"/>
  <c r="DR65" i="2"/>
  <c r="DR20" i="3"/>
  <c r="DV30" i="4"/>
  <c r="DU30" i="4"/>
  <c r="DU41" i="3"/>
  <c r="DW12" i="4"/>
  <c r="DV28" i="4"/>
  <c r="DU28" i="4"/>
  <c r="EB107" i="2"/>
  <c r="EB99" i="4"/>
  <c r="EB84" i="4"/>
  <c r="EB53" i="4"/>
  <c r="EB60" i="2"/>
  <c r="DZ29" i="2"/>
  <c r="DQ67" i="3" l="1"/>
  <c r="DR159" i="2"/>
  <c r="DR165" i="2" s="1"/>
  <c r="DP160" i="2"/>
  <c r="DQ160" i="2"/>
  <c r="DW28" i="4"/>
  <c r="DU37" i="4"/>
  <c r="EB12" i="4"/>
  <c r="DU79" i="2"/>
  <c r="DU65" i="2"/>
  <c r="EA30" i="4"/>
  <c r="DZ41" i="3"/>
  <c r="DZ75" i="3" s="1"/>
  <c r="DZ30" i="4"/>
  <c r="DZ77" i="2"/>
  <c r="DZ63" i="2"/>
  <c r="DZ31" i="2"/>
  <c r="DZ30" i="2"/>
  <c r="DZ78" i="2" s="1"/>
  <c r="DU48" i="3"/>
  <c r="DS20" i="3"/>
  <c r="EA164" i="2"/>
  <c r="EB163" i="2"/>
  <c r="EB164" i="2" s="1"/>
  <c r="EB61" i="2"/>
  <c r="DU64" i="2"/>
  <c r="DU32" i="2"/>
  <c r="DQ106" i="2"/>
  <c r="DQ108" i="2" s="1"/>
  <c r="DQ82" i="4"/>
  <c r="DQ85" i="4" s="1"/>
  <c r="DQ90" i="4" s="1"/>
  <c r="DQ74" i="4"/>
  <c r="EB76" i="2"/>
  <c r="EB62" i="2"/>
  <c r="DV37" i="4"/>
  <c r="DW30" i="4"/>
  <c r="DU75" i="3"/>
  <c r="EA28" i="4"/>
  <c r="DZ28" i="4"/>
  <c r="DR160" i="2" l="1"/>
  <c r="DT20" i="3"/>
  <c r="DZ64" i="2"/>
  <c r="DZ32" i="2"/>
  <c r="DV39" i="4"/>
  <c r="EB30" i="4"/>
  <c r="DW37" i="4"/>
  <c r="EB28" i="4"/>
  <c r="DZ37" i="4"/>
  <c r="EA37" i="4"/>
  <c r="DZ79" i="2"/>
  <c r="DZ65" i="2"/>
  <c r="DZ48" i="3"/>
  <c r="EB37" i="4" l="1"/>
  <c r="DV82" i="4"/>
  <c r="DV85" i="4" s="1"/>
  <c r="DV90" i="4" s="1"/>
  <c r="DV106" i="2"/>
  <c r="DV108" i="2" s="1"/>
  <c r="DV74" i="4"/>
  <c r="EA39" i="4"/>
  <c r="DU20" i="3"/>
  <c r="DV20" i="3" l="1"/>
  <c r="EA74" i="4"/>
  <c r="EA82" i="4"/>
  <c r="EA85" i="4" s="1"/>
  <c r="EA90" i="4" s="1"/>
  <c r="EA106" i="2"/>
  <c r="EA108" i="2" s="1"/>
  <c r="DW20" i="3" l="1"/>
  <c r="DX20" i="3" l="1"/>
  <c r="DY20" i="3" l="1"/>
  <c r="DZ20" i="3" l="1"/>
  <c r="EA20" i="3" l="1"/>
  <c r="EB20" i="3" l="1"/>
  <c r="DM145" i="2" l="1"/>
  <c r="DK146" i="2"/>
  <c r="DP146" i="2" s="1"/>
  <c r="DP145" i="2" l="1"/>
  <c r="DU146" i="2"/>
  <c r="DU145" i="2" l="1"/>
  <c r="DZ146" i="2"/>
  <c r="DZ145" i="2" s="1"/>
  <c r="DR145" i="2"/>
  <c r="DP34" i="2"/>
  <c r="DP125" i="3" l="1"/>
  <c r="DR34" i="2"/>
  <c r="DP35" i="2"/>
  <c r="DP39" i="2" s="1"/>
  <c r="FA34" i="2"/>
  <c r="EB145" i="2"/>
  <c r="DZ34" i="2"/>
  <c r="DW145" i="2"/>
  <c r="DU34" i="2"/>
  <c r="FA35" i="2" l="1"/>
  <c r="DR35" i="2"/>
  <c r="DR39" i="2" s="1"/>
  <c r="EB34" i="2"/>
  <c r="DZ125" i="3"/>
  <c r="DZ35" i="2"/>
  <c r="DU125" i="3"/>
  <c r="DW34" i="2"/>
  <c r="FB34" i="2"/>
  <c r="DU35" i="2"/>
  <c r="DR125" i="3"/>
  <c r="DP126" i="3"/>
  <c r="EB35" i="2" l="1"/>
  <c r="DZ39" i="2"/>
  <c r="DZ126" i="3"/>
  <c r="EB125" i="3"/>
  <c r="DP40" i="2"/>
  <c r="DP41" i="2" s="1"/>
  <c r="FB35" i="2"/>
  <c r="DW35" i="2"/>
  <c r="DU39" i="2"/>
  <c r="DW125" i="3"/>
  <c r="DU126" i="3"/>
  <c r="DR40" i="2" l="1"/>
  <c r="DR41" i="2" s="1"/>
  <c r="DZ40" i="2"/>
  <c r="DP67" i="2"/>
  <c r="DP213" i="2"/>
  <c r="DP80" i="2"/>
  <c r="DP214" i="2"/>
  <c r="DP215" i="2" s="1"/>
  <c r="DP47" i="2"/>
  <c r="DP141" i="3"/>
  <c r="DP73" i="3"/>
  <c r="DP10" i="4"/>
  <c r="DP44" i="2"/>
  <c r="DU40" i="2"/>
  <c r="DU41" i="2" s="1"/>
  <c r="DR67" i="2" l="1"/>
  <c r="DR213" i="2"/>
  <c r="DR44" i="2"/>
  <c r="DR50" i="2" s="1"/>
  <c r="DR214" i="2"/>
  <c r="DR215" i="2" s="1"/>
  <c r="DR73" i="3"/>
  <c r="DR141" i="3"/>
  <c r="DR80" i="2"/>
  <c r="DZ41" i="2"/>
  <c r="DR66" i="2"/>
  <c r="DP53" i="2"/>
  <c r="DP50" i="2"/>
  <c r="DP50" i="3"/>
  <c r="DU213" i="2"/>
  <c r="DU141" i="3"/>
  <c r="DU214" i="2"/>
  <c r="DU215" i="2" s="1"/>
  <c r="DU80" i="2"/>
  <c r="DU67" i="2"/>
  <c r="DU44" i="2"/>
  <c r="DU47" i="2"/>
  <c r="DU73" i="3"/>
  <c r="DU10" i="4"/>
  <c r="DP39" i="4"/>
  <c r="DR10" i="4"/>
  <c r="DQ107" i="4" l="1"/>
  <c r="DP106" i="2"/>
  <c r="DP108" i="2" s="1"/>
  <c r="DP82" i="4"/>
  <c r="DP85" i="4" s="1"/>
  <c r="DP90" i="4" s="1"/>
  <c r="DP107" i="4"/>
  <c r="DP109" i="4" s="1"/>
  <c r="DP74" i="4"/>
  <c r="DU53" i="2"/>
  <c r="DU50" i="2"/>
  <c r="DP82" i="2"/>
  <c r="DR53" i="2"/>
  <c r="S8" i="1"/>
  <c r="DP144" i="3"/>
  <c r="DP145" i="3" s="1"/>
  <c r="DQ50" i="3"/>
  <c r="DP55" i="3"/>
  <c r="DR103" i="4"/>
  <c r="DR39" i="4"/>
  <c r="DP162" i="2"/>
  <c r="DP1" i="2"/>
  <c r="DP81" i="2"/>
  <c r="DP83" i="2"/>
  <c r="DQ162" i="2"/>
  <c r="DR162" i="2" s="1"/>
  <c r="DU39" i="4"/>
  <c r="DR138" i="2"/>
  <c r="DR142" i="2" s="1"/>
  <c r="S6" i="1"/>
  <c r="DR47" i="2"/>
  <c r="DZ213" i="2"/>
  <c r="DZ141" i="3"/>
  <c r="DZ67" i="2"/>
  <c r="DZ214" i="2"/>
  <c r="DZ215" i="2" s="1"/>
  <c r="DZ80" i="2"/>
  <c r="DZ47" i="2"/>
  <c r="DZ44" i="2"/>
  <c r="DZ73" i="3"/>
  <c r="DZ10" i="4"/>
  <c r="S9" i="1" l="1"/>
  <c r="S7" i="1"/>
  <c r="DZ53" i="2"/>
  <c r="DZ50" i="2"/>
  <c r="DZ39" i="4"/>
  <c r="DP3" i="2"/>
  <c r="DU83" i="2"/>
  <c r="DU81" i="2"/>
  <c r="DU1" i="2"/>
  <c r="DR64" i="2"/>
  <c r="DR32" i="2"/>
  <c r="DU106" i="2"/>
  <c r="DU108" i="2" s="1"/>
  <c r="DU82" i="4"/>
  <c r="DU85" i="4" s="1"/>
  <c r="DU90" i="4" s="1"/>
  <c r="DU74" i="4"/>
  <c r="DR106" i="2"/>
  <c r="DR108" i="2" s="1"/>
  <c r="DR82" i="4"/>
  <c r="DR85" i="4" s="1"/>
  <c r="DR90" i="4" s="1"/>
  <c r="DR74" i="4"/>
  <c r="DQ144" i="3"/>
  <c r="DQ55" i="3"/>
  <c r="DR50" i="3"/>
  <c r="DR83" i="2"/>
  <c r="DR81" i="2"/>
  <c r="DR1" i="2"/>
  <c r="DU82" i="2"/>
  <c r="DR107" i="4"/>
  <c r="DQ109" i="4"/>
  <c r="DP66" i="3"/>
  <c r="DP57" i="3"/>
  <c r="DQ140" i="3"/>
  <c r="DP146" i="3"/>
  <c r="DR82" i="2"/>
  <c r="DP78" i="4"/>
  <c r="DP9" i="3" l="1"/>
  <c r="DQ76" i="4"/>
  <c r="DZ81" i="2"/>
  <c r="DZ83" i="2"/>
  <c r="DZ1" i="2"/>
  <c r="DR78" i="4"/>
  <c r="DR144" i="3"/>
  <c r="DR145" i="3" s="1"/>
  <c r="DR55" i="3"/>
  <c r="DU3" i="2"/>
  <c r="DQ145" i="3"/>
  <c r="DQ146" i="3" s="1"/>
  <c r="DR3" i="2"/>
  <c r="DQ66" i="3"/>
  <c r="DQ57" i="3"/>
  <c r="DZ106" i="2"/>
  <c r="DZ108" i="2" s="1"/>
  <c r="DZ74" i="4"/>
  <c r="DZ82" i="4"/>
  <c r="DZ85" i="4" s="1"/>
  <c r="DZ90" i="4" s="1"/>
  <c r="DZ82" i="2"/>
  <c r="DP79" i="4" l="1"/>
  <c r="DR146" i="3"/>
  <c r="DR57" i="3"/>
  <c r="DR66" i="3"/>
  <c r="DS140" i="3"/>
  <c r="DW140" i="3"/>
  <c r="DQ78" i="4"/>
  <c r="DZ3" i="2"/>
  <c r="DW76" i="4"/>
  <c r="DS76" i="4"/>
  <c r="DP102" i="2"/>
  <c r="DP68" i="3"/>
  <c r="DP104" i="2" s="1"/>
  <c r="DP16" i="3"/>
  <c r="DP74" i="3" l="1"/>
  <c r="DP26" i="3"/>
  <c r="DQ9" i="3"/>
  <c r="DP58" i="3" l="1"/>
  <c r="DP62" i="3"/>
  <c r="DP61" i="3"/>
  <c r="DQ102" i="2"/>
  <c r="DQ68" i="3"/>
  <c r="DQ104" i="2" s="1"/>
  <c r="DR9" i="3"/>
  <c r="DQ16" i="3"/>
  <c r="DQ79" i="4"/>
  <c r="DQ74" i="3" l="1"/>
  <c r="DQ26" i="3"/>
  <c r="DR152" i="2"/>
  <c r="DR102" i="2"/>
  <c r="DR68" i="3"/>
  <c r="DR104" i="2" s="1"/>
  <c r="DR16" i="3"/>
  <c r="DR79" i="4"/>
  <c r="DP63" i="3"/>
  <c r="DP64" i="3"/>
  <c r="DQ58" i="3" l="1"/>
  <c r="DQ61" i="3"/>
  <c r="DQ62" i="3"/>
  <c r="DR62" i="3"/>
  <c r="DR26" i="3"/>
  <c r="DR74" i="3"/>
  <c r="DR58" i="3" l="1"/>
  <c r="DQ63" i="3"/>
  <c r="DR61" i="3"/>
  <c r="DQ64" i="3"/>
  <c r="DR63" i="3" l="1"/>
  <c r="DR64" i="3"/>
  <c r="FE48" i="2" l="1"/>
  <c r="FI48" i="2" l="1"/>
  <c r="FG48" i="2"/>
  <c r="DS75" i="2" l="1"/>
  <c r="DS83" i="3"/>
  <c r="DS29" i="2"/>
  <c r="FA27" i="2"/>
  <c r="DW27" i="2"/>
  <c r="DX75" i="2"/>
  <c r="DX83" i="3"/>
  <c r="DX29" i="2"/>
  <c r="FB27" i="2"/>
  <c r="EB27" i="2"/>
  <c r="EB75" i="2" l="1"/>
  <c r="EB29" i="2"/>
  <c r="DS63" i="2"/>
  <c r="DS77" i="2"/>
  <c r="DU60" i="3"/>
  <c r="DT60" i="3"/>
  <c r="DS60" i="3"/>
  <c r="DS30" i="2"/>
  <c r="DS31" i="2"/>
  <c r="DS39" i="2"/>
  <c r="FB75" i="2"/>
  <c r="FB29" i="2"/>
  <c r="DZ60" i="3"/>
  <c r="DX63" i="2"/>
  <c r="DX60" i="3"/>
  <c r="DX77" i="2"/>
  <c r="DY60" i="3"/>
  <c r="DX31" i="2"/>
  <c r="DX30" i="2"/>
  <c r="DX39" i="2"/>
  <c r="DW75" i="2"/>
  <c r="DW29" i="2"/>
  <c r="FA75" i="2"/>
  <c r="FA29" i="2"/>
  <c r="DW77" i="2" l="1"/>
  <c r="DW63" i="2"/>
  <c r="DW31" i="2"/>
  <c r="DW60" i="3"/>
  <c r="DW39" i="2"/>
  <c r="DV60" i="3"/>
  <c r="DS78" i="2"/>
  <c r="DS64" i="2"/>
  <c r="DU159" i="2"/>
  <c r="DV159" i="2"/>
  <c r="DT159" i="2"/>
  <c r="DS32" i="2"/>
  <c r="DS159" i="2"/>
  <c r="DW30" i="2"/>
  <c r="FA30" i="2"/>
  <c r="FA63" i="2"/>
  <c r="FA77" i="2"/>
  <c r="FA39" i="2"/>
  <c r="FA31" i="2"/>
  <c r="DX79" i="2"/>
  <c r="DX65" i="2"/>
  <c r="DX161" i="2"/>
  <c r="DX67" i="3" s="1"/>
  <c r="EA161" i="2"/>
  <c r="DZ161" i="2"/>
  <c r="DZ67" i="3" s="1"/>
  <c r="DY161" i="2"/>
  <c r="DY67" i="3" s="1"/>
  <c r="DS40" i="2"/>
  <c r="DS41" i="2" s="1"/>
  <c r="EB63" i="2"/>
  <c r="EB77" i="2"/>
  <c r="EB60" i="3"/>
  <c r="EB31" i="2"/>
  <c r="EA60" i="3"/>
  <c r="EB39" i="2"/>
  <c r="DX64" i="2"/>
  <c r="DY159" i="2"/>
  <c r="DX78" i="2"/>
  <c r="DZ159" i="2"/>
  <c r="EA159" i="2"/>
  <c r="DX159" i="2"/>
  <c r="FB30" i="2"/>
  <c r="EB30" i="2"/>
  <c r="DX32" i="2"/>
  <c r="DX40" i="2"/>
  <c r="DX41" i="2" s="1"/>
  <c r="FB77" i="2"/>
  <c r="FB63" i="2"/>
  <c r="FB31" i="2"/>
  <c r="FB39" i="2"/>
  <c r="DS161" i="2"/>
  <c r="DS67" i="3" s="1"/>
  <c r="DS65" i="2"/>
  <c r="DV161" i="2"/>
  <c r="DS79" i="2"/>
  <c r="DT161" i="2"/>
  <c r="DT67" i="3" s="1"/>
  <c r="DU161" i="2"/>
  <c r="DU67" i="3" s="1"/>
  <c r="DS80" i="2" l="1"/>
  <c r="DS67" i="2"/>
  <c r="DS213" i="2"/>
  <c r="DS73" i="3"/>
  <c r="DS214" i="2"/>
  <c r="DS215" i="2" s="1"/>
  <c r="DS141" i="3"/>
  <c r="DS47" i="2"/>
  <c r="DS10" i="4"/>
  <c r="DS44" i="2"/>
  <c r="DX67" i="2"/>
  <c r="DX213" i="2"/>
  <c r="DX80" i="2"/>
  <c r="DX141" i="3"/>
  <c r="DX73" i="3"/>
  <c r="DX44" i="2"/>
  <c r="DX214" i="2"/>
  <c r="DX215" i="2" s="1"/>
  <c r="DX47" i="2"/>
  <c r="DX10" i="4"/>
  <c r="DZ165" i="2"/>
  <c r="DZ160" i="2"/>
  <c r="FA64" i="2"/>
  <c r="FB64" i="2"/>
  <c r="DW64" i="2"/>
  <c r="DW78" i="2"/>
  <c r="DW32" i="2"/>
  <c r="T6" i="1"/>
  <c r="T7" i="1" s="1"/>
  <c r="DV160" i="2"/>
  <c r="DW159" i="2"/>
  <c r="DV165" i="2"/>
  <c r="T17" i="1"/>
  <c r="FB79" i="2"/>
  <c r="FB65" i="2"/>
  <c r="DX160" i="2"/>
  <c r="DX165" i="2"/>
  <c r="DY160" i="2"/>
  <c r="DY165" i="2"/>
  <c r="S17" i="1"/>
  <c r="FA79" i="2"/>
  <c r="FA65" i="2"/>
  <c r="DS165" i="2"/>
  <c r="DS160" i="2"/>
  <c r="DU160" i="2"/>
  <c r="DU165" i="2"/>
  <c r="DW79" i="2"/>
  <c r="DW65" i="2"/>
  <c r="EB64" i="2"/>
  <c r="EB78" i="2"/>
  <c r="EB32" i="2"/>
  <c r="EB79" i="2"/>
  <c r="EB65" i="2"/>
  <c r="DT165" i="2"/>
  <c r="DT160" i="2"/>
  <c r="DV67" i="3"/>
  <c r="DW161" i="2"/>
  <c r="DW67" i="3" s="1"/>
  <c r="FB40" i="2"/>
  <c r="EB40" i="2"/>
  <c r="FA40" i="2"/>
  <c r="DW40" i="2"/>
  <c r="DW41" i="2" s="1"/>
  <c r="FB32" i="2"/>
  <c r="EA165" i="2"/>
  <c r="EA160" i="2"/>
  <c r="EB159" i="2"/>
  <c r="EB161" i="2"/>
  <c r="EB67" i="3" s="1"/>
  <c r="EA67" i="3"/>
  <c r="FA32" i="2"/>
  <c r="EB165" i="2" l="1"/>
  <c r="EB160" i="2"/>
  <c r="EB66" i="2"/>
  <c r="S33" i="1"/>
  <c r="S32" i="1"/>
  <c r="S34" i="1"/>
  <c r="S35" i="1"/>
  <c r="S18" i="1"/>
  <c r="T34" i="1"/>
  <c r="T35" i="1"/>
  <c r="T32" i="1"/>
  <c r="T18" i="1"/>
  <c r="T33" i="1"/>
  <c r="DW160" i="2"/>
  <c r="DW165" i="2"/>
  <c r="DX39" i="4"/>
  <c r="EB10" i="4"/>
  <c r="FA66" i="2"/>
  <c r="DW67" i="2"/>
  <c r="DW80" i="2"/>
  <c r="DW213" i="2"/>
  <c r="DW73" i="3"/>
  <c r="DW214" i="2"/>
  <c r="DW215" i="2" s="1"/>
  <c r="DW141" i="3"/>
  <c r="DW44" i="2"/>
  <c r="EB41" i="2"/>
  <c r="DS53" i="2"/>
  <c r="DS50" i="2"/>
  <c r="DS50" i="3"/>
  <c r="FB66" i="2"/>
  <c r="FA41" i="2"/>
  <c r="DW66" i="2"/>
  <c r="DW47" i="2" s="1"/>
  <c r="FB41" i="2"/>
  <c r="DX53" i="2"/>
  <c r="DX50" i="2"/>
  <c r="DW10" i="4"/>
  <c r="DS39" i="4"/>
  <c r="DS144" i="3" l="1"/>
  <c r="DS145" i="3" s="1"/>
  <c r="DS55" i="3"/>
  <c r="DT50" i="3"/>
  <c r="DZ162" i="2"/>
  <c r="DY162" i="2"/>
  <c r="DX83" i="2"/>
  <c r="DX81" i="2"/>
  <c r="DX162" i="2"/>
  <c r="DX1" i="2"/>
  <c r="EA162" i="2"/>
  <c r="EB162" i="2" s="1"/>
  <c r="DV107" i="4"/>
  <c r="DT107" i="4"/>
  <c r="DT109" i="4" s="1"/>
  <c r="DS107" i="4"/>
  <c r="DS109" i="4" s="1"/>
  <c r="DS106" i="2"/>
  <c r="DS108" i="2" s="1"/>
  <c r="DU107" i="4"/>
  <c r="DU109" i="4" s="1"/>
  <c r="EQ39" i="4"/>
  <c r="EQ82" i="4" s="1"/>
  <c r="EQ85" i="4" s="1"/>
  <c r="S21" i="1" s="1"/>
  <c r="S36" i="1" s="1"/>
  <c r="DS82" i="4"/>
  <c r="DS85" i="4" s="1"/>
  <c r="DS90" i="4" s="1"/>
  <c r="DS74" i="4"/>
  <c r="DX82" i="2"/>
  <c r="FB53" i="2"/>
  <c r="FB80" i="2"/>
  <c r="FB67" i="2"/>
  <c r="FB44" i="2"/>
  <c r="DS83" i="2"/>
  <c r="DS1" i="2"/>
  <c r="DU162" i="2"/>
  <c r="DS162" i="2"/>
  <c r="DT162" i="2"/>
  <c r="DS81" i="2"/>
  <c r="DV162" i="2"/>
  <c r="DW162" i="2" s="1"/>
  <c r="DW53" i="2"/>
  <c r="DW50" i="2"/>
  <c r="EA107" i="4"/>
  <c r="DX107" i="4"/>
  <c r="DX82" i="4"/>
  <c r="DX85" i="4" s="1"/>
  <c r="DX90" i="4" s="1"/>
  <c r="DZ107" i="4"/>
  <c r="DY107" i="4"/>
  <c r="DX106" i="2"/>
  <c r="DX108" i="2" s="1"/>
  <c r="DX74" i="4"/>
  <c r="ER39" i="4"/>
  <c r="ER82" i="4" s="1"/>
  <c r="ER85" i="4" s="1"/>
  <c r="T21" i="1" s="1"/>
  <c r="T36" i="1" s="1"/>
  <c r="EB138" i="2"/>
  <c r="EB142" i="2" s="1"/>
  <c r="DW103" i="4"/>
  <c r="DW39" i="4"/>
  <c r="FA67" i="2"/>
  <c r="FA53" i="2"/>
  <c r="FA80" i="2"/>
  <c r="FA44" i="2"/>
  <c r="EB67" i="2"/>
  <c r="EB141" i="3"/>
  <c r="EB80" i="2"/>
  <c r="EB213" i="2"/>
  <c r="EB73" i="3"/>
  <c r="EB214" i="2"/>
  <c r="EB215" i="2" s="1"/>
  <c r="EB47" i="2"/>
  <c r="EB44" i="2"/>
  <c r="EB103" i="4"/>
  <c r="EB39" i="4"/>
  <c r="DW138" i="2"/>
  <c r="DW142" i="2" s="1"/>
  <c r="DS82" i="2"/>
  <c r="DY109" i="4" l="1"/>
  <c r="DZ109" i="4"/>
  <c r="EB74" i="4"/>
  <c r="EB82" i="4"/>
  <c r="EB85" i="4" s="1"/>
  <c r="EB90" i="4" s="1"/>
  <c r="EB106" i="2"/>
  <c r="EB108" i="2" s="1"/>
  <c r="FA47" i="2"/>
  <c r="FA50" i="2" s="1"/>
  <c r="DW106" i="2"/>
  <c r="DW108" i="2" s="1"/>
  <c r="DW82" i="4"/>
  <c r="DW85" i="4" s="1"/>
  <c r="DW90" i="4" s="1"/>
  <c r="DW74" i="4"/>
  <c r="DX109" i="4"/>
  <c r="DW83" i="2"/>
  <c r="DW81" i="2"/>
  <c r="T8" i="1"/>
  <c r="T9" i="1" s="1"/>
  <c r="DW1" i="2"/>
  <c r="DS78" i="4"/>
  <c r="DT144" i="3"/>
  <c r="DT55" i="3"/>
  <c r="DU50" i="3"/>
  <c r="DS66" i="3"/>
  <c r="DS57" i="3"/>
  <c r="DT140" i="3"/>
  <c r="DS3" i="2"/>
  <c r="EA109" i="4"/>
  <c r="EB107" i="4"/>
  <c r="DW82" i="2"/>
  <c r="EB53" i="2"/>
  <c r="EB50" i="2"/>
  <c r="FB47" i="2"/>
  <c r="FB50" i="2" s="1"/>
  <c r="DW107" i="4"/>
  <c r="DV109" i="4"/>
  <c r="DX3" i="2"/>
  <c r="DS146" i="3"/>
  <c r="DT145" i="3" l="1"/>
  <c r="DT146" i="3" s="1"/>
  <c r="EB83" i="2"/>
  <c r="EB81" i="2"/>
  <c r="EB1" i="2"/>
  <c r="DU144" i="3"/>
  <c r="DU55" i="3"/>
  <c r="DV50" i="3"/>
  <c r="DS9" i="3"/>
  <c r="DT76" i="4"/>
  <c r="EB82" i="2"/>
  <c r="DW3" i="2"/>
  <c r="FB81" i="2"/>
  <c r="T19" i="1"/>
  <c r="DT66" i="3"/>
  <c r="DU140" i="3"/>
  <c r="DT57" i="3"/>
  <c r="DW78" i="4"/>
  <c r="FA81" i="2"/>
  <c r="S19" i="1"/>
  <c r="DU145" i="3" l="1"/>
  <c r="DU146" i="3" s="1"/>
  <c r="DX76" i="4"/>
  <c r="EB76" i="4"/>
  <c r="DT78" i="4"/>
  <c r="DV144" i="3"/>
  <c r="DV55" i="3"/>
  <c r="DW50" i="3"/>
  <c r="DS68" i="3"/>
  <c r="DS104" i="2" s="1"/>
  <c r="DS16" i="3"/>
  <c r="DU66" i="3"/>
  <c r="DU57" i="3"/>
  <c r="DV140" i="3"/>
  <c r="EB3" i="2"/>
  <c r="S20" i="1"/>
  <c r="S38" i="1"/>
  <c r="T20" i="1"/>
  <c r="T38" i="1"/>
  <c r="DS79" i="4"/>
  <c r="DS74" i="3" l="1"/>
  <c r="DS26" i="3"/>
  <c r="DV66" i="3"/>
  <c r="DV57" i="3"/>
  <c r="DV145" i="3"/>
  <c r="DV146" i="3" s="1"/>
  <c r="EB78" i="4"/>
  <c r="DW144" i="3"/>
  <c r="DW145" i="3" s="1"/>
  <c r="DW55" i="3"/>
  <c r="DX50" i="3"/>
  <c r="DT9" i="3"/>
  <c r="DT79" i="4" s="1"/>
  <c r="DU76" i="4"/>
  <c r="DX78" i="4"/>
  <c r="DW146" i="3" l="1"/>
  <c r="DU78" i="4"/>
  <c r="DX144" i="3"/>
  <c r="DX55" i="3"/>
  <c r="DY50" i="3"/>
  <c r="DT102" i="2"/>
  <c r="DT68" i="3"/>
  <c r="DT104" i="2" s="1"/>
  <c r="DT16" i="3"/>
  <c r="DW66" i="3"/>
  <c r="DX140" i="3"/>
  <c r="DW57" i="3"/>
  <c r="EB140" i="3"/>
  <c r="DS58" i="3"/>
  <c r="DS61" i="3"/>
  <c r="DS62" i="3"/>
  <c r="DX9" i="3"/>
  <c r="DX79" i="4" s="1"/>
  <c r="DY76" i="4"/>
  <c r="DX145" i="3" l="1"/>
  <c r="DX146" i="3"/>
  <c r="DY78" i="4"/>
  <c r="DS63" i="3"/>
  <c r="DS64" i="3"/>
  <c r="DX57" i="3"/>
  <c r="DX66" i="3"/>
  <c r="DY140" i="3"/>
  <c r="DX102" i="2"/>
  <c r="DX68" i="3"/>
  <c r="DX104" i="2" s="1"/>
  <c r="DX16" i="3"/>
  <c r="DT74" i="3"/>
  <c r="DT26" i="3"/>
  <c r="DY144" i="3"/>
  <c r="DZ50" i="3"/>
  <c r="DY55" i="3"/>
  <c r="DV76" i="4"/>
  <c r="DU9" i="3"/>
  <c r="DU79" i="4" s="1"/>
  <c r="DX74" i="3" l="1"/>
  <c r="DX26" i="3"/>
  <c r="DY145" i="3"/>
  <c r="DY146" i="3" s="1"/>
  <c r="DY66" i="3"/>
  <c r="DZ140" i="3"/>
  <c r="DY57" i="3"/>
  <c r="DT61" i="3"/>
  <c r="DT58" i="3"/>
  <c r="DT62" i="3"/>
  <c r="DY9" i="3"/>
  <c r="DZ76" i="4"/>
  <c r="DU102" i="2"/>
  <c r="DU68" i="3"/>
  <c r="DU104" i="2" s="1"/>
  <c r="DU16" i="3"/>
  <c r="DV78" i="4"/>
  <c r="DZ144" i="3"/>
  <c r="EA50" i="3"/>
  <c r="DZ55" i="3"/>
  <c r="DV9" i="3" l="1"/>
  <c r="DV79" i="4" s="1"/>
  <c r="DY102" i="2"/>
  <c r="DY68" i="3"/>
  <c r="DY104" i="2" s="1"/>
  <c r="DY16" i="3"/>
  <c r="DZ78" i="4"/>
  <c r="DY79" i="4"/>
  <c r="DZ145" i="3"/>
  <c r="DZ146" i="3" s="1"/>
  <c r="DX58" i="3"/>
  <c r="DZ66" i="3"/>
  <c r="EA140" i="3"/>
  <c r="DZ57" i="3"/>
  <c r="EA144" i="3"/>
  <c r="EB50" i="3"/>
  <c r="EA55" i="3"/>
  <c r="DU74" i="3"/>
  <c r="DU26" i="3"/>
  <c r="DT64" i="3"/>
  <c r="DT63" i="3"/>
  <c r="EA66" i="3" l="1"/>
  <c r="EA57" i="3"/>
  <c r="DU58" i="3"/>
  <c r="DU61" i="3"/>
  <c r="DU62" i="3"/>
  <c r="EB144" i="3"/>
  <c r="EB145" i="3" s="1"/>
  <c r="EB55" i="3"/>
  <c r="DY74" i="3"/>
  <c r="DY26" i="3"/>
  <c r="EA145" i="3"/>
  <c r="EA146" i="3" s="1"/>
  <c r="DZ9" i="3"/>
  <c r="DZ79" i="4" s="1"/>
  <c r="EA76" i="4"/>
  <c r="DV102" i="2"/>
  <c r="DV68" i="3"/>
  <c r="DV104" i="2" s="1"/>
  <c r="DW9" i="3"/>
  <c r="DV16" i="3"/>
  <c r="DV26" i="3" l="1"/>
  <c r="DY62" i="3" s="1"/>
  <c r="DV74" i="3"/>
  <c r="DY58" i="3"/>
  <c r="DW152" i="2"/>
  <c r="DW102" i="2"/>
  <c r="DW68" i="3"/>
  <c r="DW104" i="2" s="1"/>
  <c r="DW16" i="3"/>
  <c r="DW79" i="4"/>
  <c r="EA78" i="4"/>
  <c r="EB146" i="3"/>
  <c r="DZ102" i="2"/>
  <c r="DZ68" i="3"/>
  <c r="DZ104" i="2" s="1"/>
  <c r="DZ16" i="3"/>
  <c r="DU64" i="3"/>
  <c r="DU63" i="3"/>
  <c r="EB66" i="3"/>
  <c r="EB57" i="3"/>
  <c r="DY61" i="3" l="1"/>
  <c r="DY63" i="3" s="1"/>
  <c r="DZ74" i="3"/>
  <c r="DZ26" i="3"/>
  <c r="EA9" i="3"/>
  <c r="DV58" i="3"/>
  <c r="DV61" i="3"/>
  <c r="DX61" i="3"/>
  <c r="DW62" i="3"/>
  <c r="DV62" i="3"/>
  <c r="DX62" i="3"/>
  <c r="DW74" i="3"/>
  <c r="DW26" i="3"/>
  <c r="DY64" i="3" l="1"/>
  <c r="DW61" i="3"/>
  <c r="DV64" i="3"/>
  <c r="DV63" i="3"/>
  <c r="EA102" i="2"/>
  <c r="EA68" i="3"/>
  <c r="EA104" i="2" s="1"/>
  <c r="EB9" i="3"/>
  <c r="EA16" i="3"/>
  <c r="DW58" i="3"/>
  <c r="EA79" i="4"/>
  <c r="DX63" i="3"/>
  <c r="DX64" i="3"/>
  <c r="DZ58" i="3"/>
  <c r="DZ61" i="3"/>
  <c r="DZ62" i="3"/>
  <c r="EA26" i="3" l="1"/>
  <c r="EA74" i="3"/>
  <c r="EB152" i="2"/>
  <c r="EB102" i="2"/>
  <c r="EB16" i="3"/>
  <c r="EB68" i="3"/>
  <c r="EB104" i="2" s="1"/>
  <c r="EB79" i="4"/>
  <c r="DZ64" i="3"/>
  <c r="DZ63" i="3"/>
  <c r="DW63" i="3"/>
  <c r="DW64" i="3"/>
  <c r="EB74" i="3" l="1"/>
  <c r="EB26" i="3"/>
  <c r="EA61" i="3"/>
  <c r="EA58" i="3"/>
  <c r="EA62" i="3"/>
  <c r="EB62" i="3"/>
  <c r="EB61" i="3" l="1"/>
  <c r="EA64" i="3"/>
  <c r="EA63" i="3"/>
  <c r="EB58" i="3"/>
  <c r="EB63" i="3" l="1"/>
  <c r="EB64" i="3"/>
</calcChain>
</file>

<file path=xl/comments1.xml><?xml version="1.0" encoding="utf-8"?>
<comments xmlns="http://schemas.openxmlformats.org/spreadsheetml/2006/main">
  <authors>
    <author>parmes</author>
    <author>Jon Tower</author>
    <author>glassjoh</author>
    <author>O'Brien, Courtney (Research)</author>
    <author>Glass, John (Research)</author>
    <author>A satisfied Microsoft Office User</author>
    <author>Sushama Dasari</author>
    <author>Michael Phillips</author>
    <author>Jake Bartlett</author>
    <author>Carril, Christopher E (Research)</author>
    <author>John Glass</author>
    <author>sushamad</author>
    <author>Bartlett, Jake (Research)</author>
    <author>CIBC</author>
    <author>Dorfman, David (Research)</author>
    <author>Dana Greenberg</author>
    <author>farmerje</author>
    <author>towerj</author>
    <author>glassj</author>
  </authors>
  <commentList>
    <comment ref="BQ7" authorId="0">
      <text>
        <r>
          <rPr>
            <b/>
            <sz val="8"/>
            <color indexed="81"/>
            <rFont val="Tahoma"/>
            <family val="2"/>
          </rPr>
          <t>Jon Tower:
1.30.08 -- pulling warming breakfast program from US stores by CY End '08 --- 
currently in 4,000 stores, average $35K/store in sales</t>
        </r>
        <r>
          <rPr>
            <sz val="8"/>
            <color indexed="81"/>
            <rFont val="Tahoma"/>
            <family val="2"/>
          </rPr>
          <t xml:space="preserve">
</t>
        </r>
      </text>
    </comment>
    <comment ref="BR7" authorId="0">
      <text>
        <r>
          <rPr>
            <b/>
            <sz val="8"/>
            <color indexed="81"/>
            <rFont val="Tahoma"/>
            <family val="2"/>
          </rPr>
          <t xml:space="preserve">Jon Tower:
</t>
        </r>
        <r>
          <rPr>
            <sz val="8"/>
            <color indexed="81"/>
            <rFont val="Tahoma"/>
            <family val="2"/>
          </rPr>
          <t>1.30.08 -- pulling warming breakfast program from US stores by CY End '08 --- 
currently in 4,000 stores, average $35K/store in sales</t>
        </r>
        <r>
          <rPr>
            <sz val="8"/>
            <color indexed="81"/>
            <rFont val="Tahoma"/>
            <family val="2"/>
          </rPr>
          <t xml:space="preserve">
</t>
        </r>
      </text>
    </comment>
    <comment ref="BS7" authorId="0">
      <text>
        <r>
          <rPr>
            <b/>
            <sz val="8"/>
            <color indexed="81"/>
            <rFont val="Tahoma"/>
            <family val="2"/>
          </rPr>
          <t xml:space="preserve">glassj:
</t>
        </r>
        <r>
          <rPr>
            <sz val="8"/>
            <color indexed="81"/>
            <rFont val="Tahoma"/>
            <family val="2"/>
          </rPr>
          <t>US represents 86%, Intl 14%
Retail breakdown: 
78% beverages, 12% food, 5% whole bean, 5% merchandise</t>
        </r>
        <r>
          <rPr>
            <sz val="8"/>
            <color indexed="81"/>
            <rFont val="Tahoma"/>
            <family val="2"/>
          </rPr>
          <t xml:space="preserve">
</t>
        </r>
      </text>
    </comment>
    <comment ref="BT7" authorId="0">
      <text>
        <r>
          <rPr>
            <b/>
            <sz val="8"/>
            <color indexed="81"/>
            <rFont val="Tahoma"/>
            <family val="2"/>
          </rPr>
          <t xml:space="preserve">Jon Tower:
</t>
        </r>
        <r>
          <rPr>
            <sz val="8"/>
            <color indexed="81"/>
            <rFont val="Tahoma"/>
            <family val="2"/>
          </rPr>
          <t>1.30.08 -- pulling warming breakfast program from US stores by CY End '08 --- 
currently in 4,000 stores, average $35K/store in sales</t>
        </r>
        <r>
          <rPr>
            <sz val="8"/>
            <color indexed="81"/>
            <rFont val="Tahoma"/>
            <family val="2"/>
          </rPr>
          <t xml:space="preserve">
</t>
        </r>
      </text>
    </comment>
    <comment ref="BU7" authorId="1">
      <text>
        <r>
          <rPr>
            <b/>
            <sz val="8"/>
            <color indexed="81"/>
            <rFont val="Tahoma"/>
            <family val="2"/>
          </rPr>
          <t>Jon Tower:</t>
        </r>
        <r>
          <rPr>
            <sz val="8"/>
            <color indexed="81"/>
            <rFont val="Tahoma"/>
            <family val="2"/>
          </rPr>
          <t xml:space="preserve">
1.30.08 -- pulling warming breakfast program from US stores by CY End '08 --- 
currently in 4,000 stores, average $35K/store in sales</t>
        </r>
      </text>
    </comment>
    <comment ref="BY7" authorId="1">
      <text>
        <r>
          <rPr>
            <b/>
            <sz val="8"/>
            <color indexed="81"/>
            <rFont val="Tahoma"/>
            <family val="2"/>
          </rPr>
          <t>Jon Tower:</t>
        </r>
        <r>
          <rPr>
            <sz val="8"/>
            <color indexed="81"/>
            <rFont val="Tahoma"/>
            <family val="2"/>
          </rPr>
          <t xml:space="preserve">
11.5.09
Color on Cost Cuts:
As I mentioned earlier, through a dedicated effort across the organization, we delivered
approximately $580 million in cost savings for fiscal 2009. As you’ll recall from our previous
discussions, this compared to a most recent target of $550 million and the original target of $400
million established less than a year ago. The largest component of this savings comes from our
efforts within the store to optimize labor and reduce waste. This category is the primary reason why we exceeded the projected savings targets, as we were able to gain earlier and better traction on these initiatives as the year progressed. We finished the year with roughly $190 million of savings in this area.
It’s important that I mention again here that at the same time we made our stores more efficient, we drove significant improvements in our customer satisfaction scores. The next largest savings
component was associated with non-retail support savings including head count reductions. We
delivered savings of about $180 million in this area. Supply chain savings in procurement,
manufacturing and logistics accounted for approximately $110 million in savings and finally savings from the store closures totaled roughly $100 million for the year.</t>
        </r>
      </text>
    </comment>
    <comment ref="CJ7" authorId="2">
      <text>
        <r>
          <rPr>
            <b/>
            <sz val="8"/>
            <color indexed="81"/>
            <rFont val="Tahoma"/>
            <family val="2"/>
          </rPr>
          <t>glassjoh:</t>
        </r>
        <r>
          <rPr>
            <sz val="8"/>
            <color indexed="81"/>
            <rFont val="Tahoma"/>
            <family val="2"/>
          </rPr>
          <t xml:space="preserve">
1Q12: Moved to 3 region geographic model (Msericas, China PAC and EMEA and channel development</t>
        </r>
      </text>
    </comment>
    <comment ref="CW7" authorId="3">
      <text>
        <r>
          <rPr>
            <b/>
            <sz val="9"/>
            <color indexed="81"/>
            <rFont val="Tahoma"/>
            <family val="2"/>
          </rPr>
          <t>O'Brien, Courtney (Research):
9.21.14</t>
        </r>
        <r>
          <rPr>
            <sz val="9"/>
            <color indexed="81"/>
            <rFont val="Tahoma"/>
            <family val="2"/>
          </rPr>
          <t xml:space="preserve">
announced intention to buy Japanese JV; first tender = Sep 26-Oct 27; 2nd tender = Nov 10-Dec 22</t>
        </r>
      </text>
    </comment>
    <comment ref="DG7" authorId="4">
      <text>
        <r>
          <rPr>
            <b/>
            <sz val="9"/>
            <color indexed="81"/>
            <rFont val="Tahoma"/>
            <family val="2"/>
          </rPr>
          <t>Glass, John (Research):</t>
        </r>
        <r>
          <rPr>
            <sz val="9"/>
            <color indexed="81"/>
            <rFont val="Tahoma"/>
            <family val="2"/>
          </rPr>
          <t xml:space="preserve">
FY16 has 53rd week</t>
        </r>
      </text>
    </comment>
    <comment ref="EQ7" authorId="0">
      <text>
        <r>
          <rPr>
            <b/>
            <sz val="8"/>
            <color indexed="81"/>
            <rFont val="Tahoma"/>
            <family val="2"/>
          </rPr>
          <t xml:space="preserve">Jon Tower:
</t>
        </r>
        <r>
          <rPr>
            <sz val="8"/>
            <color indexed="81"/>
            <rFont val="Tahoma"/>
            <family val="2"/>
          </rPr>
          <t>1.30.08 -- pulling warming breakfast program from US stores by CY End '08 --- 
currently in 4,000 stores, average $35K/store in sales</t>
        </r>
        <r>
          <rPr>
            <sz val="8"/>
            <color indexed="81"/>
            <rFont val="Tahoma"/>
            <family val="2"/>
          </rPr>
          <t xml:space="preserve">
</t>
        </r>
      </text>
    </comment>
    <comment ref="BA8" authorId="0">
      <text>
        <r>
          <rPr>
            <b/>
            <sz val="8"/>
            <color indexed="81"/>
            <rFont val="Tahoma"/>
            <family val="2"/>
          </rPr>
          <t xml:space="preserve">towerj:
</t>
        </r>
        <r>
          <rPr>
            <sz val="8"/>
            <color indexed="81"/>
            <rFont val="Tahoma"/>
            <family val="2"/>
          </rPr>
          <t>restated due to change in value of income from equity investees --- in 1Q05 10Q was $12,890 as of 1Q06 was $12,847</t>
        </r>
        <r>
          <rPr>
            <sz val="8"/>
            <color indexed="81"/>
            <rFont val="Tahoma"/>
            <family val="2"/>
          </rPr>
          <t xml:space="preserve">
</t>
        </r>
      </text>
    </comment>
    <comment ref="BB8" authorId="0">
      <text>
        <r>
          <rPr>
            <b/>
            <sz val="8"/>
            <color indexed="81"/>
            <rFont val="Tahoma"/>
            <family val="2"/>
          </rPr>
          <t xml:space="preserve">towerj:
</t>
        </r>
        <r>
          <rPr>
            <sz val="8"/>
            <color indexed="81"/>
            <rFont val="Tahoma"/>
            <family val="2"/>
          </rPr>
          <t>restated due to change in value of income from equity investees --- changed from $16.369 in F2Q05 to $16.294 in F2Q06 release</t>
        </r>
        <r>
          <rPr>
            <sz val="8"/>
            <color indexed="81"/>
            <rFont val="Tahoma"/>
            <family val="2"/>
          </rPr>
          <t xml:space="preserve">
</t>
        </r>
      </text>
    </comment>
    <comment ref="BC8" authorId="0">
      <text>
        <r>
          <rPr>
            <b/>
            <sz val="8"/>
            <color indexed="81"/>
            <rFont val="Tahoma"/>
            <family val="2"/>
          </rPr>
          <t xml:space="preserve">towerj:
</t>
        </r>
        <r>
          <rPr>
            <sz val="8"/>
            <color indexed="81"/>
            <rFont val="Tahoma"/>
            <family val="2"/>
          </rPr>
          <t>restated due to change in value of income from equity investees --- changed from $18.136 in F3Q05 to $18.074 in F3Q06 release</t>
        </r>
        <r>
          <rPr>
            <sz val="8"/>
            <color indexed="81"/>
            <rFont val="Tahoma"/>
            <family val="2"/>
          </rPr>
          <t xml:space="preserve">
</t>
        </r>
      </text>
    </comment>
    <comment ref="BD8" authorId="0">
      <text>
        <r>
          <rPr>
            <b/>
            <sz val="8"/>
            <color indexed="81"/>
            <rFont val="Tahoma"/>
            <family val="2"/>
          </rPr>
          <t xml:space="preserve">towerj:
</t>
        </r>
        <r>
          <rPr>
            <sz val="8"/>
            <color indexed="81"/>
            <rFont val="Tahoma"/>
            <family val="2"/>
          </rPr>
          <t xml:space="preserve">restated due to change in value of income from equity investees --- was $29.494 million </t>
        </r>
        <r>
          <rPr>
            <sz val="8"/>
            <color indexed="81"/>
            <rFont val="Tahoma"/>
            <family val="2"/>
          </rPr>
          <t xml:space="preserve">
</t>
        </r>
      </text>
    </comment>
    <comment ref="BY8" authorId="5">
      <text>
        <r>
          <rPr>
            <b/>
            <sz val="8"/>
            <color indexed="81"/>
            <rFont val="Tahoma"/>
            <family val="2"/>
          </rPr>
          <t>Jon Tower:</t>
        </r>
        <r>
          <rPr>
            <sz val="8"/>
            <color indexed="81"/>
            <rFont val="Tahoma"/>
            <family val="2"/>
          </rPr>
          <t xml:space="preserve">
Fy09 10K
</t>
        </r>
        <r>
          <rPr>
            <b/>
            <sz val="8"/>
            <color indexed="81"/>
            <rFont val="Tahoma"/>
            <family val="2"/>
          </rPr>
          <t xml:space="preserve">Licensing — Retail stores
</t>
        </r>
        <r>
          <rPr>
            <sz val="8"/>
            <color indexed="81"/>
            <rFont val="Tahoma"/>
            <family val="2"/>
          </rPr>
          <t xml:space="preserve"> In its licensed retail store operations which include the Starbucks and Seattle’s Best Coffee brands, the Company leverages the expertise of its local partners and shares the Company’s operating and store development experience. Licensee partners provide improved, and at times the only, access to desirable retail space. Most licensees are prominent retailers with in-depth market knowledge and access. As part of these arrangements, Starbucks receives royalties and license fees and sells coffee, tea and related products for resale in licensed locations. Product sales to and royalty and license fee revenues from US and International licensed retail stores accounted for 50% of specialty revenues in fiscal 2009. Employees working in licensed retail locations are required to follow Starbucks detailed store operating procedures and attend training classes similar to those given to employees in Company-operated stores.
</t>
        </r>
        <r>
          <rPr>
            <b/>
            <sz val="8"/>
            <color indexed="81"/>
            <rFont val="Tahoma"/>
            <family val="2"/>
          </rPr>
          <t xml:space="preserve">Licensing — Packaged coffee and tea
 </t>
        </r>
        <r>
          <rPr>
            <sz val="8"/>
            <color indexed="81"/>
            <rFont val="Tahoma"/>
            <family val="2"/>
          </rPr>
          <t xml:space="preserve">
Through a licensing relationship with Kraft Foods, Inc. (“Kraft”), the Company sells a selection of Starbucks and Seattle’s Best Coffee branded packaged coffees and Tazo ®  teas in grocery and warehouse club stores throughout the US. Kraft manages all distribution, marketing, advertising and promotion of these products.
The Company sells packaged coffee and tea internationally both directly to warehouse club stores, such as Costco Wholesale Corporation, and to grocery stores through a licensing relationship with Kraft in Canada, the UK and other European countries.
The Company’s coffees and teas are available in approximately 39,000 grocery and warehouse club stores, with 33,500 in the US and 5,500 in International markets. Revenues from this category comprised 23% of specialty revenues in fiscal 2009.
</t>
        </r>
        <r>
          <rPr>
            <b/>
            <sz val="8"/>
            <color indexed="81"/>
            <rFont val="Tahoma"/>
            <family val="2"/>
          </rPr>
          <t>Licensing — Branded products</t>
        </r>
        <r>
          <rPr>
            <sz val="8"/>
            <color indexed="81"/>
            <rFont val="Tahoma"/>
            <family val="2"/>
          </rPr>
          <t xml:space="preserve">
The Company licenses the rights to produce and market Starbucks branded products through several partnerships both domestically and internationally. Significant licensing agreements include:
  •  The North American Coffee Partnership, a joint venture with the Pepsi-Cola Company in which Starbucks is a 50% equity investor, manufactures and markets ready-to-drink beverages, including bottled Frappuccino ®  beverages and Starbucks DoubleShot ® espresso drinks in US and Canada;
  •  licensing agreements for the manufacturing, marketing and distribution of Starbucks Discoveries ® , a ready-to-drink chilled cup coffee beverage, and Starbucks DoubleShot ®  espresso drinks in Japan and South Korea;
  •  a licensing agreement with a partnership formed by Unilever and Pepsi-Cola Company for the manufacturing, marketing and distribution of Starbucks super-premium Tazo ®  Tea ready-to-drink beverages in the US; and
  •  a licensing agreement with Unilever for the manufacturing, marketing and distribution of Starbucks super-premium ice cream products in the US.
Collectively, the revenues from these branded products accounted for 4% of specialty revenues in fiscal 2009.
</t>
        </r>
      </text>
    </comment>
    <comment ref="CE8"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F8"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G8"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H8"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A10" authorId="0">
      <text>
        <r>
          <rPr>
            <b/>
            <sz val="8"/>
            <color indexed="81"/>
            <rFont val="Tahoma"/>
            <family val="2"/>
          </rPr>
          <t xml:space="preserve">Jon Tower:
Retail store mix (FY12
Beverages = 75%
Food = 19%
Packaged coffee &amp; single serve = 4%
Coffee making equipment and other Merch = 2%
</t>
        </r>
        <r>
          <rPr>
            <sz val="8"/>
            <color indexed="81"/>
            <rFont val="Tahoma"/>
            <family val="2"/>
          </rPr>
          <t>Fy09 10K
Starbucks retail stores are typically located in high-traffic, high-visibility locations. Because the Company can vary the size and format, its stores are located in or near a variety of settings, including downtown and suburban retail centers, office buildings and university campuses. The Company also locates retail stores in select rural and off-highway locations to serve a broader array of customers outside major metropolitan markets. To provide a greater degree of access and convenience for nonpedestrian customers, the Company continues to selectively expand development of drive-thru retail stores. At the end of fiscal 2009, the Company operated approximately 2,650 drive-thru locations, representing approximately 35% of Company-operated stores in the US and Canada combined.
Starbucks stores offer a choice of regular and decaffeinated coffee beverages, a broad selection of Italian-style espresso beverages, cold blended beverages, iced shaken refreshment beverages, a selection of premium teas, distinctively packaged roasted whole bean coffees, and its recently launched soluble coffee Starbucks VIA TM  Ready Brew (“VIA”). Starbucks stores also offer a variety of fresh food items, including healthier choice selections focusing on high-quality ingredients, nutritional value and great flavor. Food items include pastries, prepared breakfast and lunch sandwiches, oatmeal, and salads as well as sodas, juices and bottled water. Starbucks continues to expand its food warming program in the US and Canada, with approximately three-quarters of the stores in these markets providing warm food items, primarily breakfast sandwiches, as of September 27, 2009. A selection of beverage-making equipment and accessories are also sold in the stores. Each Starbucks store varies its product mix depending upon the size of the store and its location. Larger stores carry a broad selection of the Company’s whole bean coffees in various sizes and types of packaging, as well as coffee and espresso-making equipment and accessories. Smaller Starbucks stores and kiosks typically sell a full line of coffee beverages, a limited selection of whole bean coffees and a smaller selection of coffee and beverage-related accessories.</t>
        </r>
        <r>
          <rPr>
            <sz val="8"/>
            <color indexed="81"/>
            <rFont val="Tahoma"/>
            <family val="2"/>
          </rPr>
          <t xml:space="preserve">
</t>
        </r>
      </text>
    </comment>
    <comment ref="AP10" authorId="0">
      <text>
        <r>
          <rPr>
            <sz val="8"/>
            <color indexed="81"/>
            <rFont val="Tahoma"/>
            <family val="2"/>
          </rPr>
          <t xml:space="preserve">$209.148 million in international retial </t>
        </r>
        <r>
          <rPr>
            <sz val="8"/>
            <color indexed="81"/>
            <rFont val="Tahoma"/>
            <family val="2"/>
          </rPr>
          <t xml:space="preserve">
</t>
        </r>
      </text>
    </comment>
    <comment ref="AT10" authorId="0">
      <text>
        <r>
          <rPr>
            <b/>
            <sz val="8"/>
            <color indexed="81"/>
            <rFont val="Tahoma"/>
            <family val="2"/>
          </rPr>
          <t xml:space="preserve">glassj:
</t>
        </r>
        <r>
          <rPr>
            <sz val="8"/>
            <color indexed="81"/>
            <rFont val="Tahoma"/>
            <family val="2"/>
          </rPr>
          <t>completed SCC acqu. On July 14th</t>
        </r>
        <r>
          <rPr>
            <sz val="8"/>
            <color indexed="81"/>
            <rFont val="Tahoma"/>
            <family val="2"/>
          </rPr>
          <t xml:space="preserve">
</t>
        </r>
      </text>
    </comment>
    <comment ref="AU10" authorId="0">
      <text>
        <r>
          <rPr>
            <sz val="8"/>
            <color indexed="81"/>
            <rFont val="Tahoma"/>
            <family val="2"/>
          </rPr>
          <t>includes Starbucks Japan or any other equity stake over 20% - NA Coffee Partnership with Pepsi and Ice Cream Partnership with Dreyers.</t>
        </r>
        <r>
          <rPr>
            <sz val="8"/>
            <color indexed="81"/>
            <rFont val="Tahoma"/>
            <family val="2"/>
          </rPr>
          <t xml:space="preserve">
</t>
        </r>
      </text>
    </comment>
    <comment ref="BB10" authorId="0">
      <text>
        <r>
          <rPr>
            <b/>
            <sz val="8"/>
            <color indexed="81"/>
            <rFont val="Tahoma"/>
            <family val="2"/>
          </rPr>
          <t xml:space="preserve">glassj:
</t>
        </r>
        <r>
          <rPr>
            <sz val="8"/>
            <color indexed="81"/>
            <rFont val="Tahoma"/>
            <family val="2"/>
          </rPr>
          <t>sbux card was 15% of sales</t>
        </r>
        <r>
          <rPr>
            <sz val="8"/>
            <color indexed="81"/>
            <rFont val="Tahoma"/>
            <family val="2"/>
          </rPr>
          <t xml:space="preserve">
</t>
        </r>
      </text>
    </comment>
    <comment ref="CN10" authorId="6">
      <text>
        <r>
          <rPr>
            <b/>
            <sz val="8"/>
            <color indexed="81"/>
            <rFont val="Tahoma"/>
            <family val="2"/>
          </rPr>
          <t>Sushama Dasari:</t>
        </r>
        <r>
          <rPr>
            <sz val="8"/>
            <color indexed="81"/>
            <rFont val="Tahoma"/>
            <family val="2"/>
          </rPr>
          <t xml:space="preserve">
</t>
        </r>
        <r>
          <rPr>
            <b/>
            <sz val="8"/>
            <color indexed="81"/>
            <rFont val="Tahoma"/>
            <family val="2"/>
          </rPr>
          <t xml:space="preserve">12.5.12
</t>
        </r>
        <r>
          <rPr>
            <sz val="8"/>
            <color indexed="81"/>
            <rFont val="Tahoma"/>
            <family val="2"/>
          </rPr>
          <t>Tea currently &lt;1% of SBUX retail sales</t>
        </r>
      </text>
    </comment>
    <comment ref="A11" authorId="0">
      <text>
        <r>
          <rPr>
            <b/>
            <sz val="8"/>
            <color indexed="81"/>
            <rFont val="Tahoma"/>
            <family val="2"/>
          </rPr>
          <t xml:space="preserve">farmerje:
</t>
        </r>
        <r>
          <rPr>
            <sz val="8"/>
            <color indexed="81"/>
            <rFont val="Tahoma"/>
            <family val="2"/>
          </rPr>
          <t>licnese revenue includes licensese fees and royalties as well as coffe and related product sales
also includes license fees from Kraft,  the Noth American Coffee partnership with Pepsi (doubleshot espresso) and ice cream partnership with Dreyers</t>
        </r>
        <r>
          <rPr>
            <sz val="8"/>
            <color indexed="81"/>
            <rFont val="Tahoma"/>
            <family val="2"/>
          </rPr>
          <t xml:space="preserve">
</t>
        </r>
      </text>
    </comment>
    <comment ref="BY11" authorId="1">
      <text>
        <r>
          <rPr>
            <b/>
            <sz val="8"/>
            <color indexed="81"/>
            <rFont val="Tahoma"/>
            <family val="2"/>
          </rPr>
          <t>Jon Tower:</t>
        </r>
        <r>
          <rPr>
            <sz val="8"/>
            <color indexed="81"/>
            <rFont val="Tahoma"/>
            <family val="2"/>
          </rPr>
          <t xml:space="preserve">
per FY09 10K
% of Specialty revenue
Licensing - 
Retail stores = 50%
Packaged coffee &amp; tea = 23%
Branded products = 4%
Food service &amp; other
Foodservice = 23%
Other = &lt;1%</t>
        </r>
      </text>
    </comment>
    <comment ref="A12" authorId="0">
      <text>
        <r>
          <rPr>
            <sz val="8"/>
            <color indexed="81"/>
            <rFont val="Tahoma"/>
            <family val="2"/>
          </rPr>
          <t xml:space="preserve">
</t>
        </r>
        <r>
          <rPr>
            <b/>
            <sz val="8"/>
            <color indexed="81"/>
            <rFont val="Tahoma"/>
            <family val="2"/>
          </rPr>
          <t>farmerje:</t>
        </r>
        <r>
          <rPr>
            <sz val="8"/>
            <color indexed="81"/>
            <rFont val="Tahoma"/>
            <family val="2"/>
          </rPr>
          <t xml:space="preserve">
includes sales to foodservice acounts including hotels, restaurants, airlines, etc. SBUX coffee distributed through Sysco
In 2003 Starbucks ahd 12,800 food service accounts
Other includes Other includes premium tea through Tazo, Duetoo card, etc.</t>
        </r>
      </text>
    </comment>
    <comment ref="BY12" authorId="1">
      <text>
        <r>
          <rPr>
            <b/>
            <sz val="8"/>
            <color indexed="81"/>
            <rFont val="Tahoma"/>
            <family val="2"/>
          </rPr>
          <t>Jon Tower:</t>
        </r>
        <r>
          <rPr>
            <sz val="8"/>
            <color indexed="81"/>
            <rFont val="Tahoma"/>
            <family val="2"/>
          </rPr>
          <t xml:space="preserve">
per FY09 10K
% of Specialty revenue
Licensing - 
Retail stores = 50%
Packaged coffee &amp; tea = 23%
Branded products = 4%
Food service &amp; other
Foodservice = 23%
Other = &lt;1%</t>
        </r>
      </text>
    </comment>
    <comment ref="A13" authorId="0">
      <text>
        <r>
          <rPr>
            <b/>
            <sz val="8"/>
            <color indexed="81"/>
            <rFont val="Tahoma"/>
            <family val="2"/>
          </rPr>
          <t xml:space="preserve">Jon Tower:
</t>
        </r>
        <r>
          <rPr>
            <sz val="8"/>
            <color indexed="81"/>
            <rFont val="Tahoma"/>
            <family val="2"/>
          </rPr>
          <t xml:space="preserve">Concurrent with the change in our distribution method for packaged coffee and tea in the U.S., the company has revised the presentation of revenues this quarter. Non-retail licensing revenues have been reclassified on the consolidated financial statements to the renamed “CPG, foodservice and other” revenue line, which includes revenues from our direct sale of packaged coffee and tea as well as licensing revenues received under the previous distribution arrangement. The previous “Licensing” revenue line now includes only licensed store revenue and therefore has been renamed “Licensed stores.” Within the CPG segment, the previous “Licensing” revenue line has been renamed “CPG.” There was no impact to consolidated or segment net revenues from this change in presentation. </t>
        </r>
        <r>
          <rPr>
            <sz val="8"/>
            <color indexed="81"/>
            <rFont val="Tahoma"/>
            <family val="2"/>
          </rPr>
          <t xml:space="preserve">
</t>
        </r>
      </text>
    </comment>
    <comment ref="BY13" authorId="5">
      <text>
        <r>
          <rPr>
            <b/>
            <sz val="8"/>
            <color indexed="81"/>
            <rFont val="Tahoma"/>
            <family val="2"/>
          </rPr>
          <t>glassj:</t>
        </r>
        <r>
          <rPr>
            <sz val="8"/>
            <color indexed="81"/>
            <rFont val="Tahoma"/>
            <family val="2"/>
          </rPr>
          <t xml:space="preserve">
forex losses due to $ purchases vs Euro sales</t>
        </r>
      </text>
    </comment>
    <comment ref="A14" authorId="0">
      <text>
        <r>
          <rPr>
            <b/>
            <sz val="8"/>
            <color indexed="81"/>
            <rFont val="Tahoma"/>
            <family val="2"/>
          </rPr>
          <t xml:space="preserve">Jon Tower:
</t>
        </r>
        <r>
          <rPr>
            <sz val="8"/>
            <color indexed="81"/>
            <rFont val="Tahoma"/>
            <family val="2"/>
          </rPr>
          <t xml:space="preserve">Concurrent with the change in our distribution method for packaged coffee and tea in the U.S., the company has revised the presentation of revenues this quarter. Non-retail licensing revenues have been reclassified on the consolidated financial statements to the renamed “CPG, foodservice and other” revenue line, which includes revenues from our direct sale of packaged coffee and tea as well as licensing revenues received under the previous distribution arrangement. The previous “Licensing” revenue line now includes only licensed store revenue and therefore has been renamed “Licensed stores.” Within the CPG segment, the previous “Licensing” revenue line has been renamed “CPG.” There was no impact to consolidated or segment net revenues from this change in presentation. </t>
        </r>
        <r>
          <rPr>
            <sz val="8"/>
            <color indexed="81"/>
            <rFont val="Tahoma"/>
            <family val="2"/>
          </rPr>
          <t xml:space="preserve">
</t>
        </r>
      </text>
    </comment>
    <comment ref="A15" authorId="0">
      <text>
        <r>
          <rPr>
            <b/>
            <sz val="8"/>
            <color indexed="81"/>
            <rFont val="Tahoma"/>
            <family val="2"/>
          </rPr>
          <t xml:space="preserve">Jon Tower:
FY09 10K
Specialty Operations
</t>
        </r>
        <r>
          <rPr>
            <sz val="8"/>
            <color indexed="81"/>
            <rFont val="Tahoma"/>
            <family val="2"/>
          </rPr>
          <t xml:space="preserve"> 
Specialty operations strive to develop the Company’s brands outside the Company-operated retail store environment through a number of channels. Starbucks strategy is to reach customers where they work, travel, shop and dine by establishing relationships with prominent third parties that share the Company’s values and commitment to quality. These relationships take various forms, including licensing arrangements, foodservice accounts and other initiatives related to the Company’s core businesses. In certain situations, Starbucks has an equity ownership interest in licensee operations. During fiscal 2009, specialty revenues (which include royalties and fees from licensees, as well as product sales derived from specialty operations) accounted for 16% of total net revenues</t>
        </r>
        <r>
          <rPr>
            <sz val="8"/>
            <color indexed="81"/>
            <rFont val="Tahoma"/>
            <family val="2"/>
          </rPr>
          <t xml:space="preserve">
</t>
        </r>
      </text>
    </comment>
    <comment ref="AG15" authorId="0">
      <text>
        <r>
          <rPr>
            <b/>
            <sz val="8"/>
            <color indexed="81"/>
            <rFont val="Tahoma"/>
            <family val="2"/>
          </rPr>
          <t xml:space="preserve">Jon Tower:
FY09 10K
Foodservice
</t>
        </r>
        <r>
          <rPr>
            <sz val="8"/>
            <color indexed="81"/>
            <rFont val="Tahoma"/>
            <family val="2"/>
          </rPr>
          <t>The Company sells whole bean and ground coffees, including the Starbucks and Seattle’s Best Coffee brands, as well as a selection of premium Tazo ®  teas, VIA and other related products, to institutional foodservice companies that service business and industry, education, healthcare, office coffee distributors, hotels, restaurants, airlines and other retailers. The majority of the Company’s sales in this channel come through national broadline distribution networks with SYSCO Corporation, US Foodservice TM , and other distributors. The Company’s total foodservice operations had over 21,000 accounts, primarily in the US, at fiscal year end 2009. Revenues from foodservice accounts comprised 23% of total specialty revenues in fiscal 2009.</t>
        </r>
        <r>
          <rPr>
            <sz val="8"/>
            <color indexed="81"/>
            <rFont val="Tahoma"/>
            <family val="2"/>
          </rPr>
          <t xml:space="preserve">
</t>
        </r>
      </text>
    </comment>
    <comment ref="BY16" authorId="5">
      <text>
        <r>
          <rPr>
            <b/>
            <sz val="8"/>
            <color indexed="81"/>
            <rFont val="Tahoma"/>
            <family val="2"/>
          </rPr>
          <t>glassj:</t>
        </r>
        <r>
          <rPr>
            <sz val="8"/>
            <color indexed="81"/>
            <rFont val="Tahoma"/>
            <family val="2"/>
          </rPr>
          <t xml:space="preserve">
Strong pepsi JV due to noew products (double shot) lower manufacturing costs. Also Taiwan and Shanghai profitable, Japan not.</t>
        </r>
      </text>
    </comment>
    <comment ref="A17" authorId="0">
      <text>
        <r>
          <rPr>
            <b/>
            <sz val="8"/>
            <color indexed="81"/>
            <rFont val="Tahoma"/>
            <family val="2"/>
          </rPr>
          <t xml:space="preserve">farmerje:
</t>
        </r>
        <r>
          <rPr>
            <sz val="8"/>
            <color indexed="81"/>
            <rFont val="Tahoma"/>
            <family val="2"/>
          </rPr>
          <t>includes coffee costs</t>
        </r>
        <r>
          <rPr>
            <sz val="8"/>
            <color indexed="81"/>
            <rFont val="Tahoma"/>
            <family val="2"/>
          </rPr>
          <t xml:space="preserve">
        </t>
        </r>
      </text>
    </comment>
    <comment ref="BN17" authorId="0">
      <text>
        <r>
          <rPr>
            <b/>
            <sz val="8"/>
            <color indexed="81"/>
            <rFont val="Tahoma"/>
            <family val="2"/>
          </rPr>
          <t xml:space="preserve">farmerje:
</t>
        </r>
        <r>
          <rPr>
            <sz val="8"/>
            <color indexed="81"/>
            <rFont val="Tahoma"/>
            <family val="2"/>
          </rPr>
          <t>"amlost entirely" transaction</t>
        </r>
        <r>
          <rPr>
            <sz val="8"/>
            <color indexed="81"/>
            <rFont val="Tahoma"/>
            <family val="2"/>
          </rPr>
          <t xml:space="preserve">
</t>
        </r>
      </text>
    </comment>
    <comment ref="CI17" authorId="1">
      <text>
        <r>
          <rPr>
            <b/>
            <sz val="8"/>
            <color indexed="81"/>
            <rFont val="Tahoma"/>
            <family val="2"/>
          </rPr>
          <t>Jon Tower:</t>
        </r>
        <r>
          <rPr>
            <sz val="8"/>
            <color indexed="81"/>
            <rFont val="Tahoma"/>
            <family val="2"/>
          </rPr>
          <t xml:space="preserve">
4.30.08
$14Billion</t>
        </r>
      </text>
    </comment>
    <comment ref="CN17" authorId="7">
      <text>
        <r>
          <rPr>
            <b/>
            <sz val="8"/>
            <color indexed="81"/>
            <rFont val="Tahoma"/>
            <family val="2"/>
          </rPr>
          <t xml:space="preserve">2.26.2012:
</t>
        </r>
        <r>
          <rPr>
            <sz val="8"/>
            <color indexed="81"/>
            <rFont val="Tahoma"/>
            <family val="2"/>
          </rPr>
          <t xml:space="preserve">Now that we're halfway through fiscal 2012, I'd like to provide an updated outlook for the year. Given our strength of the first half of the year, revenue percentage growth over last year is now expected to be in the </t>
        </r>
        <r>
          <rPr>
            <b/>
            <sz val="8"/>
            <color indexed="81"/>
            <rFont val="Tahoma"/>
            <family val="2"/>
          </rPr>
          <t>low teens</t>
        </r>
        <r>
          <rPr>
            <sz val="8"/>
            <color indexed="81"/>
            <rFont val="Tahoma"/>
            <family val="2"/>
          </rPr>
          <t>.</t>
        </r>
      </text>
    </comment>
    <comment ref="DW17" authorId="3">
      <text>
        <r>
          <rPr>
            <b/>
            <sz val="9"/>
            <color indexed="81"/>
            <rFont val="Tahoma"/>
            <family val="2"/>
          </rPr>
          <t>O'Brien, Courtney (Research):</t>
        </r>
        <r>
          <rPr>
            <sz val="9"/>
            <color indexed="81"/>
            <rFont val="Tahoma"/>
            <family val="2"/>
          </rPr>
          <t xml:space="preserve">
12.5.14
5 year goal laid out at 2014 analyst day: $30bn in revenue</t>
        </r>
      </text>
    </comment>
    <comment ref="BV18" authorId="5">
      <text>
        <r>
          <rPr>
            <b/>
            <sz val="8"/>
            <color indexed="81"/>
            <rFont val="Tahoma"/>
            <family val="2"/>
          </rPr>
          <t>glassj:</t>
        </r>
        <r>
          <rPr>
            <sz val="8"/>
            <color indexed="81"/>
            <rFont val="Tahoma"/>
            <family val="2"/>
          </rPr>
          <t xml:space="preserve">
includes $49.5 million in advertising</t>
        </r>
      </text>
    </comment>
    <comment ref="A19" authorId="0">
      <text>
        <r>
          <rPr>
            <b/>
            <sz val="8"/>
            <color indexed="81"/>
            <rFont val="Tahoma"/>
            <family val="2"/>
          </rPr>
          <t xml:space="preserve">Jon Tower:
</t>
        </r>
        <r>
          <rPr>
            <sz val="8"/>
            <color indexed="81"/>
            <rFont val="Tahoma"/>
            <family val="2"/>
          </rPr>
          <t>broken out separately starting in F4Q10</t>
        </r>
        <r>
          <rPr>
            <sz val="8"/>
            <color indexed="81"/>
            <rFont val="Tahoma"/>
            <family val="2"/>
          </rPr>
          <t xml:space="preserve">
</t>
        </r>
      </text>
    </comment>
    <comment ref="BU21" authorId="1">
      <text>
        <r>
          <rPr>
            <b/>
            <sz val="8"/>
            <color indexed="81"/>
            <rFont val="Tahoma"/>
            <family val="2"/>
          </rPr>
          <t>Jon Tower:</t>
        </r>
        <r>
          <rPr>
            <sz val="8"/>
            <color indexed="81"/>
            <rFont val="Tahoma"/>
            <family val="2"/>
          </rPr>
          <t xml:space="preserve">
1.28.09
The company’s cost reduction initiatives delivered approximately </t>
        </r>
        <r>
          <rPr>
            <b/>
            <sz val="8"/>
            <color indexed="81"/>
            <rFont val="Tahoma"/>
            <family val="2"/>
          </rPr>
          <t>$75 million of benefit in the first fiscal quarter</t>
        </r>
        <r>
          <rPr>
            <sz val="8"/>
            <color indexed="81"/>
            <rFont val="Tahoma"/>
            <family val="2"/>
          </rPr>
          <t xml:space="preserve">, and are expected to deliver approximately $100 million in the second quarter, approximately $150 million in the third, and approximately $175 million in the fourth quarter of fiscal 2009. 
</t>
        </r>
      </text>
    </comment>
    <comment ref="BV21" authorId="1">
      <text>
        <r>
          <rPr>
            <b/>
            <sz val="8"/>
            <color indexed="81"/>
            <rFont val="Tahoma"/>
            <family val="2"/>
          </rPr>
          <t xml:space="preserve">Jon Tower:
4.29.09
In the second quarter of fiscal 2009, the company delivered $120 million in cost savings, exceeding the targeted $100 million for the second quarter, and resulting in year-to-date cost savings of approximately $195 million.
</t>
        </r>
        <r>
          <rPr>
            <sz val="8"/>
            <color indexed="81"/>
            <rFont val="Tahoma"/>
            <family val="2"/>
          </rPr>
          <t xml:space="preserve">
1.28.09
The company’s cost reduction initiatives delivered approximately</t>
        </r>
        <r>
          <rPr>
            <b/>
            <sz val="8"/>
            <color indexed="81"/>
            <rFont val="Tahoma"/>
            <family val="2"/>
          </rPr>
          <t xml:space="preserve"> </t>
        </r>
        <r>
          <rPr>
            <sz val="8"/>
            <color indexed="81"/>
            <rFont val="Tahoma"/>
            <family val="2"/>
          </rPr>
          <t>$75 million of benefit in the first fiscal quarter,</t>
        </r>
        <r>
          <rPr>
            <sz val="8"/>
            <color indexed="81"/>
            <rFont val="Tahoma"/>
            <family val="2"/>
          </rPr>
          <t xml:space="preserve"> </t>
        </r>
        <r>
          <rPr>
            <b/>
            <sz val="8"/>
            <color indexed="81"/>
            <rFont val="Tahoma"/>
            <family val="2"/>
          </rPr>
          <t>and are expected to deliver approximately $100 million in the second quarter,</t>
        </r>
        <r>
          <rPr>
            <sz val="8"/>
            <color indexed="81"/>
            <rFont val="Tahoma"/>
            <family val="2"/>
          </rPr>
          <t xml:space="preserve"> approximately $150 million in the third, and approximately $175 million in the fourth quarter of fiscal 2009. 
</t>
        </r>
      </text>
    </comment>
    <comment ref="BW21" authorId="1">
      <text>
        <r>
          <rPr>
            <b/>
            <sz val="8"/>
            <color indexed="81"/>
            <rFont val="Tahoma"/>
            <family val="2"/>
          </rPr>
          <t xml:space="preserve">Jon Tower:
7.21.09
</t>
        </r>
        <r>
          <rPr>
            <sz val="8"/>
            <color indexed="81"/>
            <rFont val="Tahoma"/>
            <family val="2"/>
          </rPr>
          <t xml:space="preserve">Starbucks continues to make good progress on its fiscal 2009 target to reduce its cost structure by $500 million. In Q309, the company delivered approximately $175 million in cost savings, exceeding the company’s Q3 target of $150 million, resulting in year-to-date cost savings of approximately $370 million. Starbucks now expects to deliver cost savings of approximately $180 million in Q409, for a full year total of approximately $550 million in cost savings in fiscal 2009, exceeding its initial target. 
</t>
        </r>
        <r>
          <rPr>
            <sz val="8"/>
            <color indexed="81"/>
            <rFont val="Tahoma"/>
            <family val="2"/>
          </rPr>
          <t>1.28.09
The company’s cost reduction initiatives delivered approximately</t>
        </r>
        <r>
          <rPr>
            <sz val="8"/>
            <color indexed="81"/>
            <rFont val="Tahoma"/>
            <family val="2"/>
          </rPr>
          <t xml:space="preserve"> $75 million of benefit in the first fiscal quarter</t>
        </r>
        <r>
          <rPr>
            <sz val="8"/>
            <color indexed="81"/>
            <rFont val="Tahoma"/>
            <family val="2"/>
          </rPr>
          <t xml:space="preserve">, and are expected to deliver approximately $100 million in the second quarter, </t>
        </r>
        <r>
          <rPr>
            <b/>
            <sz val="8"/>
            <color indexed="81"/>
            <rFont val="Tahoma"/>
            <family val="2"/>
          </rPr>
          <t xml:space="preserve">approximately $150 million in the third, </t>
        </r>
        <r>
          <rPr>
            <sz val="8"/>
            <color indexed="81"/>
            <rFont val="Tahoma"/>
            <family val="2"/>
          </rPr>
          <t xml:space="preserve">and approximately $175 million in the fourth quarter of fiscal 2009. 
</t>
        </r>
      </text>
    </comment>
    <comment ref="BX21" authorId="1">
      <text>
        <r>
          <rPr>
            <b/>
            <sz val="8"/>
            <color indexed="81"/>
            <rFont val="Tahoma"/>
            <family val="2"/>
          </rPr>
          <t xml:space="preserve">Jon Tower:
$210M in savings this Q.
7.21.09
</t>
        </r>
        <r>
          <rPr>
            <sz val="8"/>
            <color indexed="81"/>
            <rFont val="Tahoma"/>
            <family val="2"/>
          </rPr>
          <t>Starbucks continues to make good progress on its fiscal 2009 target to reduce its cost structure by $500 million. In Q309, the company delivered approximately $175 million in cost savings, exceeding the company’s Q3 target of $150 million, resulting in year-to-date cost savings of approximately $370 million. Starbucks now expects to deliver cost savings of approximately $180 million in Q409, for a full year total of approximately $550 million in cost savings in fiscal 2009, exceeding its initial target.</t>
        </r>
        <r>
          <rPr>
            <b/>
            <sz val="8"/>
            <color indexed="81"/>
            <rFont val="Tahoma"/>
            <family val="2"/>
          </rPr>
          <t xml:space="preserve">
</t>
        </r>
        <r>
          <rPr>
            <sz val="8"/>
            <color indexed="81"/>
            <rFont val="Tahoma"/>
            <family val="2"/>
          </rPr>
          <t xml:space="preserve">
1.28.09
The company’s cost reduction initiatives delivered approximately </t>
        </r>
        <r>
          <rPr>
            <sz val="8"/>
            <color indexed="81"/>
            <rFont val="Tahoma"/>
            <family val="2"/>
          </rPr>
          <t>$75 million of benefit in the first fiscal quarter</t>
        </r>
        <r>
          <rPr>
            <sz val="8"/>
            <color indexed="81"/>
            <rFont val="Tahoma"/>
            <family val="2"/>
          </rPr>
          <t xml:space="preserve">, and are expected to deliver approximately $100 million in the second quarter, approximately $150 million in the third, </t>
        </r>
        <r>
          <rPr>
            <b/>
            <sz val="8"/>
            <color indexed="81"/>
            <rFont val="Tahoma"/>
            <family val="2"/>
          </rPr>
          <t xml:space="preserve">and approximately $175 million in the fourth quarter of fiscal 2009. </t>
        </r>
        <r>
          <rPr>
            <sz val="8"/>
            <color indexed="81"/>
            <rFont val="Tahoma"/>
            <family val="2"/>
          </rPr>
          <t xml:space="preserve">
</t>
        </r>
      </text>
    </comment>
    <comment ref="BY21" authorId="1">
      <text>
        <r>
          <rPr>
            <b/>
            <sz val="8"/>
            <color indexed="81"/>
            <rFont val="Tahoma"/>
            <family val="2"/>
          </rPr>
          <t xml:space="preserve">Jon Tower:
11.5.09
$580M in cost savings composed of:
In store labor &amp; food waste optimized = $190M
Non-retail support savings = $180M
Supply chain savings (procurement, manufacturing, logistics) = $110M
Savings from store closures = $100M
7.21.09
</t>
        </r>
        <r>
          <rPr>
            <sz val="8"/>
            <color indexed="81"/>
            <rFont val="Tahoma"/>
            <family val="2"/>
          </rPr>
          <t>Starbucks continues to make good progress on its fiscal 2009 target to reduce its cost structure by $500 million. In Q309, the company delivered approximately $175 million in cost savings, exceeding the company’s Q3 target of $150 million, resulting in year-to-date cost savings of approximately $370 million. Starbucks now expects to deliver cost savings of approximately $180 million in Q409, for a full year total of approximately $550 million in cost savings in fiscal 2009, exceeding its initial target.</t>
        </r>
        <r>
          <rPr>
            <b/>
            <sz val="8"/>
            <color indexed="81"/>
            <rFont val="Tahoma"/>
            <family val="2"/>
          </rPr>
          <t xml:space="preserve">
1.28.09
</t>
        </r>
        <r>
          <rPr>
            <sz val="8"/>
            <color indexed="81"/>
            <rFont val="Tahoma"/>
            <family val="2"/>
          </rPr>
          <t xml:space="preserve">The company’s cost reduction initiatives delivered approximately $75 million of benefit in the first fiscal quarter, and are expected to deliver approximately $100 million in the second quarter, approximately $150 million in the third, and approximately $175 million in the fourth quarter of fiscal 2009. </t>
        </r>
        <r>
          <rPr>
            <b/>
            <sz val="8"/>
            <color indexed="81"/>
            <rFont val="Tahoma"/>
            <family val="2"/>
          </rPr>
          <t xml:space="preserve">
</t>
        </r>
        <r>
          <rPr>
            <sz val="8"/>
            <color indexed="81"/>
            <rFont val="Tahoma"/>
            <family val="2"/>
          </rPr>
          <t>12.4.08 analyst day --- cost cuts
Labor = $150M
Cost of Quality (food waste) = $50M
Procurement = $150M
Manufacturing/Logistics = $50M
Hence an additional $200M to original plan --- HOWEVER, this was already included in EPS guidance ranges issued on Nov 10, 2008.</t>
        </r>
      </text>
    </comment>
    <comment ref="CI21" authorId="1">
      <text>
        <r>
          <rPr>
            <b/>
            <sz val="8"/>
            <color indexed="81"/>
            <rFont val="Tahoma"/>
            <family val="2"/>
          </rPr>
          <t>Jon Tower:</t>
        </r>
        <r>
          <rPr>
            <sz val="8"/>
            <color indexed="81"/>
            <rFont val="Tahoma"/>
            <family val="2"/>
          </rPr>
          <t xml:space="preserve">
1.26.11
Commodity costs, which are now expected to have an unfavorable 
             impact on EPS of approximately $0.20 for the full fiscal year 
             attributable primarily to higher coffee costs, are reflected in 
             the revised EPS target. 
Absorbed $0.03 in the F1Q11
LOCKED IN COFFEE PRICES FOR FY11
</t>
        </r>
      </text>
    </comment>
    <comment ref="CN21" authorId="1">
      <text>
        <r>
          <rPr>
            <b/>
            <sz val="8"/>
            <color indexed="81"/>
            <rFont val="Tahoma"/>
            <family val="2"/>
          </rPr>
          <t>Jon Tower:</t>
        </r>
        <r>
          <rPr>
            <sz val="8"/>
            <color indexed="81"/>
            <rFont val="Tahoma"/>
            <family val="2"/>
          </rPr>
          <t xml:space="preserve">
7.28.11
Still, the cost of coffee remains high, even though prices have eased somewhat in the last two months. The company has locked in all of its coffee prices for fiscal 2012 at a higher level than where coffee is trading today, and the company may begin to lock in prices for 2013, Alstead said. 
</t>
        </r>
      </text>
    </comment>
    <comment ref="DW21" authorId="3">
      <text>
        <r>
          <rPr>
            <b/>
            <sz val="9"/>
            <color indexed="81"/>
            <rFont val="Tahoma"/>
            <family val="2"/>
          </rPr>
          <t>O'Brien, Courtney (Research):</t>
        </r>
        <r>
          <rPr>
            <sz val="9"/>
            <color indexed="81"/>
            <rFont val="Tahoma"/>
            <family val="2"/>
          </rPr>
          <t xml:space="preserve">
12.5.14
1bn in savings over 4 years = 230-300M in supply chain, 250-300m in sourcing, 75-125 in waste, 150-200 in producti mix, 100m other</t>
        </r>
      </text>
    </comment>
    <comment ref="AK22" authorId="0">
      <text>
        <r>
          <rPr>
            <b/>
            <sz val="8"/>
            <color indexed="81"/>
            <rFont val="Tahoma"/>
            <family val="2"/>
          </rPr>
          <t xml:space="preserve">glassj:
</t>
        </r>
        <r>
          <rPr>
            <sz val="8"/>
            <color indexed="81"/>
            <rFont val="Tahoma"/>
            <family val="2"/>
          </rPr>
          <t>includes $28.8 million in advertising</t>
        </r>
        <r>
          <rPr>
            <sz val="8"/>
            <color indexed="81"/>
            <rFont val="Tahoma"/>
            <family val="2"/>
          </rPr>
          <t xml:space="preserve">
</t>
        </r>
      </text>
    </comment>
    <comment ref="AU22" authorId="0">
      <text>
        <r>
          <rPr>
            <b/>
            <sz val="8"/>
            <color indexed="81"/>
            <rFont val="Tahoma"/>
            <family val="2"/>
          </rPr>
          <t xml:space="preserve">farmerje:
</t>
        </r>
        <r>
          <rPr>
            <sz val="8"/>
            <color indexed="81"/>
            <rFont val="Tahoma"/>
            <family val="2"/>
          </rPr>
          <t>4% traffic
3% value of transaction</t>
        </r>
        <r>
          <rPr>
            <sz val="8"/>
            <color indexed="81"/>
            <rFont val="Tahoma"/>
            <family val="2"/>
          </rPr>
          <t xml:space="preserve">
</t>
        </r>
      </text>
    </comment>
    <comment ref="BQ22" authorId="0">
      <text>
        <r>
          <rPr>
            <b/>
            <sz val="8"/>
            <color indexed="81"/>
            <rFont val="Tahoma"/>
            <family val="2"/>
          </rPr>
          <t xml:space="preserve">Jon Tower:
</t>
        </r>
        <r>
          <rPr>
            <sz val="8"/>
            <color indexed="81"/>
            <rFont val="Tahoma"/>
            <family val="2"/>
          </rPr>
          <t>4.29.09
includes $35.1M in transformational charges</t>
        </r>
        <r>
          <rPr>
            <sz val="8"/>
            <color indexed="81"/>
            <rFont val="Tahoma"/>
            <family val="2"/>
          </rPr>
          <t xml:space="preserve">
</t>
        </r>
      </text>
    </comment>
    <comment ref="BT22" authorId="0">
      <text>
        <r>
          <rPr>
            <b/>
            <sz val="8"/>
            <color indexed="81"/>
            <rFont val="Tahoma"/>
            <family val="2"/>
          </rPr>
          <t xml:space="preserve">Jon Tower:
FY08 10K
</t>
        </r>
        <r>
          <rPr>
            <sz val="8"/>
            <color indexed="81"/>
            <rFont val="Tahoma"/>
            <family val="2"/>
          </rPr>
          <t>The net losses in fiscal 2008 include $201.6 million of asset impairments related to the US and Australia store closures and charges incurred for office facilities no longer occupied by the Company due to the reduction in positions within Starbucks leadership structure and non-store organization.</t>
        </r>
        <r>
          <rPr>
            <sz val="8"/>
            <color indexed="81"/>
            <rFont val="Tahoma"/>
            <family val="2"/>
          </rPr>
          <t xml:space="preserve">
</t>
        </r>
      </text>
    </comment>
    <comment ref="BU22" authorId="1">
      <text>
        <r>
          <rPr>
            <b/>
            <sz val="8"/>
            <color indexed="81"/>
            <rFont val="Tahoma"/>
            <family val="2"/>
          </rPr>
          <t>Jon Tower:</t>
        </r>
        <r>
          <rPr>
            <sz val="8"/>
            <color indexed="81"/>
            <rFont val="Tahoma"/>
            <family val="2"/>
          </rPr>
          <t xml:space="preserve">
1.28.09
includes $23M in impairment charges --- impacted EPS by $0.02 --- with $13M in the INTL segment, remainder $9M US?
ALSO 
includes costs for leadership conf in October --- hit EPS by $0.025  -- implies costs of $28.25M during the Q
</t>
        </r>
      </text>
    </comment>
    <comment ref="BX22" authorId="1">
      <text>
        <r>
          <rPr>
            <b/>
            <sz val="8"/>
            <color indexed="81"/>
            <rFont val="Tahoma"/>
            <family val="2"/>
          </rPr>
          <t>Jon Tower:</t>
        </r>
        <r>
          <rPr>
            <sz val="8"/>
            <color indexed="81"/>
            <rFont val="Tahoma"/>
            <family val="2"/>
          </rPr>
          <t xml:space="preserve">
11.5.09
Our effective tax rate for the quarter was lower than the normal due to tax audit settlement.  As a result of the settlement we've record approximately $17 million in additional payroll tax for the quarter which shows up in our store operating expenses.  This additional payroll tax is fully offset by an income tax credit resulting in no impact on net profit.  This tax audit settlement lowered our effective tax rate by roughly 4.5 percentage points in the quarter otherwise the effective tax rate would have been in line with our historical rate.</t>
        </r>
      </text>
    </comment>
    <comment ref="CB22" authorId="1">
      <text>
        <r>
          <rPr>
            <b/>
            <sz val="8"/>
            <color indexed="81"/>
            <rFont val="Tahoma"/>
            <family val="2"/>
          </rPr>
          <t>Jon Tower:</t>
        </r>
        <r>
          <rPr>
            <sz val="8"/>
            <color indexed="81"/>
            <rFont val="Tahoma"/>
            <family val="2"/>
          </rPr>
          <t xml:space="preserve">
7.21.10
In particular and in line with our outlook last quarter, we invested roughly $0.04 per share in incremental marketing compared to last year to support the launch of VIA into the U.S. CPG channel as well as the introduction of our new customizable frappuccino product in our North American retail stores</t>
        </r>
      </text>
    </comment>
    <comment ref="AR23" authorId="0">
      <text>
        <r>
          <rPr>
            <b/>
            <sz val="8"/>
            <color indexed="81"/>
            <rFont val="Tahoma"/>
            <family val="2"/>
          </rPr>
          <t xml:space="preserve">John S Glass:
</t>
        </r>
        <r>
          <rPr>
            <sz val="8"/>
            <color indexed="81"/>
            <rFont val="Tahoma"/>
            <family val="2"/>
          </rPr>
          <t xml:space="preserve">includes $2 million for provision to close Israel
</t>
        </r>
      </text>
    </comment>
    <comment ref="AM25" authorId="0">
      <text>
        <r>
          <rPr>
            <sz val="8"/>
            <color indexed="81"/>
            <rFont val="Tahoma"/>
            <family val="2"/>
          </rPr>
          <t>excludes $18 litigation settlement</t>
        </r>
        <r>
          <rPr>
            <sz val="8"/>
            <color indexed="81"/>
            <rFont val="Tahoma"/>
            <family val="2"/>
          </rPr>
          <t xml:space="preserve">
</t>
        </r>
      </text>
    </comment>
    <comment ref="BF25" authorId="0">
      <text>
        <r>
          <rPr>
            <b/>
            <sz val="8"/>
            <color indexed="81"/>
            <rFont val="Tahoma"/>
            <family val="2"/>
          </rPr>
          <t xml:space="preserve">towerj:
</t>
        </r>
        <r>
          <rPr>
            <sz val="8"/>
            <color indexed="81"/>
            <rFont val="Tahoma"/>
            <family val="2"/>
          </rPr>
          <t>1.31.07 included charitable contribution of $12-$15 mill</t>
        </r>
        <r>
          <rPr>
            <sz val="8"/>
            <color indexed="81"/>
            <rFont val="Tahoma"/>
            <family val="2"/>
          </rPr>
          <t xml:space="preserve">
</t>
        </r>
      </text>
    </comment>
    <comment ref="CQ25" authorId="8">
      <text>
        <r>
          <rPr>
            <b/>
            <sz val="8"/>
            <color indexed="81"/>
            <rFont val="Tahoma"/>
            <family val="2"/>
          </rPr>
          <t>7.25.13</t>
        </r>
        <r>
          <rPr>
            <sz val="8"/>
            <color indexed="81"/>
            <rFont val="Tahoma"/>
            <family val="2"/>
          </rPr>
          <t xml:space="preserve">
Includes a discretionary $10 million donation to the Starbucks Foundation</t>
        </r>
        <r>
          <rPr>
            <sz val="8"/>
            <color indexed="81"/>
            <rFont val="Tahoma"/>
            <family val="2"/>
          </rPr>
          <t xml:space="preserve">
</t>
        </r>
      </text>
    </comment>
    <comment ref="DC25" authorId="4">
      <text>
        <r>
          <rPr>
            <b/>
            <sz val="9"/>
            <color indexed="81"/>
            <rFont val="Tahoma"/>
            <family val="2"/>
          </rPr>
          <t>Glass, John (Research):</t>
        </r>
        <r>
          <rPr>
            <sz val="9"/>
            <color indexed="81"/>
            <rFont val="Tahoma"/>
            <family val="2"/>
          </rPr>
          <t xml:space="preserve">
12.14: G&amp;A to growth less than half rateof revs in 15 (ex transactiaon and integration costs, largley in the 1Q15). Goal of reducing run rate support center costs by $100 m.</t>
        </r>
      </text>
    </comment>
    <comment ref="DE25" authorId="4">
      <text>
        <r>
          <rPr>
            <b/>
            <sz val="9"/>
            <color indexed="81"/>
            <rFont val="Tahoma"/>
            <family val="2"/>
          </rPr>
          <t>Glass, John (Research):</t>
        </r>
        <r>
          <rPr>
            <sz val="9"/>
            <color indexed="81"/>
            <rFont val="Tahoma"/>
            <family val="2"/>
          </rPr>
          <t xml:space="preserve">
includes an ext $20 m in tax accrual</t>
        </r>
      </text>
    </comment>
    <comment ref="DJ25" authorId="9">
      <text>
        <r>
          <rPr>
            <b/>
            <sz val="9"/>
            <color indexed="81"/>
            <rFont val="Tahoma"/>
            <family val="2"/>
          </rPr>
          <t>Carril, Christopher E (Research):</t>
        </r>
        <r>
          <rPr>
            <sz val="9"/>
            <color indexed="81"/>
            <rFont val="Tahoma"/>
            <family val="2"/>
          </rPr>
          <t xml:space="preserve">
4.27.2017
Specifically, G&amp;A as reported
declined by 1%. But after adjusting for certain current and prior year anomalies of approximately 6%, total G&amp;A grew by about 5%. Core G&amp;A, which
comprises over 80% of the total, was roughly flat, while innovation G&amp;A increased significantly on an absolute percentage basis.</t>
        </r>
      </text>
    </comment>
    <comment ref="DK25" authorId="9">
      <text>
        <r>
          <rPr>
            <b/>
            <sz val="9"/>
            <color indexed="81"/>
            <rFont val="Tahoma"/>
            <family val="2"/>
          </rPr>
          <t>Carril, Christopher E (Research):</t>
        </r>
        <r>
          <rPr>
            <sz val="9"/>
            <color indexed="81"/>
            <rFont val="Tahoma"/>
            <family val="2"/>
          </rPr>
          <t xml:space="preserve">
</t>
        </r>
        <r>
          <rPr>
            <b/>
            <sz val="9"/>
            <color indexed="81"/>
            <rFont val="Tahoma"/>
            <family val="2"/>
          </rPr>
          <t>7.27.2017</t>
        </r>
        <r>
          <rPr>
            <sz val="9"/>
            <color indexed="81"/>
            <rFont val="Tahoma"/>
            <family val="2"/>
          </rPr>
          <t xml:space="preserve">
Specifically, G&amp;A as reported year-to-date fiscal 2017 was up 5%, up 10% from last year after adjusting for current and prior year anomalies of approximately 5 points. Core G&amp;A, which comprises over 80% of the total, was roughly half of the 10% increase, with innovation G&amp;A comprising the other half.</t>
        </r>
      </text>
    </comment>
    <comment ref="DM25" authorId="9">
      <text>
        <r>
          <rPr>
            <b/>
            <sz val="9"/>
            <color indexed="81"/>
            <rFont val="Tahoma"/>
            <family val="2"/>
          </rPr>
          <t>Carril, Christopher E (Research):</t>
        </r>
        <r>
          <rPr>
            <sz val="9"/>
            <color indexed="81"/>
            <rFont val="Tahoma"/>
            <family val="2"/>
          </rPr>
          <t xml:space="preserve">
2016 Investor Day (12.8.2016):
Core G&amp;A to grow 1/2 rate of revenue growth</t>
        </r>
      </text>
    </comment>
    <comment ref="DR25" authorId="9">
      <text>
        <r>
          <rPr>
            <b/>
            <sz val="9"/>
            <color indexed="81"/>
            <rFont val="Tahoma"/>
            <family val="2"/>
          </rPr>
          <t>Carril, Christopher E (Research):</t>
        </r>
        <r>
          <rPr>
            <sz val="9"/>
            <color indexed="81"/>
            <rFont val="Tahoma"/>
            <family val="2"/>
          </rPr>
          <t xml:space="preserve">
2016 Investor Day (12.8.2016):
Core G&amp;A to grow 1/2 rate of revenue growth
</t>
        </r>
      </text>
    </comment>
    <comment ref="DW25" authorId="9">
      <text>
        <r>
          <rPr>
            <b/>
            <sz val="9"/>
            <color indexed="81"/>
            <rFont val="Tahoma"/>
            <family val="2"/>
          </rPr>
          <t>Carril, Christopher E (Research):</t>
        </r>
        <r>
          <rPr>
            <sz val="9"/>
            <color indexed="81"/>
            <rFont val="Tahoma"/>
            <family val="2"/>
          </rPr>
          <t xml:space="preserve">
2016 Investor Day (12.8.2016):
Core G&amp;A to grow 1/2 rate of revenue growth</t>
        </r>
      </text>
    </comment>
    <comment ref="EB25" authorId="9">
      <text>
        <r>
          <rPr>
            <b/>
            <sz val="9"/>
            <color indexed="81"/>
            <rFont val="Tahoma"/>
            <family val="2"/>
          </rPr>
          <t>Carril, Christopher E (Research):</t>
        </r>
        <r>
          <rPr>
            <sz val="9"/>
            <color indexed="81"/>
            <rFont val="Tahoma"/>
            <family val="2"/>
          </rPr>
          <t xml:space="preserve">
2016 Investor Day (12.8.2016):
Core G&amp;A to grow 1/2 rate of revenue growth</t>
        </r>
      </text>
    </comment>
    <comment ref="BR26" authorId="0">
      <text>
        <r>
          <rPr>
            <b/>
            <sz val="8"/>
            <color indexed="81"/>
            <rFont val="Tahoma"/>
            <family val="2"/>
          </rPr>
          <t xml:space="preserve">Jon Tower:
</t>
        </r>
        <r>
          <rPr>
            <sz val="8"/>
            <color indexed="81"/>
            <rFont val="Tahoma"/>
            <family val="2"/>
          </rPr>
          <t>7.30.08
Restructuring charges of $167.7 million are comprised of asset impairments for the approximately 600 underperforming company-operated stores in the U.S. market, initially announced and estimated on July 1, 2008.</t>
        </r>
        <r>
          <rPr>
            <sz val="8"/>
            <color indexed="81"/>
            <rFont val="Tahoma"/>
            <family val="2"/>
          </rPr>
          <t xml:space="preserve">
</t>
        </r>
      </text>
    </comment>
    <comment ref="BS26" authorId="0">
      <text>
        <r>
          <rPr>
            <b/>
            <sz val="8"/>
            <color indexed="81"/>
            <rFont val="Tahoma"/>
            <family val="2"/>
          </rPr>
          <t xml:space="preserve">Jon Tower:
</t>
        </r>
        <r>
          <rPr>
            <sz val="8"/>
            <color indexed="81"/>
            <rFont val="Tahoma"/>
            <family val="2"/>
          </rPr>
          <t>11.10.08
Restructuring charges totaled $99.2 million in the fourth quarter of fiscal 2008. Of that amount, $38.6 million was related to executing on the decision to close approximately 600 underperforming U.S. company-operated stores
7.30.08
The majority of the store closures are scheduled to occur during the remainder of fiscal 2008 and the first half of fiscal 2009, and the related lease exit costs and severance expenses are expected to be recognized during that time frame.</t>
        </r>
        <r>
          <rPr>
            <sz val="8"/>
            <color indexed="81"/>
            <rFont val="Tahoma"/>
            <family val="2"/>
          </rPr>
          <t xml:space="preserve">
</t>
        </r>
      </text>
    </comment>
    <comment ref="BT26" authorId="0">
      <text>
        <r>
          <rPr>
            <b/>
            <sz val="8"/>
            <color indexed="81"/>
            <rFont val="Tahoma"/>
            <family val="2"/>
          </rPr>
          <t xml:space="preserve">Jon Tower:
</t>
        </r>
        <r>
          <rPr>
            <sz val="8"/>
            <color indexed="81"/>
            <rFont val="Tahoma"/>
            <family val="2"/>
          </rPr>
          <t>12.4.08 --- analyst day:
$80-$85M from portfolio rationalization
$120-$125M from Support structure cut</t>
        </r>
        <r>
          <rPr>
            <b/>
            <sz val="8"/>
            <color indexed="81"/>
            <rFont val="Tahoma"/>
            <family val="2"/>
          </rPr>
          <t xml:space="preserve">
</t>
        </r>
        <r>
          <rPr>
            <sz val="8"/>
            <color indexed="81"/>
            <rFont val="Tahoma"/>
            <family val="2"/>
          </rPr>
          <t xml:space="preserve">
11.10.08
. Total lease exit costs are now expected to be up to $170 million. This revised estimate compares to the previously disclosed range of $120 million to $140 million, initially reported on July 1, 2008. During fourth quarter fiscal 2008, the first 205 of these stores were closed. The approximately 400 remaining U.S. store closures are now expected to occur by the end of fiscal 2009 and the remaining lease exit costs are expected to be recognized during that time frame. The restructuring charges recognized during the fourth quarter also included the closure of 61 company-operated stores in Australia, and costs associated with the reduction in positions within Starbucks leadership structure and non-store organization, which includes severance costs and impairment charges related to corporate real estate the company no longer plans to occupy.
7.30.08
Restructuring charges of $167.7 million are comprised of asset impairments for the approximately 600 underperforming company-operated stores in the U.S. market, initially announced and estimated on July 1, 2008. The majority of the store closures are scheduled to occur during the remainder of fiscal 2008 and the first half of fiscal 2009, and the related lease exit costs and severance expenses are expected to be recognized during that time frame. </t>
        </r>
        <r>
          <rPr>
            <sz val="8"/>
            <color indexed="81"/>
            <rFont val="Tahoma"/>
            <family val="2"/>
          </rPr>
          <t xml:space="preserve">
</t>
        </r>
      </text>
    </comment>
    <comment ref="BU26" authorId="1">
      <text>
        <r>
          <rPr>
            <b/>
            <sz val="8"/>
            <color indexed="81"/>
            <rFont val="Tahoma"/>
            <family val="2"/>
          </rPr>
          <t xml:space="preserve">Jon Tower:
1.28.09
</t>
        </r>
        <r>
          <rPr>
            <sz val="8"/>
            <color indexed="81"/>
            <rFont val="Tahoma"/>
            <family val="2"/>
          </rPr>
          <t>Restructuring charges of $75.5 million for the quarter were primarily composed of lease exit and other costs associated with the closure of 179 U.S. company-operated stores during the quarter.</t>
        </r>
        <r>
          <rPr>
            <b/>
            <sz val="8"/>
            <color indexed="81"/>
            <rFont val="Tahoma"/>
            <family val="2"/>
          </rPr>
          <t xml:space="preserve">
11.10.08
assumes majority of store closure costs hit F1Q/F2Q
</t>
        </r>
        <r>
          <rPr>
            <sz val="8"/>
            <color indexed="81"/>
            <rFont val="Tahoma"/>
            <family val="2"/>
          </rPr>
          <t xml:space="preserve">
7.30.08
The majority of the store closures are scheduled to occur during the remainder of fiscal 2008 and the first half of fiscal 2009, and the related lease exit costs and severance expenses are expected to be recognized during that time frame.</t>
        </r>
      </text>
    </comment>
    <comment ref="BV26" authorId="1">
      <text>
        <r>
          <rPr>
            <b/>
            <sz val="8"/>
            <color indexed="81"/>
            <rFont val="Tahoma"/>
            <family val="2"/>
          </rPr>
          <t xml:space="preserve">Jon Tower:
4.29.09
</t>
        </r>
        <r>
          <rPr>
            <sz val="8"/>
            <color indexed="81"/>
            <rFont val="Tahoma"/>
            <family val="2"/>
          </rPr>
          <t xml:space="preserve">Restructuring charges of $152.1 million for the quarter were primarily due to asset impairments, lease exit, and other costs associated with the closure of 123 U.S. company-operated stores, which accounted for $102.7 million of restructuring charges. The balance of the restructuring charges was attributable to severance charges related to the global workforce reduction of non-store partners announced on January 28, 2009, and the associated revaluation of corporate real estate facilities, as well as store impairment charges for International stores identified for closure. </t>
        </r>
        <r>
          <rPr>
            <b/>
            <sz val="8"/>
            <color indexed="81"/>
            <rFont val="Tahoma"/>
            <family val="2"/>
          </rPr>
          <t xml:space="preserve">
1.28.09
includes: 
$60M in pre-tax asset write offs
$30M in additional severance charges -- majority expected in F2Q
ALSO expect $140M in additional lease termination costs -- we assume $60M hits in the F2Q, $60M in F3Q and $20M in F4Q
-- ALSO includes $60M in previous store closure expenses
11.10.08
assumes majority of store closure costs hit F1Q/F2Q</t>
        </r>
        <r>
          <rPr>
            <sz val="8"/>
            <color indexed="81"/>
            <rFont val="Tahoma"/>
            <family val="2"/>
          </rPr>
          <t xml:space="preserve">
7.30.08
The majority of the store closures are scheduled to occur during the remainder of fiscal 2008 and the first half of fiscal 2009, and the related lease exit costs and severance expenses are expected to be recognized during that time frame.</t>
        </r>
      </text>
    </comment>
    <comment ref="BW26" authorId="1">
      <text>
        <r>
          <rPr>
            <b/>
            <sz val="8"/>
            <color indexed="81"/>
            <rFont val="Tahoma"/>
            <family val="2"/>
          </rPr>
          <t xml:space="preserve">Jon Tower:
1.28.09
includes: 
ALSO expect $140M in additional lease termination costs -- we assume $60M hits in the F2Q, $60M in F3Q and $20M in F4Q
</t>
        </r>
      </text>
    </comment>
    <comment ref="BX26" authorId="1">
      <text>
        <r>
          <rPr>
            <b/>
            <sz val="8"/>
            <color indexed="81"/>
            <rFont val="Tahoma"/>
            <family val="2"/>
          </rPr>
          <t xml:space="preserve">Jon Tower:
1.28.09
includes: 
ALSO expect $140M in additional lease termination costs -- we assume $60M hits in the F2Q, $60M in F3Q and $20M in F4Q
</t>
        </r>
      </text>
    </comment>
    <comment ref="BY26" authorId="1">
      <text>
        <r>
          <rPr>
            <b/>
            <sz val="8"/>
            <color indexed="81"/>
            <rFont val="Tahoma"/>
            <family val="2"/>
          </rPr>
          <t xml:space="preserve">Jon Tower:
1.28.09
NEW FY09 Restructuring charges = $230M +$135M = $365M in pre-tax charges in FY09
</t>
        </r>
        <r>
          <rPr>
            <sz val="8"/>
            <color indexed="81"/>
            <rFont val="Tahoma"/>
            <family val="2"/>
          </rPr>
          <t xml:space="preserve">
Now expect additional $230M in pre-tax charges:
$60M asset write off
$140M in lease termination costs
$30M in severance
</t>
        </r>
        <r>
          <rPr>
            <b/>
            <sz val="8"/>
            <color indexed="81"/>
            <rFont val="Tahoma"/>
            <family val="2"/>
          </rPr>
          <t xml:space="preserve">
11.10.08
</t>
        </r>
        <r>
          <rPr>
            <sz val="8"/>
            <color indexed="81"/>
            <rFont val="Tahoma"/>
            <family val="2"/>
          </rPr>
          <t xml:space="preserve">. Total lease exit costs are now expected to be up to $170 million. This revised estimate compares to the previously disclosed range of $120 million to $140 million, initially reported on July 1, 2008. During fourth quarter fiscal 2008, the first 205 of these stores were closed. The approximately 400 remaining U.S. store closures are now expected to occur by the end of fiscal 2009 and the remaining lease exit costs are expected to be recognized during that time frame. The restructuring charges recognized during the fourth quarter also included the closure of 61 company-operated stores in Australia, and costs associated with the reduction in positions within Starbucks leadership structure and non-store organization, which includes severance costs and impairment charges related to corporate real estate the company no longer plans to occupy.
</t>
        </r>
        <r>
          <rPr>
            <b/>
            <sz val="8"/>
            <color indexed="81"/>
            <rFont val="Tahoma"/>
            <family val="2"/>
          </rPr>
          <t xml:space="preserve">11.10.08 </t>
        </r>
        <r>
          <rPr>
            <sz val="8"/>
            <color indexed="81"/>
            <rFont val="Tahoma"/>
            <family val="2"/>
          </rPr>
          <t>the US and Australia store closures that began in the fourth quarter of fiscal '08, and will continue into fiscal '09. We now expect an impact of up to $0.12</t>
        </r>
        <r>
          <rPr>
            <b/>
            <sz val="8"/>
            <color indexed="81"/>
            <rFont val="Tahoma"/>
            <family val="2"/>
          </rPr>
          <t xml:space="preserve"> per share in fiscal '09 related to lease exit costs. -- IMPLIES $135M pretax charges</t>
        </r>
        <r>
          <rPr>
            <b/>
            <sz val="8"/>
            <color indexed="81"/>
            <rFont val="Tahoma"/>
            <family val="2"/>
          </rPr>
          <t xml:space="preserve">
</t>
        </r>
        <r>
          <rPr>
            <sz val="8"/>
            <color indexed="81"/>
            <rFont val="Tahoma"/>
            <family val="2"/>
          </rPr>
          <t xml:space="preserve">
</t>
        </r>
      </text>
    </comment>
    <comment ref="BZ26" authorId="1">
      <text>
        <r>
          <rPr>
            <b/>
            <sz val="8"/>
            <color indexed="81"/>
            <rFont val="Tahoma"/>
            <family val="2"/>
          </rPr>
          <t>Jon Tower:
1.20.10</t>
        </r>
        <r>
          <rPr>
            <sz val="8"/>
            <color indexed="81"/>
            <rFont val="Tahoma"/>
            <family val="2"/>
          </rPr>
          <t xml:space="preserve">
Restructuring charges of $18.3 million for the quarter were due to lease exit and other costs associated with the closure of company-operated stores. These closures are part of the company's previously-announced global store portfolio rationalization, most of which was completed in fiscal 2009. Most of the remaining store closures are in the International segment, and are expected to be completed by the end of fiscal 2010, with related lease exit costs expected to be recognized concurrently with the actual closures</t>
        </r>
        <r>
          <rPr>
            <b/>
            <sz val="8"/>
            <color indexed="81"/>
            <rFont val="Tahoma"/>
            <family val="2"/>
          </rPr>
          <t xml:space="preserve">
</t>
        </r>
        <r>
          <rPr>
            <sz val="8"/>
            <color indexed="81"/>
            <rFont val="Tahoma"/>
            <family val="2"/>
          </rPr>
          <t xml:space="preserve">
7.21.09
 $0.02 to $0.03 of expected restructuring charges in the first half of fiscal 2010 </t>
        </r>
      </text>
    </comment>
    <comment ref="CA26" authorId="1">
      <text>
        <r>
          <rPr>
            <b/>
            <sz val="8"/>
            <color indexed="81"/>
            <rFont val="Tahoma"/>
            <family val="2"/>
          </rPr>
          <t>Jon Tower:
4.21.10</t>
        </r>
        <r>
          <rPr>
            <sz val="8"/>
            <color indexed="81"/>
            <rFont val="Tahoma"/>
            <family val="2"/>
          </rPr>
          <t xml:space="preserve">
Restructuring charges of $7.9 million for the quarter were due to lease exit and other costs associated with the closure of company-operated stores. These closures were part of the company's previously-announced global store portfolio rationalization, most of which was completed in fiscal 2009. Nearly all of the remaining store closures are in the International segment, and are expected to be completed by the end of fiscal 2010, with related lease exit costs expected to be recognized concurrently with the actual closures</t>
        </r>
        <r>
          <rPr>
            <b/>
            <sz val="8"/>
            <color indexed="81"/>
            <rFont val="Tahoma"/>
            <family val="2"/>
          </rPr>
          <t xml:space="preserve">
</t>
        </r>
        <r>
          <rPr>
            <sz val="8"/>
            <color indexed="81"/>
            <rFont val="Tahoma"/>
            <family val="2"/>
          </rPr>
          <t xml:space="preserve">
7.21.09
 $0.02 to $0.03 of expected restructuring charges in the first half of fiscal 2010 </t>
        </r>
      </text>
    </comment>
    <comment ref="CB26" authorId="1">
      <text>
        <r>
          <rPr>
            <b/>
            <sz val="8"/>
            <color indexed="81"/>
            <rFont val="Tahoma"/>
            <family val="2"/>
          </rPr>
          <t>Jon Tower:</t>
        </r>
        <r>
          <rPr>
            <sz val="8"/>
            <color indexed="81"/>
            <rFont val="Tahoma"/>
            <family val="2"/>
          </rPr>
          <t xml:space="preserve">
7.21.10
Restructuring charges of $20.4 million for the quarter were primarily related to continued softness in the commercial real estate market, which impacted the expense recognition for stores that were previously closed in the U.S., but for which the company has remaining lease obligations.</t>
        </r>
      </text>
    </comment>
    <comment ref="CC26" authorId="1">
      <text>
        <r>
          <rPr>
            <b/>
            <sz val="8"/>
            <color indexed="81"/>
            <rFont val="Tahoma"/>
            <family val="2"/>
          </rPr>
          <t>Jon Tower:</t>
        </r>
        <r>
          <rPr>
            <sz val="8"/>
            <color indexed="81"/>
            <rFont val="Tahoma"/>
            <family val="2"/>
          </rPr>
          <t xml:space="preserve">
11.4.10
Restructuring charges of $6.4 million for the quarter were related to lease exit and other costs associated with the closure of company-operated stores in international markets. With the previously-announced store closures essentially complete, this will be the final quarter in which Starbucks will be reporting restructuring costs related to these activities</t>
        </r>
      </text>
    </comment>
    <comment ref="CD26" authorId="1">
      <text>
        <r>
          <rPr>
            <b/>
            <sz val="8"/>
            <color indexed="81"/>
            <rFont val="Tahoma"/>
            <family val="2"/>
          </rPr>
          <t>Jon Tower:</t>
        </r>
        <r>
          <rPr>
            <sz val="8"/>
            <color indexed="81"/>
            <rFont val="Tahoma"/>
            <family val="2"/>
          </rPr>
          <t xml:space="preserve">
4.21.10
Nearly all of the remaining store closures are in the International segment, and are expected to be completed by the end of fiscal 2010, with related lease exit costs expected to be recognized concurrently with the actual closures</t>
        </r>
      </text>
    </comment>
    <comment ref="CH26" authorId="1">
      <text>
        <r>
          <rPr>
            <b/>
            <sz val="8"/>
            <color indexed="81"/>
            <rFont val="Tahoma"/>
            <family val="2"/>
          </rPr>
          <t>Jon Tower:</t>
        </r>
        <r>
          <rPr>
            <sz val="8"/>
            <color indexed="81"/>
            <rFont val="Tahoma"/>
            <family val="2"/>
          </rPr>
          <t xml:space="preserve">
11.3.11
Sale of office properties in Seattle</t>
        </r>
      </text>
    </comment>
    <comment ref="CI26" authorId="1">
      <text>
        <r>
          <rPr>
            <b/>
            <sz val="8"/>
            <color indexed="81"/>
            <rFont val="Tahoma"/>
            <family val="2"/>
          </rPr>
          <t xml:space="preserve">Jon Tower:
11.3.11
Sale of office properties in Seattle
11.4.10
No restructuring charges are anticipated in fiscal 2011
</t>
        </r>
        <r>
          <rPr>
            <sz val="8"/>
            <color indexed="81"/>
            <rFont val="Tahoma"/>
            <family val="2"/>
          </rPr>
          <t xml:space="preserve">
7.21.10
We do not anticipate any restructuring charges in FY2011 as the previously announced
store closure program will largely be completed by the end of FY2010
o Any remaining costs beyond 2010 associated with this program will fall into continuing operations</t>
        </r>
      </text>
    </comment>
    <comment ref="CR26" authorId="10">
      <text>
        <r>
          <rPr>
            <b/>
            <sz val="8"/>
            <color indexed="81"/>
            <rFont val="Tahoma"/>
            <family val="2"/>
          </rPr>
          <t>John Glass:</t>
        </r>
        <r>
          <rPr>
            <sz val="8"/>
            <color indexed="81"/>
            <rFont val="Tahoma"/>
            <family val="2"/>
          </rPr>
          <t xml:space="preserve">
Lost Kradft arbitration - $2.23 M in damanges and $557 M in interest and attorney's fees. 100% tax deducible, over time</t>
        </r>
      </text>
    </comment>
    <comment ref="CT26" authorId="8">
      <text>
        <r>
          <rPr>
            <b/>
            <sz val="8"/>
            <color indexed="81"/>
            <rFont val="Tahoma"/>
            <family val="2"/>
          </rPr>
          <t>10Q:</t>
        </r>
        <r>
          <rPr>
            <sz val="8"/>
            <color indexed="81"/>
            <rFont val="Tahoma"/>
            <family val="2"/>
          </rPr>
          <t xml:space="preserve">
The $20.2 million litigation credit (contributing approximately 50 basis points) reflects a reduction to our estimated prejudgment interest payable associated with the Kraft arbitration, as a result of paying our obligation earlier than anticipated. The $2.8 billion litigation charge was accrued for in the fourth quarter of fiscal 2013 and fully extinguished in the first quarter of fiscal 2014.
</t>
        </r>
        <r>
          <rPr>
            <sz val="8"/>
            <color indexed="81"/>
            <rFont val="Tahoma"/>
            <family val="2"/>
          </rPr>
          <t xml:space="preserve">
</t>
        </r>
      </text>
    </comment>
    <comment ref="DK26" authorId="4">
      <text>
        <r>
          <rPr>
            <b/>
            <sz val="9"/>
            <color indexed="81"/>
            <rFont val="Tahoma"/>
            <family val="2"/>
          </rPr>
          <t>Glass, John (Research):</t>
        </r>
        <r>
          <rPr>
            <sz val="9"/>
            <color indexed="81"/>
            <rFont val="Tahoma"/>
            <family val="2"/>
          </rPr>
          <t xml:space="preserve">
includes impairment for teavana</t>
        </r>
      </text>
    </comment>
    <comment ref="AL27" authorId="0">
      <text>
        <r>
          <rPr>
            <sz val="8"/>
            <color indexed="81"/>
            <rFont val="Tahoma"/>
            <family val="2"/>
          </rPr>
          <t>restated to include results of Swiss and Austrian licensed units</t>
        </r>
        <r>
          <rPr>
            <sz val="8"/>
            <color indexed="81"/>
            <rFont val="Tahoma"/>
            <family val="2"/>
          </rPr>
          <t xml:space="preserve">
</t>
        </r>
      </text>
    </comment>
    <comment ref="AM27" authorId="0">
      <text>
        <r>
          <rPr>
            <sz val="8"/>
            <color indexed="81"/>
            <rFont val="Tahoma"/>
            <family val="2"/>
          </rPr>
          <t>includes results from Austrian and swiss licensed partnership</t>
        </r>
        <r>
          <rPr>
            <sz val="8"/>
            <color indexed="81"/>
            <rFont val="Tahoma"/>
            <family val="2"/>
          </rPr>
          <t xml:space="preserve">
</t>
        </r>
      </text>
    </comment>
    <comment ref="AO27" authorId="0">
      <text>
        <r>
          <rPr>
            <b/>
            <sz val="8"/>
            <color indexed="81"/>
            <rFont val="Tahoma"/>
            <family val="2"/>
          </rPr>
          <t xml:space="preserve">John S Glass:
</t>
        </r>
        <r>
          <rPr>
            <sz val="8"/>
            <color indexed="81"/>
            <rFont val="Tahoma"/>
            <family val="2"/>
          </rPr>
          <t>reduced by $0.779 for change in swiss operators to equity menthod</t>
        </r>
        <r>
          <rPr>
            <sz val="8"/>
            <color indexed="81"/>
            <rFont val="Tahoma"/>
            <family val="2"/>
          </rPr>
          <t xml:space="preserve">
</t>
        </r>
      </text>
    </comment>
    <comment ref="AP27" authorId="0">
      <text>
        <r>
          <rPr>
            <b/>
            <sz val="8"/>
            <color indexed="81"/>
            <rFont val="Tahoma"/>
            <family val="2"/>
          </rPr>
          <t xml:space="preserve">glassj:
</t>
        </r>
        <r>
          <rPr>
            <sz val="8"/>
            <color indexed="81"/>
            <rFont val="Tahoma"/>
            <family val="2"/>
          </rPr>
          <t>increased profts from pepsi JV from double shot and dec. manu. Costs; growth of Korea; offset by lower profits from Japan, and lower % ownership (40% vs 50%)</t>
        </r>
        <r>
          <rPr>
            <sz val="8"/>
            <color indexed="81"/>
            <rFont val="Tahoma"/>
            <family val="2"/>
          </rPr>
          <t xml:space="preserve">
</t>
        </r>
      </text>
    </comment>
    <comment ref="AQ27" authorId="0">
      <text>
        <r>
          <rPr>
            <sz val="8"/>
            <color indexed="81"/>
            <rFont val="Tahoma"/>
            <family val="2"/>
          </rPr>
          <t>restated to account for acquisition of Austrian and Swiss licensee partners</t>
        </r>
        <r>
          <rPr>
            <sz val="8"/>
            <color indexed="81"/>
            <rFont val="Tahoma"/>
            <family val="2"/>
          </rPr>
          <t xml:space="preserve">
</t>
        </r>
      </text>
    </comment>
    <comment ref="AR27" authorId="0">
      <text>
        <r>
          <rPr>
            <b/>
            <sz val="8"/>
            <color indexed="81"/>
            <rFont val="Tahoma"/>
            <family val="2"/>
          </rPr>
          <t xml:space="preserve">John S Glass:
</t>
        </r>
        <r>
          <rPr>
            <sz val="8"/>
            <color indexed="81"/>
            <rFont val="Tahoma"/>
            <family val="2"/>
          </rPr>
          <t>restated to reflect the reclassification of the swiss market. Sustained losses from Japan. Pepsi and Dryers JV both strong</t>
        </r>
        <r>
          <rPr>
            <sz val="8"/>
            <color indexed="81"/>
            <rFont val="Tahoma"/>
            <family val="2"/>
          </rPr>
          <t xml:space="preserve">
</t>
        </r>
      </text>
    </comment>
    <comment ref="AS27" authorId="0">
      <text>
        <r>
          <rPr>
            <b/>
            <sz val="8"/>
            <color indexed="81"/>
            <rFont val="Tahoma"/>
            <family val="2"/>
          </rPr>
          <t xml:space="preserve">John S Glass:
</t>
        </r>
        <r>
          <rPr>
            <sz val="8"/>
            <color indexed="81"/>
            <rFont val="Tahoma"/>
            <family val="2"/>
          </rPr>
          <t>reduced by $1.5 million due to reclassificantion of swiss market</t>
        </r>
        <r>
          <rPr>
            <sz val="8"/>
            <color indexed="81"/>
            <rFont val="Tahoma"/>
            <family val="2"/>
          </rPr>
          <t xml:space="preserve">
</t>
        </r>
      </text>
    </comment>
    <comment ref="AU27" authorId="0">
      <text>
        <r>
          <rPr>
            <b/>
            <sz val="8"/>
            <color indexed="81"/>
            <rFont val="Tahoma"/>
            <family val="2"/>
          </rPr>
          <t xml:space="preserve">glassj:
</t>
        </r>
        <r>
          <rPr>
            <sz val="8"/>
            <color indexed="81"/>
            <rFont val="Tahoma"/>
            <family val="2"/>
          </rPr>
          <t>Includes $28.5 million US (pepsi, dryers) and $9.9 million internationa</t>
        </r>
        <r>
          <rPr>
            <sz val="8"/>
            <color indexed="81"/>
            <rFont val="Tahoma"/>
            <family val="2"/>
          </rPr>
          <t xml:space="preserve">
</t>
        </r>
      </text>
    </comment>
    <comment ref="BA27" authorId="0">
      <text>
        <r>
          <rPr>
            <b/>
            <sz val="8"/>
            <color indexed="81"/>
            <rFont val="Tahoma"/>
            <family val="2"/>
          </rPr>
          <t xml:space="preserve">towerj:
</t>
        </r>
        <r>
          <rPr>
            <sz val="8"/>
            <color indexed="81"/>
            <rFont val="Tahoma"/>
            <family val="2"/>
          </rPr>
          <t>restated due to change in value of income from equity investees --- in 1Q05 10Q was $12,890 as of 1Q06 was $12,847</t>
        </r>
        <r>
          <rPr>
            <sz val="8"/>
            <color indexed="81"/>
            <rFont val="Tahoma"/>
            <family val="2"/>
          </rPr>
          <t xml:space="preserve">
</t>
        </r>
      </text>
    </comment>
    <comment ref="BB27" authorId="0">
      <text>
        <r>
          <rPr>
            <b/>
            <sz val="8"/>
            <color indexed="81"/>
            <rFont val="Tahoma"/>
            <family val="2"/>
          </rPr>
          <t xml:space="preserve">towerj:
</t>
        </r>
        <r>
          <rPr>
            <sz val="8"/>
            <color indexed="81"/>
            <rFont val="Tahoma"/>
            <family val="2"/>
          </rPr>
          <t>changed from $16.369 to $16.294 in F2Q06 release</t>
        </r>
        <r>
          <rPr>
            <sz val="8"/>
            <color indexed="81"/>
            <rFont val="Tahoma"/>
            <family val="2"/>
          </rPr>
          <t xml:space="preserve">
</t>
        </r>
      </text>
    </comment>
    <comment ref="BC27" authorId="0">
      <text>
        <r>
          <rPr>
            <b/>
            <sz val="8"/>
            <color indexed="81"/>
            <rFont val="Tahoma"/>
            <family val="2"/>
          </rPr>
          <t xml:space="preserve">towerj:
</t>
        </r>
        <r>
          <rPr>
            <sz val="8"/>
            <color indexed="81"/>
            <rFont val="Tahoma"/>
            <family val="2"/>
          </rPr>
          <t>8.2.06 changed from 18.136 mill 
7.29.05 = Y/Y increase was primarily due to volume-driven operating results for
the North American Coffee Partnership, which produces bottled Frappuccino(R)
coffee drinks and Starbucks DoubleShot(R) espresso drink, and improved
operating results from international investees, particularly in Korea and
Japan.</t>
        </r>
        <r>
          <rPr>
            <sz val="8"/>
            <color indexed="81"/>
            <rFont val="Tahoma"/>
            <family val="2"/>
          </rPr>
          <t xml:space="preserve">
</t>
        </r>
      </text>
    </comment>
    <comment ref="BD27" authorId="0">
      <text>
        <r>
          <rPr>
            <b/>
            <sz val="8"/>
            <color indexed="81"/>
            <rFont val="Tahoma"/>
            <family val="2"/>
          </rPr>
          <t xml:space="preserve">towerj:
</t>
        </r>
        <r>
          <rPr>
            <sz val="8"/>
            <color indexed="81"/>
            <rFont val="Tahoma"/>
            <family val="2"/>
          </rPr>
          <t>11.16.06 was $29.494 million 
11.17.05 increase due to volume-driven op results for NA coffee partnership (bottled frappuchino)...</t>
        </r>
        <r>
          <rPr>
            <sz val="8"/>
            <color indexed="81"/>
            <rFont val="Tahoma"/>
            <family val="2"/>
          </rPr>
          <t xml:space="preserve">
</t>
        </r>
      </text>
    </comment>
    <comment ref="BH27" authorId="0">
      <text>
        <r>
          <rPr>
            <b/>
            <sz val="8"/>
            <color indexed="81"/>
            <rFont val="Tahoma"/>
            <family val="2"/>
          </rPr>
          <t xml:space="preserve">towerj:
</t>
        </r>
        <r>
          <rPr>
            <sz val="8"/>
            <color indexed="81"/>
            <rFont val="Tahoma"/>
            <family val="2"/>
          </rPr>
          <t>8.2.06 higher volumes from NACP</t>
        </r>
        <r>
          <rPr>
            <b/>
            <sz val="8"/>
            <color indexed="81"/>
            <rFont val="Tahoma"/>
            <family val="2"/>
          </rPr>
          <t xml:space="preserve"> </t>
        </r>
        <r>
          <rPr>
            <sz val="8"/>
            <color indexed="81"/>
            <rFont val="Tahoma"/>
            <family val="2"/>
          </rPr>
          <t xml:space="preserve">
</t>
        </r>
      </text>
    </comment>
    <comment ref="BI27" authorId="0">
      <text>
        <r>
          <rPr>
            <b/>
            <sz val="8"/>
            <color indexed="81"/>
            <rFont val="Tahoma"/>
            <family val="2"/>
          </rPr>
          <t>towerj:</t>
        </r>
        <r>
          <rPr>
            <sz val="8"/>
            <color indexed="81"/>
            <rFont val="Tahoma"/>
            <family val="2"/>
          </rPr>
          <t xml:space="preserve">
11.16.06 
The decrease was primarily due to accounting corrections totaling $4.1 million related to two international joint venture markets. This was partially offset by favorable volume-driven results for The North American Coffee Partnership, which produces bottled Frappuccino(R) and Starbucks DoubleShot(R) coffee drinks.</t>
        </r>
        <r>
          <rPr>
            <sz val="8"/>
            <color indexed="81"/>
            <rFont val="Tahoma"/>
            <family val="2"/>
          </rPr>
          <t xml:space="preserve">
</t>
        </r>
      </text>
    </comment>
    <comment ref="BL27" authorId="0">
      <text>
        <r>
          <rPr>
            <b/>
            <sz val="8"/>
            <color indexed="81"/>
            <rFont val="Tahoma"/>
            <family val="2"/>
          </rPr>
          <t xml:space="preserve">towerj:
</t>
        </r>
        <r>
          <rPr>
            <sz val="8"/>
            <color indexed="81"/>
            <rFont val="Tahoma"/>
            <family val="2"/>
          </rPr>
          <t>5.3.07
The increase was primarily from the North American Coffee Partnership, which produces ready-to-drink beverages, including Starbucks bottled Frappuccino(R) coffee drinks and Starbucks DoubleShot(R) espresso drinks, and higher equity income from international investees</t>
        </r>
        <r>
          <rPr>
            <sz val="8"/>
            <color indexed="81"/>
            <rFont val="Tahoma"/>
            <family val="2"/>
          </rPr>
          <t xml:space="preserve">
</t>
        </r>
      </text>
    </comment>
    <comment ref="BM27" authorId="0">
      <text>
        <r>
          <rPr>
            <sz val="8"/>
            <color indexed="81"/>
            <rFont val="Tahoma"/>
            <family val="2"/>
          </rPr>
          <t>4/21/04 global leadership conference cost $8 million</t>
        </r>
        <r>
          <rPr>
            <sz val="8"/>
            <color indexed="81"/>
            <rFont val="Tahoma"/>
            <family val="2"/>
          </rPr>
          <t xml:space="preserve">
</t>
        </r>
      </text>
    </comment>
    <comment ref="BJ29" authorId="0">
      <text>
        <r>
          <rPr>
            <sz val="8"/>
            <color indexed="81"/>
            <rFont val="Tahoma"/>
            <family val="2"/>
          </rPr>
          <t>Includes $105 M in options expensing</t>
        </r>
        <r>
          <rPr>
            <sz val="8"/>
            <color indexed="81"/>
            <rFont val="Tahoma"/>
            <family val="2"/>
          </rPr>
          <t xml:space="preserve">
</t>
        </r>
      </text>
    </comment>
    <comment ref="BU29" authorId="1">
      <text>
        <r>
          <rPr>
            <b/>
            <sz val="8"/>
            <color indexed="81"/>
            <rFont val="Tahoma"/>
            <family val="2"/>
          </rPr>
          <t>Jon Tower:</t>
        </r>
        <r>
          <rPr>
            <sz val="8"/>
            <color indexed="81"/>
            <rFont val="Tahoma"/>
            <family val="2"/>
          </rPr>
          <t xml:space="preserve">
1.28.09
The company’s cost reduction initiatives delivered approximately </t>
        </r>
        <r>
          <rPr>
            <b/>
            <sz val="8"/>
            <color indexed="81"/>
            <rFont val="Tahoma"/>
            <family val="2"/>
          </rPr>
          <t>$75 million of benefit in the first fiscal quarter</t>
        </r>
        <r>
          <rPr>
            <sz val="8"/>
            <color indexed="81"/>
            <rFont val="Tahoma"/>
            <family val="2"/>
          </rPr>
          <t xml:space="preserve">, and are expected to deliver approximately $100 million in the second quarter, approximately $150 million in the third, and approximately $175 million in the fourth quarter of fiscal 2009. 
</t>
        </r>
      </text>
    </comment>
    <comment ref="BV29" authorId="1">
      <text>
        <r>
          <rPr>
            <b/>
            <sz val="8"/>
            <color indexed="81"/>
            <rFont val="Tahoma"/>
            <family val="2"/>
          </rPr>
          <t>Jon Tower:</t>
        </r>
        <r>
          <rPr>
            <sz val="8"/>
            <color indexed="81"/>
            <rFont val="Tahoma"/>
            <family val="2"/>
          </rPr>
          <t xml:space="preserve">
1.28.09
The company’s cost reduction initiatives delivered approximately</t>
        </r>
        <r>
          <rPr>
            <b/>
            <sz val="8"/>
            <color indexed="81"/>
            <rFont val="Tahoma"/>
            <family val="2"/>
          </rPr>
          <t xml:space="preserve"> </t>
        </r>
        <r>
          <rPr>
            <sz val="8"/>
            <color indexed="81"/>
            <rFont val="Tahoma"/>
            <family val="2"/>
          </rPr>
          <t>$75 million of benefit in the first fiscal quarter,</t>
        </r>
        <r>
          <rPr>
            <sz val="8"/>
            <color indexed="81"/>
            <rFont val="Tahoma"/>
            <family val="2"/>
          </rPr>
          <t xml:space="preserve"> </t>
        </r>
        <r>
          <rPr>
            <b/>
            <sz val="8"/>
            <color indexed="81"/>
            <rFont val="Tahoma"/>
            <family val="2"/>
          </rPr>
          <t>and are expected to deliver approximately $100 million in the second quarter,</t>
        </r>
        <r>
          <rPr>
            <sz val="8"/>
            <color indexed="81"/>
            <rFont val="Tahoma"/>
            <family val="2"/>
          </rPr>
          <t xml:space="preserve"> approximately $150 million in the third, and approximately $175 million in the fourth quarter of fiscal 2009. 
</t>
        </r>
      </text>
    </comment>
    <comment ref="BW29" authorId="1">
      <text>
        <r>
          <rPr>
            <b/>
            <sz val="8"/>
            <color indexed="81"/>
            <rFont val="Tahoma"/>
            <family val="2"/>
          </rPr>
          <t>Jon Tower:</t>
        </r>
        <r>
          <rPr>
            <sz val="8"/>
            <color indexed="81"/>
            <rFont val="Tahoma"/>
            <family val="2"/>
          </rPr>
          <t xml:space="preserve">
1.28.09
The company’s cost reduction initiatives delivered approximately</t>
        </r>
        <r>
          <rPr>
            <sz val="8"/>
            <color indexed="81"/>
            <rFont val="Tahoma"/>
            <family val="2"/>
          </rPr>
          <t xml:space="preserve"> $75 million of benefit in the first fiscal quarter</t>
        </r>
        <r>
          <rPr>
            <sz val="8"/>
            <color indexed="81"/>
            <rFont val="Tahoma"/>
            <family val="2"/>
          </rPr>
          <t xml:space="preserve">, and are expected to deliver approximately $100 million in the second quarter, </t>
        </r>
        <r>
          <rPr>
            <b/>
            <sz val="8"/>
            <color indexed="81"/>
            <rFont val="Tahoma"/>
            <family val="2"/>
          </rPr>
          <t xml:space="preserve">approximately $150 million in the third, </t>
        </r>
        <r>
          <rPr>
            <sz val="8"/>
            <color indexed="81"/>
            <rFont val="Tahoma"/>
            <family val="2"/>
          </rPr>
          <t xml:space="preserve">and approximately $175 million in the fourth quarter of fiscal 2009. 
</t>
        </r>
      </text>
    </comment>
    <comment ref="BX29" authorId="1">
      <text>
        <r>
          <rPr>
            <b/>
            <sz val="8"/>
            <color indexed="81"/>
            <rFont val="Tahoma"/>
            <family val="2"/>
          </rPr>
          <t>Jon Tower:</t>
        </r>
        <r>
          <rPr>
            <sz val="8"/>
            <color indexed="81"/>
            <rFont val="Tahoma"/>
            <family val="2"/>
          </rPr>
          <t xml:space="preserve">
1.28.09
The company’s cost reduction initiatives delivered approximately </t>
        </r>
        <r>
          <rPr>
            <sz val="8"/>
            <color indexed="81"/>
            <rFont val="Tahoma"/>
            <family val="2"/>
          </rPr>
          <t>$75 million of benefit in the first fiscal quarter</t>
        </r>
        <r>
          <rPr>
            <sz val="8"/>
            <color indexed="81"/>
            <rFont val="Tahoma"/>
            <family val="2"/>
          </rPr>
          <t xml:space="preserve">, and are expected to deliver approximately $100 million in the second quarter, approximately $150 million in the third, </t>
        </r>
        <r>
          <rPr>
            <sz val="8"/>
            <color indexed="81"/>
            <rFont val="Tahoma"/>
            <family val="2"/>
          </rPr>
          <t xml:space="preserve">and approximately $175 million in the fourth quarter of fiscal 2009. </t>
        </r>
        <r>
          <rPr>
            <sz val="8"/>
            <color indexed="81"/>
            <rFont val="Tahoma"/>
            <family val="2"/>
          </rPr>
          <t xml:space="preserve">
</t>
        </r>
      </text>
    </comment>
    <comment ref="BY29" authorId="1">
      <text>
        <r>
          <rPr>
            <b/>
            <sz val="8"/>
            <color indexed="81"/>
            <rFont val="Tahoma"/>
            <family val="2"/>
          </rPr>
          <t>Jon Tower:</t>
        </r>
        <r>
          <rPr>
            <sz val="8"/>
            <color indexed="81"/>
            <rFont val="Tahoma"/>
            <family val="2"/>
          </rPr>
          <t xml:space="preserve">
1.28.09
The company’s cost reduction initiatives delivered approximately $75 million of benefit in the first fiscal quarter, and are expected to deliver approximately $100 million in the second quarter, approximately $150 million in the third, and approximately $175 million in the fourth quarter of fiscal 2009. </t>
        </r>
      </text>
    </comment>
    <comment ref="BQ30" authorId="0">
      <text>
        <r>
          <rPr>
            <b/>
            <sz val="8"/>
            <color indexed="81"/>
            <rFont val="Tahoma"/>
            <family val="2"/>
          </rPr>
          <t xml:space="preserve">Jon Tower:
</t>
        </r>
        <r>
          <rPr>
            <sz val="8"/>
            <color indexed="81"/>
            <rFont val="Tahoma"/>
            <family val="2"/>
          </rPr>
          <t>4.29.09
includes $35.1M in transformational charges</t>
        </r>
        <r>
          <rPr>
            <sz val="8"/>
            <color indexed="81"/>
            <rFont val="Tahoma"/>
            <family val="2"/>
          </rPr>
          <t xml:space="preserve">
</t>
        </r>
      </text>
    </comment>
    <comment ref="CW30" authorId="3">
      <text>
        <r>
          <rPr>
            <b/>
            <sz val="9"/>
            <color indexed="81"/>
            <rFont val="Tahoma"/>
            <family val="2"/>
          </rPr>
          <t xml:space="preserve">O'Brien, Courtney (Research):
10.30.14 ex costs from transactiosn from Q4
</t>
        </r>
        <r>
          <rPr>
            <sz val="9"/>
            <color indexed="81"/>
            <rFont val="Tahoma"/>
            <family val="2"/>
          </rPr>
          <t xml:space="preserve">
provided by company</t>
        </r>
      </text>
    </comment>
    <comment ref="DD30" authorId="4">
      <text>
        <r>
          <rPr>
            <b/>
            <sz val="9"/>
            <color indexed="81"/>
            <rFont val="Tahoma"/>
            <family val="2"/>
          </rPr>
          <t>Glass, John (Research):</t>
        </r>
        <r>
          <rPr>
            <sz val="9"/>
            <color indexed="81"/>
            <rFont val="Tahoma"/>
            <family val="2"/>
          </rPr>
          <t xml:space="preserve">
adds back $12.3 m from amortization of japan acqusition</t>
        </r>
      </text>
    </comment>
    <comment ref="DE30" authorId="4">
      <text>
        <r>
          <rPr>
            <b/>
            <sz val="9"/>
            <color indexed="81"/>
            <rFont val="Tahoma"/>
            <family val="2"/>
          </rPr>
          <t>Glass, John (Research):</t>
        </r>
        <r>
          <rPr>
            <sz val="9"/>
            <color indexed="81"/>
            <rFont val="Tahoma"/>
            <family val="2"/>
          </rPr>
          <t xml:space="preserve">
adds back $13.9 m from japan amortization </t>
        </r>
      </text>
    </comment>
    <comment ref="DF30" authorId="4">
      <text>
        <r>
          <rPr>
            <b/>
            <sz val="9"/>
            <color indexed="81"/>
            <rFont val="Tahoma"/>
            <family val="2"/>
          </rPr>
          <t>Glass, John (Research):</t>
        </r>
        <r>
          <rPr>
            <sz val="9"/>
            <color indexed="81"/>
            <rFont val="Tahoma"/>
            <family val="2"/>
          </rPr>
          <t xml:space="preserve">
Adds back $14.5 M Japan acqusition related expenses (primiarly amortization) and 2.8m cost related to sale of germany</t>
        </r>
      </text>
    </comment>
    <comment ref="A31" authorId="0">
      <text>
        <r>
          <rPr>
            <b/>
            <sz val="8"/>
            <color indexed="81"/>
            <rFont val="Tahoma"/>
            <family val="2"/>
          </rPr>
          <t xml:space="preserve">jon tower:
</t>
        </r>
        <r>
          <rPr>
            <sz val="8"/>
            <color indexed="81"/>
            <rFont val="Tahoma"/>
            <family val="2"/>
          </rPr>
          <t>D&amp;A taken off CF statement - accounts for D&amp;A embedded in store expense lines</t>
        </r>
        <r>
          <rPr>
            <sz val="8"/>
            <color indexed="81"/>
            <rFont val="Tahoma"/>
            <family val="2"/>
          </rPr>
          <t xml:space="preserve">
</t>
        </r>
      </text>
    </comment>
    <comment ref="BW33" authorId="1">
      <text>
        <r>
          <rPr>
            <b/>
            <sz val="8"/>
            <color indexed="81"/>
            <rFont val="Tahoma"/>
            <family val="2"/>
          </rPr>
          <t>Jon Tower:</t>
        </r>
        <r>
          <rPr>
            <sz val="8"/>
            <color indexed="81"/>
            <rFont val="Tahoma"/>
            <family val="2"/>
          </rPr>
          <t xml:space="preserve">
due to FX fluctuations on certain BS accounts</t>
        </r>
      </text>
    </comment>
    <comment ref="BZ33" authorId="1">
      <text>
        <r>
          <rPr>
            <b/>
            <sz val="8"/>
            <color indexed="81"/>
            <rFont val="Tahoma"/>
            <family val="2"/>
          </rPr>
          <t>Jon Tower:</t>
        </r>
        <r>
          <rPr>
            <sz val="8"/>
            <color indexed="81"/>
            <rFont val="Tahoma"/>
            <family val="2"/>
          </rPr>
          <t xml:space="preserve">
1.20.10
Of note, included within in quarters' earnings was roughly 2 cents per share related
to the France, Spain and Portugal transaction completed at the end of the quarter.  That two cents net benefit includes an accounting gain reported in other income and a favorable impact on the effective tax rate for the quarter.  This earnings favorable is strictly related to the transaction completed in the first quarters and is not reflective of ongoing financial impact from operations. </t>
        </r>
      </text>
    </comment>
    <comment ref="CG33" authorId="6">
      <text>
        <r>
          <rPr>
            <b/>
            <sz val="8"/>
            <color indexed="81"/>
            <rFont val="Tahoma"/>
            <family val="2"/>
          </rPr>
          <t>Sushama Dasari:</t>
        </r>
        <r>
          <rPr>
            <sz val="8"/>
            <color indexed="81"/>
            <rFont val="Tahoma"/>
            <family val="2"/>
          </rPr>
          <t xml:space="preserve">
Sale of Hong Kong business</t>
        </r>
      </text>
    </comment>
    <comment ref="CH33" authorId="1">
      <text>
        <r>
          <rPr>
            <b/>
            <sz val="8"/>
            <color indexed="81"/>
            <rFont val="Tahoma"/>
            <family val="2"/>
          </rPr>
          <t>Jon Tower:</t>
        </r>
        <r>
          <rPr>
            <sz val="8"/>
            <color indexed="81"/>
            <rFont val="Tahoma"/>
            <family val="2"/>
          </rPr>
          <t xml:space="preserve">
11.3.11
In July, the company announced that it had acquired full ownership of its retail operations in Switzerland and Austria,
further leveraging its existing EMEA company-operated store infrastructure. The gain resulting from the transaction was
recorded in Q4 FY11, and is reported within Interest income and other</t>
        </r>
      </text>
    </comment>
    <comment ref="CK33" authorId="7">
      <text>
        <r>
          <rPr>
            <b/>
            <sz val="8"/>
            <color indexed="81"/>
            <rFont val="Tahoma"/>
            <family val="2"/>
          </rPr>
          <t>Sushama Dasari:</t>
        </r>
        <r>
          <rPr>
            <sz val="8"/>
            <color indexed="81"/>
            <rFont val="Tahoma"/>
            <family val="2"/>
          </rPr>
          <t xml:space="preserve">
</t>
        </r>
        <r>
          <rPr>
            <b/>
            <sz val="8"/>
            <color indexed="81"/>
            <rFont val="Tahoma"/>
            <family val="2"/>
          </rPr>
          <t xml:space="preserve">7.26.2012
</t>
        </r>
        <r>
          <rPr>
            <sz val="8"/>
            <color indexed="81"/>
            <rFont val="Tahoma"/>
            <family val="2"/>
          </rPr>
          <t>Accounting change and F/X hedging (affects G&amp;A and Interest income &amp; other line, but nets out in overall P&amp;L</t>
        </r>
        <r>
          <rPr>
            <sz val="8"/>
            <color indexed="81"/>
            <rFont val="Tahoma"/>
            <family val="2"/>
          </rPr>
          <t xml:space="preserve">
2.26.2012
Favorable court ruling impact here.
</t>
        </r>
      </text>
    </comment>
    <comment ref="CM33" authorId="2">
      <text>
        <r>
          <rPr>
            <b/>
            <sz val="8"/>
            <color indexed="81"/>
            <rFont val="Tahoma"/>
            <family val="2"/>
          </rPr>
          <t>glassjoh:</t>
        </r>
        <r>
          <rPr>
            <sz val="8"/>
            <color indexed="81"/>
            <rFont val="Tahoma"/>
            <family val="2"/>
          </rPr>
          <t xml:space="preserve">
Includes a $4.9 M charge for the sale of 17 uts in Ireland to an exsiting partner, Entertainment ent.</t>
        </r>
      </text>
    </comment>
    <comment ref="CO33" authorId="6">
      <text>
        <r>
          <rPr>
            <b/>
            <sz val="8"/>
            <color indexed="81"/>
            <rFont val="Tahoma"/>
            <family val="2"/>
          </rPr>
          <t>Sushama Dasari:</t>
        </r>
        <r>
          <rPr>
            <sz val="8"/>
            <color indexed="81"/>
            <rFont val="Tahoma"/>
            <family val="2"/>
          </rPr>
          <t xml:space="preserve">
</t>
        </r>
        <r>
          <rPr>
            <b/>
            <sz val="8"/>
            <color indexed="81"/>
            <rFont val="Tahoma"/>
            <family val="2"/>
          </rPr>
          <t xml:space="preserve">1.24.13
</t>
        </r>
        <r>
          <rPr>
            <sz val="8"/>
            <color indexed="81"/>
            <rFont val="Tahoma"/>
            <family val="2"/>
          </rPr>
          <t xml:space="preserve">This quarter we recorded a $26 million reduction over last Q1 in interest income and other, which includes mark-to-market adjustments
relating to commodity hedges, unfavorable foreign currency, and decreased unrealized gains in the trading securities portfolio of our management deferred compensation plan. The impact of movement in the trading securities portfolio is offset in general and administrative expenses, as the compensation plan liability fluctuates with investment performance. </t>
        </r>
      </text>
    </comment>
    <comment ref="CP33" authorId="10">
      <text>
        <r>
          <rPr>
            <b/>
            <sz val="8"/>
            <color indexed="81"/>
            <rFont val="Tahoma"/>
            <family val="2"/>
          </rPr>
          <t>John Glass:</t>
        </r>
        <r>
          <rPr>
            <sz val="8"/>
            <color indexed="81"/>
            <rFont val="Tahoma"/>
            <family val="2"/>
          </rPr>
          <t xml:space="preserve">
includes 3c or ~$25 m in gain from selling mexico stake</t>
        </r>
      </text>
    </comment>
    <comment ref="CR33" authorId="8">
      <text>
        <r>
          <rPr>
            <b/>
            <sz val="8"/>
            <color indexed="81"/>
            <rFont val="Tahoma"/>
            <family val="2"/>
          </rPr>
          <t>Jake Bartlett:</t>
        </r>
        <r>
          <rPr>
            <sz val="8"/>
            <color indexed="81"/>
            <rFont val="Tahoma"/>
            <family val="2"/>
          </rPr>
          <t xml:space="preserve">
Includes $25M (3c) gain from sale of Argentina and Chile business.</t>
        </r>
      </text>
    </comment>
    <comment ref="CT33" authorId="8">
      <text>
        <r>
          <rPr>
            <b/>
            <sz val="8"/>
            <color indexed="81"/>
            <rFont val="Tahoma"/>
            <family val="2"/>
          </rPr>
          <t xml:space="preserve">10Q:
</t>
        </r>
        <r>
          <rPr>
            <sz val="8"/>
            <color indexed="81"/>
            <rFont val="Tahoma"/>
            <family val="2"/>
          </rPr>
          <t>For the first quarter of fiscal 2014, net interest income and other increased $23 million, primarily due to favorable mark-to-market adjustments from derivatives used to manage our risk of commodity price fluctuations (approximately $9 million), favorable foreign exchange fluctuations (approximately $5 million), and unrealized gains on our trading securities portfolio (approximately $4 million).</t>
        </r>
        <r>
          <rPr>
            <sz val="8"/>
            <color indexed="81"/>
            <rFont val="Tahoma"/>
            <family val="2"/>
          </rPr>
          <t xml:space="preserve">
</t>
        </r>
      </text>
    </comment>
    <comment ref="DJ33" authorId="9">
      <text>
        <r>
          <rPr>
            <b/>
            <sz val="9"/>
            <color indexed="81"/>
            <rFont val="Tahoma"/>
            <family val="2"/>
          </rPr>
          <t>Carril, Christopher E (Research):</t>
        </r>
        <r>
          <rPr>
            <sz val="9"/>
            <color indexed="81"/>
            <rFont val="Tahoma"/>
            <family val="2"/>
          </rPr>
          <t xml:space="preserve">
4.27.2017
Included in interest income and other, net is the gain on the sale of our investment in Square, Inc. warrants of $40.5 million in Q2 FY17.
</t>
        </r>
      </text>
    </comment>
    <comment ref="DL33" authorId="4">
      <text>
        <r>
          <rPr>
            <b/>
            <sz val="9"/>
            <color indexed="81"/>
            <rFont val="Tahoma"/>
            <family val="2"/>
          </rPr>
          <t>Glass, John (Research):</t>
        </r>
        <r>
          <rPr>
            <sz val="9"/>
            <color indexed="81"/>
            <rFont val="Tahoma"/>
            <family val="2"/>
          </rPr>
          <t xml:space="preserve">
includes $84 m from sale of singapore retail</t>
        </r>
      </text>
    </comment>
    <comment ref="BI35" authorId="0">
      <text>
        <r>
          <rPr>
            <b/>
            <sz val="8"/>
            <color indexed="81"/>
            <rFont val="Tahoma"/>
            <family val="2"/>
          </rPr>
          <t xml:space="preserve">towerj:
</t>
        </r>
        <r>
          <rPr>
            <sz val="8"/>
            <color indexed="81"/>
            <rFont val="Tahoma"/>
            <family val="2"/>
          </rPr>
          <t>10.5.06 expect 1X charge of $0.02/share related to FIN 47 (asset retirement obligations -- environmental impact)</t>
        </r>
        <r>
          <rPr>
            <sz val="8"/>
            <color indexed="81"/>
            <rFont val="Tahoma"/>
            <family val="2"/>
          </rPr>
          <t xml:space="preserve">
</t>
        </r>
      </text>
    </comment>
    <comment ref="BJ35" authorId="0">
      <text>
        <r>
          <rPr>
            <b/>
            <sz val="8"/>
            <color indexed="81"/>
            <rFont val="Tahoma"/>
            <family val="2"/>
          </rPr>
          <t xml:space="preserve">towerj:
</t>
        </r>
        <r>
          <rPr>
            <sz val="8"/>
            <color indexed="81"/>
            <rFont val="Tahoma"/>
            <family val="2"/>
          </rPr>
          <t>11.17.05 expect lower interest income in '06
10.5.06 includes $0.02/share charge in F4Q related to FIN 47</t>
        </r>
        <r>
          <rPr>
            <sz val="8"/>
            <color indexed="81"/>
            <rFont val="Tahoma"/>
            <family val="2"/>
          </rPr>
          <t xml:space="preserve">
</t>
        </r>
      </text>
    </comment>
    <comment ref="BK35" authorId="0">
      <text>
        <r>
          <rPr>
            <b/>
            <sz val="8"/>
            <color indexed="81"/>
            <rFont val="Tahoma"/>
            <family val="2"/>
          </rPr>
          <t xml:space="preserve">towerj:
</t>
        </r>
        <r>
          <rPr>
            <sz val="8"/>
            <color indexed="81"/>
            <rFont val="Tahoma"/>
            <family val="2"/>
          </rPr>
          <t>1.31.07 increase primarily due to foreign exchange gains in the current year compared to foreign exchange losses in the prior year.</t>
        </r>
        <r>
          <rPr>
            <sz val="8"/>
            <color indexed="81"/>
            <rFont val="Tahoma"/>
            <family val="2"/>
          </rPr>
          <t xml:space="preserve">
</t>
        </r>
      </text>
    </comment>
    <comment ref="BR40" authorId="0">
      <text>
        <r>
          <rPr>
            <b/>
            <sz val="8"/>
            <color indexed="81"/>
            <rFont val="Tahoma"/>
            <family val="2"/>
          </rPr>
          <t xml:space="preserve">Jon Tower:
</t>
        </r>
        <r>
          <rPr>
            <sz val="8"/>
            <color indexed="81"/>
            <rFont val="Tahoma"/>
            <family val="2"/>
          </rPr>
          <t>7.30.08
The third quarter of fiscal 2008 includes the impact of the release of tax reserves during the quarter as well as a modest downward revision to the full year expected tax rate.</t>
        </r>
        <r>
          <rPr>
            <sz val="8"/>
            <color indexed="81"/>
            <rFont val="Tahoma"/>
            <family val="2"/>
          </rPr>
          <t xml:space="preserve">
</t>
        </r>
      </text>
    </comment>
    <comment ref="AL41" authorId="0">
      <text>
        <r>
          <rPr>
            <sz val="8"/>
            <color indexed="81"/>
            <rFont val="Tahoma"/>
            <family val="2"/>
          </rPr>
          <t>includes shanghai, spain and taiwan restatement  - reduces net income by $11k</t>
        </r>
        <r>
          <rPr>
            <sz val="8"/>
            <color indexed="81"/>
            <rFont val="Tahoma"/>
            <family val="2"/>
          </rPr>
          <t xml:space="preserve">
</t>
        </r>
      </text>
    </comment>
    <comment ref="AM41" authorId="0">
      <text>
        <r>
          <rPr>
            <sz val="8"/>
            <color indexed="81"/>
            <rFont val="Tahoma"/>
            <family val="2"/>
          </rPr>
          <t>includes shanghai, taiwan and spain restatement that increased net income by $18k</t>
        </r>
        <r>
          <rPr>
            <sz val="8"/>
            <color indexed="81"/>
            <rFont val="Tahoma"/>
            <family val="2"/>
          </rPr>
          <t xml:space="preserve">
</t>
        </r>
      </text>
    </comment>
    <comment ref="AN41" authorId="0">
      <text>
        <r>
          <rPr>
            <sz val="8"/>
            <color indexed="81"/>
            <rFont val="Tahoma"/>
            <family val="2"/>
          </rPr>
          <t>includes restatement of shanghai, taiwan and spain - negatively impacts net income by $112K</t>
        </r>
      </text>
    </comment>
    <comment ref="AO41" authorId="0">
      <text>
        <r>
          <rPr>
            <sz val="8"/>
            <color indexed="81"/>
            <rFont val="Tahoma"/>
            <family val="2"/>
          </rPr>
          <t>includes shanghai, taiwan, spain restatement - negatively impacts net income by $8k</t>
        </r>
        <r>
          <rPr>
            <sz val="8"/>
            <color indexed="81"/>
            <rFont val="Tahoma"/>
            <family val="2"/>
          </rPr>
          <t xml:space="preserve">
</t>
        </r>
      </text>
    </comment>
    <comment ref="BC41" authorId="0">
      <text>
        <r>
          <rPr>
            <b/>
            <sz val="8"/>
            <color indexed="81"/>
            <rFont val="Tahoma"/>
            <family val="2"/>
          </rPr>
          <t xml:space="preserve">towerj:
</t>
        </r>
        <r>
          <rPr>
            <sz val="8"/>
            <color indexed="81"/>
            <rFont val="Tahoma"/>
            <family val="2"/>
          </rPr>
          <t>11.17.05  This accounting change also included adjusting previously reported information for the Company's proportionate share of net losses in Southern China and Chile. The cumulative effect of the accounting change for previously reported information resulted in a reduction of net earnings of $0.1 million for the 39 weeks ended July 3, 2005, and a reduction of retained earnings of $0.4 million prior to fiscal 2005.</t>
        </r>
        <r>
          <rPr>
            <sz val="8"/>
            <color indexed="81"/>
            <rFont val="Tahoma"/>
            <family val="2"/>
          </rPr>
          <t xml:space="preserve">
</t>
        </r>
      </text>
    </comment>
    <comment ref="BI42" authorId="0">
      <text>
        <r>
          <rPr>
            <b/>
            <sz val="8"/>
            <color indexed="81"/>
            <rFont val="Tahoma"/>
            <family val="2"/>
          </rPr>
          <t xml:space="preserve">towerj:
</t>
        </r>
        <r>
          <rPr>
            <sz val="8"/>
            <color indexed="81"/>
            <rFont val="Tahoma"/>
            <family val="2"/>
          </rPr>
          <t xml:space="preserve">11.16.06
FIN 47, which addresses asset retirement obligations, was adopted at the end of the fiscal year and impacted earnings by $0.02 per share in both the fourth quarter and the full year. </t>
        </r>
        <r>
          <rPr>
            <sz val="8"/>
            <color indexed="81"/>
            <rFont val="Tahoma"/>
            <family val="2"/>
          </rPr>
          <t xml:space="preserve">
</t>
        </r>
      </text>
    </comment>
    <comment ref="CS44" authorId="7">
      <text>
        <r>
          <rPr>
            <sz val="8"/>
            <color indexed="81"/>
            <rFont val="Tahoma"/>
            <family val="2"/>
          </rPr>
          <t xml:space="preserve">2.26.2012:
While I will give targets for the next fiscal year, 2013, during our third-quarter earnings call, I do want to give you look at what we are expecting for next year as a result of </t>
        </r>
        <r>
          <rPr>
            <b/>
            <sz val="8"/>
            <color indexed="81"/>
            <rFont val="Tahoma"/>
            <family val="2"/>
          </rPr>
          <t>declining coffee prices</t>
        </r>
        <r>
          <rPr>
            <sz val="8"/>
            <color indexed="81"/>
            <rFont val="Tahoma"/>
            <family val="2"/>
          </rPr>
          <t xml:space="preserve">.We're now approximately 11 months price protected for fiscal 2013, at prices favorable to 2012.This
should equate to an operating </t>
        </r>
        <r>
          <rPr>
            <b/>
            <sz val="8"/>
            <color indexed="81"/>
            <rFont val="Tahoma"/>
            <family val="2"/>
          </rPr>
          <t>income tailwind somewhat higher than $100 million</t>
        </r>
        <r>
          <rPr>
            <sz val="8"/>
            <color indexed="81"/>
            <rFont val="Tahoma"/>
            <family val="2"/>
          </rPr>
          <t xml:space="preserve">. It's important to note that we expect to reinvest at least half, and perhaps more, of this commodity upside back into the business.
</t>
        </r>
      </text>
    </comment>
    <comment ref="BR45" authorId="0">
      <text>
        <r>
          <rPr>
            <b/>
            <sz val="8"/>
            <color indexed="81"/>
            <rFont val="Tahoma"/>
            <family val="2"/>
          </rPr>
          <t xml:space="preserve">Jon Tower:
</t>
        </r>
        <r>
          <rPr>
            <sz val="8"/>
            <color indexed="81"/>
            <rFont val="Tahoma"/>
            <family val="2"/>
          </rPr>
          <t>7.1.08
Pre-tax charges related to the store closures include approximately $200 million of asset write-offs to be recognized in the third quarter of fiscal 2008.</t>
        </r>
        <r>
          <rPr>
            <sz val="8"/>
            <color indexed="81"/>
            <rFont val="Tahoma"/>
            <family val="2"/>
          </rPr>
          <t xml:space="preserve">
</t>
        </r>
      </text>
    </comment>
    <comment ref="BS45" authorId="0">
      <text>
        <r>
          <rPr>
            <b/>
            <sz val="8"/>
            <color indexed="81"/>
            <rFont val="Tahoma"/>
            <family val="2"/>
          </rPr>
          <t xml:space="preserve">Jon Tower:
</t>
        </r>
        <r>
          <rPr>
            <sz val="8"/>
            <color indexed="81"/>
            <rFont val="Tahoma"/>
            <family val="2"/>
          </rPr>
          <t xml:space="preserve">11.10.08
after tax
$61.9M in restructuring charges
$3.7M in other transformation charges
 The majority of these costs consist of charges associated with company actions announced in July of 2008 to close approximately 600 company-operated stores in the U.S. and 61 company-operated stores in Australia, and reduce approximately 1,000 open and filled positions within its leadership structure and non-store organization
7.1.08 --- assumes 75% of the hits take place in F4Q-- about $104M  (75% * ($130+8))
In addition, a projected $120 to $140 million for lease termination costs and future lease obligations are currently expected, nearly all of which will be recognized in the fourth quarter of fiscal 2008 and the first half of fiscal 2009. Costs associated with severance are currently estimated to be approximately $8 million, and the company anticipates these charges to be recorded during the same timeframe as the store closures. </t>
        </r>
        <r>
          <rPr>
            <sz val="8"/>
            <color indexed="81"/>
            <rFont val="Tahoma"/>
            <family val="2"/>
          </rPr>
          <t xml:space="preserve">
</t>
        </r>
      </text>
    </comment>
    <comment ref="BT45" authorId="0">
      <text>
        <r>
          <rPr>
            <b/>
            <sz val="8"/>
            <color indexed="81"/>
            <rFont val="Tahoma"/>
            <family val="2"/>
          </rPr>
          <t xml:space="preserve">Jon Tower:
</t>
        </r>
        <r>
          <rPr>
            <sz val="8"/>
            <color indexed="81"/>
            <rFont val="Tahoma"/>
            <family val="2"/>
          </rPr>
          <t xml:space="preserve">7.1.08
Pre-tax charges related to the store closures include approximately $200 million of asset write-offs to be recognized in the third quarter of fiscal 2008. In addition, a projected $120 to $140 million for lease termination costs and future lease obligations are currently expected, nearly all of which will be recognized in the fourth quarter of fiscal 2008 and the first half of fiscal 2009. Costs associated with severance are currently estimated to be approximately $8 million, and the company anticipates these charges to be recorded during the same timeframe as the store closures. The aggregate pre-tax charges associated with the planned U.S. company-operated store closures, including costs associated with severance, are estimated to be in the range of $328 to $348 million. 
</t>
        </r>
      </text>
    </comment>
    <comment ref="BU45" authorId="1">
      <text>
        <r>
          <rPr>
            <b/>
            <sz val="8"/>
            <color indexed="81"/>
            <rFont val="Tahoma"/>
            <family val="2"/>
          </rPr>
          <t xml:space="preserve">Jon Tower
1.28.09
these charges are related to restructuring only -- $75M pre-tax, or $0.06 EPS impact
11.30.08
store closure costs more concentrated in the F1Q and F2Q
</t>
        </r>
        <r>
          <rPr>
            <sz val="8"/>
            <color indexed="81"/>
            <rFont val="Tahoma"/>
            <family val="2"/>
          </rPr>
          <t xml:space="preserve">
7.1.08 </t>
        </r>
        <r>
          <rPr>
            <b/>
            <sz val="8"/>
            <color indexed="81"/>
            <rFont val="Tahoma"/>
            <family val="2"/>
          </rPr>
          <t>assumes 20% of the hits take place in F1Q-- about $28M  (20% * ($130+8)</t>
        </r>
        <r>
          <rPr>
            <sz val="8"/>
            <color indexed="81"/>
            <rFont val="Tahoma"/>
            <family val="2"/>
          </rPr>
          <t xml:space="preserve">)
In addition, a projected $120 to $140 million for lease termination costs and future lease obligations are currently expected, nearly all of which will be recognized in the fourth quarter of fiscal 2008 and the first half of fiscal 2009. Costs associated with severance are currently estimated to be approximately $8 million, and the company anticipates these charges to be recorded during the same timeframe as the store closures. </t>
        </r>
      </text>
    </comment>
    <comment ref="BV45" authorId="1">
      <text>
        <r>
          <rPr>
            <b/>
            <sz val="8"/>
            <color indexed="81"/>
            <rFont val="Tahoma"/>
            <family val="2"/>
          </rPr>
          <t xml:space="preserve">Jon Tower:
1.28.09
includes: 
$60M in pre-tax asset write offs
$30M in additional severance charges -- majority expected in F2Q
ALSO expect $140M in additional lease termination costs -- we assume $60M hits in the F2Q, $60M in F3Q and $20M in F4Q
-- ALSO includes $60M in previous store closure expenses
11.30.08
store closure costs more concentrated in the F1Q and F2Q
</t>
        </r>
        <r>
          <rPr>
            <sz val="8"/>
            <color indexed="81"/>
            <rFont val="Tahoma"/>
            <family val="2"/>
          </rPr>
          <t xml:space="preserve">
7.1.08 </t>
        </r>
        <r>
          <rPr>
            <b/>
            <sz val="8"/>
            <color indexed="81"/>
            <rFont val="Tahoma"/>
            <family val="2"/>
          </rPr>
          <t>assumes 5% of the hits take place in F1Q-- about $6M  (5% * ($130+8)</t>
        </r>
        <r>
          <rPr>
            <sz val="8"/>
            <color indexed="81"/>
            <rFont val="Tahoma"/>
            <family val="2"/>
          </rPr>
          <t xml:space="preserve">)
In addition, a projected $120 to $140 million for lease termination costs and future lease obligations are currently expected, nearly all of which will be recognized in the fourth quarter of fiscal 2008 and the first half of fiscal 2009. Costs associated with severance are currently estimated to be approximately $8 million, and the company anticipates these charges to be recorded during the same timeframe as the store closures. </t>
        </r>
      </text>
    </comment>
    <comment ref="BX45" authorId="1">
      <text>
        <r>
          <rPr>
            <b/>
            <sz val="8"/>
            <color indexed="81"/>
            <rFont val="Tahoma"/>
            <family val="2"/>
          </rPr>
          <t>Jon Tower:</t>
        </r>
        <r>
          <rPr>
            <sz val="8"/>
            <color indexed="81"/>
            <rFont val="Tahoma"/>
            <family val="2"/>
          </rPr>
          <t xml:space="preserve">
11.5.09
Restructuring charges of $53.2 million for the quarter were nearly all due to lease exit and other costs associated with the closure of U.S. and International company-operated stores</t>
        </r>
      </text>
    </comment>
    <comment ref="BY45" authorId="1">
      <text>
        <r>
          <rPr>
            <b/>
            <sz val="8"/>
            <color indexed="81"/>
            <rFont val="Tahoma"/>
            <family val="2"/>
          </rPr>
          <t>Jon Tower:</t>
        </r>
        <r>
          <rPr>
            <sz val="8"/>
            <color indexed="81"/>
            <rFont val="Tahoma"/>
            <family val="2"/>
          </rPr>
          <t xml:space="preserve">
7.1.08
Pre-tax charges related to the store closures include approximately $200 million of asset write-offs to be recognized in the third quarter of fiscal 2008. In addition, a projected $120 to $140 million for lease termination costs and future lease obligations are currently expected, nearly all of which will be recognized in the fourth quarter of fiscal 2008 and the first half of fiscal 2009. Costs associated with severance are currently estimated to be approximately $8 million, and the company anticipates these charges to be recorded during the same timeframe as the store closures. The aggregate pre-tax charges associated with the planned U.S. company-operated store closures, including costs associa</t>
        </r>
        <r>
          <rPr>
            <b/>
            <sz val="8"/>
            <color indexed="81"/>
            <rFont val="Tahoma"/>
            <family val="2"/>
          </rPr>
          <t xml:space="preserve">ted with severance, are estimated to be in the range of $328 to $348 million. </t>
        </r>
      </text>
    </comment>
    <comment ref="CH45" authorId="1">
      <text>
        <r>
          <rPr>
            <b/>
            <sz val="8"/>
            <color indexed="81"/>
            <rFont val="Tahoma"/>
            <family val="2"/>
          </rPr>
          <t xml:space="preserve">Jon Tower:
</t>
        </r>
        <r>
          <rPr>
            <sz val="8"/>
            <color indexed="81"/>
            <rFont val="Tahoma"/>
            <family val="2"/>
          </rPr>
          <t>11.3.11
EPS increased 27% to $0.47 in Q4 FY11, including $0.10 attributable to non-routine gains, compared to $0.37 per share in Q4 FY10
INCLUDES
$0.02 gain on sale of property
$0.07 gain from Switzerland and Austria transaction</t>
        </r>
      </text>
    </comment>
    <comment ref="CM45" authorId="6">
      <text>
        <r>
          <rPr>
            <b/>
            <sz val="8"/>
            <color indexed="81"/>
            <rFont val="Tahoma"/>
            <family val="2"/>
          </rPr>
          <t>Sushama Dasari:</t>
        </r>
        <r>
          <rPr>
            <sz val="8"/>
            <color indexed="81"/>
            <rFont val="Tahoma"/>
            <family val="2"/>
          </rPr>
          <t xml:space="preserve">
</t>
        </r>
        <r>
          <rPr>
            <b/>
            <sz val="8"/>
            <color indexed="81"/>
            <rFont val="Tahoma"/>
            <family val="2"/>
          </rPr>
          <t xml:space="preserve">7.26.2012
</t>
        </r>
        <r>
          <rPr>
            <sz val="8"/>
            <color indexed="81"/>
            <rFont val="Tahoma"/>
            <family val="2"/>
          </rPr>
          <t>May close stores in Europe as part of Renaissance Plan: (&lt;$20MM costs in 4Q'12; ~$10MM in 1H'13)</t>
        </r>
      </text>
    </comment>
    <comment ref="CO45" authorId="6">
      <text>
        <r>
          <rPr>
            <b/>
            <sz val="8"/>
            <color indexed="81"/>
            <rFont val="Tahoma"/>
            <family val="2"/>
          </rPr>
          <t>Sushama Dasari:</t>
        </r>
        <r>
          <rPr>
            <sz val="8"/>
            <color indexed="81"/>
            <rFont val="Tahoma"/>
            <family val="2"/>
          </rPr>
          <t xml:space="preserve">
</t>
        </r>
        <r>
          <rPr>
            <b/>
            <sz val="8"/>
            <color indexed="81"/>
            <rFont val="Tahoma"/>
            <family val="2"/>
          </rPr>
          <t xml:space="preserve">7.26.2012
</t>
        </r>
        <r>
          <rPr>
            <sz val="8"/>
            <color indexed="81"/>
            <rFont val="Tahoma"/>
            <family val="2"/>
          </rPr>
          <t>May close stores in Europe as part of Renaissance Plan: (&lt;$20MM costs in 4Q'12; ~$10MM in 1H'13)</t>
        </r>
      </text>
    </comment>
    <comment ref="CP45" authorId="6">
      <text>
        <r>
          <rPr>
            <b/>
            <sz val="8"/>
            <color indexed="81"/>
            <rFont val="Tahoma"/>
            <family val="2"/>
          </rPr>
          <t>Sushama Dasari:</t>
        </r>
        <r>
          <rPr>
            <sz val="8"/>
            <color indexed="81"/>
            <rFont val="Tahoma"/>
            <family val="2"/>
          </rPr>
          <t xml:space="preserve">
</t>
        </r>
        <r>
          <rPr>
            <b/>
            <sz val="8"/>
            <color indexed="81"/>
            <rFont val="Tahoma"/>
            <family val="2"/>
          </rPr>
          <t>4.25.13</t>
        </r>
        <r>
          <rPr>
            <sz val="8"/>
            <color indexed="81"/>
            <rFont val="Tahoma"/>
            <family val="2"/>
          </rPr>
          <t xml:space="preserve">
Gain on sale of 18% equity in joint venture that operates stores in Mexico.</t>
        </r>
      </text>
    </comment>
    <comment ref="CR45" authorId="8">
      <text>
        <r>
          <rPr>
            <b/>
            <sz val="8"/>
            <color indexed="81"/>
            <rFont val="Tahoma"/>
            <family val="2"/>
          </rPr>
          <t>Jake Bartlett:</t>
        </r>
        <r>
          <rPr>
            <sz val="8"/>
            <color indexed="81"/>
            <rFont val="Tahoma"/>
            <family val="2"/>
          </rPr>
          <t xml:space="preserve">
Gain from sale of equity in Argentina and Chile business. Offset by $1,713.1M charge related to Kraft settlement. ($2.25/shr)</t>
        </r>
      </text>
    </comment>
    <comment ref="DB45" authorId="3">
      <text>
        <r>
          <rPr>
            <b/>
            <sz val="9"/>
            <color indexed="81"/>
            <rFont val="Tahoma"/>
            <family val="2"/>
          </rPr>
          <t>O'Brien, Courtney (Research):</t>
        </r>
        <r>
          <rPr>
            <sz val="9"/>
            <color indexed="81"/>
            <rFont val="Tahoma"/>
            <family val="2"/>
          </rPr>
          <t xml:space="preserve">
7.22.15
1c = Japan acquisition, debt extinguishment; 3c debt extinguishment; -4c from tax benefit from domestic manufacturing deduction</t>
        </r>
      </text>
    </comment>
    <comment ref="DD45" authorId="3">
      <text>
        <r>
          <rPr>
            <b/>
            <sz val="9"/>
            <color indexed="81"/>
            <rFont val="Tahoma"/>
            <family val="2"/>
          </rPr>
          <t>O'Brien, Courtney (Research):</t>
        </r>
        <r>
          <rPr>
            <sz val="9"/>
            <color indexed="81"/>
            <rFont val="Tahoma"/>
            <family val="2"/>
          </rPr>
          <t xml:space="preserve">
includes mortization of acquired intangible assets and transaction and integration costs, such as incremental IT and compensation related costs associated with acquisition</t>
        </r>
      </text>
    </comment>
    <comment ref="DK45" authorId="4">
      <text>
        <r>
          <rPr>
            <b/>
            <sz val="9"/>
            <color indexed="81"/>
            <rFont val="Tahoma"/>
            <family val="2"/>
          </rPr>
          <t>Glass, John (Research):</t>
        </r>
        <r>
          <rPr>
            <sz val="9"/>
            <color indexed="81"/>
            <rFont val="Tahoma"/>
            <family val="2"/>
          </rPr>
          <t xml:space="preserve">
Teavana impairment of $100 m</t>
        </r>
      </text>
    </comment>
    <comment ref="CK48" authorId="5">
      <text>
        <r>
          <rPr>
            <b/>
            <sz val="8"/>
            <color indexed="81"/>
            <rFont val="Tahoma"/>
            <family val="2"/>
          </rPr>
          <t xml:space="preserve">Jon Tower:
7.21.10
</t>
        </r>
        <r>
          <rPr>
            <sz val="8"/>
            <color indexed="81"/>
            <rFont val="Tahoma"/>
            <family val="2"/>
          </rPr>
          <t>Lastly in terms of marketing, we expect to spend at roughly the same rate as FY2010,
which is approximately 2.5% of total net revenues
• It is worth noting that the level of marketing spend in past years has been much lower, including 1.7% in FY2009</t>
        </r>
        <r>
          <rPr>
            <b/>
            <sz val="8"/>
            <color indexed="81"/>
            <rFont val="Tahoma"/>
            <family val="2"/>
          </rPr>
          <t xml:space="preserve">
</t>
        </r>
        <r>
          <rPr>
            <sz val="8"/>
            <color indexed="81"/>
            <rFont val="Tahoma"/>
            <family val="2"/>
          </rPr>
          <t xml:space="preserve">
1.20.10
will increase marketing spend ($0.04 or ~$45M) in the last 3 quarters of FY10</t>
        </r>
      </text>
    </comment>
    <comment ref="DH48" authorId="4">
      <text>
        <r>
          <rPr>
            <b/>
            <sz val="9"/>
            <color indexed="81"/>
            <rFont val="Tahoma"/>
            <family val="2"/>
          </rPr>
          <t>Glass, John (Research):</t>
        </r>
        <r>
          <rPr>
            <sz val="9"/>
            <color indexed="81"/>
            <rFont val="Tahoma"/>
            <family val="2"/>
          </rPr>
          <t xml:space="preserve">
1.16: currency now expected to be a 3% headwind to EPS in 16 (or 4-5c)</t>
        </r>
      </text>
    </comment>
    <comment ref="DM48" authorId="9">
      <text>
        <r>
          <rPr>
            <b/>
            <sz val="9"/>
            <color indexed="81"/>
            <rFont val="Tahoma"/>
            <family val="2"/>
          </rPr>
          <t>Carril, Christopher E (Research):</t>
        </r>
        <r>
          <rPr>
            <sz val="9"/>
            <color indexed="81"/>
            <rFont val="Tahoma"/>
            <family val="2"/>
          </rPr>
          <t xml:space="preserve">
4.27.2017
We also continue to expect an increased negative net impact from foreign exchange for the year, with revenue growth expected to be negatively impacted by about 1% and earnings per share negatively impacted by 1 to 2 points. The impact of FX will accelerate as
we move into the last half of 2017. All of the targets for fiscal 2017 will remain the same.</t>
        </r>
      </text>
    </comment>
    <comment ref="DR48" authorId="9">
      <text>
        <r>
          <rPr>
            <b/>
            <sz val="9"/>
            <color indexed="81"/>
            <rFont val="Tahoma"/>
            <family val="2"/>
          </rPr>
          <t>Carril, Christopher E (Research):</t>
        </r>
        <r>
          <rPr>
            <sz val="9"/>
            <color indexed="81"/>
            <rFont val="Tahoma"/>
            <family val="2"/>
          </rPr>
          <t xml:space="preserve">
11.2.2017
Neither FX nor commodities are expected to have a major impact on year-over-year profit growth, and our coffee needs are roughly 75% price locked for fiscal
2018.</t>
        </r>
      </text>
    </comment>
    <comment ref="A50" authorId="4">
      <text>
        <r>
          <rPr>
            <b/>
            <sz val="9"/>
            <color indexed="81"/>
            <rFont val="Tahoma"/>
            <family val="2"/>
          </rPr>
          <t>Glass, John (Research):</t>
        </r>
        <r>
          <rPr>
            <sz val="9"/>
            <color indexed="81"/>
            <rFont val="Tahoma"/>
            <family val="2"/>
          </rPr>
          <t xml:space="preserve">
12;14:
Long term EPS growth as of FY15:
MSD SSS
10%+ reve growth
G&amp;A (halfof rev (in 15, ex 1x items)
EPS growth = 15-20%
ROIC &gt;25%m increasing 50-100 bp/yr</t>
        </r>
      </text>
    </comment>
    <comment ref="AK50" authorId="0">
      <text>
        <r>
          <rPr>
            <b/>
            <sz val="8"/>
            <color indexed="81"/>
            <rFont val="Tahoma"/>
            <family val="2"/>
          </rPr>
          <t xml:space="preserve">glassj:
</t>
        </r>
        <r>
          <rPr>
            <sz val="8"/>
            <color indexed="81"/>
            <rFont val="Tahoma"/>
            <family val="2"/>
          </rPr>
          <t>restated for equity methof of intl markets from 47</t>
        </r>
        <r>
          <rPr>
            <sz val="8"/>
            <color indexed="81"/>
            <rFont val="Tahoma"/>
            <family val="2"/>
          </rPr>
          <t xml:space="preserve">
</t>
        </r>
      </text>
    </comment>
    <comment ref="AM50" authorId="0">
      <text>
        <r>
          <rPr>
            <sz val="8"/>
            <color indexed="81"/>
            <rFont val="Tahoma"/>
            <family val="2"/>
          </rPr>
          <t xml:space="preserve">Excludes 3 cents charge from litigation settlement
</t>
        </r>
      </text>
    </comment>
    <comment ref="AP50" authorId="0">
      <text>
        <r>
          <rPr>
            <b/>
            <sz val="8"/>
            <color indexed="81"/>
            <rFont val="Tahoma"/>
            <family val="2"/>
          </rPr>
          <t xml:space="preserve">glassj:
</t>
        </r>
        <r>
          <rPr>
            <sz val="8"/>
            <color indexed="81"/>
            <rFont val="Tahoma"/>
            <family val="2"/>
          </rPr>
          <t>restated from 55 to reflect equity method for austria, shanghai, spain, switz and taiwan
Note: Includes 3 cents international loss</t>
        </r>
        <r>
          <rPr>
            <sz val="8"/>
            <color indexed="81"/>
            <rFont val="Tahoma"/>
            <family val="2"/>
          </rPr>
          <t xml:space="preserve">
</t>
        </r>
      </text>
    </comment>
    <comment ref="AS50" authorId="0">
      <text>
        <r>
          <rPr>
            <sz val="8"/>
            <color indexed="81"/>
            <rFont val="Tahoma"/>
            <family val="2"/>
          </rPr>
          <t xml:space="preserve">4/24/03 guidance 0.16; raised to $0.17 July 2 after strong sss
</t>
        </r>
      </text>
    </comment>
    <comment ref="AT50" authorId="0">
      <text>
        <r>
          <rPr>
            <sz val="8"/>
            <color indexed="81"/>
            <rFont val="Tahoma"/>
            <family val="2"/>
          </rPr>
          <t>4/23/03 guidance $0.17 to $0.18
7/24/03 - $0.17</t>
        </r>
        <r>
          <rPr>
            <sz val="8"/>
            <color indexed="81"/>
            <rFont val="Tahoma"/>
            <family val="2"/>
          </rPr>
          <t xml:space="preserve">
</t>
        </r>
      </text>
    </comment>
    <comment ref="AU50" authorId="0">
      <text>
        <r>
          <rPr>
            <sz val="8"/>
            <color indexed="81"/>
            <rFont val="Tahoma"/>
            <family val="2"/>
          </rPr>
          <t>orig guidance: $0.64 to $0.66; upped in 11/02 to $65 to $0.66; 4/24/03 guidance $0.66 to $0.67
7/24/03 $0.67
Note: Includes about 3 cents per share intl loss</t>
        </r>
        <r>
          <rPr>
            <sz val="8"/>
            <color indexed="81"/>
            <rFont val="Tahoma"/>
            <family val="2"/>
          </rPr>
          <t xml:space="preserve">
</t>
        </r>
      </text>
    </comment>
    <comment ref="AV50" authorId="0">
      <text>
        <r>
          <rPr>
            <sz val="8"/>
            <color indexed="81"/>
            <rFont val="Tahoma"/>
            <family val="2"/>
          </rPr>
          <t>1/5/04 EPS guidance raised to $0.25 to $0.26, CIBC and Street at $0.24, we raised to $0.26
W/Options, $0.25</t>
        </r>
        <r>
          <rPr>
            <sz val="8"/>
            <color indexed="81"/>
            <rFont val="Tahoma"/>
            <family val="2"/>
          </rPr>
          <t xml:space="preserve">
</t>
        </r>
      </text>
    </comment>
    <comment ref="AY50" authorId="0">
      <text>
        <r>
          <rPr>
            <sz val="8"/>
            <color indexed="81"/>
            <rFont val="Tahoma"/>
            <family val="2"/>
          </rPr>
          <t>7/21/04 implied at $0.24 to $0.25</t>
        </r>
        <r>
          <rPr>
            <sz val="8"/>
            <color indexed="81"/>
            <rFont val="Tahoma"/>
            <family val="2"/>
          </rPr>
          <t xml:space="preserve">
</t>
        </r>
      </text>
    </comment>
    <comment ref="AZ50" authorId="0">
      <text>
        <r>
          <rPr>
            <sz val="8"/>
            <color indexed="81"/>
            <rFont val="Tahoma"/>
            <family val="2"/>
          </rPr>
          <t>7/24/03 - $0.83-$0.85,
including $0.02 benefit from 53rd week; reiterated 11/03; added 20% growth in first three quarters, 40% in 4Q.
1/5/04 Full year EPS target raised to $0.84 to $0.87 from $0.83 to $0.85. CIBC was at $0.85, raised to $0.87
1/21/04 tightened to $0.86 to $0.87
4/21/04 raised to $0.90-$0.91
7/21/04 raised to $0.94 to $0.95 (including $0.02 benefit from 53rd week)</t>
        </r>
        <r>
          <rPr>
            <sz val="8"/>
            <color indexed="81"/>
            <rFont val="Tahoma"/>
            <family val="2"/>
          </rPr>
          <t xml:space="preserve">
</t>
        </r>
      </text>
    </comment>
    <comment ref="BA50" authorId="0">
      <text>
        <r>
          <rPr>
            <b/>
            <sz val="8"/>
            <color indexed="81"/>
            <rFont val="Tahoma"/>
            <family val="2"/>
          </rPr>
          <t xml:space="preserve">glassj:
</t>
        </r>
        <r>
          <rPr>
            <sz val="8"/>
            <color indexed="81"/>
            <rFont val="Tahoma"/>
            <family val="2"/>
          </rPr>
          <t>Consensus prior: $0.34.
W/options, $0.32</t>
        </r>
        <r>
          <rPr>
            <sz val="8"/>
            <color indexed="81"/>
            <rFont val="Tahoma"/>
            <family val="2"/>
          </rPr>
          <t xml:space="preserve">
</t>
        </r>
      </text>
    </comment>
    <comment ref="BB50" authorId="0">
      <text>
        <r>
          <rPr>
            <sz val="8"/>
            <color indexed="81"/>
            <rFont val="Tahoma"/>
            <family val="2"/>
          </rPr>
          <t>1.26.05 $0.23 to $0.24</t>
        </r>
        <r>
          <rPr>
            <sz val="8"/>
            <color indexed="81"/>
            <rFont val="Tahoma"/>
            <family val="2"/>
          </rPr>
          <t xml:space="preserve">
</t>
        </r>
      </text>
    </comment>
    <comment ref="BC50" authorId="0">
      <text>
        <r>
          <rPr>
            <sz val="8"/>
            <color indexed="81"/>
            <rFont val="Tahoma"/>
            <family val="2"/>
          </rPr>
          <t>1.26.05 $0.29 to $0.30
4.27.05 $0.29 to $0.30</t>
        </r>
        <r>
          <rPr>
            <sz val="8"/>
            <color indexed="81"/>
            <rFont val="Tahoma"/>
            <family val="2"/>
          </rPr>
          <t xml:space="preserve">
</t>
        </r>
      </text>
    </comment>
    <comment ref="BD50" authorId="0">
      <text>
        <r>
          <rPr>
            <sz val="8"/>
            <color indexed="81"/>
            <rFont val="Tahoma"/>
            <family val="2"/>
          </rPr>
          <t>1.26.05 $0.28 to $0.29
4.27.05 $0.29 to $0.30
7.29.05 reit. $0.29 to $0.30
9.21.05 reit $0.15 on split adjusted basis</t>
        </r>
        <r>
          <rPr>
            <sz val="8"/>
            <color indexed="81"/>
            <rFont val="Tahoma"/>
            <family val="2"/>
          </rPr>
          <t xml:space="preserve">
</t>
        </r>
      </text>
    </comment>
    <comment ref="BE50" authorId="0">
      <text>
        <r>
          <rPr>
            <sz val="8"/>
            <color indexed="81"/>
            <rFont val="Tahoma"/>
            <family val="2"/>
          </rPr>
          <t>7/21/04 $1.12 to $1.15
11/10/04 reiteratred
1.26.05 $1.15 to $1.17
4.27.05 $1.17 to $1.19
7.29.05 - $1.19 to $1.20 excluding the impact of stock option expense
9.21.05 reit $0.60 on split adjusted basis</t>
        </r>
        <r>
          <rPr>
            <b/>
            <sz val="8"/>
            <color indexed="81"/>
            <rFont val="Tahoma"/>
            <family val="2"/>
          </rPr>
          <t xml:space="preserve">
</t>
        </r>
        <r>
          <rPr>
            <sz val="8"/>
            <color indexed="81"/>
            <rFont val="Tahoma"/>
            <family val="2"/>
          </rPr>
          <t xml:space="preserve">
</t>
        </r>
      </text>
    </comment>
    <comment ref="BF50" authorId="0">
      <text>
        <r>
          <rPr>
            <b/>
            <sz val="8"/>
            <color indexed="81"/>
            <rFont val="Tahoma"/>
            <family val="2"/>
          </rPr>
          <t xml:space="preserve">towerj:
</t>
        </r>
        <r>
          <rPr>
            <sz val="8"/>
            <color indexed="81"/>
            <rFont val="Tahoma"/>
            <family val="2"/>
          </rPr>
          <t>no specific guidance given</t>
        </r>
        <r>
          <rPr>
            <sz val="8"/>
            <color indexed="81"/>
            <rFont val="Tahoma"/>
            <family val="2"/>
          </rPr>
          <t xml:space="preserve">
</t>
        </r>
      </text>
    </comment>
    <comment ref="BG50" authorId="0">
      <text>
        <r>
          <rPr>
            <b/>
            <sz val="8"/>
            <color indexed="81"/>
            <rFont val="Tahoma"/>
            <family val="2"/>
          </rPr>
          <t xml:space="preserve">towerj:
</t>
        </r>
        <r>
          <rPr>
            <sz val="8"/>
            <color indexed="81"/>
            <rFont val="Tahoma"/>
            <family val="2"/>
          </rPr>
          <t>2.1.06 $0.14
2.1.06 annual leadership conference to take place in F3Q06 (was 2Q05) - shift will impact EPS</t>
        </r>
        <r>
          <rPr>
            <sz val="8"/>
            <color indexed="81"/>
            <rFont val="Tahoma"/>
            <family val="2"/>
          </rPr>
          <t xml:space="preserve">
</t>
        </r>
      </text>
    </comment>
    <comment ref="BH50" authorId="0">
      <text>
        <r>
          <rPr>
            <b/>
            <sz val="8"/>
            <color indexed="81"/>
            <rFont val="Tahoma"/>
            <family val="2"/>
          </rPr>
          <t xml:space="preserve">towerj:
</t>
        </r>
        <r>
          <rPr>
            <sz val="8"/>
            <color indexed="81"/>
            <rFont val="Tahoma"/>
            <family val="2"/>
          </rPr>
          <t>2.1.06 $0.16-$0.17
2.1.06 annual leadership conference to take place in F3Q06 (was 2Q05) - shift will impact EPS growth rate…
5.3.06 $0.17 
8.2.06 includes $0.01 of tax benefit</t>
        </r>
        <r>
          <rPr>
            <sz val="8"/>
            <color indexed="81"/>
            <rFont val="Tahoma"/>
            <family val="2"/>
          </rPr>
          <t xml:space="preserve">
</t>
        </r>
      </text>
    </comment>
    <comment ref="BI50" authorId="0">
      <text>
        <r>
          <rPr>
            <b/>
            <sz val="8"/>
            <color indexed="81"/>
            <rFont val="Tahoma"/>
            <family val="2"/>
          </rPr>
          <t xml:space="preserve">towerj:
</t>
        </r>
        <r>
          <rPr>
            <sz val="8"/>
            <color indexed="81"/>
            <rFont val="Tahoma"/>
            <family val="2"/>
          </rPr>
          <t>2.1.06 $0.16-$0.17
5.3.06 reit $0.16 to $0.17
8.2.06 reit $0.16 to $0.17
10.5.06 there will be $0.02 per share charge relating to FIN 47 in F4Q</t>
        </r>
        <r>
          <rPr>
            <sz val="8"/>
            <color indexed="81"/>
            <rFont val="Tahoma"/>
            <family val="2"/>
          </rPr>
          <t xml:space="preserve">
</t>
        </r>
      </text>
    </comment>
    <comment ref="BJ50" authorId="0">
      <text>
        <r>
          <rPr>
            <b/>
            <sz val="8"/>
            <color indexed="81"/>
            <rFont val="Tahoma"/>
            <family val="2"/>
          </rPr>
          <t xml:space="preserve">towerj:
</t>
        </r>
        <r>
          <rPr>
            <sz val="8"/>
            <color indexed="81"/>
            <rFont val="Tahoma"/>
            <family val="2"/>
          </rPr>
          <t xml:space="preserve">7.29.05 - $1.44 to $1.47 excluding impact from expensing stock options
9.21.05 reit range of $0.72 to $0.74 on split adjusted basis.
11.9.05 reit $0.72 to $0.74 ex sbc expense  - </t>
        </r>
        <r>
          <rPr>
            <sz val="8"/>
            <color indexed="81"/>
            <rFont val="Tahoma"/>
            <family val="2"/>
          </rPr>
          <t xml:space="preserve">
</t>
        </r>
      </text>
    </comment>
    <comment ref="BL50" authorId="0">
      <text>
        <r>
          <rPr>
            <b/>
            <sz val="8"/>
            <color indexed="81"/>
            <rFont val="Tahoma"/>
            <family val="2"/>
          </rPr>
          <t xml:space="preserve">glassj:
</t>
        </r>
        <r>
          <rPr>
            <sz val="8"/>
            <color indexed="81"/>
            <rFont val="Tahoma"/>
            <family val="2"/>
          </rPr>
          <t>higher asset impairment, expenses to support sbux card</t>
        </r>
        <r>
          <rPr>
            <sz val="8"/>
            <color indexed="81"/>
            <rFont val="Tahoma"/>
            <family val="2"/>
          </rPr>
          <t xml:space="preserve">
</t>
        </r>
      </text>
    </comment>
    <comment ref="BP50" authorId="0">
      <text>
        <r>
          <rPr>
            <sz val="8"/>
            <color indexed="81"/>
            <rFont val="Tahoma"/>
            <family val="2"/>
          </rPr>
          <t>11.15.07
$0.28 -- dairy pressure &amp; US economic impact
(dairy had negative $0.02 impact)</t>
        </r>
        <r>
          <rPr>
            <sz val="8"/>
            <color indexed="81"/>
            <rFont val="Tahoma"/>
            <family val="2"/>
          </rPr>
          <t xml:space="preserve">
</t>
        </r>
      </text>
    </comment>
    <comment ref="BQ50" authorId="0">
      <text>
        <r>
          <rPr>
            <b/>
            <sz val="8"/>
            <color indexed="81"/>
            <rFont val="Tahoma"/>
            <family val="2"/>
          </rPr>
          <t xml:space="preserve">Jon Tower:
</t>
        </r>
        <r>
          <rPr>
            <sz val="8"/>
            <color indexed="81"/>
            <rFont val="Tahoma"/>
            <family val="2"/>
          </rPr>
          <t>4.23.08 The fiscal Q2 2008 second quarter EPS was negatively impacted by
approximately $0.03 of costs associated with transformation and charges related to the
rationalization of our store portfolio.
4.23.08
$0.15
Starbucks estimates that costs associated with the implementation of its transformation agenda, and charges related to the rationalization of its store portfolio, negatively impacted EPS by approximately $0.03 per share in its fiscal 2008 second quarter.</t>
        </r>
        <r>
          <rPr>
            <sz val="8"/>
            <color indexed="81"/>
            <rFont val="Tahoma"/>
            <family val="2"/>
          </rPr>
          <t xml:space="preserve">
</t>
        </r>
      </text>
    </comment>
    <comment ref="BT50" authorId="0">
      <text>
        <r>
          <rPr>
            <sz val="8"/>
            <color indexed="81"/>
            <rFont val="Tahoma"/>
            <family val="2"/>
          </rPr>
          <t>7.30.08
mid-seventy cents --- excludes $0.03 of charges in F2Q, $0.17 in F3Q and charges in F4Q
4.23.08
somewhat lower than the $0.87 reported in FY07
1.30.08: low double digit growth ( implies 96 to 98 c)
11.15.07
$1.02-$1.05 (17-21%) - EPS growth greater in 2H08
aug 07: 18% top line and 20-22% bottom line</t>
        </r>
        <r>
          <rPr>
            <sz val="8"/>
            <color indexed="81"/>
            <rFont val="Tahoma"/>
            <family val="2"/>
          </rPr>
          <t xml:space="preserve">
</t>
        </r>
      </text>
    </comment>
    <comment ref="BU50" authorId="1">
      <text>
        <r>
          <rPr>
            <b/>
            <sz val="8"/>
            <color indexed="81"/>
            <rFont val="Tahoma"/>
            <family val="2"/>
          </rPr>
          <t xml:space="preserve">Jon Tower:
1.28.09
includes $75M in cost savings, or $0.07 of EPS
also includes 2c for impairment and 2.5c for manager's conference
</t>
        </r>
        <r>
          <rPr>
            <sz val="8"/>
            <color indexed="81"/>
            <rFont val="Tahoma"/>
            <family val="2"/>
          </rPr>
          <t xml:space="preserve">
11.10.08
The company is not providing specific quarterly EPS targets for fiscal 2009, however, in addition to lease exit costs, the first quarter will also be impacted by Starbucks significant investment in its field organization through the leadership conference in late October. Starbucks fiscal first quarter 2009 is also expected to be the toughest comparable period year-over-year. </t>
        </r>
      </text>
    </comment>
    <comment ref="BV50" authorId="1">
      <text>
        <r>
          <rPr>
            <b/>
            <sz val="8"/>
            <color indexed="81"/>
            <rFont val="Tahoma"/>
            <family val="2"/>
          </rPr>
          <t>Jon Tower:</t>
        </r>
        <r>
          <rPr>
            <sz val="8"/>
            <color indexed="81"/>
            <rFont val="Tahoma"/>
            <family val="2"/>
          </rPr>
          <t xml:space="preserve">
1.28.09
includes $100M in cost savings, or $0.09 of EPS</t>
        </r>
      </text>
    </comment>
    <comment ref="BW50" authorId="1">
      <text>
        <r>
          <rPr>
            <b/>
            <sz val="8"/>
            <color indexed="81"/>
            <rFont val="Tahoma"/>
            <family val="2"/>
          </rPr>
          <t>Jon Tower:</t>
        </r>
        <r>
          <rPr>
            <sz val="8"/>
            <color indexed="81"/>
            <rFont val="Tahoma"/>
            <family val="2"/>
          </rPr>
          <t xml:space="preserve">
1.28.09
includes $150M in cost savings, or $0.13 of EPS</t>
        </r>
      </text>
    </comment>
    <comment ref="BX50" authorId="1">
      <text>
        <r>
          <rPr>
            <b/>
            <sz val="8"/>
            <color indexed="81"/>
            <rFont val="Tahoma"/>
            <family val="2"/>
          </rPr>
          <t>Jon Tower:
7.21.09
$0.18-$0.19</t>
        </r>
        <r>
          <rPr>
            <sz val="8"/>
            <color indexed="81"/>
            <rFont val="Tahoma"/>
            <family val="2"/>
          </rPr>
          <t xml:space="preserve">
1.28.09
includes $175M in cost savings, or $0.16 of EPS</t>
        </r>
      </text>
    </comment>
    <comment ref="BY50" authorId="1">
      <text>
        <r>
          <rPr>
            <b/>
            <sz val="8"/>
            <color indexed="81"/>
            <rFont val="Tahoma"/>
            <family val="2"/>
          </rPr>
          <t xml:space="preserve">Jon Tower:
7.21.09
non-GAAP EPS for FY09 of $0.74 to $0.75
</t>
        </r>
        <r>
          <rPr>
            <sz val="8"/>
            <color indexed="81"/>
            <rFont val="Tahoma"/>
            <family val="2"/>
          </rPr>
          <t xml:space="preserve">1.28.09
no longer providing guidance
11.10.08
if SSS -2%, EPS = $0.90
if SSS -5%, EPS = $0.80
if SSS -7%, EPS = $0.71 
Non-GAAP
--- from the call: </t>
        </r>
        <r>
          <rPr>
            <b/>
            <sz val="8"/>
            <color indexed="81"/>
            <rFont val="Tahoma"/>
            <family val="2"/>
          </rPr>
          <t xml:space="preserve">
</t>
        </r>
        <r>
          <rPr>
            <sz val="8"/>
            <color indexed="81"/>
            <rFont val="Tahoma"/>
            <family val="2"/>
          </rPr>
          <t xml:space="preserve">"If we look at how we started the first few weeks of this fiscal year and if average transaction
volumes remain similar for the balance of the year, we would still expect to deliver 20% EPS
growth"
</t>
        </r>
        <r>
          <rPr>
            <b/>
            <sz val="8"/>
            <color indexed="81"/>
            <rFont val="Tahoma"/>
            <family val="2"/>
          </rPr>
          <t xml:space="preserve">
7.30.08
reit non-GAAP EPS of $0.90-$1.00  --- </t>
        </r>
        <r>
          <rPr>
            <sz val="8"/>
            <color indexed="81"/>
            <rFont val="Tahoma"/>
            <family val="2"/>
          </rPr>
          <t>Positive benefits factored into the range include: cost savings from the leadership and non-store organization changes, U.S. company-operated store closures, and restructuring of the Australia market.</t>
        </r>
        <r>
          <rPr>
            <b/>
            <sz val="8"/>
            <color indexed="81"/>
            <rFont val="Tahoma"/>
            <family val="2"/>
          </rPr>
          <t xml:space="preserve">
</t>
        </r>
        <r>
          <rPr>
            <sz val="8"/>
            <color indexed="81"/>
            <rFont val="Tahoma"/>
            <family val="2"/>
          </rPr>
          <t xml:space="preserve">
4.30.08
$0.90-$1.00</t>
        </r>
      </text>
    </comment>
    <comment ref="BZ50" authorId="1">
      <text>
        <r>
          <rPr>
            <b/>
            <sz val="8"/>
            <color indexed="81"/>
            <rFont val="Tahoma"/>
            <family val="2"/>
          </rPr>
          <t>Jon Tower:</t>
        </r>
        <r>
          <rPr>
            <sz val="8"/>
            <color indexed="81"/>
            <rFont val="Tahoma"/>
            <family val="2"/>
          </rPr>
          <t xml:space="preserve">
1.20.10
includes $0.02 benefit from FR/Spain transaction
1.20.10
Of note, included within in quarters' earnings was roughly 2 cents per share related to the France, Spain and Portugal transaction completed at the end of the quarter.  That two cents net benefit includes an accounting gain reported in other income and a favorable impact on the effective tax rate for the quarter.  This earnings favorable is strictly related to the transaction completed in the first quarters and is not reflective of ongoing financial impact from operations. </t>
        </r>
      </text>
    </comment>
    <comment ref="CC50" authorId="1">
      <text>
        <r>
          <rPr>
            <b/>
            <sz val="8"/>
            <color indexed="81"/>
            <rFont val="Tahoma"/>
            <family val="2"/>
          </rPr>
          <t>Jon Tower:</t>
        </r>
        <r>
          <rPr>
            <sz val="8"/>
            <color indexed="81"/>
            <rFont val="Tahoma"/>
            <family val="2"/>
          </rPr>
          <t xml:space="preserve">
7.21.10
FY10 guidance of $1.22-1.23, YTD at $0.91, implies $0.31-$0.32 in F4Q
\
GET $0.05 benefit from the extra week</t>
        </r>
      </text>
    </comment>
    <comment ref="CD50" authorId="1">
      <text>
        <r>
          <rPr>
            <b/>
            <sz val="8"/>
            <color indexed="81"/>
            <rFont val="Tahoma"/>
            <family val="2"/>
          </rPr>
          <t xml:space="preserve">Jon Tower:
7.21.10
</t>
        </r>
        <r>
          <rPr>
            <sz val="8"/>
            <color indexed="81"/>
            <rFont val="Tahoma"/>
            <family val="2"/>
          </rPr>
          <t xml:space="preserve">The company now expects non-GAAP EPS of $1.22 to $1.23, excluding  approximately $0.04 of expected restructuring charges and including  approximately $0.05 from the extra week in the fiscal fourth quarter,  as 
 fiscal 2010 is a 53-week year for Starbucks. </t>
        </r>
        <r>
          <rPr>
            <b/>
            <sz val="8"/>
            <color indexed="81"/>
            <rFont val="Tahoma"/>
            <family val="2"/>
          </rPr>
          <t xml:space="preserve">
4.21.10
$1.19-$1.22, including $0.04 from extra week
1.20.10
$1.05-$1.08 non-GAAP EPS 
</t>
        </r>
        <r>
          <rPr>
            <sz val="8"/>
            <color indexed="81"/>
            <rFont val="Tahoma"/>
            <family val="2"/>
          </rPr>
          <t xml:space="preserve">The company now expects non-GAAP EPS growth in the range of $1.05 to $1.08 excluding approximately $0.03 of expected restructuring charges,  and including approximately $0.03 of additional EPS from the extra  week  in the fiscal fourth quarter, as fiscal 2010 is a 53-week year  for  Starbucks. 
</t>
        </r>
        <r>
          <rPr>
            <b/>
            <sz val="8"/>
            <color indexed="81"/>
            <rFont val="Tahoma"/>
            <family val="2"/>
          </rPr>
          <t xml:space="preserve">
11.5.09
</t>
        </r>
        <r>
          <rPr>
            <sz val="8"/>
            <color indexed="81"/>
            <rFont val="Tahoma"/>
            <family val="2"/>
          </rPr>
          <t xml:space="preserve">The company now expects non-GAAP EPS growth in the range of 15% to 20% from FY09 non-GAAP EPS of $0.80, excluding $0.02 to $0.03 of expected restructuring charges, and including approximately $0.02 to $0.03 of additional EPS from the extra week in the fiscal fourth quarter, as fiscal 2010 is a 53-week year for Starbucks. </t>
        </r>
        <r>
          <rPr>
            <b/>
            <sz val="8"/>
            <color indexed="81"/>
            <rFont val="Tahoma"/>
            <family val="2"/>
          </rPr>
          <t xml:space="preserve">
implies $0.92-$0.96</t>
        </r>
        <r>
          <rPr>
            <b/>
            <sz val="8"/>
            <color indexed="81"/>
            <rFont val="Tahoma"/>
            <family val="2"/>
          </rPr>
          <t xml:space="preserve">
7.21.09
</t>
        </r>
        <r>
          <rPr>
            <sz val="8"/>
            <color indexed="81"/>
            <rFont val="Tahoma"/>
            <family val="2"/>
          </rPr>
          <t xml:space="preserve">Non-GAAP EPS Growth of 13-18% off $0.74-$0.75 base, implies $0.84-$0.89 and includes approximately $0.02 of additional EPS from the extra week in the fiscal fourth quarter, as fiscal 2010 is a 53-week year for Starbucks. </t>
        </r>
        <r>
          <rPr>
            <b/>
            <sz val="8"/>
            <color indexed="81"/>
            <rFont val="Tahoma"/>
            <family val="2"/>
          </rPr>
          <t xml:space="preserve">
</t>
        </r>
        <r>
          <rPr>
            <sz val="8"/>
            <color indexed="81"/>
            <rFont val="Tahoma"/>
            <family val="2"/>
          </rPr>
          <t xml:space="preserve">
4.30.08
$1.10-$1.20</t>
        </r>
      </text>
    </comment>
    <comment ref="CE50" authorId="1">
      <text>
        <r>
          <rPr>
            <b/>
            <sz val="8"/>
            <color indexed="81"/>
            <rFont val="Tahoma"/>
            <family val="2"/>
          </rPr>
          <t>Jon Tower:</t>
        </r>
        <r>
          <rPr>
            <sz val="8"/>
            <color indexed="81"/>
            <rFont val="Tahoma"/>
            <family val="2"/>
          </rPr>
          <t xml:space="preserve">
1.26.11
includes $0.03 of increased coffee price headwinds (of the total $0.20 for the FY11)</t>
        </r>
      </text>
    </comment>
    <comment ref="CF50" authorId="1">
      <text>
        <r>
          <rPr>
            <b/>
            <sz val="8"/>
            <color indexed="81"/>
            <rFont val="Tahoma"/>
            <family val="2"/>
          </rPr>
          <t xml:space="preserve">Jon Tower:
3.29.11
Borders bankruptcy &amp; Japan disaster:
</t>
        </r>
        <r>
          <rPr>
            <sz val="8"/>
            <color indexed="81"/>
            <rFont val="Tahoma"/>
            <family val="2"/>
          </rPr>
          <t xml:space="preserve">These two events I just refer to are expected to impact earnings by between $0.01 to $0.02 per share in the second quarter, our previous guidance for the quarter had been $0.32 to $0.33 and while that remains the target range I would just point out that these unusual events have likely to remove earnings upside in this quarter beyond that level.
</t>
        </r>
        <r>
          <rPr>
            <b/>
            <sz val="8"/>
            <color indexed="81"/>
            <rFont val="Tahoma"/>
            <family val="2"/>
          </rPr>
          <t xml:space="preserve">
</t>
        </r>
        <r>
          <rPr>
            <sz val="8"/>
            <color indexed="81"/>
            <rFont val="Tahoma"/>
            <family val="2"/>
          </rPr>
          <t>1.26.11
F2Q &amp; F3Q
$0.32-$0.33
WILL INCLUDE $0.02 negative impact from investment in packaged coffee biz from KFT</t>
        </r>
      </text>
    </comment>
    <comment ref="CG50" authorId="1">
      <text>
        <r>
          <rPr>
            <b/>
            <sz val="8"/>
            <color indexed="81"/>
            <rFont val="Tahoma"/>
            <family val="2"/>
          </rPr>
          <t xml:space="preserve">Jon Tower:
7.28.11
The increase in commodity costs, primarily coffee, negatively impacted operating margin in the quarter by approximately 280 basis points and EPS by $0.07.
4.27.11
</t>
        </r>
        <r>
          <rPr>
            <sz val="8"/>
            <color indexed="81"/>
            <rFont val="Tahoma"/>
            <family val="2"/>
          </rPr>
          <t xml:space="preserve">Also of note the transition of packaged coffee business was roughly neutral first quarter better than expected given in part by shift in expenses into the third quarter.
---
We own roughly 40% of our Japan market and it's one of the three largest markets curledly outside U.S. the majority of impact will be recognized in the third quarter and will be embedded in the balance of your outlook I provide later.
</t>
        </r>
        <r>
          <rPr>
            <b/>
            <sz val="8"/>
            <color indexed="81"/>
            <rFont val="Tahoma"/>
            <family val="2"/>
          </rPr>
          <t xml:space="preserve">
</t>
        </r>
        <r>
          <rPr>
            <sz val="8"/>
            <color indexed="81"/>
            <rFont val="Tahoma"/>
            <family val="2"/>
          </rPr>
          <t xml:space="preserve">
1.26.11
F2Q &amp; F3Q
$0.32-$0.33</t>
        </r>
      </text>
    </comment>
    <comment ref="CH50" authorId="1">
      <text>
        <r>
          <rPr>
            <b/>
            <sz val="8"/>
            <color indexed="81"/>
            <rFont val="Tahoma"/>
            <family val="2"/>
          </rPr>
          <t>Jon Tower:
11.3.11</t>
        </r>
        <r>
          <rPr>
            <sz val="8"/>
            <color indexed="81"/>
            <rFont val="Tahoma"/>
            <family val="2"/>
          </rPr>
          <t xml:space="preserve">
EPS increased 27% to $0.47 in Q4 FY11, including $0.10 attributable to non-routine gains, compared to $0.37 per share in Q4 FY10</t>
        </r>
        <r>
          <rPr>
            <b/>
            <sz val="8"/>
            <color indexed="81"/>
            <rFont val="Tahoma"/>
            <family val="2"/>
          </rPr>
          <t xml:space="preserve">
---
</t>
        </r>
        <r>
          <rPr>
            <sz val="8"/>
            <color indexed="81"/>
            <rFont val="Tahoma"/>
            <family val="2"/>
          </rPr>
          <t xml:space="preserve">EPS increased 16% to a record $0.37 from $0.32 per share, excluding the non-routine gains in Q4 FY11, and the impact of restructuring and the extra week in Q4 FY10 
</t>
        </r>
        <r>
          <rPr>
            <b/>
            <sz val="8"/>
            <color indexed="81"/>
            <rFont val="Tahoma"/>
            <family val="2"/>
          </rPr>
          <t xml:space="preserve">
7.28.11
35-36cents
</t>
        </r>
        <r>
          <rPr>
            <sz val="8"/>
            <color indexed="81"/>
            <rFont val="Tahoma"/>
            <family val="2"/>
          </rPr>
          <t xml:space="preserve">
1.26.11
F4Q expected to be approximately $0.35 to $0.36. 
</t>
        </r>
      </text>
    </comment>
    <comment ref="CI50" authorId="1">
      <text>
        <r>
          <rPr>
            <b/>
            <sz val="8"/>
            <color indexed="81"/>
            <rFont val="Tahoma"/>
            <family val="2"/>
          </rPr>
          <t>Jon Tower:
7.28.11</t>
        </r>
        <r>
          <rPr>
            <sz val="8"/>
            <color indexed="81"/>
            <rFont val="Tahoma"/>
            <family val="2"/>
          </rPr>
          <t xml:space="preserve">
Starbucks now expects earnings per share in the range of $1.50 to $1.51, modestly above the previously communicated
15% to 20% growth over fiscal 2010 non-GAAP EPS on a comparable 52-week basis</t>
        </r>
        <r>
          <rPr>
            <b/>
            <sz val="8"/>
            <color indexed="81"/>
            <rFont val="Tahoma"/>
            <family val="2"/>
          </rPr>
          <t xml:space="preserve">
4.27.11</t>
        </r>
        <r>
          <rPr>
            <sz val="8"/>
            <color indexed="81"/>
            <rFont val="Tahoma"/>
            <family val="2"/>
          </rPr>
          <t xml:space="preserve">
The company now expects EPS of </t>
        </r>
        <r>
          <rPr>
            <b/>
            <sz val="8"/>
            <color indexed="81"/>
            <rFont val="Tahoma"/>
            <family val="2"/>
          </rPr>
          <t xml:space="preserve">$1.46 to $1.48, </t>
        </r>
        <r>
          <rPr>
            <sz val="8"/>
            <color indexed="81"/>
            <rFont val="Tahoma"/>
            <family val="2"/>
          </rPr>
          <t>reflecting the high end of its target range of 15% to 20% growth over fiscal 2010 non-GAAP EPS on a 52-week basis. 
Included in the revised EPS target are higher commodity costs, which are now expected to have an unfavorable impact on EPS of approximately $0.22 for the full fiscal year. The additional $0.02 (compared to most recent guidance) reflects expected higher dairy and fuel prices</t>
        </r>
        <r>
          <rPr>
            <b/>
            <sz val="8"/>
            <color indexed="81"/>
            <rFont val="Tahoma"/>
            <family val="2"/>
          </rPr>
          <t xml:space="preserve">
1.26.11
$1.44-$1.47
Commodity costs, which are now expected to have an unfavorable  impact on EPS of approximately $0.20 for the full fiscal yearattributable primarily to higher coffee costs, are reflected in  the revised EPS target. 
11.4.10
$1.41-$1.47 or 15-20% on 52-week basis
---
</t>
        </r>
        <r>
          <rPr>
            <sz val="8"/>
            <color indexed="81"/>
            <rFont val="Tahoma"/>
            <family val="2"/>
          </rPr>
          <t>Commodity costs are now expected to have an unfavorable impact on EPS of approximately $0.08 to $0.10, attributable primarily to higher coffee costs. The company's EPS expectation noted above reflects the impact of higher commodity costs</t>
        </r>
        <r>
          <rPr>
            <b/>
            <sz val="8"/>
            <color indexed="81"/>
            <rFont val="Tahoma"/>
            <family val="2"/>
          </rPr>
          <t xml:space="preserve">
7.21.10
</t>
        </r>
        <r>
          <rPr>
            <sz val="8"/>
            <color indexed="81"/>
            <rFont val="Tahoma"/>
            <family val="2"/>
          </rPr>
          <t>The company expects EPS of</t>
        </r>
        <r>
          <rPr>
            <b/>
            <sz val="8"/>
            <color indexed="81"/>
            <rFont val="Tahoma"/>
            <family val="2"/>
          </rPr>
          <t xml:space="preserve"> $1.36 to $1.41,</t>
        </r>
        <r>
          <rPr>
            <sz val="8"/>
            <color indexed="81"/>
            <rFont val="Tahoma"/>
            <family val="2"/>
          </rPr>
          <t xml:space="preserve"> reflecting 15% to 20%  growth over fiscal 2010 non-GAAP EPS on a 52-week basis. No  restructuring charges are anticipated in fiscal 2011. 
</t>
        </r>
        <r>
          <rPr>
            <b/>
            <sz val="8"/>
            <color indexed="81"/>
            <rFont val="Tahoma"/>
            <family val="2"/>
          </rPr>
          <t xml:space="preserve">
</t>
        </r>
        <r>
          <rPr>
            <sz val="8"/>
            <color indexed="81"/>
            <rFont val="Tahoma"/>
            <family val="2"/>
          </rPr>
          <t xml:space="preserve">
4.30.08
$1.35-$1.50</t>
        </r>
      </text>
    </comment>
    <comment ref="CJ50" authorId="2">
      <text>
        <r>
          <rPr>
            <b/>
            <sz val="8"/>
            <color indexed="81"/>
            <rFont val="Tahoma"/>
            <family val="2"/>
          </rPr>
          <t>glassjoh:</t>
        </r>
        <r>
          <rPr>
            <sz val="8"/>
            <color indexed="81"/>
            <rFont val="Tahoma"/>
            <family val="2"/>
          </rPr>
          <t xml:space="preserve">
</t>
        </r>
      </text>
    </comment>
    <comment ref="CL50" authorId="2">
      <text>
        <r>
          <rPr>
            <b/>
            <sz val="8"/>
            <color indexed="81"/>
            <rFont val="Tahoma"/>
            <family val="2"/>
          </rPr>
          <t>glassjoh:</t>
        </r>
        <r>
          <rPr>
            <sz val="8"/>
            <color indexed="81"/>
            <rFont val="Tahoma"/>
            <family val="2"/>
          </rPr>
          <t xml:space="preserve">
6.12: 44-45c w la boulange
4.25.12: 45-46c</t>
        </r>
      </text>
    </comment>
    <comment ref="CM50" authorId="2">
      <text>
        <r>
          <rPr>
            <b/>
            <sz val="8"/>
            <color indexed="81"/>
            <rFont val="Tahoma"/>
            <family val="2"/>
          </rPr>
          <t xml:space="preserve">Sushama Dasari:
7.26.2012
</t>
        </r>
        <r>
          <rPr>
            <sz val="8"/>
            <color indexed="81"/>
            <rFont val="Tahoma"/>
            <family val="2"/>
          </rPr>
          <t>Q4 EPS target $0.44 to $0.45, representing growth of 19-22% compared to Q4 FY11 non-GAAP EPS. Does not include costs (&lt;$20MM) of potential store closures in Europe as part of Renaissance Plan</t>
        </r>
        <r>
          <rPr>
            <b/>
            <sz val="8"/>
            <color indexed="81"/>
            <rFont val="Tahoma"/>
            <family val="2"/>
          </rPr>
          <t xml:space="preserve">
6.12.2012
</t>
        </r>
        <r>
          <rPr>
            <sz val="8"/>
            <color indexed="81"/>
            <rFont val="Tahoma"/>
            <family val="2"/>
          </rPr>
          <t>William Blair conference - Q4 EPS target $0.46-$0.47 incl. La boulange, +24-27% y/y</t>
        </r>
        <r>
          <rPr>
            <b/>
            <sz val="8"/>
            <color indexed="81"/>
            <rFont val="Tahoma"/>
            <family val="2"/>
          </rPr>
          <t xml:space="preserve">
4.26.2012
</t>
        </r>
        <r>
          <rPr>
            <sz val="8"/>
            <color indexed="81"/>
            <rFont val="Tahoma"/>
            <family val="2"/>
          </rPr>
          <t>(At 2Q earnings release) - Q4 EPS target $0.46-$0.48</t>
        </r>
        <r>
          <rPr>
            <b/>
            <sz val="8"/>
            <color indexed="81"/>
            <rFont val="Tahoma"/>
            <family val="2"/>
          </rPr>
          <t xml:space="preserve">
1.26.12
</t>
        </r>
        <r>
          <rPr>
            <sz val="8"/>
            <color indexed="81"/>
            <rFont val="Tahoma"/>
            <family val="2"/>
          </rPr>
          <t>EPS growth is expected to be approximately 10% in the first half of FY12 and approximately 25% in the second half of FY12, reflecting the expected distribution of unfavorable commodity cost impact throughout the year.</t>
        </r>
        <r>
          <rPr>
            <b/>
            <sz val="8"/>
            <color indexed="81"/>
            <rFont val="Tahoma"/>
            <family val="2"/>
          </rPr>
          <t xml:space="preserve">
11.3.11
</t>
        </r>
        <r>
          <rPr>
            <sz val="8"/>
            <color indexed="81"/>
            <rFont val="Tahoma"/>
            <family val="2"/>
          </rPr>
          <t>expect F2H12 ~25%, with only $0.03 of $0.21 impact commodity costs in this part of the year</t>
        </r>
        <r>
          <rPr>
            <b/>
            <sz val="8"/>
            <color indexed="81"/>
            <rFont val="Tahoma"/>
            <family val="2"/>
          </rPr>
          <t xml:space="preserve">
</t>
        </r>
      </text>
    </comment>
    <comment ref="CN50" authorId="1">
      <text>
        <r>
          <rPr>
            <b/>
            <sz val="8"/>
            <color indexed="81"/>
            <rFont val="Tahoma"/>
            <family val="2"/>
          </rPr>
          <t>6.12: post La boulange gudiance</t>
        </r>
        <r>
          <rPr>
            <sz val="8"/>
            <color indexed="81"/>
            <rFont val="Tahoma"/>
            <family val="2"/>
          </rPr>
          <t xml:space="preserve"> (two cents dilutive) its $1.80 to $1.82</t>
        </r>
        <r>
          <rPr>
            <b/>
            <sz val="8"/>
            <color indexed="81"/>
            <rFont val="Tahoma"/>
            <family val="2"/>
          </rPr>
          <t xml:space="preserve">
2.26.2012:
</t>
        </r>
        <r>
          <rPr>
            <sz val="8"/>
            <color indexed="81"/>
            <rFont val="Tahoma"/>
            <family val="2"/>
          </rPr>
          <t xml:space="preserve">Our full-year EPS target range is now </t>
        </r>
        <r>
          <rPr>
            <b/>
            <sz val="8"/>
            <color indexed="81"/>
            <rFont val="Tahoma"/>
            <family val="2"/>
          </rPr>
          <t>$1.81</t>
        </r>
        <r>
          <rPr>
            <sz val="8"/>
            <color indexed="81"/>
            <rFont val="Tahoma"/>
            <family val="2"/>
          </rPr>
          <t xml:space="preserve"> to </t>
        </r>
        <r>
          <rPr>
            <b/>
            <sz val="8"/>
            <color indexed="81"/>
            <rFont val="Tahoma"/>
            <family val="2"/>
          </rPr>
          <t>$1.84,</t>
        </r>
        <r>
          <rPr>
            <sz val="8"/>
            <color indexed="81"/>
            <rFont val="Tahoma"/>
            <family val="2"/>
          </rPr>
          <t xml:space="preserve"> representing 19% to 21% growth over the $1.52 EPS in FY 11, excluding last year's non-routine gains. Includes absorbing </t>
        </r>
        <r>
          <rPr>
            <b/>
            <sz val="8"/>
            <color indexed="81"/>
            <rFont val="Tahoma"/>
            <family val="2"/>
          </rPr>
          <t>$0.21</t>
        </r>
        <r>
          <rPr>
            <sz val="8"/>
            <color indexed="81"/>
            <rFont val="Tahoma"/>
            <family val="2"/>
          </rPr>
          <t xml:space="preserve"> in higher commodities (so </t>
        </r>
        <r>
          <rPr>
            <b/>
            <sz val="8"/>
            <color indexed="81"/>
            <rFont val="Tahoma"/>
            <family val="2"/>
          </rPr>
          <t>$2.01 - $2.03</t>
        </r>
        <r>
          <rPr>
            <sz val="8"/>
            <color indexed="81"/>
            <rFont val="Tahoma"/>
            <family val="2"/>
          </rPr>
          <t xml:space="preserve"> ex commodities)</t>
        </r>
        <r>
          <rPr>
            <b/>
            <sz val="8"/>
            <color indexed="81"/>
            <rFont val="Tahoma"/>
            <family val="2"/>
          </rPr>
          <t xml:space="preserve">
</t>
        </r>
        <r>
          <rPr>
            <sz val="8"/>
            <color indexed="81"/>
            <rFont val="Tahoma"/>
            <family val="2"/>
          </rPr>
          <t xml:space="preserve">The expected impact of higher commodity costs in FY 12 remains unchanged from what I've previously guided, approximately </t>
        </r>
        <r>
          <rPr>
            <b/>
            <sz val="8"/>
            <color indexed="81"/>
            <rFont val="Tahoma"/>
            <family val="2"/>
          </rPr>
          <t>$230</t>
        </r>
        <r>
          <rPr>
            <sz val="8"/>
            <color indexed="81"/>
            <rFont val="Tahoma"/>
            <family val="2"/>
          </rPr>
          <t xml:space="preserve"> </t>
        </r>
        <r>
          <rPr>
            <b/>
            <sz val="8"/>
            <color indexed="81"/>
            <rFont val="Tahoma"/>
            <family val="2"/>
          </rPr>
          <t>million</t>
        </r>
        <r>
          <rPr>
            <sz val="8"/>
            <color indexed="81"/>
            <rFont val="Tahoma"/>
            <family val="2"/>
          </rPr>
          <t>.We
anticipate an approximately $0.06 unfavorable impact EPS for the second half of the year.</t>
        </r>
        <r>
          <rPr>
            <b/>
            <sz val="8"/>
            <color indexed="81"/>
            <rFont val="Tahoma"/>
            <family val="2"/>
          </rPr>
          <t xml:space="preserve">
Jon Tower:
1.26.12</t>
        </r>
        <r>
          <rPr>
            <sz val="8"/>
            <color indexed="81"/>
            <rFont val="Tahoma"/>
            <family val="2"/>
          </rPr>
          <t xml:space="preserve">
Given the strong Q1 FY12 results, the company has raised its expectation for earnings per share to a range of </t>
        </r>
        <r>
          <rPr>
            <b/>
            <sz val="8"/>
            <color indexed="81"/>
            <rFont val="Tahoma"/>
            <family val="2"/>
          </rPr>
          <t xml:space="preserve">$1.78 to $1.82, representing 17% to 20% growth over the $1.52 EPS in FY11, excluding the non-routine gains. EPS growth is expected to be approximately 10% in the first half of FY12 and approximately 25% in the second half of FY12, reflecting the expected distribution of unfavorable commodity cost impact throughout the year
</t>
        </r>
        <r>
          <rPr>
            <b/>
            <sz val="8"/>
            <color indexed="81"/>
            <rFont val="Tahoma"/>
            <family val="2"/>
          </rPr>
          <t xml:space="preserve">
11.3.11</t>
        </r>
        <r>
          <rPr>
            <sz val="8"/>
            <color indexed="81"/>
            <rFont val="Tahoma"/>
            <family val="2"/>
          </rPr>
          <t xml:space="preserve">
The company expects earnings per share of $1.75 to $1.82, representing 15% to 20% growth over the $1.52 EPS in FY11, excluding the non-routine gains, and consistent with its long-term outlook. Given the expected distribution of the unfavorable commodity cost impact throughout the year, EPS growth is expected to be approximately 5% in the first half
of FY12 and approximately 25% in the second half of FY12.
-------------
The company continues to expect commodity costs will add approximately $0.21 per share of cost pressure to FY12. Of that $0.21, $0.18 is expected to impact the first half of FY12, and $0.03 is expected to impact the second half of the year.
</t>
        </r>
        <r>
          <rPr>
            <b/>
            <sz val="8"/>
            <color indexed="81"/>
            <rFont val="Tahoma"/>
            <family val="2"/>
          </rPr>
          <t xml:space="preserve">
</t>
        </r>
        <r>
          <rPr>
            <sz val="8"/>
            <color indexed="81"/>
            <rFont val="Tahoma"/>
            <family val="2"/>
          </rPr>
          <t xml:space="preserve">
7.28.11
The company expects earnings per share growth in the range of 15% to 20%, consistent with its long-term outlook, and
including the unfavorable impact of approximately $0.21 attributable to higher coffee costs
----
. We expect K-Cups to add approximately $0.03 to $0.05 in incremental earnings per share in fiscal 2012 already included in the 15% to 20% EPS growth target reflecting the significant investment plan to support the CPG launch.</t>
        </r>
      </text>
    </comment>
    <comment ref="CO50" authorId="11">
      <text>
        <r>
          <rPr>
            <b/>
            <sz val="8"/>
            <color indexed="81"/>
            <rFont val="Tahoma"/>
            <family val="2"/>
          </rPr>
          <t>Sushama Dasari:</t>
        </r>
        <r>
          <rPr>
            <sz val="8"/>
            <color indexed="81"/>
            <rFont val="Tahoma"/>
            <family val="2"/>
          </rPr>
          <t xml:space="preserve">
</t>
        </r>
        <r>
          <rPr>
            <b/>
            <sz val="8"/>
            <color indexed="81"/>
            <rFont val="Tahoma"/>
            <family val="2"/>
          </rPr>
          <t xml:space="preserve">11.1.2012
</t>
        </r>
        <r>
          <rPr>
            <sz val="8"/>
            <color indexed="81"/>
            <rFont val="Tahoma"/>
            <family val="2"/>
          </rPr>
          <t>Expect 15-20% EPS growth in each quarter in 2013. Low end of that range (~15%) in 1Q due to October leadership conference. Between leadership ($53 M) andverismo launch ($30 M?) ) est cost EPS 7-8c in 1Q offset by lower tax rate (%18 m2-3c benefot)</t>
        </r>
        <r>
          <rPr>
            <sz val="8"/>
            <color indexed="81"/>
            <rFont val="Tahoma"/>
            <family val="2"/>
          </rPr>
          <t xml:space="preserve">
</t>
        </r>
      </text>
    </comment>
    <comment ref="CP50" authorId="11">
      <text>
        <r>
          <rPr>
            <b/>
            <sz val="8"/>
            <color indexed="81"/>
            <rFont val="Tahoma"/>
            <family val="2"/>
          </rPr>
          <t>Sushama Dasari:</t>
        </r>
        <r>
          <rPr>
            <sz val="8"/>
            <color indexed="81"/>
            <rFont val="Tahoma"/>
            <family val="2"/>
          </rPr>
          <t xml:space="preserve">
</t>
        </r>
        <r>
          <rPr>
            <b/>
            <sz val="8"/>
            <color indexed="81"/>
            <rFont val="Tahoma"/>
            <family val="2"/>
          </rPr>
          <t xml:space="preserve">11.1.2012
</t>
        </r>
        <r>
          <rPr>
            <sz val="8"/>
            <color indexed="81"/>
            <rFont val="Tahoma"/>
            <family val="2"/>
          </rPr>
          <t>Expect 15-20% EPS growth in each quarter in 2013</t>
        </r>
        <r>
          <rPr>
            <sz val="8"/>
            <color indexed="81"/>
            <rFont val="Tahoma"/>
            <family val="2"/>
          </rPr>
          <t xml:space="preserve">
</t>
        </r>
      </text>
    </comment>
    <comment ref="CQ50" authorId="11">
      <text>
        <r>
          <rPr>
            <b/>
            <sz val="8"/>
            <color indexed="81"/>
            <rFont val="Tahoma"/>
            <family val="2"/>
          </rPr>
          <t>Sushama Dasari:</t>
        </r>
        <r>
          <rPr>
            <sz val="8"/>
            <color indexed="81"/>
            <rFont val="Tahoma"/>
            <family val="2"/>
          </rPr>
          <t xml:space="preserve">
4.13: 50-53c 3Q target
</t>
        </r>
        <r>
          <rPr>
            <b/>
            <sz val="8"/>
            <color indexed="81"/>
            <rFont val="Tahoma"/>
            <family val="2"/>
          </rPr>
          <t xml:space="preserve">11.1.2012
</t>
        </r>
        <r>
          <rPr>
            <sz val="8"/>
            <color indexed="81"/>
            <rFont val="Tahoma"/>
            <family val="2"/>
          </rPr>
          <t>Expect 15-20% EPS growth in each quarter in 2013</t>
        </r>
        <r>
          <rPr>
            <sz val="8"/>
            <color indexed="81"/>
            <rFont val="Tahoma"/>
            <family val="2"/>
          </rPr>
          <t xml:space="preserve">
</t>
        </r>
      </text>
    </comment>
    <comment ref="CR50" authorId="11">
      <text>
        <r>
          <rPr>
            <b/>
            <sz val="8"/>
            <color indexed="81"/>
            <rFont val="Tahoma"/>
            <family val="2"/>
          </rPr>
          <t xml:space="preserve">7.25.13
</t>
        </r>
        <r>
          <rPr>
            <sz val="8"/>
            <color indexed="81"/>
            <rFont val="Tahoma"/>
            <family val="2"/>
          </rPr>
          <t>59-60c, including 3c gain from sale of Chile and Argentina businessed. 
"</t>
        </r>
        <r>
          <rPr>
            <u/>
            <sz val="8"/>
            <color indexed="81"/>
            <rFont val="Tahoma"/>
            <family val="2"/>
          </rPr>
          <t>Commodities will continue to benefit us in the fourth quarter as we expect a gross $0.02</t>
        </r>
        <r>
          <rPr>
            <sz val="8"/>
            <color indexed="81"/>
            <rFont val="Tahoma"/>
            <family val="2"/>
          </rPr>
          <t xml:space="preserve"> earnings per share benefit partially offset by our recent pricing actions down the grocery aisle. Conversely we expect an </t>
        </r>
        <r>
          <rPr>
            <u/>
            <sz val="8"/>
            <color indexed="81"/>
            <rFont val="Tahoma"/>
            <family val="2"/>
          </rPr>
          <t xml:space="preserve">unfavorable foreign exchange impact of approximately $6 million in Q4 </t>
        </r>
        <r>
          <rPr>
            <sz val="8"/>
            <color indexed="81"/>
            <rFont val="Tahoma"/>
            <family val="2"/>
          </rPr>
          <t>driven by a weaker Japanese Yen. "</t>
        </r>
        <r>
          <rPr>
            <b/>
            <sz val="8"/>
            <color indexed="81"/>
            <rFont val="Tahoma"/>
            <family val="2"/>
          </rPr>
          <t xml:space="preserve">
</t>
        </r>
        <r>
          <rPr>
            <sz val="8"/>
            <color indexed="81"/>
            <rFont val="Tahoma"/>
            <family val="2"/>
          </rPr>
          <t xml:space="preserve">
</t>
        </r>
        <r>
          <rPr>
            <b/>
            <sz val="8"/>
            <color indexed="81"/>
            <rFont val="Tahoma"/>
            <family val="2"/>
          </rPr>
          <t>4.13.13</t>
        </r>
        <r>
          <rPr>
            <sz val="8"/>
            <color indexed="81"/>
            <rFont val="Tahoma"/>
            <family val="2"/>
          </rPr>
          <t xml:space="preserve">
54-57c in the 4Q
</t>
        </r>
        <r>
          <rPr>
            <b/>
            <sz val="8"/>
            <color indexed="81"/>
            <rFont val="Tahoma"/>
            <family val="2"/>
          </rPr>
          <t xml:space="preserve">11.1.2012
</t>
        </r>
        <r>
          <rPr>
            <sz val="8"/>
            <color indexed="81"/>
            <rFont val="Tahoma"/>
            <family val="2"/>
          </rPr>
          <t>Expect 15-20% EPS growth in each quarter in 2013</t>
        </r>
        <r>
          <rPr>
            <sz val="8"/>
            <color indexed="81"/>
            <rFont val="Tahoma"/>
            <family val="2"/>
          </rPr>
          <t xml:space="preserve">
</t>
        </r>
      </text>
    </comment>
    <comment ref="CS50" authorId="6">
      <text>
        <r>
          <rPr>
            <b/>
            <sz val="8"/>
            <color indexed="81"/>
            <rFont val="Tahoma"/>
            <family val="2"/>
          </rPr>
          <t xml:space="preserve">4.25.13
</t>
        </r>
        <r>
          <rPr>
            <sz val="8"/>
            <color indexed="81"/>
            <rFont val="Tahoma"/>
            <family val="2"/>
          </rPr>
          <t>Raised to $2.22-$2.23 - including the 3c gain (not in this line)</t>
        </r>
        <r>
          <rPr>
            <b/>
            <sz val="8"/>
            <color indexed="81"/>
            <rFont val="Tahoma"/>
            <family val="2"/>
          </rPr>
          <t xml:space="preserve">
</t>
        </r>
        <r>
          <rPr>
            <sz val="8"/>
            <color indexed="81"/>
            <rFont val="Tahoma"/>
            <family val="2"/>
          </rPr>
          <t xml:space="preserve">
</t>
        </r>
        <r>
          <rPr>
            <b/>
            <sz val="8"/>
            <color indexed="81"/>
            <rFont val="Tahoma"/>
            <family val="2"/>
          </rPr>
          <t>4.25.13</t>
        </r>
        <r>
          <rPr>
            <sz val="8"/>
            <color indexed="81"/>
            <rFont val="Tahoma"/>
            <family val="2"/>
          </rPr>
          <t xml:space="preserve">
Raised to $2.12-$2.18 - inclding the 3c gain (not in this line)
</t>
        </r>
        <r>
          <rPr>
            <b/>
            <sz val="8"/>
            <color indexed="81"/>
            <rFont val="Tahoma"/>
            <family val="2"/>
          </rPr>
          <t xml:space="preserve">1.24.13
</t>
        </r>
        <r>
          <rPr>
            <sz val="8"/>
            <color indexed="81"/>
            <rFont val="Tahoma"/>
            <family val="2"/>
          </rPr>
          <t>Reaffirmed</t>
        </r>
        <r>
          <rPr>
            <sz val="8"/>
            <color indexed="81"/>
            <rFont val="Tahoma"/>
            <family val="2"/>
          </rPr>
          <t xml:space="preserve">
</t>
        </r>
        <r>
          <rPr>
            <b/>
            <sz val="8"/>
            <color indexed="81"/>
            <rFont val="Tahoma"/>
            <family val="2"/>
          </rPr>
          <t xml:space="preserve">11.1.2012
</t>
        </r>
        <r>
          <rPr>
            <sz val="8"/>
            <color indexed="81"/>
            <rFont val="Tahoma"/>
            <family val="2"/>
          </rPr>
          <t xml:space="preserve">Starbucks is raising its earnings per share target to a range of </t>
        </r>
        <r>
          <rPr>
            <b/>
            <sz val="8"/>
            <color indexed="81"/>
            <rFont val="Tahoma"/>
            <family val="2"/>
          </rPr>
          <t>$2.06 to $2.15</t>
        </r>
        <r>
          <rPr>
            <sz val="8"/>
            <color indexed="81"/>
            <rFont val="Tahoma"/>
            <family val="2"/>
          </rPr>
          <t>, representing growth in the range of 15% - 20%, and consistent with its long-term outlook.</t>
        </r>
        <r>
          <rPr>
            <sz val="8"/>
            <color indexed="81"/>
            <rFont val="Tahoma"/>
            <family val="2"/>
          </rPr>
          <t xml:space="preserve">
</t>
        </r>
        <r>
          <rPr>
            <b/>
            <sz val="8"/>
            <color indexed="81"/>
            <rFont val="Tahoma"/>
            <family val="2"/>
          </rPr>
          <t xml:space="preserve">7.26.2012
</t>
        </r>
        <r>
          <rPr>
            <sz val="8"/>
            <color indexed="81"/>
            <rFont val="Tahoma"/>
            <family val="2"/>
          </rPr>
          <t>Targeting FY13 EPS of $2.04-$2.14, representing 15-20% growth y/y. Range does roughly include costs (~$10MM) of potential store closures in Europe as part of Renaissance Plan</t>
        </r>
      </text>
    </comment>
    <comment ref="CX50" authorId="1">
      <text>
        <r>
          <rPr>
            <b/>
            <sz val="8"/>
            <color indexed="81"/>
            <rFont val="Tahoma"/>
            <family val="2"/>
          </rPr>
          <t xml:space="preserve">7.24.14:
</t>
        </r>
        <r>
          <rPr>
            <sz val="8"/>
            <color indexed="81"/>
            <rFont val="Tahoma"/>
            <family val="2"/>
          </rPr>
          <t>$2.65-2.67  (includes 10c benefit for lower coffee)</t>
        </r>
        <r>
          <rPr>
            <b/>
            <sz val="8"/>
            <color indexed="81"/>
            <rFont val="Tahoma"/>
            <family val="2"/>
          </rPr>
          <t xml:space="preserve">
4.24.14:
</t>
        </r>
        <r>
          <rPr>
            <sz val="8"/>
            <color indexed="81"/>
            <rFont val="Tahoma"/>
            <family val="2"/>
          </rPr>
          <t>$2.62-2.68</t>
        </r>
        <r>
          <rPr>
            <b/>
            <sz val="8"/>
            <color indexed="81"/>
            <rFont val="Tahoma"/>
            <family val="2"/>
          </rPr>
          <t xml:space="preserve">
1.23.14</t>
        </r>
        <r>
          <rPr>
            <sz val="8"/>
            <color indexed="81"/>
            <rFont val="Tahoma"/>
            <family val="2"/>
          </rPr>
          <t xml:space="preserve">
$2.59-2.67 but includes 2c 1x benefit (not including in our operating EPS estimate)</t>
        </r>
        <r>
          <rPr>
            <b/>
            <sz val="8"/>
            <color indexed="81"/>
            <rFont val="Tahoma"/>
            <family val="2"/>
          </rPr>
          <t xml:space="preserve">
10.13: </t>
        </r>
        <r>
          <rPr>
            <sz val="8"/>
            <color indexed="81"/>
            <rFont val="Tahoma"/>
            <family val="2"/>
          </rPr>
          <t>$2.55 to $2.65 maintained, but caution on hihger tax rate (est 7c impact), higer interest (2-3c0 and green coffee benefit of 9-10c, whic is now fully locked</t>
        </r>
        <r>
          <rPr>
            <b/>
            <sz val="8"/>
            <color indexed="81"/>
            <rFont val="Tahoma"/>
            <family val="2"/>
          </rPr>
          <t xml:space="preserve">
7.25.13
</t>
        </r>
        <r>
          <rPr>
            <sz val="8"/>
            <color indexed="81"/>
            <rFont val="Tahoma"/>
            <family val="2"/>
          </rPr>
          <t>$2.55-$2.65 guidance. Equates to 18% to 22% Y/Y growth excluding a $0.06 gain in FY13.
"Contributing to the improvement will be another year of tail winds on c</t>
        </r>
        <r>
          <rPr>
            <u/>
            <sz val="8"/>
            <color indexed="81"/>
            <rFont val="Tahoma"/>
            <family val="2"/>
          </rPr>
          <t xml:space="preserve">offee costs currently expected at approximately $0.09 to $0.10 </t>
        </r>
        <r>
          <rPr>
            <sz val="8"/>
            <color indexed="81"/>
            <rFont val="Tahoma"/>
            <family val="2"/>
          </rPr>
          <t>net for the year. We have well more than 80% of our coffee needs locked for FY '14, providing us with great visibility into this benefit. The $0.09 to $0.10 benefit reflects the gross coffee impact partially offset by the recent price changes in CPG, as well as routine investments in the business."</t>
        </r>
        <r>
          <rPr>
            <b/>
            <sz val="8"/>
            <color indexed="81"/>
            <rFont val="Tahoma"/>
            <family val="2"/>
          </rPr>
          <t xml:space="preserve">
12.5.12
</t>
        </r>
        <r>
          <rPr>
            <sz val="8"/>
            <color indexed="81"/>
            <rFont val="Tahoma"/>
            <family val="2"/>
          </rPr>
          <t>Confirmed LT EPS growth target = 15-20%</t>
        </r>
        <r>
          <rPr>
            <b/>
            <sz val="8"/>
            <color indexed="81"/>
            <rFont val="Tahoma"/>
            <family val="2"/>
          </rPr>
          <t xml:space="preserve">
</t>
        </r>
        <r>
          <rPr>
            <sz val="8"/>
            <color indexed="81"/>
            <rFont val="Tahoma"/>
            <family val="2"/>
          </rPr>
          <t xml:space="preserve">
12.1.10
LT EPS growth = 15-20%</t>
        </r>
      </text>
    </comment>
    <comment ref="CY50" authorId="3">
      <text>
        <r>
          <rPr>
            <b/>
            <sz val="9"/>
            <color indexed="81"/>
            <rFont val="Tahoma"/>
            <family val="2"/>
          </rPr>
          <t>O'Brien, Courtney (Research):</t>
        </r>
        <r>
          <rPr>
            <sz val="9"/>
            <color indexed="81"/>
            <rFont val="Tahoma"/>
            <family val="2"/>
          </rPr>
          <t xml:space="preserve">
10.30.14
79-81c</t>
        </r>
      </text>
    </comment>
    <comment ref="CZ50" authorId="3">
      <text>
        <r>
          <rPr>
            <b/>
            <sz val="9"/>
            <color indexed="81"/>
            <rFont val="Tahoma"/>
            <family val="2"/>
          </rPr>
          <t>3.18.15
post split guidance = 32-33c
O'Brien, Courtney (Research):</t>
        </r>
        <r>
          <rPr>
            <sz val="9"/>
            <color indexed="81"/>
            <rFont val="Tahoma"/>
            <family val="2"/>
          </rPr>
          <t xml:space="preserve">
64-65c non gaap</t>
        </r>
      </text>
    </comment>
    <comment ref="DA50" authorId="4">
      <text>
        <r>
          <rPr>
            <b/>
            <sz val="9"/>
            <color indexed="81"/>
            <rFont val="Tahoma"/>
            <family val="2"/>
          </rPr>
          <t>Glass, John (Research):</t>
        </r>
        <r>
          <rPr>
            <sz val="9"/>
            <color indexed="81"/>
            <rFont val="Tahoma"/>
            <family val="2"/>
          </rPr>
          <t xml:space="preserve">
4.15: 40-41c non gaap 3Q</t>
        </r>
      </text>
    </comment>
    <comment ref="DB50" authorId="4">
      <text>
        <r>
          <rPr>
            <b/>
            <sz val="9"/>
            <color indexed="81"/>
            <rFont val="Tahoma"/>
            <family val="2"/>
          </rPr>
          <t xml:space="preserve">
7.22.15
42-43c
</t>
        </r>
        <r>
          <rPr>
            <sz val="9"/>
            <color indexed="81"/>
            <rFont val="Tahoma"/>
            <family val="2"/>
          </rPr>
          <t xml:space="preserve">
4.15: 42-43c non gaap</t>
        </r>
      </text>
    </comment>
    <comment ref="DC50" authorId="8">
      <text>
        <r>
          <rPr>
            <b/>
            <sz val="8"/>
            <color indexed="81"/>
            <rFont val="Tahoma"/>
            <family val="2"/>
          </rPr>
          <t xml:space="preserve">10.29.15
FX negatively impacted GAAP EPS by roughly 3 percentage points in Q4 and 2 percentage points for the full year
7.22.15
$1.57-1.58
4.15: 
$1.55-$1.57
3.18.15
</t>
        </r>
        <r>
          <rPr>
            <sz val="8"/>
            <color indexed="81"/>
            <rFont val="Tahoma"/>
            <family val="2"/>
          </rPr>
          <t>post split guidance = $1.55-1.57
neither updating nor reaffirming targets at this time; 
3c = japac aquisition amortization; -26c = fair value gain</t>
        </r>
        <r>
          <rPr>
            <b/>
            <sz val="8"/>
            <color indexed="81"/>
            <rFont val="Tahoma"/>
            <family val="2"/>
          </rPr>
          <t xml:space="preserve">
1.22.14
</t>
        </r>
        <r>
          <rPr>
            <sz val="8"/>
            <color indexed="81"/>
            <rFont val="Tahoma"/>
            <family val="2"/>
          </rPr>
          <t xml:space="preserve">$3.09 - 3.13 (raised low end by 1c) nongaap
</t>
        </r>
        <r>
          <rPr>
            <b/>
            <sz val="8"/>
            <color indexed="81"/>
            <rFont val="Tahoma"/>
            <family val="2"/>
          </rPr>
          <t xml:space="preserve">
10.27.14
</t>
        </r>
        <r>
          <rPr>
            <sz val="8"/>
            <color indexed="81"/>
            <rFont val="Tahoma"/>
            <family val="2"/>
          </rPr>
          <t>$3.08-$3.13 (non GAAP); backs out Japan  JV gain (43-49c) and acquisition costs ( amortization, transaction, integration)</t>
        </r>
        <r>
          <rPr>
            <b/>
            <sz val="8"/>
            <color indexed="81"/>
            <rFont val="Tahoma"/>
            <family val="2"/>
          </rPr>
          <t xml:space="preserve">
9.21.14
</t>
        </r>
        <r>
          <rPr>
            <sz val="8"/>
            <color indexed="81"/>
            <rFont val="Tahoma"/>
            <family val="2"/>
          </rPr>
          <t xml:space="preserve">Japan JV acquistion could add up to ~5c to '15 #s (2q-4q); not yet included in model
</t>
        </r>
        <r>
          <rPr>
            <b/>
            <sz val="8"/>
            <color indexed="81"/>
            <rFont val="Tahoma"/>
            <family val="2"/>
          </rPr>
          <t xml:space="preserve">
7.24.14:</t>
        </r>
        <r>
          <rPr>
            <sz val="8"/>
            <color indexed="81"/>
            <rFont val="Tahoma"/>
            <family val="2"/>
          </rPr>
          <t xml:space="preserve">
15-20% (or $3.05-3.20), but likely toward to the lower end. 1) Commodities expected to be flat or slightly higher. 2) digital related investments. 
</t>
        </r>
      </text>
    </comment>
    <comment ref="DD50" authorId="3">
      <text>
        <r>
          <rPr>
            <b/>
            <sz val="9"/>
            <color indexed="81"/>
            <rFont val="Tahoma"/>
            <family val="2"/>
          </rPr>
          <t>O'Brien, Courtney (Research):</t>
        </r>
        <r>
          <rPr>
            <sz val="9"/>
            <color indexed="81"/>
            <rFont val="Tahoma"/>
            <family val="2"/>
          </rPr>
          <t xml:space="preserve">
10.29.15
44-45c</t>
        </r>
      </text>
    </comment>
    <comment ref="DE50" authorId="3">
      <text>
        <r>
          <rPr>
            <b/>
            <sz val="9"/>
            <color indexed="81"/>
            <rFont val="Tahoma"/>
            <family val="2"/>
          </rPr>
          <t>O'Brien, Courtney (Research):</t>
        </r>
        <r>
          <rPr>
            <sz val="9"/>
            <color indexed="81"/>
            <rFont val="Tahoma"/>
            <family val="2"/>
          </rPr>
          <t xml:space="preserve">
1.21.16
$0.38-0.39</t>
        </r>
      </text>
    </comment>
    <comment ref="DF50" authorId="9">
      <text>
        <r>
          <rPr>
            <b/>
            <sz val="9"/>
            <color indexed="81"/>
            <rFont val="Tahoma"/>
            <family val="2"/>
          </rPr>
          <t>Carril, Christopher E (Research):</t>
        </r>
        <r>
          <rPr>
            <sz val="9"/>
            <color indexed="81"/>
            <rFont val="Tahoma"/>
            <family val="2"/>
          </rPr>
          <t xml:space="preserve">
4.21.2016
GAAP EPS in the range of $0.47 to $0.48 
Non-GAAP EPS in the range of $0.48 to $0.49
</t>
        </r>
      </text>
    </comment>
    <comment ref="DG50" authorId="4">
      <text>
        <r>
          <rPr>
            <b/>
            <sz val="9"/>
            <color indexed="81"/>
            <rFont val="Tahoma"/>
            <family val="2"/>
          </rPr>
          <t>Glass, John (Research):</t>
        </r>
        <r>
          <rPr>
            <sz val="9"/>
            <color indexed="81"/>
            <rFont val="Tahoma"/>
            <family val="2"/>
          </rPr>
          <t xml:space="preserve">
</t>
        </r>
        <r>
          <rPr>
            <b/>
            <sz val="9"/>
            <color indexed="81"/>
            <rFont val="Tahoma"/>
            <family val="2"/>
          </rPr>
          <t>11.3.2016</t>
        </r>
        <r>
          <rPr>
            <sz val="9"/>
            <color indexed="81"/>
            <rFont val="Tahoma"/>
            <family val="2"/>
          </rPr>
          <t xml:space="preserve">
$0.56 with the extra week contributing approximately $0.06
</t>
        </r>
        <r>
          <rPr>
            <b/>
            <sz val="9"/>
            <color indexed="81"/>
            <rFont val="Tahoma"/>
            <family val="2"/>
          </rPr>
          <t xml:space="preserve">7.21.2016
</t>
        </r>
        <r>
          <rPr>
            <sz val="9"/>
            <color indexed="81"/>
            <rFont val="Tahoma"/>
            <family val="2"/>
          </rPr>
          <t>54-55c, incl 6c from 53rd week
includes 6c for extra week</t>
        </r>
      </text>
    </comment>
    <comment ref="DH50" authorId="3">
      <text>
        <r>
          <rPr>
            <b/>
            <sz val="9"/>
            <color indexed="81"/>
            <rFont val="Tahoma"/>
            <family val="2"/>
          </rPr>
          <t xml:space="preserve">7.21.2016
</t>
        </r>
        <r>
          <rPr>
            <sz val="9"/>
            <color indexed="81"/>
            <rFont val="Tahoma"/>
            <family val="2"/>
          </rPr>
          <t>Reit Non-GAAP $1.88-1.89, incl 6c from 53rd week</t>
        </r>
        <r>
          <rPr>
            <b/>
            <sz val="9"/>
            <color indexed="81"/>
            <rFont val="Tahoma"/>
            <family val="2"/>
          </rPr>
          <t xml:space="preserve">
4.21.2016
</t>
        </r>
        <r>
          <rPr>
            <sz val="9"/>
            <color indexed="81"/>
            <rFont val="Tahoma"/>
            <family val="2"/>
          </rPr>
          <t xml:space="preserve">Full year FY16 earnings per share, including the 53rd week in Q4 FY16: ◦ GAAP EPS now expected to be in the range of $1.85 to $1.86 (from a range of $1.84 to $1.86) 
◦ Non-GAAP EPS now expected to be in the range of $1.88 to $1.89 (from a range of $1.87 to $1.89) 
We expect the year-over-year increase in global partner and digital investments in 2016 will be between $100 million and $125 million, impacting our EPS growth rate by approximately 3 points. </t>
        </r>
        <r>
          <rPr>
            <b/>
            <sz val="9"/>
            <color indexed="81"/>
            <rFont val="Tahoma"/>
            <family val="2"/>
          </rPr>
          <t>Our total global investment in these areas in 2016 will land between $275 million and $300 million, compared to approximately $145 million in fiscal 2015</t>
        </r>
        <r>
          <rPr>
            <sz val="9"/>
            <color indexed="81"/>
            <rFont val="Tahoma"/>
            <family val="2"/>
          </rPr>
          <t xml:space="preserve">. The majority of the 2016 initiatives will be in the US, but will also include global investments in certain increased partner benefits, digital
and technology investments, and G&amp;A costs.
</t>
        </r>
        <r>
          <rPr>
            <b/>
            <sz val="9"/>
            <color indexed="81"/>
            <rFont val="Tahoma"/>
            <family val="2"/>
          </rPr>
          <t xml:space="preserve">
1.21.16</t>
        </r>
        <r>
          <rPr>
            <sz val="9"/>
            <color indexed="81"/>
            <rFont val="Tahoma"/>
            <family val="2"/>
          </rPr>
          <t xml:space="preserve">
reit 1.87-1.89 incl extra week (6c); exchange is now expected to be a negative impact on revenue growth by 2 points and negatively impact non-GAAP EPS growth by 3 points, each up 1 full point from our previous guidance
</t>
        </r>
        <r>
          <rPr>
            <b/>
            <sz val="9"/>
            <color indexed="81"/>
            <rFont val="Tahoma"/>
            <family val="2"/>
          </rPr>
          <t>10.29.15</t>
        </r>
        <r>
          <rPr>
            <sz val="9"/>
            <color indexed="81"/>
            <rFont val="Tahoma"/>
            <family val="2"/>
          </rPr>
          <t xml:space="preserve">
1.87-1.89 incl extra week (6c)
</t>
        </r>
        <r>
          <rPr>
            <b/>
            <sz val="9"/>
            <color indexed="81"/>
            <rFont val="Tahoma"/>
            <family val="2"/>
          </rPr>
          <t xml:space="preserve">
9.15</t>
        </r>
        <r>
          <rPr>
            <sz val="9"/>
            <color indexed="81"/>
            <rFont val="Tahoma"/>
            <family val="2"/>
          </rPr>
          <t xml:space="preserve">
15-20% is good for 16 and the next few years, with the 53rd week on top of that. Investmetn spend will determine where we "land" within that range.
new guidance to come in 1q16
</t>
        </r>
      </text>
    </comment>
    <comment ref="DI50" authorId="9">
      <text>
        <r>
          <rPr>
            <b/>
            <sz val="9"/>
            <color indexed="81"/>
            <rFont val="Tahoma"/>
            <family val="2"/>
          </rPr>
          <t>Carril, Christopher E (Research):</t>
        </r>
        <r>
          <rPr>
            <sz val="9"/>
            <color indexed="81"/>
            <rFont val="Tahoma"/>
            <family val="2"/>
          </rPr>
          <t xml:space="preserve">
</t>
        </r>
        <r>
          <rPr>
            <b/>
            <sz val="9"/>
            <color indexed="81"/>
            <rFont val="Tahoma"/>
            <family val="2"/>
          </rPr>
          <t xml:space="preserve">11.3.2016
</t>
        </r>
        <r>
          <rPr>
            <sz val="9"/>
            <color indexed="81"/>
            <rFont val="Tahoma"/>
            <family val="2"/>
          </rPr>
          <t>51-52c</t>
        </r>
      </text>
    </comment>
    <comment ref="DJ50" authorId="9">
      <text>
        <r>
          <rPr>
            <b/>
            <sz val="9"/>
            <color indexed="81"/>
            <rFont val="Tahoma"/>
            <family val="2"/>
          </rPr>
          <t>Carril, Christopher E (Research):</t>
        </r>
        <r>
          <rPr>
            <sz val="9"/>
            <color indexed="81"/>
            <rFont val="Tahoma"/>
            <family val="2"/>
          </rPr>
          <t xml:space="preserve">
1.26.2017
44-45c</t>
        </r>
      </text>
    </comment>
    <comment ref="DK50" authorId="9">
      <text>
        <r>
          <rPr>
            <b/>
            <sz val="9"/>
            <color indexed="81"/>
            <rFont val="Tahoma"/>
            <family val="2"/>
          </rPr>
          <t>Carril, Christopher E (Research):</t>
        </r>
        <r>
          <rPr>
            <sz val="9"/>
            <color indexed="81"/>
            <rFont val="Tahoma"/>
            <family val="2"/>
          </rPr>
          <t xml:space="preserve">
4.27.2017
55-56c</t>
        </r>
      </text>
    </comment>
    <comment ref="DL50" authorId="9">
      <text>
        <r>
          <rPr>
            <b/>
            <sz val="9"/>
            <color indexed="81"/>
            <rFont val="Tahoma"/>
            <family val="2"/>
          </rPr>
          <t xml:space="preserve">Carril, Christopher E (Research):
11.4.17: included 1c benefit from unredeemed sbux cards, offset by 1c neg hurricane impact
</t>
        </r>
        <r>
          <rPr>
            <sz val="9"/>
            <color indexed="81"/>
            <rFont val="Tahoma"/>
            <family val="2"/>
          </rPr>
          <t xml:space="preserve">
</t>
        </r>
        <r>
          <rPr>
            <b/>
            <sz val="9"/>
            <color indexed="81"/>
            <rFont val="Tahoma"/>
            <family val="2"/>
          </rPr>
          <t xml:space="preserve">7.27.2017
</t>
        </r>
        <r>
          <rPr>
            <sz val="9"/>
            <color indexed="81"/>
            <rFont val="Tahoma"/>
            <family val="2"/>
          </rPr>
          <t xml:space="preserve">$0.54 to $0.55
</t>
        </r>
        <r>
          <rPr>
            <b/>
            <sz val="9"/>
            <color indexed="81"/>
            <rFont val="Tahoma"/>
            <family val="2"/>
          </rPr>
          <t xml:space="preserve">4.27.2017
</t>
        </r>
        <r>
          <rPr>
            <sz val="9"/>
            <color indexed="81"/>
            <rFont val="Tahoma"/>
            <family val="2"/>
          </rPr>
          <t>Implied 57-60c</t>
        </r>
      </text>
    </comment>
    <comment ref="DM50" authorId="9">
      <text>
        <r>
          <rPr>
            <b/>
            <sz val="9"/>
            <color indexed="81"/>
            <rFont val="Tahoma"/>
            <family val="2"/>
          </rPr>
          <t xml:space="preserve">Carril, Christopher E (Research):
7.27.2017
</t>
        </r>
        <r>
          <rPr>
            <sz val="9"/>
            <color indexed="81"/>
            <rFont val="Tahoma"/>
            <family val="2"/>
          </rPr>
          <t>$2.05 to $2.06</t>
        </r>
        <r>
          <rPr>
            <b/>
            <sz val="9"/>
            <color indexed="81"/>
            <rFont val="Tahoma"/>
            <family val="2"/>
          </rPr>
          <t xml:space="preserve">
4.27.2017</t>
        </r>
        <r>
          <rPr>
            <sz val="9"/>
            <color indexed="81"/>
            <rFont val="Tahoma"/>
            <family val="2"/>
          </rPr>
          <t xml:space="preserve">
$2.08-2.12
</t>
        </r>
        <r>
          <rPr>
            <b/>
            <sz val="9"/>
            <color indexed="81"/>
            <rFont val="Tahoma"/>
            <family val="2"/>
          </rPr>
          <t>1.26.2017</t>
        </r>
        <r>
          <rPr>
            <sz val="9"/>
            <color indexed="81"/>
            <rFont val="Tahoma"/>
            <family val="2"/>
          </rPr>
          <t xml:space="preserve">
Reit $2.12-2.14
</t>
        </r>
        <r>
          <rPr>
            <b/>
            <sz val="9"/>
            <color indexed="81"/>
            <rFont val="Tahoma"/>
            <family val="2"/>
          </rPr>
          <t>11.3.2016</t>
        </r>
        <r>
          <rPr>
            <sz val="9"/>
            <color indexed="81"/>
            <rFont val="Tahoma"/>
            <family val="2"/>
          </rPr>
          <t xml:space="preserve">
$2.12-2.14 non gaap (exlcudes jpan acq impact)</t>
        </r>
      </text>
    </comment>
    <comment ref="DN50" authorId="9">
      <text>
        <r>
          <rPr>
            <b/>
            <sz val="9"/>
            <color indexed="81"/>
            <rFont val="Tahoma"/>
            <family val="2"/>
          </rPr>
          <t>Carril, Christopher E (Research):</t>
        </r>
        <r>
          <rPr>
            <sz val="9"/>
            <color indexed="81"/>
            <rFont val="Tahoma"/>
            <family val="2"/>
          </rPr>
          <t xml:space="preserve">
1.25.2018
Includes $0.07 of benefit from
the U.S. tax law change and $0.02 of favorability below the operating income line [true up] of our liability for unredeemed gift cards, principally
from first-time breakage recognition for market outside the U.S. and Canada.</t>
        </r>
      </text>
    </comment>
    <comment ref="DO50" authorId="9">
      <text>
        <r>
          <rPr>
            <b/>
            <sz val="9"/>
            <color indexed="81"/>
            <rFont val="Tahoma"/>
            <family val="2"/>
          </rPr>
          <t>Carril, Christopher E (Research):</t>
        </r>
        <r>
          <rPr>
            <sz val="9"/>
            <color indexed="81"/>
            <rFont val="Tahoma"/>
            <family val="2"/>
          </rPr>
          <t xml:space="preserve">
1.31.2018
The East China business will be fully consolidated and reflected in our financial statements beginning in Q2 of fiscal '18.</t>
        </r>
      </text>
    </comment>
    <comment ref="DR50" authorId="9">
      <text>
        <r>
          <rPr>
            <b/>
            <sz val="9"/>
            <color indexed="81"/>
            <rFont val="Tahoma"/>
            <family val="2"/>
          </rPr>
          <t>Carril, Christopher E (Research):</t>
        </r>
        <r>
          <rPr>
            <sz val="9"/>
            <color indexed="81"/>
            <rFont val="Tahoma"/>
            <family val="2"/>
          </rPr>
          <t xml:space="preserve">
1.31.2018
We continue to expect the East China acquisition in conjunction with our other streamlining activities to be flat to slightly
accretive to overall non-GAAP EPS in 2018 as I've shared on previous calls. Specifically, East China will add 1 to 2 points of non-GAAP EPS growth in 2018 and the impact of the other activities, including the absence of our Tazo business, and the conversions of Taiwan and Singapore to licensed operations will largely offset this impact.
1.25.2018
$2.48-2.53
Re China transaction: We expect the transaction to be neutral to slightly accretive to earnings in 2018 with a more positive impact in 2019, excluding the following estimated items: the gain on acquisition; amortization expense of acquired intangible assets; and transaction and integration expenses.
11.2.2017
Given these inputs, we expect non-GAAP EPS growth of 12% to 13% or $2.30 to $2. 33 per share in fiscal 2018, with growth in the front half of the year likely a bit below the full year average and growth in the back half somewhat above it.
For non-GAAP EPS, the net impact will be relatively modest in 2018, flat to slightly accretive as the benefit from closing the Teavana mall stores and adding the East China business are offset by the Taiwan, TAZO and Singapore transactions. Again, the cumulative impact of these moves will begin to become more meaningfully accretive to earnings growth as we move into the back half of fiscal 2018 and into 2019.</t>
        </r>
      </text>
    </comment>
    <comment ref="DW50" authorId="9">
      <text>
        <r>
          <rPr>
            <b/>
            <sz val="9"/>
            <color indexed="81"/>
            <rFont val="Tahoma"/>
            <family val="2"/>
          </rPr>
          <t>Carril, Christopher E (Research):</t>
        </r>
        <r>
          <rPr>
            <sz val="9"/>
            <color indexed="81"/>
            <rFont val="Tahoma"/>
            <family val="2"/>
          </rPr>
          <t xml:space="preserve">
1.25.2018
Re China transaction: We expect the transaction to be neutral to slightly accretive to earnings in 2018 with a more positive impact in 2019, excluding the following estimated items: the gain on acquisition; amortization expense of acquired intangible assets; and transaction and integration expenses.
</t>
        </r>
      </text>
    </comment>
    <comment ref="BH51" authorId="0">
      <text>
        <r>
          <rPr>
            <b/>
            <sz val="8"/>
            <color indexed="81"/>
            <rFont val="Tahoma"/>
            <family val="2"/>
          </rPr>
          <t xml:space="preserve">towerj:
</t>
        </r>
        <r>
          <rPr>
            <sz val="8"/>
            <color indexed="81"/>
            <rFont val="Tahoma"/>
            <family val="2"/>
          </rPr>
          <t>5.3.06 reit $0.02/share</t>
        </r>
        <r>
          <rPr>
            <sz val="8"/>
            <color indexed="81"/>
            <rFont val="Tahoma"/>
            <family val="2"/>
          </rPr>
          <t xml:space="preserve">
</t>
        </r>
      </text>
    </comment>
    <comment ref="BI51" authorId="0">
      <text>
        <r>
          <rPr>
            <b/>
            <sz val="8"/>
            <color indexed="81"/>
            <rFont val="Tahoma"/>
            <family val="2"/>
          </rPr>
          <t xml:space="preserve">towerj:
</t>
        </r>
        <r>
          <rPr>
            <sz val="8"/>
            <color indexed="81"/>
            <rFont val="Tahoma"/>
            <family val="2"/>
          </rPr>
          <t>5.3.06 reit $0.02/share</t>
        </r>
        <r>
          <rPr>
            <sz val="8"/>
            <color indexed="81"/>
            <rFont val="Tahoma"/>
            <family val="2"/>
          </rPr>
          <t xml:space="preserve">
</t>
        </r>
      </text>
    </comment>
    <comment ref="BJ51" authorId="0">
      <text>
        <r>
          <rPr>
            <b/>
            <sz val="8"/>
            <color indexed="81"/>
            <rFont val="Tahoma"/>
            <family val="2"/>
          </rPr>
          <t xml:space="preserve">towerj:
</t>
        </r>
        <r>
          <rPr>
            <sz val="8"/>
            <color indexed="81"/>
            <rFont val="Tahoma"/>
            <family val="2"/>
          </rPr>
          <t>7.29.05 - convo w/Mike Casey - FY06 not unreasonable to assume at least $0.16/per share due to share-based compensation.
11.9.05 FY06 SBC expense of ~$0.09 or $0.02/Q
5.3.06 reit $0.09/share</t>
        </r>
        <r>
          <rPr>
            <sz val="8"/>
            <color indexed="81"/>
            <rFont val="Tahoma"/>
            <family val="2"/>
          </rPr>
          <t xml:space="preserve">
</t>
        </r>
      </text>
    </comment>
    <comment ref="BI52" authorId="0">
      <text>
        <r>
          <rPr>
            <b/>
            <sz val="8"/>
            <color indexed="81"/>
            <rFont val="Tahoma"/>
            <family val="2"/>
          </rPr>
          <t xml:space="preserve">towerj:
</t>
        </r>
        <r>
          <rPr>
            <sz val="8"/>
            <color indexed="81"/>
            <rFont val="Tahoma"/>
            <family val="2"/>
          </rPr>
          <t xml:space="preserve">11.16.06
FIN 47, which addresses asset retirement obligations, was adopted at the end of the fiscal year and impacted earnings by $0.02 per share in both the fourth quarter and the full year. </t>
        </r>
        <r>
          <rPr>
            <sz val="8"/>
            <color indexed="81"/>
            <rFont val="Tahoma"/>
            <family val="2"/>
          </rPr>
          <t xml:space="preserve">
</t>
        </r>
      </text>
    </comment>
    <comment ref="BJ52" authorId="0">
      <text>
        <r>
          <rPr>
            <b/>
            <sz val="8"/>
            <color indexed="81"/>
            <rFont val="Tahoma"/>
            <family val="2"/>
          </rPr>
          <t xml:space="preserve">towerj:
</t>
        </r>
        <r>
          <rPr>
            <sz val="8"/>
            <color indexed="81"/>
            <rFont val="Tahoma"/>
            <family val="2"/>
          </rPr>
          <t xml:space="preserve">11.16.06
FIN 47, which addresses asset retirement obligations, was adopted at the end of the fiscal year and impacted earnings by $0.02 per share in both the fourth quarter and the full year. 
</t>
        </r>
      </text>
    </comment>
    <comment ref="BQ52" authorId="0">
      <text>
        <r>
          <rPr>
            <b/>
            <sz val="8"/>
            <color indexed="81"/>
            <rFont val="Tahoma"/>
            <family val="2"/>
          </rPr>
          <t>Jon Tower:
$0.03 of 1X transformational charges</t>
        </r>
        <r>
          <rPr>
            <sz val="8"/>
            <color indexed="81"/>
            <rFont val="Tahoma"/>
            <family val="2"/>
          </rPr>
          <t xml:space="preserve">
</t>
        </r>
      </text>
    </comment>
    <comment ref="BR52" authorId="0">
      <text>
        <r>
          <rPr>
            <b/>
            <sz val="8"/>
            <color indexed="81"/>
            <rFont val="Tahoma"/>
            <family val="2"/>
          </rPr>
          <t xml:space="preserve">Jon Tower:
</t>
        </r>
        <r>
          <rPr>
            <sz val="8"/>
            <color indexed="81"/>
            <rFont val="Tahoma"/>
            <family val="2"/>
          </rPr>
          <t>7.1.08
Pre-tax charges related to the store closures include approximately $200 million of asset write-offs to be recognized in the third quarter of fiscal 2008.</t>
        </r>
        <r>
          <rPr>
            <sz val="8"/>
            <color indexed="81"/>
            <rFont val="Tahoma"/>
            <family val="2"/>
          </rPr>
          <t xml:space="preserve">
</t>
        </r>
      </text>
    </comment>
    <comment ref="BS52" authorId="0">
      <text>
        <r>
          <rPr>
            <b/>
            <sz val="8"/>
            <color indexed="81"/>
            <rFont val="Tahoma"/>
            <family val="2"/>
          </rPr>
          <t xml:space="preserve">Jon Tower:
</t>
        </r>
        <r>
          <rPr>
            <sz val="8"/>
            <color indexed="81"/>
            <rFont val="Tahoma"/>
            <family val="2"/>
          </rPr>
          <t xml:space="preserve">7.1.08 --- assumes 75% of the hits take place in F4Q-- about $104M  (75% * ($130+8))
In addition, a projected $120 to $140 million for lease termination costs and future lease obligations are currently expected, nearly all of which will be recognized in the fourth quarter of fiscal 2008 and the first half of fiscal 2009. Costs associated with severance are currently estimated to be approximately $8 million, and the company anticipates these charges to be recorded during the same timeframe as the store closures. </t>
        </r>
        <r>
          <rPr>
            <sz val="8"/>
            <color indexed="81"/>
            <rFont val="Tahoma"/>
            <family val="2"/>
          </rPr>
          <t xml:space="preserve">
</t>
        </r>
      </text>
    </comment>
    <comment ref="BT52" authorId="0">
      <text>
        <r>
          <rPr>
            <b/>
            <sz val="8"/>
            <color indexed="81"/>
            <rFont val="Tahoma"/>
            <family val="2"/>
          </rPr>
          <t xml:space="preserve">John Glass:
</t>
        </r>
        <r>
          <rPr>
            <sz val="8"/>
            <color indexed="81"/>
            <rFont val="Tahoma"/>
            <family val="2"/>
          </rPr>
          <t>22c from restructuring charges
6c from transformation initiatives (dead site charges, erdcution of overhead related to reduced store openings</t>
        </r>
      </text>
    </comment>
    <comment ref="BU52" authorId="1">
      <text>
        <r>
          <rPr>
            <b/>
            <sz val="8"/>
            <color indexed="81"/>
            <rFont val="Tahoma"/>
            <family val="2"/>
          </rPr>
          <t xml:space="preserve">Jon Tower:
1.28.09 --- $0.06 of restructuring charges
</t>
        </r>
        <r>
          <rPr>
            <sz val="8"/>
            <color indexed="81"/>
            <rFont val="Tahoma"/>
            <family val="2"/>
          </rPr>
          <t xml:space="preserve">
7.1.08 </t>
        </r>
        <r>
          <rPr>
            <b/>
            <sz val="8"/>
            <color indexed="81"/>
            <rFont val="Tahoma"/>
            <family val="2"/>
          </rPr>
          <t>assumes 20% of the hits take place in F1Q-- about $28M  (20% * ($130+8)</t>
        </r>
        <r>
          <rPr>
            <sz val="8"/>
            <color indexed="81"/>
            <rFont val="Tahoma"/>
            <family val="2"/>
          </rPr>
          <t xml:space="preserve">)
In addition, a projected $120 to $140 million for lease termination costs and future lease obligations are currently expected, nearly all of which will be recognized in the fourth quarter of fiscal 2008 and the first half of fiscal 2009. Costs associated with severance are currently estimated to be approximately $8 million, and the company anticipates these charges to be recorded during the same timeframe as the store closures. </t>
        </r>
      </text>
    </comment>
    <comment ref="BV52" authorId="1">
      <text>
        <r>
          <rPr>
            <b/>
            <sz val="8"/>
            <color indexed="81"/>
            <rFont val="Tahoma"/>
            <family val="2"/>
          </rPr>
          <t xml:space="preserve">Jon Tower:
4.29.09
charges were $96.1M aftertax
Restructuring charges of $152.1 million for the quarter were primarily due to asset impairments, lease exit, and other costs associated with the closure of 123 U.S. company-operated stores, which accounted for $102.7 million of restructuring charges. The balance of the restructuring charges was attributable to severance charges related to the global workforce reduction of non-store partners announced on January 28, 2009, and the associated revaluation of corporate real estate facilities, as well as store impairment charges for International stores identified for closure. 
1.28.09
includes: 
$60M in pre-tax asset write offs
$30M in additional severance charges -- majority expected in F2Q
ALSO expect $140M in additional lease termination costs -- we assume $60M hits in the F2Q, $60M in F3Q and $20M in F4Q
-- ALSO includes $60M in previous store closure expenses
</t>
        </r>
        <r>
          <rPr>
            <sz val="8"/>
            <color indexed="81"/>
            <rFont val="Tahoma"/>
            <family val="2"/>
          </rPr>
          <t xml:space="preserve">
7.1.08 </t>
        </r>
        <r>
          <rPr>
            <b/>
            <sz val="8"/>
            <color indexed="81"/>
            <rFont val="Tahoma"/>
            <family val="2"/>
          </rPr>
          <t>assumes 5% of the hits take place in F1Q-- about $6M  (5% * ($130+8)</t>
        </r>
        <r>
          <rPr>
            <sz val="8"/>
            <color indexed="81"/>
            <rFont val="Tahoma"/>
            <family val="2"/>
          </rPr>
          <t xml:space="preserve">)
In addition, a projected $120 to $140 million for lease termination costs and future lease obligations are currently expected, nearly all of which will be recognized in the fourth quarter of fiscal 2008 and the first half of fiscal 2009. Costs associated with severance are currently estimated to be approximately $8 million, and the company anticipates these charges to be recorded during the same timeframe as the store closures. </t>
        </r>
      </text>
    </comment>
    <comment ref="BY52" authorId="1">
      <text>
        <r>
          <rPr>
            <b/>
            <sz val="8"/>
            <color indexed="81"/>
            <rFont val="Tahoma"/>
            <family val="2"/>
          </rPr>
          <t>Jon Tower:
7.21.09
expect $0.30 of restructuring charges in FY09</t>
        </r>
        <r>
          <rPr>
            <sz val="8"/>
            <color indexed="81"/>
            <rFont val="Tahoma"/>
            <family val="2"/>
          </rPr>
          <t xml:space="preserve">
11.10.08
$0.12 per share in lease exit costs associated with the fiscal 2008 U.S. and Australia store closure decisions.</t>
        </r>
      </text>
    </comment>
    <comment ref="BZ52" authorId="1">
      <text>
        <r>
          <rPr>
            <b/>
            <sz val="8"/>
            <color indexed="81"/>
            <rFont val="Tahoma"/>
            <family val="2"/>
          </rPr>
          <t>Jon Tower:
11.5.09
expect $0.02-$0.03 restructuring impact from INTL for FY10</t>
        </r>
        <r>
          <rPr>
            <sz val="8"/>
            <color indexed="81"/>
            <rFont val="Tahoma"/>
            <family val="2"/>
          </rPr>
          <t xml:space="preserve">
7.21.09
 $0.02 to $0.03 of expected restructuring charges in the first half of fiscal 2010 </t>
        </r>
      </text>
    </comment>
    <comment ref="CA52" authorId="1">
      <text>
        <r>
          <rPr>
            <b/>
            <sz val="8"/>
            <color indexed="81"/>
            <rFont val="Tahoma"/>
            <family val="2"/>
          </rPr>
          <t>Jon Tower:
11.5.09
expect $0.02-$0.03 restructuring impact from INTL for FY10</t>
        </r>
        <r>
          <rPr>
            <sz val="8"/>
            <color indexed="81"/>
            <rFont val="Tahoma"/>
            <family val="2"/>
          </rPr>
          <t xml:space="preserve">
7.21.09
 $0.02 to $0.03 of expected restructuring charges in the first half of fiscal 2010 </t>
        </r>
      </text>
    </comment>
    <comment ref="CD52" authorId="1">
      <text>
        <r>
          <rPr>
            <b/>
            <sz val="8"/>
            <color indexed="81"/>
            <rFont val="Tahoma"/>
            <family val="2"/>
          </rPr>
          <t>Jon Tower:
11.5.09
expect $0.02-$0.03 restructuring impact from INTL for FY10</t>
        </r>
        <r>
          <rPr>
            <sz val="8"/>
            <color indexed="81"/>
            <rFont val="Tahoma"/>
            <family val="2"/>
          </rPr>
          <t xml:space="preserve">
7.21.09
 $0.02 to $0.03 of expected restructuring charges in the first half of fiscal 2010 </t>
        </r>
      </text>
    </comment>
    <comment ref="CH52" authorId="1">
      <text>
        <r>
          <rPr>
            <b/>
            <sz val="8"/>
            <color indexed="81"/>
            <rFont val="Tahoma"/>
            <family val="2"/>
          </rPr>
          <t xml:space="preserve">Jon Tower:
</t>
        </r>
        <r>
          <rPr>
            <sz val="8"/>
            <color indexed="81"/>
            <rFont val="Tahoma"/>
            <family val="2"/>
          </rPr>
          <t>11.3.11
EPS increased 27% to $0.47 in Q4 FY11, including $0.10 attributable to non-routine gains, compared to $0.37 per share in Q4 FY10
INCLUDES
$0.02 gain on sale of property --- office property in Seattle
$0.07 gain from Switzerland and Austria transaction</t>
        </r>
      </text>
    </comment>
    <comment ref="CR52" authorId="10">
      <text>
        <r>
          <rPr>
            <b/>
            <sz val="8"/>
            <color indexed="81"/>
            <rFont val="Tahoma"/>
            <family val="2"/>
          </rPr>
          <t>John Glass:</t>
        </r>
        <r>
          <rPr>
            <sz val="8"/>
            <color indexed="81"/>
            <rFont val="Tahoma"/>
            <family val="2"/>
          </rPr>
          <t xml:space="preserve">
$2.75 b kraft litigation settlement</t>
        </r>
      </text>
    </comment>
    <comment ref="CW52" authorId="3">
      <text>
        <r>
          <rPr>
            <b/>
            <sz val="9"/>
            <color indexed="81"/>
            <rFont val="Tahoma"/>
            <family val="2"/>
          </rPr>
          <t xml:space="preserve">
10.30.14
5c gain from sale of malaysia equity investee ofset by loss on sale of asutralia retail ops and transaction costs in curred for Japan acquisition 
O'Brien, Courtney (Research):</t>
        </r>
        <r>
          <rPr>
            <sz val="9"/>
            <color indexed="81"/>
            <rFont val="Tahoma"/>
            <family val="2"/>
          </rPr>
          <t xml:space="preserve">
sale of australia and malaysia retail oeprations that "may close in 4q"</t>
        </r>
      </text>
    </comment>
    <comment ref="CY52" authorId="3">
      <text>
        <r>
          <rPr>
            <b/>
            <sz val="9"/>
            <color indexed="81"/>
            <rFont val="Tahoma"/>
            <family val="2"/>
          </rPr>
          <t>O'Brien, Courtney (Research):</t>
        </r>
        <r>
          <rPr>
            <sz val="9"/>
            <color indexed="81"/>
            <rFont val="Tahoma"/>
            <family val="2"/>
          </rPr>
          <t xml:space="preserve">
-43-49c japan acquisition gain from fair value adjustment, +2c amotization and transactiion and integration costs including amortization</t>
        </r>
      </text>
    </comment>
    <comment ref="DB52" authorId="3">
      <text>
        <r>
          <rPr>
            <b/>
            <sz val="9"/>
            <color indexed="81"/>
            <rFont val="Tahoma"/>
            <family val="2"/>
          </rPr>
          <t>O'Brien, Courtney (Research):</t>
        </r>
        <r>
          <rPr>
            <sz val="9"/>
            <color indexed="81"/>
            <rFont val="Tahoma"/>
            <family val="2"/>
          </rPr>
          <t xml:space="preserve">
7.22.15
1c = Japan acquisition, debt extinguishment; 3c debt extinguishment; -4c from tax benefit from domestic manufacturing deduction</t>
        </r>
      </text>
    </comment>
    <comment ref="DC52" authorId="3">
      <text>
        <r>
          <rPr>
            <b/>
            <sz val="9"/>
            <color indexed="81"/>
            <rFont val="Tahoma"/>
            <family val="2"/>
          </rPr>
          <t>O'Brien, Courtney (Research):</t>
        </r>
        <r>
          <rPr>
            <sz val="9"/>
            <color indexed="81"/>
            <rFont val="Tahoma"/>
            <family val="2"/>
          </rPr>
          <t xml:space="preserve">
1.21.16
-26c Japacn acquisition gain
+3c amortization + integration costs
+3c debt extinguishment (Represents the loss on extinguishment of debt ($61.1M), which is comprised of the cost of the optional redemption provision, unamortized debt issuance costs, and unamortized discount associated with the $550 million of 6.250% 2017 Senior Notes redeemed in Q4 FY15, as well as the related unamortized interest rate hedge loss ($2.0M), which was recorded in interest expense)
-4c tax benefit from domestic manufracturing deduction</t>
        </r>
      </text>
    </comment>
    <comment ref="DE52" authorId="3">
      <text>
        <r>
          <rPr>
            <b/>
            <sz val="9"/>
            <color indexed="81"/>
            <rFont val="Tahoma"/>
            <family val="2"/>
          </rPr>
          <t>O'Brien, Courtney (Research):</t>
        </r>
        <r>
          <rPr>
            <sz val="9"/>
            <color indexed="81"/>
            <rFont val="Tahoma"/>
            <family val="2"/>
          </rPr>
          <t xml:space="preserve">
1.21.16
 Includes ongoing amortization expense of acquired intangible assets and transaction and integration costs, such as incremental information technology ("IT") and compensation-related costs associated with the acquisition</t>
        </r>
      </text>
    </comment>
    <comment ref="DF52" authorId="4">
      <text>
        <r>
          <rPr>
            <b/>
            <sz val="9"/>
            <color indexed="81"/>
            <rFont val="Tahoma"/>
            <family val="2"/>
          </rPr>
          <t>Glass, John (Research):</t>
        </r>
        <r>
          <rPr>
            <sz val="9"/>
            <color indexed="81"/>
            <rFont val="Tahoma"/>
            <family val="2"/>
          </rPr>
          <t xml:space="preserve">
gain from sale of germany</t>
        </r>
      </text>
    </comment>
    <comment ref="DH52" authorId="4">
      <text>
        <r>
          <rPr>
            <b/>
            <sz val="9"/>
            <color indexed="81"/>
            <rFont val="Tahoma"/>
            <family val="2"/>
          </rPr>
          <t>Glass, John (Research):</t>
        </r>
        <r>
          <rPr>
            <sz val="9"/>
            <color indexed="81"/>
            <rFont val="Tahoma"/>
            <family val="2"/>
          </rPr>
          <t xml:space="preserve">
4c perssure from japan amortization, offet by 2 c gainfrom sale of gernamy, 1c income tax from this and 1c from other tax matters</t>
        </r>
      </text>
    </comment>
    <comment ref="DM52" authorId="4">
      <text>
        <r>
          <rPr>
            <b/>
            <sz val="9"/>
            <color indexed="81"/>
            <rFont val="Tahoma"/>
            <family val="2"/>
          </rPr>
          <t>Glass, John (Research):</t>
        </r>
        <r>
          <rPr>
            <sz val="9"/>
            <color indexed="81"/>
            <rFont val="Tahoma"/>
            <family val="2"/>
          </rPr>
          <t xml:space="preserve">
amrtoization of Japan good will</t>
        </r>
      </text>
    </comment>
    <comment ref="BA53" authorId="0">
      <text>
        <r>
          <rPr>
            <b/>
            <sz val="8"/>
            <color indexed="81"/>
            <rFont val="Tahoma"/>
            <family val="2"/>
          </rPr>
          <t xml:space="preserve">towerj:
</t>
        </r>
        <r>
          <rPr>
            <sz val="8"/>
            <color indexed="81"/>
            <rFont val="Tahoma"/>
            <family val="2"/>
          </rPr>
          <t>includes SBC expense</t>
        </r>
        <r>
          <rPr>
            <sz val="8"/>
            <color indexed="81"/>
            <rFont val="Tahoma"/>
            <family val="2"/>
          </rPr>
          <t xml:space="preserve">
</t>
        </r>
      </text>
    </comment>
    <comment ref="BB53" authorId="0">
      <text>
        <r>
          <rPr>
            <b/>
            <sz val="8"/>
            <color indexed="81"/>
            <rFont val="Tahoma"/>
            <family val="2"/>
          </rPr>
          <t xml:space="preserve">towerj:
</t>
        </r>
        <r>
          <rPr>
            <sz val="8"/>
            <color indexed="81"/>
            <rFont val="Tahoma"/>
            <family val="2"/>
          </rPr>
          <t>includes SBC expense</t>
        </r>
        <r>
          <rPr>
            <sz val="8"/>
            <color indexed="81"/>
            <rFont val="Tahoma"/>
            <family val="2"/>
          </rPr>
          <t xml:space="preserve">
</t>
        </r>
      </text>
    </comment>
    <comment ref="BC53" authorId="0">
      <text>
        <r>
          <rPr>
            <b/>
            <sz val="8"/>
            <color indexed="81"/>
            <rFont val="Tahoma"/>
            <family val="2"/>
          </rPr>
          <t xml:space="preserve">towerj:
</t>
        </r>
        <r>
          <rPr>
            <sz val="8"/>
            <color indexed="81"/>
            <rFont val="Tahoma"/>
            <family val="2"/>
          </rPr>
          <t>includes SBC expense</t>
        </r>
        <r>
          <rPr>
            <sz val="8"/>
            <color indexed="81"/>
            <rFont val="Tahoma"/>
            <family val="2"/>
          </rPr>
          <t xml:space="preserve">
</t>
        </r>
      </text>
    </comment>
    <comment ref="BD53" authorId="0">
      <text>
        <r>
          <rPr>
            <b/>
            <sz val="8"/>
            <color indexed="81"/>
            <rFont val="Tahoma"/>
            <family val="2"/>
          </rPr>
          <t xml:space="preserve">towerj:
</t>
        </r>
        <r>
          <rPr>
            <sz val="8"/>
            <color indexed="81"/>
            <rFont val="Tahoma"/>
            <family val="2"/>
          </rPr>
          <t>includes SBC expense</t>
        </r>
        <r>
          <rPr>
            <sz val="8"/>
            <color indexed="81"/>
            <rFont val="Tahoma"/>
            <family val="2"/>
          </rPr>
          <t xml:space="preserve">
</t>
        </r>
      </text>
    </comment>
    <comment ref="BE53" authorId="0">
      <text>
        <r>
          <rPr>
            <b/>
            <sz val="8"/>
            <color indexed="81"/>
            <rFont val="Tahoma"/>
            <family val="2"/>
          </rPr>
          <t xml:space="preserve">towerj:
</t>
        </r>
        <r>
          <rPr>
            <sz val="8"/>
            <color indexed="81"/>
            <rFont val="Tahoma"/>
            <family val="2"/>
          </rPr>
          <t>includes SBC expense</t>
        </r>
        <r>
          <rPr>
            <sz val="8"/>
            <color indexed="81"/>
            <rFont val="Tahoma"/>
            <family val="2"/>
          </rPr>
          <t xml:space="preserve">
</t>
        </r>
      </text>
    </comment>
    <comment ref="BF53" authorId="0">
      <text>
        <r>
          <rPr>
            <b/>
            <sz val="8"/>
            <color indexed="81"/>
            <rFont val="Tahoma"/>
            <family val="2"/>
          </rPr>
          <t xml:space="preserve">towerj:
</t>
        </r>
        <r>
          <rPr>
            <sz val="8"/>
            <color indexed="81"/>
            <rFont val="Tahoma"/>
            <family val="2"/>
          </rPr>
          <t>no specific guidance given</t>
        </r>
        <r>
          <rPr>
            <sz val="8"/>
            <color indexed="81"/>
            <rFont val="Tahoma"/>
            <family val="2"/>
          </rPr>
          <t xml:space="preserve">
</t>
        </r>
      </text>
    </comment>
    <comment ref="BG53" authorId="0">
      <text>
        <r>
          <rPr>
            <b/>
            <sz val="8"/>
            <color indexed="81"/>
            <rFont val="Tahoma"/>
            <family val="2"/>
          </rPr>
          <t xml:space="preserve">towerj:
</t>
        </r>
        <r>
          <rPr>
            <sz val="8"/>
            <color indexed="81"/>
            <rFont val="Tahoma"/>
            <family val="2"/>
          </rPr>
          <t>2.1.06 $0.14
2.1.06 annual leadership conference to take place in F3Q06 (was 2Q05) - shift will impact EPS</t>
        </r>
        <r>
          <rPr>
            <sz val="8"/>
            <color indexed="81"/>
            <rFont val="Tahoma"/>
            <family val="2"/>
          </rPr>
          <t xml:space="preserve">
</t>
        </r>
      </text>
    </comment>
    <comment ref="BH53" authorId="0">
      <text>
        <r>
          <rPr>
            <b/>
            <sz val="8"/>
            <color indexed="81"/>
            <rFont val="Tahoma"/>
            <family val="2"/>
          </rPr>
          <t xml:space="preserve">towerj:
</t>
        </r>
        <r>
          <rPr>
            <sz val="8"/>
            <color indexed="81"/>
            <rFont val="Tahoma"/>
            <family val="2"/>
          </rPr>
          <t>2.1.06 $0.16-$0.17
2.1.06 annual leadership conference to take place in F3Q06 (was 2Q05) - shift will impact EPS growth rate…
5.3.06 $0.17 
8.2.06 includes $0.01 of tax benefit</t>
        </r>
        <r>
          <rPr>
            <sz val="8"/>
            <color indexed="81"/>
            <rFont val="Tahoma"/>
            <family val="2"/>
          </rPr>
          <t xml:space="preserve">
</t>
        </r>
      </text>
    </comment>
    <comment ref="BI53" authorId="0">
      <text>
        <r>
          <rPr>
            <b/>
            <sz val="8"/>
            <color indexed="81"/>
            <rFont val="Tahoma"/>
            <family val="2"/>
          </rPr>
          <t xml:space="preserve">towerj:
</t>
        </r>
        <r>
          <rPr>
            <sz val="8"/>
            <color indexed="81"/>
            <rFont val="Tahoma"/>
            <family val="2"/>
          </rPr>
          <t>2.1.06 $0.16-$0.17
5.3.06 reit $0.16 to $0.17
8.2.06 reit $0.16 to $0.17
10.5.06 there will be $0.02 per share charge relating to FIN 47 in F4Q</t>
        </r>
        <r>
          <rPr>
            <sz val="8"/>
            <color indexed="81"/>
            <rFont val="Tahoma"/>
            <family val="2"/>
          </rPr>
          <t xml:space="preserve">
</t>
        </r>
      </text>
    </comment>
    <comment ref="BJ53" authorId="0">
      <text>
        <r>
          <rPr>
            <b/>
            <sz val="8"/>
            <color indexed="81"/>
            <rFont val="Tahoma"/>
            <family val="2"/>
          </rPr>
          <t xml:space="preserve">towerj:
</t>
        </r>
        <r>
          <rPr>
            <sz val="8"/>
            <color indexed="81"/>
            <rFont val="Tahoma"/>
            <family val="2"/>
          </rPr>
          <t>11.9.05 $0.63 to $0.65
11.17.05 reit $0.63 to $0.65
2.1.06 $0.68 to $0.70
5.3.06 $0.71 to $0.72
8.2.06 $0.71 to $0.72, excluding $0.01 benefit in F3Q 
does not include FIN 47 impact that will hit in F4Q, likely $0.05 -- which is non-operating, below the line
10.5.06 reiterate  $0.71 to $0.72, which excludes $0.02 per share charge in F4Q related to FIN 47</t>
        </r>
        <r>
          <rPr>
            <sz val="8"/>
            <color indexed="81"/>
            <rFont val="Tahoma"/>
            <family val="2"/>
          </rPr>
          <t xml:space="preserve">
</t>
        </r>
      </text>
    </comment>
    <comment ref="BY53" authorId="1">
      <text>
        <r>
          <rPr>
            <b/>
            <sz val="8"/>
            <color indexed="81"/>
            <rFont val="Tahoma"/>
            <family val="2"/>
          </rPr>
          <t xml:space="preserve">Jon Tower:
7.21.09
GAAP EPS of $0.44-$0.45
11.10.08
GAAP EPS
if SSS -2%, EPS = $0.78
if SSS -5%, EPS = $0.68
if SSS -7%, EPS = $0.59 
(includes $0.12 of restructuring charges)
</t>
        </r>
        <r>
          <rPr>
            <sz val="8"/>
            <color indexed="81"/>
            <rFont val="Tahoma"/>
            <family val="2"/>
          </rPr>
          <t xml:space="preserve">
7.30.08
Fiscal 2009 EPS, on a GAAP basis, will be impacted by the lease termination and severance costs from the fiscal 2008 U.S. and Australia store closures that are expected to be spread across the fourth quarter of fiscal 2008 and the first half of fiscal 2009, the timing of which is dependent on lease termination negotiations with third parties. </t>
        </r>
      </text>
    </comment>
    <comment ref="CR53" authorId="8">
      <text>
        <r>
          <rPr>
            <b/>
            <sz val="8"/>
            <color indexed="81"/>
            <rFont val="Tahoma"/>
            <family val="2"/>
          </rPr>
          <t>Jake Bartlett:</t>
        </r>
        <r>
          <rPr>
            <sz val="8"/>
            <color indexed="81"/>
            <rFont val="Tahoma"/>
            <family val="2"/>
          </rPr>
          <t xml:space="preserve">
7.25.13
59-60c, including 3c gain from sale of Chile and Argentina businessed. </t>
        </r>
      </text>
    </comment>
    <comment ref="CS53" authorId="10">
      <text>
        <r>
          <rPr>
            <b/>
            <sz val="8"/>
            <color indexed="81"/>
            <rFont val="Tahoma"/>
            <family val="2"/>
          </rPr>
          <t xml:space="preserve">John Glass:
</t>
        </r>
        <r>
          <rPr>
            <sz val="8"/>
            <color indexed="81"/>
            <rFont val="Tahoma"/>
            <family val="2"/>
          </rPr>
          <t>7.25: 2.22 - 2.23 including the 3c gain</t>
        </r>
        <r>
          <rPr>
            <b/>
            <sz val="8"/>
            <color indexed="81"/>
            <rFont val="Tahoma"/>
            <family val="2"/>
          </rPr>
          <t xml:space="preserve">
</t>
        </r>
        <r>
          <rPr>
            <sz val="8"/>
            <color indexed="81"/>
            <rFont val="Tahoma"/>
            <family val="2"/>
          </rPr>
          <t xml:space="preserve">
4.13: 2.12 - 2.18 incding the 3c gain</t>
        </r>
      </text>
    </comment>
    <comment ref="CT53" authorId="10">
      <text>
        <r>
          <rPr>
            <b/>
            <sz val="8"/>
            <color indexed="81"/>
            <rFont val="Tahoma"/>
            <family val="2"/>
          </rPr>
          <t>John Glass:</t>
        </r>
        <r>
          <rPr>
            <sz val="8"/>
            <color indexed="81"/>
            <rFont val="Tahoma"/>
            <family val="2"/>
          </rPr>
          <t xml:space="preserve">
10.13: 67 - 69c</t>
        </r>
      </text>
    </comment>
    <comment ref="CU53" authorId="10">
      <text>
        <r>
          <rPr>
            <b/>
            <sz val="8"/>
            <color indexed="81"/>
            <rFont val="Tahoma"/>
            <family val="2"/>
          </rPr>
          <t xml:space="preserve">1.23.14
</t>
        </r>
        <r>
          <rPr>
            <sz val="8"/>
            <color indexed="81"/>
            <rFont val="Tahoma"/>
            <family val="2"/>
          </rPr>
          <t>2Q14: 54-55c</t>
        </r>
        <r>
          <rPr>
            <b/>
            <sz val="8"/>
            <color indexed="81"/>
            <rFont val="Tahoma"/>
            <family val="2"/>
          </rPr>
          <t xml:space="preserve">
10.30.13:</t>
        </r>
        <r>
          <rPr>
            <sz val="8"/>
            <color indexed="81"/>
            <rFont val="Tahoma"/>
            <family val="2"/>
          </rPr>
          <t xml:space="preserve">
2Q14: 54-55c</t>
        </r>
      </text>
    </comment>
    <comment ref="CV53" authorId="8">
      <text>
        <r>
          <rPr>
            <b/>
            <sz val="8"/>
            <color indexed="81"/>
            <rFont val="Tahoma"/>
            <family val="2"/>
          </rPr>
          <t xml:space="preserve">4.24.14:
</t>
        </r>
        <r>
          <rPr>
            <sz val="8"/>
            <color indexed="81"/>
            <rFont val="Tahoma"/>
            <family val="2"/>
          </rPr>
          <t>Reiterate: 64-66c</t>
        </r>
        <r>
          <rPr>
            <b/>
            <sz val="8"/>
            <color indexed="81"/>
            <rFont val="Tahoma"/>
            <family val="2"/>
          </rPr>
          <t xml:space="preserve">
1.23.14:
</t>
        </r>
        <r>
          <rPr>
            <sz val="8"/>
            <color indexed="81"/>
            <rFont val="Tahoma"/>
            <family val="2"/>
          </rPr>
          <t>3Q14: 64-66c</t>
        </r>
        <r>
          <rPr>
            <sz val="8"/>
            <color indexed="81"/>
            <rFont val="Tahoma"/>
            <family val="2"/>
          </rPr>
          <t xml:space="preserve">
</t>
        </r>
      </text>
    </comment>
    <comment ref="CW53" authorId="8">
      <text>
        <r>
          <rPr>
            <b/>
            <sz val="8"/>
            <color indexed="81"/>
            <rFont val="Tahoma"/>
            <family val="2"/>
          </rPr>
          <t xml:space="preserve">7.24.14:
 </t>
        </r>
        <r>
          <rPr>
            <sz val="8"/>
            <color indexed="81"/>
            <rFont val="Tahoma"/>
            <family val="2"/>
          </rPr>
          <t>76-78c; 73-75c ex charges related to malaysia/australia sale of retail ops,</t>
        </r>
        <r>
          <rPr>
            <b/>
            <sz val="8"/>
            <color indexed="81"/>
            <rFont val="Tahoma"/>
            <family val="2"/>
          </rPr>
          <t xml:space="preserve">
4.24.14:
</t>
        </r>
        <r>
          <rPr>
            <sz val="8"/>
            <color indexed="81"/>
            <rFont val="Tahoma"/>
            <family val="2"/>
          </rPr>
          <t xml:space="preserve">71-75c </t>
        </r>
        <r>
          <rPr>
            <b/>
            <sz val="8"/>
            <color indexed="81"/>
            <rFont val="Tahoma"/>
            <family val="2"/>
          </rPr>
          <t xml:space="preserve">
1.23.14:
4Q14: </t>
        </r>
        <r>
          <rPr>
            <sz val="8"/>
            <color indexed="81"/>
            <rFont val="Tahoma"/>
            <family val="2"/>
          </rPr>
          <t>70-75c</t>
        </r>
        <r>
          <rPr>
            <sz val="8"/>
            <color indexed="81"/>
            <rFont val="Tahoma"/>
            <family val="2"/>
          </rPr>
          <t xml:space="preserve">
</t>
        </r>
      </text>
    </comment>
    <comment ref="CX53" authorId="8">
      <text>
        <r>
          <rPr>
            <b/>
            <sz val="8"/>
            <color indexed="81"/>
            <rFont val="Tahoma"/>
            <family val="2"/>
          </rPr>
          <t>7.24.14:</t>
        </r>
        <r>
          <rPr>
            <sz val="8"/>
            <color indexed="81"/>
            <rFont val="Tahoma"/>
            <family val="2"/>
          </rPr>
          <t xml:space="preserve">
$2.70-2.72 ex charges
</t>
        </r>
        <r>
          <rPr>
            <b/>
            <sz val="8"/>
            <color indexed="81"/>
            <rFont val="Tahoma"/>
            <family val="2"/>
          </rPr>
          <t xml:space="preserve">
4.24.14:</t>
        </r>
        <r>
          <rPr>
            <sz val="8"/>
            <color indexed="81"/>
            <rFont val="Tahoma"/>
            <family val="2"/>
          </rPr>
          <t xml:space="preserve">
$2.62-2.68</t>
        </r>
        <r>
          <rPr>
            <b/>
            <sz val="8"/>
            <color indexed="81"/>
            <rFont val="Tahoma"/>
            <family val="2"/>
          </rPr>
          <t xml:space="preserve">
1.23.14:</t>
        </r>
        <r>
          <rPr>
            <sz val="8"/>
            <color indexed="81"/>
            <rFont val="Tahoma"/>
            <family val="2"/>
          </rPr>
          <t xml:space="preserve">
$2.59-2.67
</t>
        </r>
        <r>
          <rPr>
            <b/>
            <sz val="8"/>
            <color indexed="81"/>
            <rFont val="Tahoma"/>
            <family val="2"/>
          </rPr>
          <t xml:space="preserve">10.30.13:
</t>
        </r>
        <r>
          <rPr>
            <sz val="8"/>
            <color indexed="81"/>
            <rFont val="Tahoma"/>
            <family val="2"/>
          </rPr>
          <t>$2.55-2.65</t>
        </r>
        <r>
          <rPr>
            <sz val="8"/>
            <color indexed="81"/>
            <rFont val="Tahoma"/>
            <family val="2"/>
          </rPr>
          <t xml:space="preserve">
</t>
        </r>
      </text>
    </comment>
    <comment ref="CY53" authorId="3">
      <text>
        <r>
          <rPr>
            <b/>
            <sz val="9"/>
            <color indexed="81"/>
            <rFont val="Tahoma"/>
            <family val="2"/>
          </rPr>
          <t>O'Brien, Courtney (Research):</t>
        </r>
        <r>
          <rPr>
            <sz val="9"/>
            <color indexed="81"/>
            <rFont val="Tahoma"/>
            <family val="2"/>
          </rPr>
          <t xml:space="preserve">
10.30.14
$1.20-$1.28 incl gain from JV acq</t>
        </r>
      </text>
    </comment>
    <comment ref="CZ53" authorId="3">
      <text>
        <r>
          <rPr>
            <b/>
            <sz val="9"/>
            <color indexed="81"/>
            <rFont val="Tahoma"/>
            <family val="2"/>
          </rPr>
          <t>O'Brien, Courtney (Research):</t>
        </r>
        <r>
          <rPr>
            <sz val="9"/>
            <color indexed="81"/>
            <rFont val="Tahoma"/>
            <family val="2"/>
          </rPr>
          <t xml:space="preserve">
1.22.14
63-64c gaap
</t>
        </r>
      </text>
    </comment>
    <comment ref="DA53" authorId="4">
      <text>
        <r>
          <rPr>
            <b/>
            <sz val="9"/>
            <color indexed="81"/>
            <rFont val="Tahoma"/>
            <family val="2"/>
          </rPr>
          <t>Glass, John (Research):</t>
        </r>
        <r>
          <rPr>
            <sz val="9"/>
            <color indexed="81"/>
            <rFont val="Tahoma"/>
            <family val="2"/>
          </rPr>
          <t xml:space="preserve">
4.15: gaap 39-40c</t>
        </r>
      </text>
    </comment>
    <comment ref="DB53" authorId="4">
      <text>
        <r>
          <rPr>
            <b/>
            <sz val="9"/>
            <color indexed="81"/>
            <rFont val="Tahoma"/>
            <family val="2"/>
          </rPr>
          <t xml:space="preserve">7.22.15
38-39c
</t>
        </r>
        <r>
          <rPr>
            <sz val="9"/>
            <color indexed="81"/>
            <rFont val="Tahoma"/>
            <family val="2"/>
          </rPr>
          <t xml:space="preserve">
4.15: gaap of 40-41c</t>
        </r>
      </text>
    </comment>
    <comment ref="DC53" authorId="3">
      <text>
        <r>
          <rPr>
            <b/>
            <sz val="9"/>
            <color indexed="81"/>
            <rFont val="Tahoma"/>
            <family val="2"/>
          </rPr>
          <t>7.22.15
$1.77-$1.78
4.9.15</t>
        </r>
        <r>
          <rPr>
            <sz val="9"/>
            <color indexed="81"/>
            <rFont val="Tahoma"/>
            <family val="2"/>
          </rPr>
          <t xml:space="preserve">
gaap $1.77-$1.79
3.18.15
post split guidance = $1.77-1.79
neither updating nor reaffirming targets at this time; 3c = japac aquisition amortization; -26c = fair value gain
</t>
        </r>
        <r>
          <rPr>
            <b/>
            <sz val="9"/>
            <color indexed="81"/>
            <rFont val="Tahoma"/>
            <family val="2"/>
          </rPr>
          <t xml:space="preserve">
1.22.14 $3.53-$3.58 (lower end raised 1c)
</t>
        </r>
        <r>
          <rPr>
            <sz val="9"/>
            <color indexed="81"/>
            <rFont val="Tahoma"/>
            <family val="2"/>
          </rPr>
          <t>10.30.14
$3.42-$3.54 non GAAP, includes 43-49c acquisition gains, 8-9c amortization from japanese JV</t>
        </r>
      </text>
    </comment>
    <comment ref="DD53" authorId="3">
      <text>
        <r>
          <rPr>
            <b/>
            <sz val="9"/>
            <color indexed="81"/>
            <rFont val="Tahoma"/>
            <family val="2"/>
          </rPr>
          <t>O'Brien, Courtney (Research):</t>
        </r>
        <r>
          <rPr>
            <sz val="9"/>
            <color indexed="81"/>
            <rFont val="Tahoma"/>
            <family val="2"/>
          </rPr>
          <t xml:space="preserve">
10.29.15
43-44c; FX = 45 impact</t>
        </r>
      </text>
    </comment>
    <comment ref="DE53" authorId="3">
      <text>
        <r>
          <rPr>
            <b/>
            <sz val="9"/>
            <color indexed="81"/>
            <rFont val="Tahoma"/>
            <family val="2"/>
          </rPr>
          <t xml:space="preserve">1.21.16
$0.37-0.38
</t>
        </r>
      </text>
    </comment>
    <comment ref="DF53" authorId="9">
      <text>
        <r>
          <rPr>
            <b/>
            <sz val="9"/>
            <color indexed="81"/>
            <rFont val="Tahoma"/>
            <family val="2"/>
          </rPr>
          <t>Carril, Christopher E (Research):</t>
        </r>
        <r>
          <rPr>
            <sz val="9"/>
            <color indexed="81"/>
            <rFont val="Tahoma"/>
            <family val="2"/>
          </rPr>
          <t xml:space="preserve">
4.21.2016
GAAP EPS in the range of $0.47 to $0.48 
Non-GAAP EPS in the range of $0.48 to $0.49
</t>
        </r>
      </text>
    </comment>
    <comment ref="DG53" authorId="9">
      <text>
        <r>
          <rPr>
            <b/>
            <sz val="9"/>
            <color indexed="81"/>
            <rFont val="Tahoma"/>
            <family val="2"/>
          </rPr>
          <t>Carril, Christopher E (Research):</t>
        </r>
        <r>
          <rPr>
            <sz val="9"/>
            <color indexed="81"/>
            <rFont val="Tahoma"/>
            <family val="2"/>
          </rPr>
          <t xml:space="preserve">
</t>
        </r>
        <r>
          <rPr>
            <b/>
            <sz val="9"/>
            <color indexed="81"/>
            <rFont val="Tahoma"/>
            <family val="2"/>
          </rPr>
          <t>7.21.2016</t>
        </r>
        <r>
          <rPr>
            <sz val="9"/>
            <color indexed="81"/>
            <rFont val="Tahoma"/>
            <family val="2"/>
          </rPr>
          <t xml:space="preserve">
53-54c, incl 6c from 53rd week</t>
        </r>
      </text>
    </comment>
    <comment ref="DH53" authorId="3">
      <text>
        <r>
          <rPr>
            <b/>
            <sz val="9"/>
            <color indexed="81"/>
            <rFont val="Tahoma"/>
            <family val="2"/>
          </rPr>
          <t>7.21.2016</t>
        </r>
        <r>
          <rPr>
            <sz val="9"/>
            <color indexed="81"/>
            <rFont val="Tahoma"/>
            <family val="2"/>
          </rPr>
          <t xml:space="preserve">
GAAP EPS of $1.88-1.89 (up from a range of $1.85 to $1.86 due to the gain on the sale of our Germany retail operations in Q3 FY16), incl 6c from 53rd week</t>
        </r>
        <r>
          <rPr>
            <b/>
            <sz val="9"/>
            <color indexed="81"/>
            <rFont val="Tahoma"/>
            <family val="2"/>
          </rPr>
          <t xml:space="preserve">
4.21.2016
</t>
        </r>
        <r>
          <rPr>
            <sz val="9"/>
            <color indexed="81"/>
            <rFont val="Tahoma"/>
            <family val="2"/>
          </rPr>
          <t xml:space="preserve">Full year FY16 earnings per share, including the 53rd week in Q4 FY16: ◦ GAAP EPS now expected to be in the range of $1.85 to $1.86 (from a range of $1.84 to $1.86) 
◦ Non-GAAP EPS now expected to be in the range of $1.88 to $1.89 (from a range of $1.87 to $1.89) </t>
        </r>
        <r>
          <rPr>
            <b/>
            <sz val="9"/>
            <color indexed="81"/>
            <rFont val="Tahoma"/>
            <family val="2"/>
          </rPr>
          <t xml:space="preserve">
1.21.16
reit 1.84-1.86
</t>
        </r>
        <r>
          <rPr>
            <sz val="9"/>
            <color indexed="81"/>
            <rFont val="Tahoma"/>
            <family val="2"/>
          </rPr>
          <t xml:space="preserve">
</t>
        </r>
        <r>
          <rPr>
            <b/>
            <sz val="9"/>
            <color indexed="81"/>
            <rFont val="Tahoma"/>
            <family val="2"/>
          </rPr>
          <t>10.29.15</t>
        </r>
        <r>
          <rPr>
            <sz val="9"/>
            <color indexed="81"/>
            <rFont val="Tahoma"/>
            <family val="2"/>
          </rPr>
          <t xml:space="preserve">
$1.84-1.86</t>
        </r>
      </text>
    </comment>
    <comment ref="DI53" authorId="9">
      <text>
        <r>
          <rPr>
            <b/>
            <sz val="9"/>
            <color indexed="81"/>
            <rFont val="Tahoma"/>
            <family val="2"/>
          </rPr>
          <t>Carril, Christopher E (Research):</t>
        </r>
        <r>
          <rPr>
            <sz val="9"/>
            <color indexed="81"/>
            <rFont val="Tahoma"/>
            <family val="2"/>
          </rPr>
          <t xml:space="preserve">
</t>
        </r>
        <r>
          <rPr>
            <b/>
            <sz val="9"/>
            <color indexed="81"/>
            <rFont val="Tahoma"/>
            <family val="2"/>
          </rPr>
          <t xml:space="preserve">11.3.2016
</t>
        </r>
        <r>
          <rPr>
            <sz val="9"/>
            <color indexed="81"/>
            <rFont val="Tahoma"/>
            <family val="2"/>
          </rPr>
          <t>50-51c</t>
        </r>
      </text>
    </comment>
    <comment ref="DJ53" authorId="9">
      <text>
        <r>
          <rPr>
            <b/>
            <sz val="9"/>
            <color indexed="81"/>
            <rFont val="Tahoma"/>
            <family val="2"/>
          </rPr>
          <t>Carril, Christopher E (Research):</t>
        </r>
        <r>
          <rPr>
            <sz val="9"/>
            <color indexed="81"/>
            <rFont val="Tahoma"/>
            <family val="2"/>
          </rPr>
          <t xml:space="preserve">
1.26.2017
43-44c</t>
        </r>
      </text>
    </comment>
    <comment ref="DK53" authorId="9">
      <text>
        <r>
          <rPr>
            <b/>
            <sz val="9"/>
            <color indexed="81"/>
            <rFont val="Tahoma"/>
            <family val="2"/>
          </rPr>
          <t>Carril, Christopher E (Research):</t>
        </r>
        <r>
          <rPr>
            <sz val="9"/>
            <color indexed="81"/>
            <rFont val="Tahoma"/>
            <family val="2"/>
          </rPr>
          <t xml:space="preserve">
4.27.2017
54-55c</t>
        </r>
      </text>
    </comment>
    <comment ref="DL53" authorId="9">
      <text>
        <r>
          <rPr>
            <b/>
            <sz val="9"/>
            <color indexed="81"/>
            <rFont val="Tahoma"/>
            <family val="2"/>
          </rPr>
          <t>Carril, Christopher E (Research):</t>
        </r>
        <r>
          <rPr>
            <sz val="9"/>
            <color indexed="81"/>
            <rFont val="Tahoma"/>
            <family val="2"/>
          </rPr>
          <t xml:space="preserve">
</t>
        </r>
        <r>
          <rPr>
            <b/>
            <sz val="9"/>
            <color indexed="81"/>
            <rFont val="Tahoma"/>
            <family val="2"/>
          </rPr>
          <t xml:space="preserve">7.27.2017
</t>
        </r>
        <r>
          <rPr>
            <sz val="9"/>
            <color indexed="81"/>
            <rFont val="Tahoma"/>
            <family val="2"/>
          </rPr>
          <t xml:space="preserve">$0.53 to $0.54
</t>
        </r>
        <r>
          <rPr>
            <b/>
            <sz val="9"/>
            <color indexed="81"/>
            <rFont val="Tahoma"/>
            <family val="2"/>
          </rPr>
          <t>4.27.2017</t>
        </r>
        <r>
          <rPr>
            <sz val="9"/>
            <color indexed="81"/>
            <rFont val="Tahoma"/>
            <family val="2"/>
          </rPr>
          <t xml:space="preserve">
Implied 56-59c</t>
        </r>
      </text>
    </comment>
    <comment ref="DM53" authorId="9">
      <text>
        <r>
          <rPr>
            <b/>
            <sz val="9"/>
            <color indexed="81"/>
            <rFont val="Tahoma"/>
            <family val="2"/>
          </rPr>
          <t xml:space="preserve">Carril, Christopher E (Research):
7.27.2017
</t>
        </r>
        <r>
          <rPr>
            <sz val="9"/>
            <color indexed="81"/>
            <rFont val="Tahoma"/>
            <family val="2"/>
          </rPr>
          <t>$1.96 to $1.97</t>
        </r>
        <r>
          <rPr>
            <b/>
            <sz val="9"/>
            <color indexed="81"/>
            <rFont val="Tahoma"/>
            <family val="2"/>
          </rPr>
          <t xml:space="preserve">
4.27.2017</t>
        </r>
        <r>
          <rPr>
            <sz val="9"/>
            <color indexed="81"/>
            <rFont val="Tahoma"/>
            <family val="2"/>
          </rPr>
          <t xml:space="preserve">
$2.06-2.10
</t>
        </r>
        <r>
          <rPr>
            <b/>
            <sz val="9"/>
            <color indexed="81"/>
            <rFont val="Tahoma"/>
            <family val="2"/>
          </rPr>
          <t xml:space="preserve">1.26.2017
</t>
        </r>
        <r>
          <rPr>
            <sz val="9"/>
            <color indexed="81"/>
            <rFont val="Tahoma"/>
            <family val="2"/>
          </rPr>
          <t xml:space="preserve">Reit $2.09-2.11
</t>
        </r>
        <r>
          <rPr>
            <b/>
            <sz val="9"/>
            <color indexed="81"/>
            <rFont val="Tahoma"/>
            <family val="2"/>
          </rPr>
          <t>11.3.2016</t>
        </r>
        <r>
          <rPr>
            <sz val="9"/>
            <color indexed="81"/>
            <rFont val="Tahoma"/>
            <family val="2"/>
          </rPr>
          <t xml:space="preserve">
$2.09-2.11</t>
        </r>
      </text>
    </comment>
    <comment ref="DR53" authorId="9">
      <text>
        <r>
          <rPr>
            <b/>
            <sz val="9"/>
            <color indexed="81"/>
            <rFont val="Tahoma"/>
            <family val="2"/>
          </rPr>
          <t>Carril, Christopher E (Research):</t>
        </r>
        <r>
          <rPr>
            <sz val="9"/>
            <color indexed="81"/>
            <rFont val="Tahoma"/>
            <family val="2"/>
          </rPr>
          <t xml:space="preserve">
1.25.2018
$3.32-3.36
11.2.2017
Our GAAP EPS growth rate in fiscal 2018 is likely to be above 40% given the large gains likely contributing over $0. 50 of incremental EPS we expect from the East China and TAZO transaction.
As it relates to GAAP EPS, the impact of these actions will be very positive given the large expected gains on East China and on TAZO.</t>
        </r>
      </text>
    </comment>
    <comment ref="CZ54" authorId="3">
      <text>
        <r>
          <rPr>
            <b/>
            <sz val="9"/>
            <color indexed="81"/>
            <rFont val="Tahoma"/>
            <family val="2"/>
          </rPr>
          <t>O'Brien, Courtney (Research):</t>
        </r>
        <r>
          <rPr>
            <sz val="9"/>
            <color indexed="81"/>
            <rFont val="Tahoma"/>
            <family val="2"/>
          </rPr>
          <t xml:space="preserve">
3.18.15
2 for one stock split announced, to start trading april 9th</t>
        </r>
      </text>
    </comment>
    <comment ref="CI56" authorId="1">
      <text>
        <r>
          <rPr>
            <b/>
            <sz val="8"/>
            <color indexed="81"/>
            <rFont val="Tahoma"/>
            <family val="2"/>
          </rPr>
          <t xml:space="preserve">Jon Tower:
1.26.11
</t>
        </r>
        <r>
          <rPr>
            <sz val="8"/>
            <color indexed="81"/>
            <rFont val="Tahoma"/>
            <family val="2"/>
          </rPr>
          <t>Yeah, with respect to coffee costs, Sharon, at the time we had laid out our
previous expectations of that $0.08 to $0.10 impact. As you will remember, we didn’t have very much of the 2011 coffee needs locked at that point in time. So it was very much based on what we did have committed and then projections based on our own experts and experts in the industry of what was going to happen over the balance of this year. As the coffee prices began to escalate as we moved through December, we took the decision to remove that risk from this year – we think the responsible decision – and locked our pricing and commit to that throughout 2011.
The result of that is that the movement in the C price between, say, November or December and now is not reflective of that increase in what we expect our underlying coffee costs to be over that
span of time. So hopefully that helps reconcile that difference for you</t>
        </r>
        <r>
          <rPr>
            <b/>
            <sz val="8"/>
            <color indexed="81"/>
            <rFont val="Tahoma"/>
            <family val="2"/>
          </rPr>
          <t xml:space="preserve">
1.26.11
</t>
        </r>
        <r>
          <rPr>
            <sz val="8"/>
            <color indexed="81"/>
            <rFont val="Tahoma"/>
            <family val="2"/>
          </rPr>
          <t>Commodity costs, which are now expected to have an unfavorable 
             impact on EPS of approximately $0.20 for the full fiscal year 
             attributable primarily to higher coffee costs, are reflected in 
             the revised EPS target. 
Absorbed $0.03 in the F1Q11
LOCKED IN COFFEE PRICES FOR FY11
Biggest coffee cost increase impact in F2H11
11.4.10
---
Commodity costs are now expected to have an unfavorable impact on EPS of approximately $0.08 to $0.10, attributable primarily to higher coffee costs. The company's EPS expectation noted above reflects the impact of higher commodity costs</t>
        </r>
        <r>
          <rPr>
            <b/>
            <sz val="8"/>
            <color indexed="81"/>
            <rFont val="Tahoma"/>
            <family val="2"/>
          </rPr>
          <t xml:space="preserve">
</t>
        </r>
        <r>
          <rPr>
            <sz val="8"/>
            <color indexed="81"/>
            <rFont val="Tahoma"/>
            <family val="2"/>
          </rPr>
          <t xml:space="preserve">
7.21.10
Commodity costs are expected to have an unfavorable impact on EPS of approximately $0.04, attributable primarily to higher coffee costs. 
---
Next we expect to absorb approximately $0.04 in additional commodity costs for FY2011
primarily related to higher coffee prices
o Recent supply issues in the Latin American growing region have caused C market
prices for Arabica coffees to increase</t>
        </r>
      </text>
    </comment>
    <comment ref="A58" authorId="0">
      <text>
        <r>
          <rPr>
            <b/>
            <sz val="8"/>
            <color indexed="81"/>
            <rFont val="Tahoma"/>
            <family val="2"/>
          </rPr>
          <t xml:space="preserve">12.10
Coffee 15-20%
food 15-20%
dairy 5-10%
occupancy 24-27%
freight/dist 10-12%
Other 24-27%
12.9.08
</t>
        </r>
        <r>
          <rPr>
            <sz val="8"/>
            <color indexed="81"/>
            <rFont val="Tahoma"/>
            <family val="2"/>
          </rPr>
          <t>Coffee represents 12 - 15% ()
Dairy 5 - 10%
Occupancy 23 - 26%
Food 15 - 20%
Freight &amp; Distribution 10 - 12%
Other - the remainder - which includes packaging, supplies, etc.  (Paper cups will fall in this category)
6.21.07
Green Coffee 10%-15%
Dairy 5%-10%
Occupancy 22%-24%
Other (packaging, supplies, etc.) ~28%
Food 15-20%
Freight &amp; Distribution 10-12%
Green coffee is 10-20% of this, 12% in 1Q, 15-18% in others; dairy &lt;5%.</t>
        </r>
        <r>
          <rPr>
            <sz val="8"/>
            <color indexed="81"/>
            <rFont val="Tahoma"/>
            <family val="2"/>
          </rPr>
          <t xml:space="preserve">
</t>
        </r>
      </text>
    </comment>
    <comment ref="AV58" authorId="0">
      <text>
        <r>
          <rPr>
            <sz val="8"/>
            <color indexed="81"/>
            <rFont val="Tahoma"/>
            <family val="2"/>
          </rPr>
          <t>improved due to improved international supply chain operations and fixed occupancy cost leverage, partially offset toward a mix shift toward lower margin products and higher green coffee and dairy costs</t>
        </r>
        <r>
          <rPr>
            <sz val="8"/>
            <color indexed="81"/>
            <rFont val="Tahoma"/>
            <family val="2"/>
          </rPr>
          <t xml:space="preserve">
</t>
        </r>
      </text>
    </comment>
    <comment ref="AX58" authorId="0">
      <text>
        <r>
          <rPr>
            <sz val="8"/>
            <color indexed="81"/>
            <rFont val="Tahoma"/>
            <family val="2"/>
          </rPr>
          <t>7/21/04 Higher dairy and green coffee costs offset by supply chain operations efficiency.</t>
        </r>
        <r>
          <rPr>
            <sz val="8"/>
            <color indexed="81"/>
            <rFont val="Tahoma"/>
            <family val="2"/>
          </rPr>
          <t xml:space="preserve">
</t>
        </r>
      </text>
    </comment>
    <comment ref="AY58" authorId="0">
      <text>
        <r>
          <rPr>
            <sz val="8"/>
            <color indexed="81"/>
            <rFont val="Tahoma"/>
            <family val="2"/>
          </rPr>
          <t>11/10/04 inc. primarily due to higher dairy and green coffee commodity costs; gained leverage from occupancy costs, largely fixed expenses, due to extra sales week in fiscal Sept. 04</t>
        </r>
        <r>
          <rPr>
            <sz val="8"/>
            <color indexed="81"/>
            <rFont val="Tahoma"/>
            <family val="2"/>
          </rPr>
          <t xml:space="preserve">
</t>
        </r>
      </text>
    </comment>
    <comment ref="AZ58" authorId="0">
      <text>
        <r>
          <rPr>
            <b/>
            <sz val="8"/>
            <color indexed="81"/>
            <rFont val="Tahoma"/>
            <family val="2"/>
          </rPr>
          <t xml:space="preserve">glassj:
</t>
        </r>
        <r>
          <rPr>
            <sz val="8"/>
            <color indexed="81"/>
            <rFont val="Tahoma"/>
            <family val="2"/>
          </rPr>
          <t>11/03 
sl. Improvement due to mix improvement on wholesale</t>
        </r>
        <r>
          <rPr>
            <sz val="8"/>
            <color indexed="81"/>
            <rFont val="Tahoma"/>
            <family val="2"/>
          </rPr>
          <t xml:space="preserve">
</t>
        </r>
      </text>
    </comment>
    <comment ref="BA58" authorId="0">
      <text>
        <r>
          <rPr>
            <b/>
            <sz val="8"/>
            <color indexed="81"/>
            <rFont val="Tahoma"/>
            <family val="2"/>
          </rPr>
          <t xml:space="preserve">glassj:
</t>
        </r>
        <r>
          <rPr>
            <sz val="8"/>
            <color indexed="81"/>
            <rFont val="Tahoma"/>
            <family val="2"/>
          </rPr>
          <t>1/26/05 price increase leverage, offset by costs associsted with expanded food program</t>
        </r>
        <r>
          <rPr>
            <sz val="8"/>
            <color indexed="81"/>
            <rFont val="Tahoma"/>
            <family val="2"/>
          </rPr>
          <t xml:space="preserve">
</t>
        </r>
      </text>
    </comment>
    <comment ref="BB58" authorId="0">
      <text>
        <r>
          <rPr>
            <b/>
            <sz val="8"/>
            <color indexed="81"/>
            <rFont val="Tahoma"/>
            <family val="2"/>
          </rPr>
          <t xml:space="preserve">towerj:
</t>
        </r>
        <r>
          <rPr>
            <sz val="8"/>
            <color indexed="81"/>
            <rFont val="Tahoma"/>
            <family val="2"/>
          </rPr>
          <t>5.10.05 -  Y/Y increase primarily due to higher initial costs associated with the Company’s continued expansion of the lunch program in Co−owned stores, as well as higher dairy costs, offset in part by a higher average value per retail transaction</t>
        </r>
        <r>
          <rPr>
            <sz val="8"/>
            <color indexed="81"/>
            <rFont val="Tahoma"/>
            <family val="2"/>
          </rPr>
          <t xml:space="preserve">
</t>
        </r>
      </text>
    </comment>
    <comment ref="BC58" authorId="0">
      <text>
        <r>
          <rPr>
            <b/>
            <sz val="8"/>
            <color indexed="81"/>
            <rFont val="Tahoma"/>
            <family val="2"/>
          </rPr>
          <t xml:space="preserve">towerj:
</t>
        </r>
        <r>
          <rPr>
            <sz val="8"/>
            <color indexed="81"/>
            <rFont val="Tahoma"/>
            <family val="2"/>
          </rPr>
          <t>7.29.05 - Y/Y decrease is primarily due to higher average revenue per retail transaction, offset in part by higher average rent expense in International markets. Dairy costs were moderately
lower for the 13 weeks ended July 3, 2005, compared to the same period in
fiscal 2004.</t>
        </r>
        <r>
          <rPr>
            <sz val="8"/>
            <color indexed="81"/>
            <rFont val="Tahoma"/>
            <family val="2"/>
          </rPr>
          <t xml:space="preserve">
</t>
        </r>
      </text>
    </comment>
    <comment ref="BG58" authorId="0">
      <text>
        <r>
          <rPr>
            <b/>
            <sz val="8"/>
            <color indexed="81"/>
            <rFont val="Tahoma"/>
            <family val="2"/>
          </rPr>
          <t xml:space="preserve">towerj:
</t>
        </r>
        <r>
          <rPr>
            <sz val="8"/>
            <color indexed="81"/>
            <rFont val="Tahoma"/>
            <family val="2"/>
          </rPr>
          <t>5.3.06 lower due to higher occupancy costs LY period due to intensified store maintenance activities -- offset higher green coffee</t>
        </r>
        <r>
          <rPr>
            <sz val="8"/>
            <color indexed="81"/>
            <rFont val="Tahoma"/>
            <family val="2"/>
          </rPr>
          <t xml:space="preserve">
</t>
        </r>
      </text>
    </comment>
    <comment ref="BH58" authorId="0">
      <text>
        <r>
          <rPr>
            <b/>
            <sz val="8"/>
            <color indexed="81"/>
            <rFont val="Tahoma"/>
            <family val="2"/>
          </rPr>
          <t xml:space="preserve">towerj:
</t>
        </r>
        <r>
          <rPr>
            <sz val="8"/>
            <color indexed="81"/>
            <rFont val="Tahoma"/>
            <family val="2"/>
          </rPr>
          <t>8.2.06 increase due to higher green coffee costs</t>
        </r>
        <r>
          <rPr>
            <sz val="8"/>
            <color indexed="81"/>
            <rFont val="Tahoma"/>
            <family val="2"/>
          </rPr>
          <t xml:space="preserve">
</t>
        </r>
      </text>
    </comment>
    <comment ref="BI58" authorId="0">
      <text>
        <r>
          <rPr>
            <b/>
            <sz val="8"/>
            <color indexed="81"/>
            <rFont val="Tahoma"/>
            <family val="2"/>
          </rPr>
          <t xml:space="preserve">towerj:
</t>
        </r>
        <r>
          <rPr>
            <sz val="8"/>
            <color indexed="81"/>
            <rFont val="Tahoma"/>
            <family val="2"/>
          </rPr>
          <t>11.16.06 This increase was due to higher green coffee costs, a shift in retail sales mix to products with gross margins lower than beverages, and to higher utility and distribution costs, offset in part by favorable dairy costs</t>
        </r>
        <r>
          <rPr>
            <sz val="8"/>
            <color indexed="81"/>
            <rFont val="Tahoma"/>
            <family val="2"/>
          </rPr>
          <t xml:space="preserve">
</t>
        </r>
      </text>
    </comment>
    <comment ref="BJ58" authorId="0">
      <text>
        <r>
          <rPr>
            <b/>
            <sz val="8"/>
            <color indexed="81"/>
            <rFont val="Tahoma"/>
            <family val="2"/>
          </rPr>
          <t xml:space="preserve">towerj:
</t>
        </r>
        <r>
          <rPr>
            <sz val="8"/>
            <color indexed="81"/>
            <rFont val="Tahoma"/>
            <family val="2"/>
          </rPr>
          <t>11.17.05 expect higher commodity costs</t>
        </r>
        <r>
          <rPr>
            <sz val="8"/>
            <color indexed="81"/>
            <rFont val="Tahoma"/>
            <family val="2"/>
          </rPr>
          <t xml:space="preserve">
</t>
        </r>
      </text>
    </comment>
    <comment ref="BK58" authorId="0">
      <text>
        <r>
          <rPr>
            <b/>
            <sz val="8"/>
            <color indexed="81"/>
            <rFont val="Tahoma"/>
            <family val="2"/>
          </rPr>
          <t xml:space="preserve">glassj:
</t>
        </r>
        <r>
          <rPr>
            <sz val="8"/>
            <color indexed="81"/>
            <rFont val="Tahoma"/>
            <family val="2"/>
          </rPr>
          <t>higherrent, mix shift to food and higher distribution costs</t>
        </r>
        <r>
          <rPr>
            <sz val="8"/>
            <color indexed="81"/>
            <rFont val="Tahoma"/>
            <family val="2"/>
          </rPr>
          <t xml:space="preserve">
</t>
        </r>
      </text>
    </comment>
    <comment ref="BL58" authorId="0">
      <text>
        <r>
          <rPr>
            <b/>
            <sz val="8"/>
            <color indexed="81"/>
            <rFont val="Tahoma"/>
            <family val="2"/>
          </rPr>
          <t xml:space="preserve">towerj:
</t>
        </r>
        <r>
          <rPr>
            <sz val="8"/>
            <color indexed="81"/>
            <rFont val="Tahoma"/>
            <family val="2"/>
          </rPr>
          <t>5.3.07
This increase was primarily due to a shift in sales to higher cost products, increased distribution costs due to the Company's expanding store base and food programs, and higher rent expense attributed to growth in higher priced real estate markets.
1.31.07 dairy costs will be unfavorable for the remainder of FY07 (starting in F2Q)</t>
        </r>
      </text>
    </comment>
    <comment ref="BM58" authorId="0">
      <text>
        <r>
          <rPr>
            <b/>
            <sz val="8"/>
            <color indexed="81"/>
            <rFont val="Tahoma"/>
            <family val="2"/>
          </rPr>
          <t xml:space="preserve">towerj:
</t>
        </r>
        <r>
          <rPr>
            <sz val="8"/>
            <color indexed="81"/>
            <rFont val="Tahoma"/>
            <family val="2"/>
          </rPr>
          <t>8.1.07
This increase was primarily due to a shift in sales to higher cost products, the rise in dairy costs, and higher rent expense
1.31.07 dairy costs will be unfavorable for the remainder of FY07 (starting in F2Q)</t>
        </r>
        <r>
          <rPr>
            <sz val="8"/>
            <color indexed="81"/>
            <rFont val="Tahoma"/>
            <family val="2"/>
          </rPr>
          <t xml:space="preserve">
</t>
        </r>
      </text>
    </comment>
    <comment ref="BN58" authorId="0">
      <text>
        <r>
          <rPr>
            <b/>
            <sz val="8"/>
            <color indexed="81"/>
            <rFont val="Tahoma"/>
            <family val="2"/>
          </rPr>
          <t xml:space="preserve">towerj:
</t>
        </r>
        <r>
          <rPr>
            <sz val="8"/>
            <color indexed="81"/>
            <rFont val="Tahoma"/>
            <family val="2"/>
          </rPr>
          <t xml:space="preserve">1.31.07 dairy costs will be unfavorable for the remainder of FY07 (starting in F2Q)
</t>
        </r>
      </text>
    </comment>
    <comment ref="BO58" authorId="0">
      <text>
        <r>
          <rPr>
            <b/>
            <sz val="8"/>
            <color indexed="81"/>
            <rFont val="Tahoma"/>
            <family val="2"/>
          </rPr>
          <t xml:space="preserve">towerj:
</t>
        </r>
        <r>
          <rPr>
            <sz val="8"/>
            <color indexed="81"/>
            <rFont val="Tahoma"/>
            <family val="2"/>
          </rPr>
          <t>1.31.07 dairy costs will be unfavorable for the remainder of FY07 (starting in F2Q)</t>
        </r>
        <r>
          <rPr>
            <sz val="8"/>
            <color indexed="81"/>
            <rFont val="Tahoma"/>
            <family val="2"/>
          </rPr>
          <t xml:space="preserve">
</t>
        </r>
      </text>
    </comment>
    <comment ref="BP58" authorId="1">
      <text>
        <r>
          <rPr>
            <b/>
            <sz val="8"/>
            <color indexed="81"/>
            <rFont val="Tahoma"/>
            <family val="2"/>
          </rPr>
          <t>Jon Tower:</t>
        </r>
        <r>
          <rPr>
            <sz val="8"/>
            <color indexed="81"/>
            <rFont val="Tahoma"/>
            <family val="2"/>
          </rPr>
          <t xml:space="preserve">
1.30.08
dairy &amp; mix shifts (higher cost products)</t>
        </r>
      </text>
    </comment>
    <comment ref="BR58" authorId="1">
      <text>
        <r>
          <rPr>
            <b/>
            <sz val="8"/>
            <color indexed="81"/>
            <rFont val="Tahoma"/>
            <family val="2"/>
          </rPr>
          <t>Jon Tower:</t>
        </r>
        <r>
          <rPr>
            <sz val="8"/>
            <color indexed="81"/>
            <rFont val="Tahoma"/>
            <family val="2"/>
          </rPr>
          <t xml:space="preserve">
7.30.08
The increase was primarily due to higher distribution and occupancy costs. 
</t>
        </r>
      </text>
    </comment>
    <comment ref="BS58" authorId="1">
      <text>
        <r>
          <rPr>
            <b/>
            <sz val="8"/>
            <color indexed="81"/>
            <rFont val="Tahoma"/>
            <family val="2"/>
          </rPr>
          <t>Jon Tower:</t>
        </r>
        <r>
          <rPr>
            <sz val="8"/>
            <color indexed="81"/>
            <rFont val="Tahoma"/>
            <family val="2"/>
          </rPr>
          <t xml:space="preserve">
11.10.08
The increase was primarily due to higher distribution costs, inventory write-downs, and higher rent expenses as a percentage of revenues.
</t>
        </r>
      </text>
    </comment>
    <comment ref="BT58" authorId="1">
      <text>
        <r>
          <rPr>
            <b/>
            <sz val="8"/>
            <color indexed="81"/>
            <rFont val="Tahoma"/>
            <family val="2"/>
          </rPr>
          <t>Jon Tower:
12.9.08</t>
        </r>
        <r>
          <rPr>
            <sz val="8"/>
            <color indexed="81"/>
            <rFont val="Tahoma"/>
            <family val="2"/>
          </rPr>
          <t xml:space="preserve">
Coffee represents 12 - 15%
Dairy 5 - 10%
Occupancy 23 - 26%
Food 15 - 20%
Freight &amp; Distribution 10 - 12%
Other - the remainder - which includes packaging, supplies, etc.  (Paper cups will fall in this category)</t>
        </r>
      </text>
    </comment>
    <comment ref="BU58" authorId="1">
      <text>
        <r>
          <rPr>
            <b/>
            <sz val="8"/>
            <color indexed="81"/>
            <rFont val="Tahoma"/>
            <family val="2"/>
          </rPr>
          <t>Jon Tower:</t>
        </r>
        <r>
          <rPr>
            <sz val="8"/>
            <color indexed="81"/>
            <rFont val="Tahoma"/>
            <family val="2"/>
          </rPr>
          <t xml:space="preserve">
1.28.09
The increase primarily resulted from higher coffee usage due to new quality standards, which began in the second quarter of fiscal 2008, and increased coffee commodity costs. Higher distribution costs and higher beverage costs as a result of new product innovations also contributed to the increase.</t>
        </r>
      </text>
    </comment>
    <comment ref="BV58" authorId="1">
      <text>
        <r>
          <rPr>
            <b/>
            <sz val="8"/>
            <color indexed="81"/>
            <rFont val="Tahoma"/>
            <family val="2"/>
          </rPr>
          <t>Jon Tower:</t>
        </r>
        <r>
          <rPr>
            <sz val="8"/>
            <color indexed="81"/>
            <rFont val="Tahoma"/>
            <family val="2"/>
          </rPr>
          <t xml:space="preserve">
1.28.09
increased coffee prices will be offset by decreasing dairy costs</t>
        </r>
      </text>
    </comment>
    <comment ref="BW58" authorId="1">
      <text>
        <r>
          <rPr>
            <b/>
            <sz val="8"/>
            <color indexed="81"/>
            <rFont val="Tahoma"/>
            <family val="2"/>
          </rPr>
          <t>Jon Tower:</t>
        </r>
        <r>
          <rPr>
            <sz val="8"/>
            <color indexed="81"/>
            <rFont val="Tahoma"/>
            <family val="2"/>
          </rPr>
          <t xml:space="preserve">
1.28.09
increased coffee prices will be offset by decreasing dairy costs</t>
        </r>
      </text>
    </comment>
    <comment ref="BX58" authorId="1">
      <text>
        <r>
          <rPr>
            <b/>
            <sz val="8"/>
            <color indexed="81"/>
            <rFont val="Tahoma"/>
            <family val="2"/>
          </rPr>
          <t>Jon Tower:</t>
        </r>
        <r>
          <rPr>
            <sz val="8"/>
            <color indexed="81"/>
            <rFont val="Tahoma"/>
            <family val="2"/>
          </rPr>
          <t xml:space="preserve">
1.28.09
increased coffee prices will be offset by decreasing dairy costs</t>
        </r>
      </text>
    </comment>
    <comment ref="BY58" authorId="1">
      <text>
        <r>
          <rPr>
            <b/>
            <sz val="8"/>
            <color indexed="81"/>
            <rFont val="Tahoma"/>
            <family val="2"/>
          </rPr>
          <t>Jon Tower:</t>
        </r>
        <r>
          <rPr>
            <sz val="8"/>
            <color indexed="81"/>
            <rFont val="Tahoma"/>
            <family val="2"/>
          </rPr>
          <t xml:space="preserve">
12.10.09
COGs Mix:
5-10% Dairy
15-20% Coffee
24-27% Other
10-12% Freight &amp; Distribution
15-20% Food
24-27% Occupancy</t>
        </r>
      </text>
    </comment>
    <comment ref="CA58" authorId="1">
      <text>
        <r>
          <rPr>
            <b/>
            <sz val="8"/>
            <color indexed="81"/>
            <rFont val="Tahoma"/>
            <family val="2"/>
          </rPr>
          <t>Jon Tower:</t>
        </r>
        <r>
          <rPr>
            <sz val="8"/>
            <color indexed="81"/>
            <rFont val="Tahoma"/>
            <family val="2"/>
          </rPr>
          <t xml:space="preserve">
4.21.10
 This improvement was primarily due to lower cost of sales including occupancy costs driven by lower food costs, supply chain efficiencies, and sales leverage on occupancy costs</t>
        </r>
      </text>
    </comment>
    <comment ref="CC58" authorId="1">
      <text>
        <r>
          <rPr>
            <b/>
            <sz val="8"/>
            <color indexed="81"/>
            <rFont val="Tahoma"/>
            <family val="2"/>
          </rPr>
          <t>Jon Tower:</t>
        </r>
        <r>
          <rPr>
            <sz val="8"/>
            <color indexed="81"/>
            <rFont val="Tahoma"/>
            <family val="2"/>
          </rPr>
          <t xml:space="preserve">
7.21.10
Also, higher dairy costs are expected to impact fourth quarter earnings by
approximately $0.01</t>
        </r>
      </text>
    </comment>
    <comment ref="CD58" authorId="1">
      <text>
        <r>
          <rPr>
            <b/>
            <sz val="8"/>
            <color indexed="81"/>
            <rFont val="Tahoma"/>
            <family val="2"/>
          </rPr>
          <t>Jon Tower:</t>
        </r>
        <r>
          <rPr>
            <sz val="8"/>
            <color indexed="81"/>
            <rFont val="Tahoma"/>
            <family val="2"/>
          </rPr>
          <t xml:space="preserve">
11.5.09
Starbucks expects to see little net impact from commodities, with higher dairy prices being offset by slightly favorable coffee prices
Overall, we expect little net
impact to the bottom line from commodities. We expect dairy costs to be unfavorable for the year. As indicated in our third quarter 10-Q, we recently implemented a dairy hedging program to mitigate roughly a quarter of this pricing risk. Offsetting dairy, we expect coffee to be slightly favorable in fiscal 2010.</t>
        </r>
      </text>
    </comment>
    <comment ref="CF58" authorId="1">
      <text>
        <r>
          <rPr>
            <b/>
            <sz val="8"/>
            <color indexed="81"/>
            <rFont val="Tahoma"/>
            <family val="2"/>
          </rPr>
          <t>Jon Tower:</t>
        </r>
        <r>
          <rPr>
            <sz val="8"/>
            <color indexed="81"/>
            <rFont val="Tahoma"/>
            <family val="2"/>
          </rPr>
          <t xml:space="preserve">
1.26.11
Commodity costs, which are now expected to have an unfavorable 
             impact on EPS of approximately $0.20 for the full fiscal year 
             attributable primarily to higher coffee costs, are reflected in 
             the revised EPS target. 
Absorbed $0.03 in the F1Q11
LOCKED IN COFFEE PRICES FOR FY11
Biggest coffee cost increase impact in F2H11
</t>
        </r>
      </text>
    </comment>
    <comment ref="CG58" authorId="1">
      <text>
        <r>
          <rPr>
            <b/>
            <sz val="8"/>
            <color indexed="81"/>
            <rFont val="Tahoma"/>
            <family val="2"/>
          </rPr>
          <t>Jon Tower:</t>
        </r>
        <r>
          <rPr>
            <sz val="8"/>
            <color indexed="81"/>
            <rFont val="Tahoma"/>
            <family val="2"/>
          </rPr>
          <t xml:space="preserve">
1.26.11
Commodity costs, which are now expected to have an unfavorable 
             impact on EPS of approximately $0.20 for the full fiscal year 
             attributable primarily to higher coffee costs, are reflected in 
             the revised EPS target. 
Absorbed $0.03 in the F1Q11
LOCKED IN COFFEE PRICES FOR FY11
Biggest coffee cost increase impact in F2H11
</t>
        </r>
      </text>
    </comment>
    <comment ref="CH58" authorId="1">
      <text>
        <r>
          <rPr>
            <b/>
            <sz val="8"/>
            <color indexed="81"/>
            <rFont val="Tahoma"/>
            <family val="2"/>
          </rPr>
          <t xml:space="preserve">Jon Tower:
11.3.11
---
The increase in commodity costs, primarily coffee, negatively impacted operating margin in the quarter by approximately 290 basis points and EPS by $0.07
</t>
        </r>
        <r>
          <rPr>
            <sz val="8"/>
            <color indexed="81"/>
            <rFont val="Tahoma"/>
            <family val="2"/>
          </rPr>
          <t xml:space="preserve">
1.26.11
Commodity costs, which are now expected to have an unfavorable 
             impact on EPS of approximately $0.20 for the full fiscal year 
             attributable primarily to higher coffee costs, are reflected in 
             the revised EPS target. 
Absorbed $0.03 in the F1Q11
LOCKED IN COFFEE PRICES FOR FY11
Biggest coffee cost increase impact in F2H11
</t>
        </r>
      </text>
    </comment>
    <comment ref="CI58" authorId="1">
      <text>
        <r>
          <rPr>
            <b/>
            <sz val="8"/>
            <color indexed="81"/>
            <rFont val="Tahoma"/>
            <family val="2"/>
          </rPr>
          <t xml:space="preserve">Sushama Dasari:
12.5.12
</t>
        </r>
        <r>
          <rPr>
            <sz val="8"/>
            <color indexed="81"/>
            <rFont val="Tahoma"/>
            <family val="2"/>
          </rPr>
          <t>Arabica "C" price/lb: $2.47
SBUX P&amp;L price/lb: $2.12
YoY impact to operating income: -$198M</t>
        </r>
        <r>
          <rPr>
            <b/>
            <sz val="8"/>
            <color indexed="81"/>
            <rFont val="Tahoma"/>
            <family val="2"/>
          </rPr>
          <t xml:space="preserve">
1.26.11
</t>
        </r>
        <r>
          <rPr>
            <sz val="8"/>
            <color indexed="81"/>
            <rFont val="Tahoma"/>
            <family val="2"/>
          </rPr>
          <t xml:space="preserve"> with respect to coffee costs at the time we had laid out our
previous expectations of that $0.08 to $0.10 impact. As you will remember, we didn’t have very much of the 2011 coffee needs locked at that point in time. So it was very much based on what we did have committed and then projections based on our own experts and experts in the industry of what was going to happen over the balance of this year. As the coffee prices began to escalate as we moved through December, we took the decision to remove that risk from this year – we think the responsible decision – and locked our pricing and commit to that throughout 2011.
The result of that is that the movement in the C price between, say, November or December and now is not reflective of that increase in what we expect our underlying coffee costs to be over that
span of time. So hopefully that helps reconcile that difference for you</t>
        </r>
        <r>
          <rPr>
            <b/>
            <sz val="8"/>
            <color indexed="81"/>
            <rFont val="Tahoma"/>
            <family val="2"/>
          </rPr>
          <t xml:space="preserve">
</t>
        </r>
        <r>
          <rPr>
            <sz val="8"/>
            <color indexed="81"/>
            <rFont val="Tahoma"/>
            <family val="2"/>
          </rPr>
          <t xml:space="preserve">
est. cost per lb: $1.75/lb
</t>
        </r>
        <r>
          <rPr>
            <b/>
            <sz val="8"/>
            <color indexed="81"/>
            <rFont val="Tahoma"/>
            <family val="2"/>
          </rPr>
          <t xml:space="preserve">
1.26.11
</t>
        </r>
        <r>
          <rPr>
            <sz val="8"/>
            <color indexed="81"/>
            <rFont val="Tahoma"/>
            <family val="2"/>
          </rPr>
          <t>Commodity costs, which are now expected to have an unfavorable 
             impact on EPS of approximately $0.20 for the full fiscal year 
             attributable primarily to higher coffee costs, are reflected in 
             the revised EPS target. 
Absorbed $0.03 in the F1Q11
LOCKED IN COFFEE PRICES FOR FY11
Biggest coffee cost increase impact in F2H11
11.4.10
---
Commodity costs are now expected to have an unfavorable impact on EPS of approximately $0.08 to $0.10, attributable primarily to higher coffee costs. The company's EPS expectation noted above reflects the impact of higher commodity costs</t>
        </r>
        <r>
          <rPr>
            <b/>
            <sz val="8"/>
            <color indexed="81"/>
            <rFont val="Tahoma"/>
            <family val="2"/>
          </rPr>
          <t xml:space="preserve">
</t>
        </r>
        <r>
          <rPr>
            <sz val="8"/>
            <color indexed="81"/>
            <rFont val="Tahoma"/>
            <family val="2"/>
          </rPr>
          <t xml:space="preserve">
7.21.10
Commodity costs are expected to have an unfavorable impact on EPS of approximately $0.04, attributable primarily to higher coffee costs. 
---
Next we expect to absorb approximately $0.04 in additional commodity costs for FY2011
primarily related to higher coffee prices
o Recent supply issues in the Latin American growing region have caused C market
prices for Arabica coffees to increase</t>
        </r>
      </text>
    </comment>
    <comment ref="CJ58" authorId="1">
      <text>
        <r>
          <rPr>
            <b/>
            <sz val="8"/>
            <color indexed="81"/>
            <rFont val="Tahoma"/>
            <family val="2"/>
          </rPr>
          <t xml:space="preserve">Jon Tower:
1.13.12
</t>
        </r>
        <r>
          <rPr>
            <sz val="8"/>
            <color indexed="81"/>
            <rFont val="Tahoma"/>
            <family val="2"/>
          </rPr>
          <t xml:space="preserve">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 xml:space="preserve">As a result, the recent financials reflect a $113 million increase to G&amp;A for fiscal 2011, directly offset by reductions in COGS, including occupancy, store operating expenses, and other operating expenses. </t>
        </r>
        <r>
          <rPr>
            <b/>
            <sz val="8"/>
            <color indexed="81"/>
            <rFont val="Tahoma"/>
            <family val="2"/>
          </rPr>
          <t xml:space="preserve">
</t>
        </r>
        <r>
          <rPr>
            <sz val="8"/>
            <color indexed="81"/>
            <rFont val="Tahoma"/>
            <family val="2"/>
          </rPr>
          <t xml:space="preserve">
11.3.11
The company continues to expect commodity costs will add approximately $0.21 per share of cost pressure to FY12. Of
that $0.21, $0.18 is expected to impact the first half of FY12, and $0.03 is expected to impact the second half of the year.</t>
        </r>
      </text>
    </comment>
    <comment ref="CK58" authorId="1">
      <text>
        <r>
          <rPr>
            <b/>
            <sz val="8"/>
            <color indexed="81"/>
            <rFont val="Tahoma"/>
            <family val="2"/>
          </rPr>
          <t xml:space="preserve">Jon Tower:
</t>
        </r>
        <r>
          <rPr>
            <sz val="8"/>
            <color indexed="81"/>
            <rFont val="Tahoma"/>
            <family val="2"/>
          </rPr>
          <t>1.13.12
The change in management of these expenses reflects our growing operations, as the focus of these support teams has become much more global in nature and straddles the business as a whole rather than on a specific business unit. A</t>
        </r>
        <r>
          <rPr>
            <b/>
            <sz val="8"/>
            <color indexed="81"/>
            <rFont val="Tahoma"/>
            <family val="2"/>
          </rPr>
          <t xml:space="preserve">s a result, the recent financials reflect a $113 million increase to G&amp;A for fiscal 2011, directly offset by reductions in COGS, including occupancy, store operating expenses, and other operating expenses. </t>
        </r>
        <r>
          <rPr>
            <b/>
            <sz val="8"/>
            <color indexed="81"/>
            <rFont val="Tahoma"/>
            <family val="2"/>
          </rPr>
          <t xml:space="preserve">
</t>
        </r>
        <r>
          <rPr>
            <sz val="8"/>
            <color indexed="81"/>
            <rFont val="Tahoma"/>
            <family val="2"/>
          </rPr>
          <t xml:space="preserve">
11.3.11
The company continues to expect commodity costs will add approximately $0.21 per share of cost pressure to FY12. Of
that $0.21, $0.18 is expected to impact the first half of FY12, and $0.03 is expected to impact the second half of the year.</t>
        </r>
      </text>
    </comment>
    <comment ref="CL58" authorId="1">
      <text>
        <r>
          <rPr>
            <b/>
            <sz val="8"/>
            <color indexed="81"/>
            <rFont val="Tahoma"/>
            <family val="2"/>
          </rPr>
          <t xml:space="preserve">Sushama Dasari:
</t>
        </r>
        <r>
          <rPr>
            <b/>
            <sz val="8"/>
            <color indexed="81"/>
            <rFont val="Tahoma"/>
            <family val="2"/>
          </rPr>
          <t xml:space="preserve">
7.26.2012
</t>
        </r>
        <r>
          <rPr>
            <sz val="8"/>
            <color indexed="81"/>
            <rFont val="Tahoma"/>
            <family val="2"/>
          </rPr>
          <t>Commodities, primarily coffee, had a negative impact of $38MM and 110 basis points on margin. We expect the impact to lessen in 4Q</t>
        </r>
        <r>
          <rPr>
            <b/>
            <sz val="8"/>
            <color indexed="81"/>
            <rFont val="Tahoma"/>
            <family val="2"/>
          </rPr>
          <t xml:space="preserve">
</t>
        </r>
        <r>
          <rPr>
            <sz val="8"/>
            <color indexed="81"/>
            <rFont val="Tahoma"/>
            <family val="2"/>
          </rPr>
          <t xml:space="preserve">1.13.12
The change in management of these expenses reflects our growing operations, as the focus of these support teams has become much more global in nature and straddles the business as a whole rather than on a specific business unit. As a result, the recent financials reflect a $113 million increase to G&amp;A for fiscal 2011, directly offset by reductions in COGS, including occupancy, store operating expenses, and other operating expenses. </t>
        </r>
        <r>
          <rPr>
            <b/>
            <sz val="8"/>
            <color indexed="81"/>
            <rFont val="Tahoma"/>
            <family val="2"/>
          </rPr>
          <t xml:space="preserve">
</t>
        </r>
        <r>
          <rPr>
            <sz val="8"/>
            <color indexed="81"/>
            <rFont val="Tahoma"/>
            <family val="2"/>
          </rPr>
          <t xml:space="preserve">
11.3.11
The company continues to expect commodity costs will add approximately $0.21 per share of cost pressure to FY12. Of
that $0.21, $0.18 is expected to impact the first half of FY12, and $0.03 is expected to impact the second half of the year.</t>
        </r>
      </text>
    </comment>
    <comment ref="CM58" authorId="1">
      <text>
        <r>
          <rPr>
            <b/>
            <sz val="8"/>
            <color indexed="81"/>
            <rFont val="Tahoma"/>
            <family val="2"/>
          </rPr>
          <t xml:space="preserve">Sushama Dasari:
11.12: commodities were neutral in the 4Q12
7.26.2012
</t>
        </r>
        <r>
          <rPr>
            <sz val="8"/>
            <color indexed="81"/>
            <rFont val="Tahoma"/>
            <family val="2"/>
          </rPr>
          <t>Commodities, primarily coffee, had a negative impact of $38MM and 110 basis points on margin. We expect the impact to lessen in 4Q</t>
        </r>
        <r>
          <rPr>
            <b/>
            <sz val="8"/>
            <color indexed="81"/>
            <rFont val="Tahoma"/>
            <family val="2"/>
          </rPr>
          <t xml:space="preserve">
</t>
        </r>
        <r>
          <rPr>
            <sz val="8"/>
            <color indexed="81"/>
            <rFont val="Tahoma"/>
            <family val="2"/>
          </rPr>
          <t xml:space="preserve">1.13.12
The change in management of these expenses reflects our growing operations, as the focus of these support teams has become much more global in nature and straddles the business as a whole rather than on a specific business unit. As a result, the recent financials reflect a $113 million increase to G&amp;A for fiscal 2011, directly offset by reductions in COGS, including occupancy, store operating expenses, and other operating expenses. </t>
        </r>
        <r>
          <rPr>
            <b/>
            <sz val="8"/>
            <color indexed="81"/>
            <rFont val="Tahoma"/>
            <family val="2"/>
          </rPr>
          <t xml:space="preserve">
</t>
        </r>
        <r>
          <rPr>
            <sz val="8"/>
            <color indexed="81"/>
            <rFont val="Tahoma"/>
            <family val="2"/>
          </rPr>
          <t xml:space="preserve">
11.3.11
The company continues to expect commodity costs will add approximately $0.21 per share of cost pressure to FY12. Of
that $0.21, $0.18 is expected to impact the first half of FY12, and $0.03 is expected to impact the second half of the year.</t>
        </r>
      </text>
    </comment>
    <comment ref="CN58" authorId="1">
      <text>
        <r>
          <rPr>
            <b/>
            <sz val="8"/>
            <color indexed="81"/>
            <rFont val="Tahoma"/>
            <family val="2"/>
          </rPr>
          <t xml:space="preserve">Sushama Dasari:
12.5.12
</t>
        </r>
        <r>
          <rPr>
            <sz val="8"/>
            <color indexed="81"/>
            <rFont val="Tahoma"/>
            <family val="2"/>
          </rPr>
          <t xml:space="preserve">Arabica "C" price/lb: $1.94
</t>
        </r>
        <r>
          <rPr>
            <b/>
            <sz val="8"/>
            <color indexed="81"/>
            <rFont val="Tahoma"/>
            <family val="2"/>
          </rPr>
          <t>SBUX P&amp;L price/lb: $2.69</t>
        </r>
        <r>
          <rPr>
            <sz val="8"/>
            <color indexed="81"/>
            <rFont val="Tahoma"/>
            <family val="2"/>
          </rPr>
          <t xml:space="preserve">
</t>
        </r>
        <r>
          <rPr>
            <b/>
            <sz val="8"/>
            <color indexed="81"/>
            <rFont val="Tahoma"/>
            <family val="2"/>
          </rPr>
          <t>YoY impact to operating income: -$206M (detriment)</t>
        </r>
        <r>
          <rPr>
            <b/>
            <sz val="8"/>
            <color indexed="81"/>
            <rFont val="Tahoma"/>
            <family val="2"/>
          </rPr>
          <t xml:space="preserve">
1.13.12</t>
        </r>
        <r>
          <rPr>
            <sz val="8"/>
            <color indexed="81"/>
            <rFont val="Tahoma"/>
            <family val="2"/>
          </rPr>
          <t xml:space="preserve">
The change in management of these expenses reflects our growing operations, as the focus of these support teams has become much more global in nature and straddles the business as a whole rather than on a specific business unit. As a result, the recent financials reflect a $113 million increase to G&amp;A for fiscal 2011, directly offset by reductions in COGS, including occupancy, store operating expenses, and other operating expenses. 
Est cost per pound for FY12:  ~$2.75</t>
        </r>
        <r>
          <rPr>
            <b/>
            <sz val="8"/>
            <color indexed="81"/>
            <rFont val="Tahoma"/>
            <family val="2"/>
          </rPr>
          <t xml:space="preserve">
</t>
        </r>
        <r>
          <rPr>
            <sz val="8"/>
            <color indexed="81"/>
            <rFont val="Tahoma"/>
            <family val="2"/>
          </rPr>
          <t xml:space="preserve">
11.3.11
The company continues to expect commodity costs will add approximately $0.21 per share of cost pressure to FY12. Of
that $0.21, $0.18 is expected to impact the first half of FY12, and $0.03 is expected to impact the second half of the year.
7.28.11
Still, the cost of coffee remains high, even though prices have eased somewhat in the last two months. The company has locked in all of its coffee prices for fiscal 2012 at a higher level than where coffee is trading today, and the company may begin to lock in prices for 2013, Alstead said. 
---
The company expects earnings per share growth in the range of 15% to 20%, consistent with its long-term outlook, and
including the unfavorable impact of approximately $0.21 attributable to higher coffee costs
----
. We expect K-Cups to add approximately $0.03 to $0.05 in incremental earnings per share in fiscal 2012 already included in the 15% to 20% EPS growth target reflecting the significant investment plan to support the CPG launch.</t>
        </r>
      </text>
    </comment>
    <comment ref="CO58" authorId="6">
      <text>
        <r>
          <rPr>
            <b/>
            <sz val="8"/>
            <color indexed="81"/>
            <rFont val="Tahoma"/>
            <family val="2"/>
          </rPr>
          <t>Sushama Dasari:</t>
        </r>
        <r>
          <rPr>
            <sz val="8"/>
            <color indexed="81"/>
            <rFont val="Tahoma"/>
            <family val="2"/>
          </rPr>
          <t xml:space="preserve">
</t>
        </r>
        <r>
          <rPr>
            <b/>
            <sz val="8"/>
            <color indexed="81"/>
            <rFont val="Tahoma"/>
            <family val="2"/>
          </rPr>
          <t xml:space="preserve">1.24.13
</t>
        </r>
        <r>
          <rPr>
            <sz val="8"/>
            <color indexed="81"/>
            <rFont val="Tahoma"/>
            <family val="2"/>
          </rPr>
          <t>Net 2c per share benefit (50 bps to operating margin) from commodities, including favorability in coffee offset by unfavorability in dairy and couple of other small commodities</t>
        </r>
      </text>
    </comment>
    <comment ref="CQ58" authorId="8">
      <text>
        <r>
          <rPr>
            <b/>
            <sz val="8"/>
            <color indexed="81"/>
            <rFont val="Tahoma"/>
            <family val="2"/>
          </rPr>
          <t>Jake Bartlett:</t>
        </r>
        <r>
          <rPr>
            <sz val="8"/>
            <color indexed="81"/>
            <rFont val="Tahoma"/>
            <family val="2"/>
          </rPr>
          <t xml:space="preserve">
</t>
        </r>
        <r>
          <rPr>
            <b/>
            <sz val="8"/>
            <color indexed="81"/>
            <rFont val="Tahoma"/>
            <family val="2"/>
          </rPr>
          <t>7.25.13</t>
        </r>
        <r>
          <rPr>
            <sz val="8"/>
            <color indexed="81"/>
            <rFont val="Tahoma"/>
            <family val="2"/>
          </rPr>
          <t xml:space="preserve">
Lower coffee costs added ^0 bps to margins and 50bps YTD</t>
        </r>
      </text>
    </comment>
    <comment ref="CS58" authorId="2">
      <text>
        <r>
          <rPr>
            <b/>
            <sz val="8"/>
            <color indexed="81"/>
            <rFont val="Tahoma"/>
            <family val="2"/>
          </rPr>
          <t xml:space="preserve">FY13 
Arabaca C prcie = $1.36
SBUX p&amp;l price = $2.36
$97 M benefit
10.30.13:
</t>
        </r>
        <r>
          <rPr>
            <sz val="8"/>
            <color indexed="81"/>
            <rFont val="Tahoma"/>
            <family val="2"/>
          </rPr>
          <t xml:space="preserve">50bps of reduction was due to lower coffee costs. </t>
        </r>
        <r>
          <rPr>
            <b/>
            <sz val="8"/>
            <color indexed="81"/>
            <rFont val="Tahoma"/>
            <family val="2"/>
          </rPr>
          <t xml:space="preserve">
SBUX avg coffee costs = $2.35 for FY13
3.4.13
</t>
        </r>
        <r>
          <rPr>
            <b/>
            <sz val="8"/>
            <color indexed="81"/>
            <rFont val="Tahoma"/>
            <family val="2"/>
          </rPr>
          <t>Reaffirmed $100M benefit to FY13</t>
        </r>
        <r>
          <rPr>
            <sz val="8"/>
            <color indexed="81"/>
            <rFont val="Tahoma"/>
            <family val="2"/>
          </rPr>
          <t xml:space="preserve"> (100% contracted) and FY14 (50% contracted) from green coffee deflation. Also expect tailwind to FY15 (not yet contracted) since it's currently trading below FY14 average price</t>
        </r>
        <r>
          <rPr>
            <b/>
            <sz val="8"/>
            <color indexed="81"/>
            <rFont val="Tahoma"/>
            <family val="2"/>
          </rPr>
          <t xml:space="preserve">
1.24.13
</t>
        </r>
        <r>
          <rPr>
            <sz val="8"/>
            <color indexed="81"/>
            <rFont val="Tahoma"/>
            <family val="2"/>
          </rPr>
          <t>Continue to expect ~2c per share benefit from net commodities each quarter in FY13 and FY14</t>
        </r>
        <r>
          <rPr>
            <b/>
            <sz val="8"/>
            <color indexed="81"/>
            <rFont val="Tahoma"/>
            <family val="2"/>
          </rPr>
          <t xml:space="preserve">
</t>
        </r>
        <r>
          <rPr>
            <b/>
            <sz val="8"/>
            <color indexed="81"/>
            <rFont val="Tahoma"/>
            <family val="2"/>
          </rPr>
          <t>12.5.12</t>
        </r>
        <r>
          <rPr>
            <sz val="8"/>
            <color indexed="81"/>
            <rFont val="Tahoma"/>
            <family val="2"/>
          </rPr>
          <t xml:space="preserve">
Estimates due to 24-month advance purchasing:
Arabica "C" price/lb: TBD
SBUX P&amp;L price/lb: ~$2.35
YoY impact to operating income: +$100M+</t>
        </r>
        <r>
          <rPr>
            <b/>
            <sz val="8"/>
            <color indexed="81"/>
            <rFont val="Tahoma"/>
            <family val="2"/>
          </rPr>
          <t xml:space="preserve">
11.12: </t>
        </r>
        <r>
          <rPr>
            <sz val="8"/>
            <color indexed="81"/>
            <rFont val="Tahoma"/>
            <family val="2"/>
          </rPr>
          <t>continues to see $100 M or 9c benefit from favorable green coffee, spread evenly at 2-3c per Q</t>
        </r>
        <r>
          <rPr>
            <sz val="8"/>
            <color indexed="81"/>
            <rFont val="Tahoma"/>
            <family val="2"/>
          </rPr>
          <t xml:space="preserve">
assumed cost/lb for FY13 ~$2.25</t>
        </r>
      </text>
    </comment>
    <comment ref="CT58" authorId="8">
      <text>
        <r>
          <rPr>
            <b/>
            <sz val="8"/>
            <color indexed="81"/>
            <rFont val="Tahoma"/>
            <family val="2"/>
          </rPr>
          <t xml:space="preserve">10Q:
</t>
        </r>
        <r>
          <rPr>
            <sz val="8"/>
            <color indexed="81"/>
            <rFont val="Tahoma"/>
            <family val="2"/>
          </rPr>
          <t>lower coffee costs helped by 80bps, partially offset by trade promotions (20bps).</t>
        </r>
        <r>
          <rPr>
            <sz val="8"/>
            <color indexed="81"/>
            <rFont val="Tahoma"/>
            <family val="2"/>
          </rPr>
          <t xml:space="preserve">
</t>
        </r>
      </text>
    </comment>
    <comment ref="CV58" authorId="12">
      <text>
        <r>
          <rPr>
            <b/>
            <sz val="9"/>
            <color indexed="81"/>
            <rFont val="Tahoma"/>
            <family val="2"/>
          </rPr>
          <t xml:space="preserve">F3Q14 10Q:
</t>
        </r>
        <r>
          <rPr>
            <sz val="9"/>
            <color indexed="81"/>
            <rFont val="Tahoma"/>
            <family val="2"/>
          </rPr>
          <t xml:space="preserve">80bps lower from commodities in 3Q and first 3 quarters.
</t>
        </r>
      </text>
    </comment>
    <comment ref="CX58" authorId="11">
      <text>
        <r>
          <rPr>
            <b/>
            <sz val="8"/>
            <color indexed="81"/>
            <rFont val="Tahoma"/>
            <family val="2"/>
          </rPr>
          <t>12.14:
FY14 arabaca C price = $1.58
SBUX p&amp;l price: $1.82 
p&amp;l benefit $110-$120 m
also in FY14 had $150 M in supply chain savings (=90 bps)
10.13:
9-10c coffee benefit (</t>
        </r>
        <r>
          <rPr>
            <sz val="8"/>
            <color indexed="81"/>
            <rFont val="Tahoma"/>
            <family val="2"/>
          </rPr>
          <t>mostly shows up in CPG segment); fully locked so incremental benefits unlikely</t>
        </r>
        <r>
          <rPr>
            <b/>
            <sz val="8"/>
            <color indexed="81"/>
            <rFont val="Tahoma"/>
            <family val="2"/>
          </rPr>
          <t xml:space="preserve">
3.4.13
</t>
        </r>
        <r>
          <rPr>
            <sz val="8"/>
            <color indexed="81"/>
            <rFont val="Tahoma"/>
            <family val="2"/>
          </rPr>
          <t>Reaffirmed $100M benefit to FY13 (100% contracted) and FY14 (50% contracted) from green coffee deflation. Also expect tailwind to FY15 (not yet contracted) since it's currently trading below FY14 average price</t>
        </r>
        <r>
          <rPr>
            <b/>
            <sz val="8"/>
            <color indexed="81"/>
            <rFont val="Tahoma"/>
            <family val="2"/>
          </rPr>
          <t xml:space="preserve">
12.5.12
</t>
        </r>
        <r>
          <rPr>
            <sz val="8"/>
            <color indexed="81"/>
            <rFont val="Tahoma"/>
            <family val="2"/>
          </rPr>
          <t>Estimates due to 6-month price protection:
Arabica "C" price/lb: TBD
SBUX P&amp;L price/lb: ~$2.04
YoY impact to operating income: +$100M</t>
        </r>
      </text>
    </comment>
    <comment ref="DC58" authorId="11">
      <text>
        <r>
          <rPr>
            <b/>
            <sz val="8"/>
            <color indexed="81"/>
            <rFont val="Tahoma"/>
            <family val="2"/>
          </rPr>
          <t xml:space="preserve">4.15
12.4.14
</t>
        </r>
        <r>
          <rPr>
            <sz val="8"/>
            <color indexed="81"/>
            <rFont val="Tahoma"/>
            <family val="2"/>
          </rPr>
          <t xml:space="preserve">2014 Analyst day:
COGS down 100bps in FY15 (not operating) 
Green coffee roughly flat vs 14
In FY15 will see $200 M in benefits from supply chain (part of initiaitve described below) = ~100 bps
</t>
        </r>
        <r>
          <rPr>
            <b/>
            <sz val="8"/>
            <color indexed="81"/>
            <rFont val="Tahoma"/>
            <family val="2"/>
          </rPr>
          <t xml:space="preserve">$1 B in savings over 4 years </t>
        </r>
        <r>
          <rPr>
            <sz val="8"/>
            <color indexed="81"/>
            <rFont val="Tahoma"/>
            <family val="2"/>
          </rPr>
          <t xml:space="preserve">
$250-$300 supply chain
$250-$300 sourcing
$75-$100 waste
$150-200  product mix
$100 M other</t>
        </r>
        <r>
          <rPr>
            <b/>
            <sz val="8"/>
            <color indexed="81"/>
            <rFont val="Tahoma"/>
            <family val="2"/>
          </rPr>
          <t xml:space="preserve">
4.24.14:
</t>
        </r>
        <r>
          <rPr>
            <sz val="8"/>
            <color indexed="81"/>
            <rFont val="Tahoma"/>
            <family val="2"/>
          </rPr>
          <t>More than 40% of FY15 supply locked in for FY15 at prices slightly down Y/Y. "Have the luxury of time to wait and see how crop turns out (commodity coffee at ~$2.10 on this date)</t>
        </r>
        <r>
          <rPr>
            <b/>
            <sz val="8"/>
            <color indexed="81"/>
            <rFont val="Tahoma"/>
            <family val="2"/>
          </rPr>
          <t xml:space="preserve">
10.13:
green coffee ($1.07 at current c price) </t>
        </r>
        <r>
          <rPr>
            <sz val="8"/>
            <color indexed="81"/>
            <rFont val="Tahoma"/>
            <family val="2"/>
          </rPr>
          <t>approaching floor for sbux to keep farmienrs in business. sees limited incremental benefit in 15 vs 14</t>
        </r>
        <r>
          <rPr>
            <b/>
            <sz val="8"/>
            <color indexed="81"/>
            <rFont val="Tahoma"/>
            <family val="2"/>
          </rPr>
          <t xml:space="preserve">
3.4.13
</t>
        </r>
        <r>
          <rPr>
            <sz val="8"/>
            <color indexed="81"/>
            <rFont val="Tahoma"/>
            <family val="2"/>
          </rPr>
          <t xml:space="preserve">Reaffirmed $100M benefit to FY13 (100% contracted) and FY14 (50% contracted) from green coffee deflation. Also expect tailwind to FY15 (not yet contracted) since it's currently trading below FY14 average price
</t>
        </r>
      </text>
    </comment>
    <comment ref="DH58" authorId="4">
      <text>
        <r>
          <rPr>
            <b/>
            <sz val="9"/>
            <color indexed="81"/>
            <rFont val="Tahoma"/>
            <family val="2"/>
          </rPr>
          <t xml:space="preserve">4.16: '16 coffee needs contracted w a slightly favorable imapct vs 15
cosgs declined due to sales leverage  (70 bp) and lower gree coffee (50 bps)
10.29.15
Commodities impact is slightly favorable; over 90% of our 2016 coffee costs locked
4.15: 70% bougth forward fr coffee in FY16 at prices somewhat favorable to 15...
</t>
        </r>
        <r>
          <rPr>
            <sz val="9"/>
            <color indexed="81"/>
            <rFont val="Tahoma"/>
            <family val="2"/>
          </rPr>
          <t xml:space="preserve">
12.14: $1 b in savings in COGs over 4 yrs beginning in FY15</t>
        </r>
      </text>
    </comment>
    <comment ref="DM58" authorId="4">
      <text>
        <r>
          <rPr>
            <b/>
            <sz val="9"/>
            <color indexed="81"/>
            <rFont val="Tahoma"/>
            <family val="2"/>
          </rPr>
          <t>Glass, John (Research):</t>
        </r>
        <r>
          <rPr>
            <sz val="9"/>
            <color indexed="81"/>
            <rFont val="Tahoma"/>
            <family val="2"/>
          </rPr>
          <t xml:space="preserve">
12.17: + 50 bs y/y duie to
    mix shift to food (70 bps)
   offset by sales leverage (30 bps)
</t>
        </r>
        <r>
          <rPr>
            <b/>
            <sz val="9"/>
            <color indexed="81"/>
            <rFont val="Tahoma"/>
            <family val="2"/>
          </rPr>
          <t>4.27.2017</t>
        </r>
        <r>
          <rPr>
            <sz val="9"/>
            <color indexed="81"/>
            <rFont val="Tahoma"/>
            <family val="2"/>
          </rPr>
          <t xml:space="preserve">
Looking at commodities and FX. Our coffee needs for 2017 are almost fully price locked, and we expect commodities will be slightly unfavorable in the back half of the year.
</t>
        </r>
        <r>
          <rPr>
            <b/>
            <sz val="9"/>
            <color indexed="81"/>
            <rFont val="Tahoma"/>
            <family val="2"/>
          </rPr>
          <t>1.26.2017</t>
        </r>
        <r>
          <rPr>
            <sz val="9"/>
            <color indexed="81"/>
            <rFont val="Tahoma"/>
            <family val="2"/>
          </rPr>
          <t xml:space="preserve">
With our coffee needs for fiscal 2017 approximately 80% price-locked, we do not expect commodities to materially impact our year-over-year profit growth. Commodities in total will be slightly favorable in the first half of the year and slightly unfavorable in the back half.
</t>
        </r>
        <r>
          <rPr>
            <b/>
            <sz val="9"/>
            <color indexed="81"/>
            <rFont val="Tahoma"/>
            <family val="2"/>
          </rPr>
          <t>11.3.2016</t>
        </r>
        <r>
          <rPr>
            <sz val="9"/>
            <color indexed="81"/>
            <rFont val="Tahoma"/>
            <family val="2"/>
          </rPr>
          <t xml:space="preserve">
Neither FX or commodities are expected to have a major impact on year-over-year profit growth with FX slightly unfavorable and commodities
slightly favorable. We have our coffee needs about two-thirds price locked for 2017.
</t>
        </r>
        <r>
          <rPr>
            <b/>
            <sz val="9"/>
            <color indexed="81"/>
            <rFont val="Tahoma"/>
            <family val="2"/>
          </rPr>
          <t>12:14:</t>
        </r>
        <r>
          <rPr>
            <sz val="9"/>
            <color indexed="81"/>
            <rFont val="Tahoma"/>
            <family val="2"/>
          </rPr>
          <t xml:space="preserve"> $1 b in savingsinCOGs over four years beginningin FY15</t>
        </r>
      </text>
    </comment>
    <comment ref="DR58" authorId="9">
      <text>
        <r>
          <rPr>
            <b/>
            <sz val="9"/>
            <color indexed="81"/>
            <rFont val="Tahoma"/>
            <family val="2"/>
          </rPr>
          <t>Carril, Christopher E (Research):</t>
        </r>
        <r>
          <rPr>
            <sz val="9"/>
            <color indexed="81"/>
            <rFont val="Tahoma"/>
            <family val="2"/>
          </rPr>
          <t xml:space="preserve">
11.2.2017
Neither FX nor commodities are expected to have a major impact on year-over-year profit growth, and our coffee needs are roughly 75% price locked for fiscal 2018.</t>
        </r>
      </text>
    </comment>
    <comment ref="DW58" authorId="3">
      <text>
        <r>
          <rPr>
            <b/>
            <sz val="9"/>
            <color indexed="81"/>
            <rFont val="Tahoma"/>
            <family val="2"/>
          </rPr>
          <t>O'Brien, Courtney (Research):</t>
        </r>
        <r>
          <rPr>
            <sz val="9"/>
            <color indexed="81"/>
            <rFont val="Tahoma"/>
            <family val="2"/>
          </rPr>
          <t xml:space="preserve">
2014 Analyst Day: down $1bn</t>
        </r>
      </text>
    </comment>
    <comment ref="AR59" authorId="0">
      <text>
        <r>
          <rPr>
            <b/>
            <sz val="8"/>
            <color indexed="81"/>
            <rFont val="Tahoma"/>
            <family val="2"/>
          </rPr>
          <t xml:space="preserve">John S Glass:
</t>
        </r>
        <r>
          <rPr>
            <sz val="8"/>
            <color indexed="81"/>
            <rFont val="Tahoma"/>
            <family val="2"/>
          </rPr>
          <t>increased marketing and maintenance costs...</t>
        </r>
        <r>
          <rPr>
            <sz val="8"/>
            <color indexed="81"/>
            <rFont val="Tahoma"/>
            <family val="2"/>
          </rPr>
          <t xml:space="preserve">
</t>
        </r>
      </text>
    </comment>
    <comment ref="AV59" authorId="0">
      <text>
        <r>
          <rPr>
            <sz val="8"/>
            <color indexed="81"/>
            <rFont val="Tahoma"/>
            <family val="2"/>
          </rPr>
          <t>1/21/04 due to "leverage gained on fixed exp spread over expanded rev base,... offset by higher holiday marketing expenditures."</t>
        </r>
        <r>
          <rPr>
            <sz val="8"/>
            <color indexed="81"/>
            <rFont val="Tahoma"/>
            <family val="2"/>
          </rPr>
          <t xml:space="preserve">
</t>
        </r>
      </text>
    </comment>
    <comment ref="AW59" authorId="0">
      <text>
        <r>
          <rPr>
            <sz val="8"/>
            <color indexed="81"/>
            <rFont val="Tahoma"/>
            <family val="2"/>
          </rPr>
          <t>4/21/04 partially offset by global leadership conference (May 04) costs.</t>
        </r>
        <r>
          <rPr>
            <sz val="8"/>
            <color indexed="81"/>
            <rFont val="Tahoma"/>
            <family val="2"/>
          </rPr>
          <t xml:space="preserve">
</t>
        </r>
      </text>
    </comment>
    <comment ref="AX59" authorId="0">
      <text>
        <r>
          <rPr>
            <sz val="8"/>
            <color indexed="81"/>
            <rFont val="Tahoma"/>
            <family val="2"/>
          </rPr>
          <t>7/21/04 Higher costs in the prior year assoc with regional leadership conferences and provisions for asset impairment for international company-operated retail stores. In this quarter, held first global leadership conference for employees</t>
        </r>
        <r>
          <rPr>
            <sz val="8"/>
            <color indexed="81"/>
            <rFont val="Tahoma"/>
            <family val="2"/>
          </rPr>
          <t xml:space="preserve">
</t>
        </r>
      </text>
    </comment>
    <comment ref="AY59" authorId="0">
      <text>
        <r>
          <rPr>
            <sz val="8"/>
            <color indexed="81"/>
            <rFont val="Tahoma"/>
            <family val="2"/>
          </rPr>
          <t>11/10/04 inc. due to higher payroll-related expenses and costs for maintaining retail stores and equipment due to sustained high traffic levels.</t>
        </r>
        <r>
          <rPr>
            <sz val="8"/>
            <color indexed="81"/>
            <rFont val="Tahoma"/>
            <family val="2"/>
          </rPr>
          <t xml:space="preserve">
</t>
        </r>
      </text>
    </comment>
    <comment ref="BA59" authorId="0">
      <text>
        <r>
          <rPr>
            <b/>
            <sz val="8"/>
            <color indexed="81"/>
            <rFont val="Tahoma"/>
            <family val="2"/>
          </rPr>
          <t xml:space="preserve">glassj:
</t>
        </r>
        <r>
          <rPr>
            <sz val="8"/>
            <color indexed="81"/>
            <rFont val="Tahoma"/>
            <family val="2"/>
          </rPr>
          <t>1/26/05 higher marketing/payroll for pallned acceleration of units; higher maint. &amp; repair</t>
        </r>
        <r>
          <rPr>
            <sz val="8"/>
            <color indexed="81"/>
            <rFont val="Tahoma"/>
            <family val="2"/>
          </rPr>
          <t xml:space="preserve">
</t>
        </r>
      </text>
    </comment>
    <comment ref="BB59" authorId="0">
      <text>
        <r>
          <rPr>
            <b/>
            <sz val="8"/>
            <color indexed="81"/>
            <rFont val="Tahoma"/>
            <family val="2"/>
          </rPr>
          <t xml:space="preserve">towerj:
</t>
        </r>
        <r>
          <rPr>
            <sz val="8"/>
            <color indexed="81"/>
            <rFont val="Tahoma"/>
            <family val="2"/>
          </rPr>
          <t>5.10.05 - Y/Y increase primarily due to higher payroll−related expenditures, higher maintenance and repair expenditures. The higher payroll expenditures were primarily the result of additional employees for future planned acceleration of Company−operated
store openings, extended store operating hours and a higher number of drive−thru locations opened in the past year.</t>
        </r>
      </text>
    </comment>
    <comment ref="BC59" authorId="0">
      <text>
        <r>
          <rPr>
            <b/>
            <sz val="8"/>
            <color indexed="81"/>
            <rFont val="Tahoma"/>
            <family val="2"/>
          </rPr>
          <t xml:space="preserve">towerj:
</t>
        </r>
        <r>
          <rPr>
            <sz val="8"/>
            <color indexed="81"/>
            <rFont val="Tahoma"/>
            <family val="2"/>
          </rPr>
          <t>7.29.05 - Y/Y decrease primarily due to higher average revenue per retail transaction, partially offset by higher payroll expenditures. In order to facilitate ongoing, accelerated retail store growth, the Company has been increasing the number of assistant store managers and opening a higher number of drive-thru locations over the past year, which has contributed to the higher payroll expenditures.</t>
        </r>
        <r>
          <rPr>
            <sz val="8"/>
            <color indexed="81"/>
            <rFont val="Tahoma"/>
            <family val="2"/>
          </rPr>
          <t xml:space="preserve">
</t>
        </r>
      </text>
    </comment>
    <comment ref="BG59" authorId="0">
      <text>
        <r>
          <rPr>
            <b/>
            <sz val="8"/>
            <color indexed="81"/>
            <rFont val="Tahoma"/>
            <family val="2"/>
          </rPr>
          <t xml:space="preserve">towerj:
</t>
        </r>
        <r>
          <rPr>
            <sz val="8"/>
            <color indexed="81"/>
            <rFont val="Tahoma"/>
            <family val="2"/>
          </rPr>
          <t>5.3.06 higher due to payroll related to incentive comp &amp; SBC expense -- offset by shift of conf from 2Q to 3Q</t>
        </r>
        <r>
          <rPr>
            <sz val="8"/>
            <color indexed="81"/>
            <rFont val="Tahoma"/>
            <family val="2"/>
          </rPr>
          <t xml:space="preserve">
</t>
        </r>
      </text>
    </comment>
    <comment ref="BH59" authorId="0">
      <text>
        <r>
          <rPr>
            <b/>
            <sz val="8"/>
            <color indexed="81"/>
            <rFont val="Tahoma"/>
            <family val="2"/>
          </rPr>
          <t xml:space="preserve">towerj:
</t>
        </r>
        <r>
          <rPr>
            <sz val="8"/>
            <color indexed="81"/>
            <rFont val="Tahoma"/>
            <family val="2"/>
          </rPr>
          <t>5.3.06 includes cost from  regional leadership conferences
8.2.06 higher Y/Y to SBC expense, higher healthcare costs, and regional leadership conference switch to F3q from F2Q05</t>
        </r>
        <r>
          <rPr>
            <sz val="8"/>
            <color indexed="81"/>
            <rFont val="Tahoma"/>
            <family val="2"/>
          </rPr>
          <t xml:space="preserve">
</t>
        </r>
      </text>
    </comment>
    <comment ref="BI59" authorId="0">
      <text>
        <r>
          <rPr>
            <b/>
            <sz val="8"/>
            <color indexed="81"/>
            <rFont val="Tahoma"/>
            <family val="2"/>
          </rPr>
          <t xml:space="preserve">towerj:
</t>
        </r>
        <r>
          <rPr>
            <sz val="8"/>
            <color indexed="81"/>
            <rFont val="Tahoma"/>
            <family val="2"/>
          </rPr>
          <t>11.16.06  This increase was primarily due to higher payroll expenditures for U.S. retail stores, including an increase in the number of assistant store managers and regional support positions in order to facilitate accelerated retail store growth. In addition, payroll-related expenditures increased due to the recognition of stock-based compensation expense.</t>
        </r>
        <r>
          <rPr>
            <b/>
            <sz val="8"/>
            <color indexed="81"/>
            <rFont val="Tahoma"/>
            <family val="2"/>
          </rPr>
          <t xml:space="preserve">
</t>
        </r>
        <r>
          <rPr>
            <sz val="8"/>
            <color indexed="81"/>
            <rFont val="Tahoma"/>
            <family val="2"/>
          </rPr>
          <t xml:space="preserve">
</t>
        </r>
      </text>
    </comment>
    <comment ref="BK59" authorId="0">
      <text>
        <r>
          <rPr>
            <b/>
            <sz val="8"/>
            <color indexed="81"/>
            <rFont val="Tahoma"/>
            <family val="2"/>
          </rPr>
          <t xml:space="preserve">towerj:
</t>
        </r>
        <r>
          <rPr>
            <sz val="8"/>
            <color indexed="81"/>
            <rFont val="Tahoma"/>
            <family val="2"/>
          </rPr>
          <t>1.31.07
This increase was primarily due to higher payroll expenditures from an increase in the average hourly wage rate for retail store partners.
Paying for theincrease w/oct 06 prcie increase and no leadership conference thi syr</t>
        </r>
        <r>
          <rPr>
            <sz val="8"/>
            <color indexed="81"/>
            <rFont val="Tahoma"/>
            <family val="2"/>
          </rPr>
          <t xml:space="preserve">
</t>
        </r>
      </text>
    </comment>
    <comment ref="BL59" authorId="0">
      <text>
        <r>
          <rPr>
            <b/>
            <sz val="8"/>
            <color indexed="81"/>
            <rFont val="Tahoma"/>
            <family val="2"/>
          </rPr>
          <t xml:space="preserve">towerj:
</t>
        </r>
        <r>
          <rPr>
            <sz val="8"/>
            <color indexed="81"/>
            <rFont val="Tahoma"/>
            <family val="2"/>
          </rPr>
          <t>5.3.07
This decrease was primarily due to higher provisions for incentive compensation in the prior year due to exceptionally strong performance.
1.31.07
store op expense will be favorable Y/Y beginning in F2Q -- even including store management wage increase.</t>
        </r>
        <r>
          <rPr>
            <sz val="8"/>
            <color indexed="81"/>
            <rFont val="Tahoma"/>
            <family val="2"/>
          </rPr>
          <t xml:space="preserve">
</t>
        </r>
      </text>
    </comment>
    <comment ref="BM59" authorId="0">
      <text>
        <r>
          <rPr>
            <b/>
            <sz val="8"/>
            <color indexed="81"/>
            <rFont val="Tahoma"/>
            <family val="2"/>
          </rPr>
          <t xml:space="preserve">towerj:
</t>
        </r>
        <r>
          <rPr>
            <sz val="8"/>
            <color indexed="81"/>
            <rFont val="Tahoma"/>
            <family val="2"/>
          </rPr>
          <t>8.1.07
primarily due to controlled discretionary spending.
1.31.07
store op expense will be favorable Y/Y beginning in F2Q -- even including store management wage increase.</t>
        </r>
        <r>
          <rPr>
            <sz val="8"/>
            <color indexed="81"/>
            <rFont val="Tahoma"/>
            <family val="2"/>
          </rPr>
          <t xml:space="preserve">
</t>
        </r>
      </text>
    </comment>
    <comment ref="BN59" authorId="0">
      <text>
        <r>
          <rPr>
            <b/>
            <sz val="8"/>
            <color indexed="81"/>
            <rFont val="Tahoma"/>
            <family val="2"/>
          </rPr>
          <t>towerj:
1.31.07
store op expense will be favorable Y/Y beginning in F2Q -- even including store management wage increase.</t>
        </r>
        <r>
          <rPr>
            <sz val="8"/>
            <color indexed="81"/>
            <rFont val="Tahoma"/>
            <family val="2"/>
          </rPr>
          <t xml:space="preserve">
</t>
        </r>
      </text>
    </comment>
    <comment ref="BO59" authorId="0">
      <text>
        <r>
          <rPr>
            <b/>
            <sz val="8"/>
            <color indexed="81"/>
            <rFont val="Tahoma"/>
            <family val="2"/>
          </rPr>
          <t>towerj:
1.31.07
store op expense will be favorable Y/Y beginning in F2Q -- even including store management wage increase.</t>
        </r>
        <r>
          <rPr>
            <sz val="8"/>
            <color indexed="81"/>
            <rFont val="Tahoma"/>
            <family val="2"/>
          </rPr>
          <t xml:space="preserve">
</t>
        </r>
      </text>
    </comment>
    <comment ref="BP59" authorId="1">
      <text>
        <r>
          <rPr>
            <b/>
            <sz val="8"/>
            <color indexed="81"/>
            <rFont val="Tahoma"/>
            <family val="2"/>
          </rPr>
          <t>Jon Tower:
1.28.09
includes $4M in impairment expense</t>
        </r>
        <r>
          <rPr>
            <sz val="8"/>
            <color indexed="81"/>
            <rFont val="Tahoma"/>
            <family val="2"/>
          </rPr>
          <t xml:space="preserve">
1.30.08
higher payroll in US (wage increases) &amp; sales deleveraging</t>
        </r>
      </text>
    </comment>
    <comment ref="BR59" authorId="1">
      <text>
        <r>
          <rPr>
            <b/>
            <sz val="8"/>
            <color indexed="81"/>
            <rFont val="Tahoma"/>
            <family val="2"/>
          </rPr>
          <t>Jon Tower:</t>
        </r>
        <r>
          <rPr>
            <sz val="8"/>
            <color indexed="81"/>
            <rFont val="Tahoma"/>
            <family val="2"/>
          </rPr>
          <t xml:space="preserve">
7.30.08
The increase was primarily due to higher payroll expenditures as a percentage of revenues in the U.S. business as well as costs related to the company’s transformation strategy.</t>
        </r>
      </text>
    </comment>
    <comment ref="BS59" authorId="1">
      <text>
        <r>
          <rPr>
            <b/>
            <sz val="8"/>
            <color indexed="81"/>
            <rFont val="Tahoma"/>
            <family val="2"/>
          </rPr>
          <t>Jon Tower:</t>
        </r>
        <r>
          <rPr>
            <sz val="8"/>
            <color indexed="81"/>
            <rFont val="Tahoma"/>
            <family val="2"/>
          </rPr>
          <t xml:space="preserve">
11.10.08
. The increase was primarily due to higher payroll expenditures as a percentage of revenues in the U.S. business, as well as impairment provisions for under-performing stores in the U.S. and International markets</t>
        </r>
      </text>
    </comment>
    <comment ref="BT59" authorId="1">
      <text>
        <r>
          <rPr>
            <b/>
            <sz val="8"/>
            <color indexed="81"/>
            <rFont val="Tahoma"/>
            <family val="2"/>
          </rPr>
          <t>Jon Tower:</t>
        </r>
        <r>
          <rPr>
            <sz val="8"/>
            <color indexed="81"/>
            <rFont val="Tahoma"/>
            <family val="2"/>
          </rPr>
          <t xml:space="preserve">
11.10.08
The majority of the 72 million in transformation related charges, about 90% was in store operating expenses (or $65M) with more than 80% of that (or $52M) in the U.S. segment. These costs were primarily related to dead site costs and overhead write-offs associated with the reduction in new store openings.</t>
        </r>
      </text>
    </comment>
    <comment ref="BU59" authorId="1">
      <text>
        <r>
          <rPr>
            <b/>
            <sz val="8"/>
            <color indexed="81"/>
            <rFont val="Tahoma"/>
            <family val="2"/>
          </rPr>
          <t>Jon Tower:</t>
        </r>
        <r>
          <rPr>
            <sz val="8"/>
            <color indexed="81"/>
            <rFont val="Tahoma"/>
            <family val="2"/>
          </rPr>
          <t xml:space="preserve">
1.28.09
 The increase was primarily due to higher payroll expenditures as a percentage of revenues in the U.S. and International segments and costs for the company’s North America leadership conference held in New Orleans in October 2008. In addition, $23 million in store impairment charge were recorded compared with $4 million in the comparable prior year period. Partially offsetting the increases noted were savings from reduced headcount in the regional overhead support organization.</t>
        </r>
      </text>
    </comment>
    <comment ref="BX59" authorId="1">
      <text>
        <r>
          <rPr>
            <b/>
            <sz val="8"/>
            <color indexed="81"/>
            <rFont val="Tahoma"/>
            <family val="2"/>
          </rPr>
          <t>Jon Tower:</t>
        </r>
        <r>
          <rPr>
            <sz val="8"/>
            <color indexed="81"/>
            <rFont val="Tahoma"/>
            <family val="2"/>
          </rPr>
          <t xml:space="preserve">
11.5.09
Our effective tax rate for the quarter was lower than the normal due to tax audit settlement.  As a result of the settlement we've record approximately $17 million in additional payroll tax for the quarter which shows up in our store operating expenses.  This additional payroll tax is fully offset by an income tax credit resulting in no impact on net profit.  This tax audit settlement lowered our effective tax rate by roughly 4.5 percentage points in the quarter otherwise the effective tax rate would have been in line with our historical rate.</t>
        </r>
      </text>
    </comment>
    <comment ref="CA59" authorId="1">
      <text>
        <r>
          <rPr>
            <b/>
            <sz val="8"/>
            <color indexed="81"/>
            <rFont val="Tahoma"/>
            <family val="2"/>
          </rPr>
          <t xml:space="preserve">Jon Tower:
4.21.10
</t>
        </r>
        <r>
          <rPr>
            <sz val="8"/>
            <color indexed="81"/>
            <rFont val="Tahoma"/>
            <family val="2"/>
          </rPr>
          <t xml:space="preserve">Lower store operating expenses as a percentage of net revenues also contributed to the margin expansion and was driven primarily by increased sales leverage, the closure of underperforming company-operated stores, and increased labor productivity. Also contributing to the decline in store operating expenses as a percentage of net revenues were lower benefits-related expenses
</t>
        </r>
        <r>
          <rPr>
            <sz val="8"/>
            <color indexed="81"/>
            <rFont val="Tahoma"/>
            <family val="2"/>
          </rPr>
          <t xml:space="preserve">
1.20.10
will increase marketing spend ($0.04 or ~$45M) in the last 3 quarters of FY10</t>
        </r>
      </text>
    </comment>
    <comment ref="CB59" authorId="1">
      <text>
        <r>
          <rPr>
            <b/>
            <sz val="8"/>
            <color indexed="81"/>
            <rFont val="Tahoma"/>
            <family val="2"/>
          </rPr>
          <t xml:space="preserve">Jon Tower:
7.21.10
</t>
        </r>
        <r>
          <rPr>
            <sz val="8"/>
            <color indexed="81"/>
            <rFont val="Tahoma"/>
            <family val="2"/>
          </rPr>
          <t xml:space="preserve">In particular and in line with our outlook last quarter, we invested roughly $0.04 per share in incremental marketing compared to last year to support the launch of VIA into the U.S. CPG channel as well as the introduction of our new customizable frappuccino product in
our North American retail stores
</t>
        </r>
        <r>
          <rPr>
            <sz val="8"/>
            <color indexed="81"/>
            <rFont val="Tahoma"/>
            <family val="2"/>
          </rPr>
          <t xml:space="preserve">
1.20.10
will increase marketing spend ($0.04 or ~$45M) in the last 3 quarters of FY10</t>
        </r>
      </text>
    </comment>
    <comment ref="CC59" authorId="1">
      <text>
        <r>
          <rPr>
            <b/>
            <sz val="8"/>
            <color indexed="81"/>
            <rFont val="Tahoma"/>
            <family val="2"/>
          </rPr>
          <t xml:space="preserve">Jon Tower:
7.21.10
The operating margin outlook includes approximately $0.02 of incremental marketing in Q4
compared to FY2009
</t>
        </r>
        <r>
          <rPr>
            <sz val="8"/>
            <color indexed="81"/>
            <rFont val="Tahoma"/>
            <family val="2"/>
          </rPr>
          <t xml:space="preserve">
1.20.10
will increase marketing spend ($0.04 or ~$45M) in the last 3 quarters of FY10</t>
        </r>
      </text>
    </comment>
    <comment ref="CI59" authorId="1">
      <text>
        <r>
          <rPr>
            <b/>
            <sz val="8"/>
            <color indexed="81"/>
            <rFont val="Tahoma"/>
            <family val="2"/>
          </rPr>
          <t>Jon Tower:</t>
        </r>
        <r>
          <rPr>
            <sz val="8"/>
            <color indexed="81"/>
            <rFont val="Tahoma"/>
            <family val="2"/>
          </rPr>
          <t xml:space="preserve">
7.21.10
Lastly in terms of marketing, we expect to spend at roughly the same rate as FY2010,
which is approximately 2.5% of total net revenues
• It is worth noting that the level of marketing spend in past years has been much lower,
including 1.7% in FY2009
o These run rates include marketing expenses that we record directly such as those
that are in our store channel plus marketing expenses that are recorded indirectly
through shared profit models such as our packaged coffee business</t>
        </r>
      </text>
    </comment>
    <comment ref="CJ59"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K59"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L59"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M59"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N59"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S59" authorId="8">
      <text>
        <r>
          <rPr>
            <b/>
            <sz val="8"/>
            <color indexed="81"/>
            <rFont val="Tahoma"/>
            <family val="2"/>
          </rPr>
          <t xml:space="preserve">2013 10K:
</t>
        </r>
        <r>
          <rPr>
            <sz val="8"/>
            <color indexed="81"/>
            <rFont val="Tahoma"/>
            <family val="2"/>
          </rPr>
          <t xml:space="preserve">70bps benefit from sales leverage in the Americas. 50bps benefit from portfolio optimization in Europe, partially offset by 60bps neg impact from Teavana and investment in emergin brands. </t>
        </r>
        <r>
          <rPr>
            <sz val="8"/>
            <color indexed="81"/>
            <rFont val="Tahoma"/>
            <family val="2"/>
          </rPr>
          <t xml:space="preserve">
</t>
        </r>
      </text>
    </comment>
    <comment ref="CT59" authorId="8">
      <text>
        <r>
          <rPr>
            <b/>
            <sz val="8"/>
            <color indexed="81"/>
            <rFont val="Tahoma"/>
            <family val="2"/>
          </rPr>
          <t xml:space="preserve">10Q:
</t>
        </r>
        <r>
          <rPr>
            <sz val="8"/>
            <color indexed="81"/>
            <rFont val="Tahoma"/>
            <family val="2"/>
          </rPr>
          <t>Lapped 80bps litigation charge in 1Q13. Also had lower marketing (60bps) this quarter, due to lapping Verismo launch.</t>
        </r>
        <r>
          <rPr>
            <sz val="8"/>
            <color indexed="81"/>
            <rFont val="Tahoma"/>
            <family val="2"/>
          </rPr>
          <t xml:space="preserve">
</t>
        </r>
      </text>
    </comment>
    <comment ref="DH59" authorId="3">
      <text>
        <r>
          <rPr>
            <b/>
            <sz val="9"/>
            <color indexed="81"/>
            <rFont val="Tahoma"/>
            <family val="2"/>
          </rPr>
          <t xml:space="preserve">O'Brien, Courtney (Research):
increased 20 bps due to:
higher partner and digital (80 bps), offset by sales leverage (30 bps)
</t>
        </r>
        <r>
          <rPr>
            <sz val="9"/>
            <color indexed="81"/>
            <rFont val="Tahoma"/>
            <family val="2"/>
          </rPr>
          <t xml:space="preserve">
10.29.15
+1000-125 M y/y = 35 hit to EPS;  $250 million and $275 million total investment compared to approximately $145 million in fiscal 2015.</t>
        </r>
      </text>
    </comment>
    <comment ref="DM59" authorId="9">
      <text>
        <r>
          <rPr>
            <b/>
            <sz val="9"/>
            <color indexed="81"/>
            <rFont val="Tahoma"/>
            <family val="2"/>
          </rPr>
          <t>Carril, Christopher E (Research):</t>
        </r>
        <r>
          <rPr>
            <sz val="9"/>
            <color indexed="81"/>
            <rFont val="Tahoma"/>
            <family val="2"/>
          </rPr>
          <t xml:space="preserve">
+80 bp of retail sales
due to: (150 bp) pressure from digital investments, offset by 90 bp from sales leverage
</t>
        </r>
        <r>
          <rPr>
            <b/>
            <sz val="9"/>
            <color indexed="81"/>
            <rFont val="Tahoma"/>
            <family val="2"/>
          </rPr>
          <t>11.3.2016</t>
        </r>
        <r>
          <rPr>
            <sz val="9"/>
            <color indexed="81"/>
            <rFont val="Tahoma"/>
            <family val="2"/>
          </rPr>
          <t xml:space="preserve">
We expect partner and digital investments to increase by approximately $250 million versus an increase of approximately $160 million
in 2016. The bulk of these investments will be in the US and driven by increased partner wages and benefits.</t>
        </r>
      </text>
    </comment>
    <comment ref="AM60" authorId="0">
      <text>
        <r>
          <rPr>
            <sz val="8"/>
            <color indexed="81"/>
            <rFont val="Tahoma"/>
            <family val="2"/>
          </rPr>
          <t>Spending more to grow out licensed channel</t>
        </r>
        <r>
          <rPr>
            <sz val="8"/>
            <color indexed="81"/>
            <rFont val="Tahoma"/>
            <family val="2"/>
          </rPr>
          <t xml:space="preserve">
</t>
        </r>
      </text>
    </comment>
    <comment ref="AR60" authorId="0">
      <text>
        <r>
          <rPr>
            <b/>
            <sz val="8"/>
            <color indexed="81"/>
            <rFont val="Tahoma"/>
            <family val="2"/>
          </rPr>
          <t xml:space="preserve">John S Glass:
</t>
        </r>
        <r>
          <rPr>
            <sz val="8"/>
            <color indexed="81"/>
            <rFont val="Tahoma"/>
            <family val="2"/>
          </rPr>
          <t xml:space="preserve">includes $2 million for closing israel, as well as higher payroll related to speciaty </t>
        </r>
        <r>
          <rPr>
            <sz val="8"/>
            <color indexed="81"/>
            <rFont val="Tahoma"/>
            <family val="2"/>
          </rPr>
          <t xml:space="preserve">
</t>
        </r>
      </text>
    </comment>
    <comment ref="AV60" authorId="0">
      <text>
        <r>
          <rPr>
            <sz val="8"/>
            <color indexed="81"/>
            <rFont val="Tahoma"/>
            <family val="2"/>
          </rPr>
          <t>1/21/04 due to "expanding foodservice distribution network and maintaining new and existing customer accts."</t>
        </r>
        <r>
          <rPr>
            <sz val="8"/>
            <color indexed="81"/>
            <rFont val="Tahoma"/>
            <family val="2"/>
          </rPr>
          <t xml:space="preserve">
</t>
        </r>
      </text>
    </comment>
    <comment ref="AW60" authorId="0">
      <text>
        <r>
          <rPr>
            <b/>
            <sz val="8"/>
            <color indexed="81"/>
            <rFont val="Tahoma"/>
            <family val="2"/>
          </rPr>
          <t xml:space="preserve">John S Glass:
</t>
        </r>
        <r>
          <rPr>
            <sz val="8"/>
            <color indexed="81"/>
            <rFont val="Tahoma"/>
            <family val="2"/>
          </rPr>
          <t>lapping israeli charge $2 M</t>
        </r>
      </text>
    </comment>
    <comment ref="AX60" authorId="0">
      <text>
        <r>
          <rPr>
            <sz val="8"/>
            <color indexed="81"/>
            <rFont val="Tahoma"/>
            <family val="2"/>
          </rPr>
          <t xml:space="preserve">
7/21/04 leverage gained on payroll-related exp, partially offset by asset impairment related to integrating Seattle Coffee Company grocery operations into Starbucks distribution channels.</t>
        </r>
        <r>
          <rPr>
            <sz val="8"/>
            <color indexed="81"/>
            <rFont val="Tahoma"/>
            <family val="2"/>
          </rPr>
          <t xml:space="preserve">
</t>
        </r>
      </text>
    </comment>
    <comment ref="AY60" authorId="0">
      <text>
        <r>
          <rPr>
            <sz val="8"/>
            <color indexed="81"/>
            <rFont val="Tahoma"/>
            <family val="2"/>
          </rPr>
          <t>11/10/04 dec. due to leverage gained on payroll-related exp. Distributed over an expanded revenue base.</t>
        </r>
        <r>
          <rPr>
            <sz val="8"/>
            <color indexed="81"/>
            <rFont val="Tahoma"/>
            <family val="2"/>
          </rPr>
          <t xml:space="preserve">
</t>
        </r>
      </text>
    </comment>
    <comment ref="AZ60" authorId="0">
      <text>
        <r>
          <rPr>
            <sz val="8"/>
            <color indexed="81"/>
            <rFont val="Tahoma"/>
            <family val="2"/>
          </rPr>
          <t>4/21/04 expect to see continued leverage</t>
        </r>
        <r>
          <rPr>
            <sz val="8"/>
            <color indexed="81"/>
            <rFont val="Tahoma"/>
            <family val="2"/>
          </rPr>
          <t xml:space="preserve">
</t>
        </r>
      </text>
    </comment>
    <comment ref="BA60" authorId="0">
      <text>
        <r>
          <rPr>
            <b/>
            <sz val="8"/>
            <color indexed="81"/>
            <rFont val="Tahoma"/>
            <family val="2"/>
          </rPr>
          <t xml:space="preserve">glassj:
</t>
        </r>
        <r>
          <rPr>
            <sz val="8"/>
            <color indexed="81"/>
            <rFont val="Tahoma"/>
            <family val="2"/>
          </rPr>
          <t>1/26/05 leverage from full inetegration of SCC, lower marketing  &amp; dist. In grocery and warehouse</t>
        </r>
        <r>
          <rPr>
            <sz val="8"/>
            <color indexed="81"/>
            <rFont val="Tahoma"/>
            <family val="2"/>
          </rPr>
          <t xml:space="preserve">
</t>
        </r>
      </text>
    </comment>
    <comment ref="BB60" authorId="0">
      <text>
        <r>
          <rPr>
            <b/>
            <sz val="8"/>
            <color indexed="81"/>
            <rFont val="Tahoma"/>
            <family val="2"/>
          </rPr>
          <t xml:space="preserve">towerj:
</t>
        </r>
        <r>
          <rPr>
            <sz val="8"/>
            <color indexed="81"/>
            <rFont val="Tahoma"/>
            <family val="2"/>
          </rPr>
          <t>5.10.05 - Y/Y decrease was primarily due to lower expenditures within the grocery and warehouse club businesses and efficiencies gained from the expansion of
the foodservice distribution network.</t>
        </r>
        <r>
          <rPr>
            <sz val="8"/>
            <color indexed="81"/>
            <rFont val="Tahoma"/>
            <family val="2"/>
          </rPr>
          <t xml:space="preserve">
</t>
        </r>
      </text>
    </comment>
    <comment ref="BC60" authorId="0">
      <text>
        <r>
          <rPr>
            <b/>
            <sz val="8"/>
            <color indexed="81"/>
            <rFont val="Tahoma"/>
            <family val="2"/>
          </rPr>
          <t xml:space="preserve">towerj:
</t>
        </r>
        <r>
          <rPr>
            <sz val="8"/>
            <color indexed="81"/>
            <rFont val="Tahoma"/>
            <family val="2"/>
          </rPr>
          <t>7.29.05 - Y/Y decrease was primarily due to lower expenditures
within the grocery and warehouse club channels, partially offset by higher
costs associated with expanding emerging specialty businesses, such as music
and consumer products.</t>
        </r>
        <r>
          <rPr>
            <sz val="8"/>
            <color indexed="81"/>
            <rFont val="Tahoma"/>
            <family val="2"/>
          </rPr>
          <t xml:space="preserve">
</t>
        </r>
      </text>
    </comment>
    <comment ref="BG60" authorId="0">
      <text>
        <r>
          <rPr>
            <b/>
            <sz val="8"/>
            <color indexed="81"/>
            <rFont val="Tahoma"/>
            <family val="2"/>
          </rPr>
          <t xml:space="preserve">towerj:
</t>
        </r>
        <r>
          <rPr>
            <sz val="8"/>
            <color indexed="81"/>
            <rFont val="Tahoma"/>
            <family val="2"/>
          </rPr>
          <t>5.3.06 higher due to SBC expense &amp; labor increases Y/Y</t>
        </r>
        <r>
          <rPr>
            <sz val="8"/>
            <color indexed="81"/>
            <rFont val="Tahoma"/>
            <family val="2"/>
          </rPr>
          <t xml:space="preserve">
</t>
        </r>
      </text>
    </comment>
    <comment ref="BH60" authorId="0">
      <text>
        <r>
          <rPr>
            <b/>
            <sz val="8"/>
            <color indexed="81"/>
            <rFont val="Tahoma"/>
            <family val="2"/>
          </rPr>
          <t xml:space="preserve">towerj:
</t>
        </r>
        <r>
          <rPr>
            <sz val="8"/>
            <color indexed="81"/>
            <rFont val="Tahoma"/>
            <family val="2"/>
          </rPr>
          <t>8.2.06 higher mkting and ad costs for RTD beverages in INTL and US mkts</t>
        </r>
        <r>
          <rPr>
            <sz val="8"/>
            <color indexed="81"/>
            <rFont val="Tahoma"/>
            <family val="2"/>
          </rPr>
          <t xml:space="preserve">
</t>
        </r>
      </text>
    </comment>
    <comment ref="BI60" authorId="0">
      <text>
        <r>
          <rPr>
            <b/>
            <sz val="8"/>
            <color indexed="81"/>
            <rFont val="Tahoma"/>
            <family val="2"/>
          </rPr>
          <t xml:space="preserve">towerj:
</t>
        </r>
        <r>
          <rPr>
            <sz val="8"/>
            <color indexed="81"/>
            <rFont val="Tahoma"/>
            <family val="2"/>
          </rPr>
          <t>11.16.06 The increase was primarily due to the recognition of stock-based compensation expense.</t>
        </r>
        <r>
          <rPr>
            <sz val="8"/>
            <color indexed="81"/>
            <rFont val="Tahoma"/>
            <family val="2"/>
          </rPr>
          <t xml:space="preserve">
</t>
        </r>
      </text>
    </comment>
    <comment ref="BJ60" authorId="0">
      <text>
        <r>
          <rPr>
            <b/>
            <sz val="8"/>
            <color indexed="81"/>
            <rFont val="Tahoma"/>
            <family val="2"/>
          </rPr>
          <t xml:space="preserve">towerj:
</t>
        </r>
        <r>
          <rPr>
            <sz val="8"/>
            <color indexed="81"/>
            <rFont val="Tahoma"/>
            <family val="2"/>
          </rPr>
          <t>11.17.05 expect higher other op expenses due to increased investment in INTL division (I.e. China) and expansion of Seattle's Best Coffee licensed cafes in Border books (expect to have 600 units up by YE 06 across the U.S.)</t>
        </r>
        <r>
          <rPr>
            <sz val="8"/>
            <color indexed="81"/>
            <rFont val="Tahoma"/>
            <family val="2"/>
          </rPr>
          <t xml:space="preserve">
</t>
        </r>
      </text>
    </comment>
    <comment ref="BL60" authorId="0">
      <text>
        <r>
          <rPr>
            <b/>
            <sz val="8"/>
            <color indexed="81"/>
            <rFont val="Tahoma"/>
            <family val="2"/>
          </rPr>
          <t xml:space="preserve">towerj:
</t>
        </r>
        <r>
          <rPr>
            <sz val="8"/>
            <color indexed="81"/>
            <rFont val="Tahoma"/>
            <family val="2"/>
          </rPr>
          <t>5.3.07
The increase was primarily due to higher marketing costs related to expansion of ready-to-drink coffee beverages in the Asia-Pacific region</t>
        </r>
        <r>
          <rPr>
            <sz val="8"/>
            <color indexed="81"/>
            <rFont val="Tahoma"/>
            <family val="2"/>
          </rPr>
          <t xml:space="preserve">
</t>
        </r>
      </text>
    </comment>
    <comment ref="BM60" authorId="0">
      <text>
        <r>
          <rPr>
            <sz val="8"/>
            <color indexed="81"/>
            <rFont val="Tahoma"/>
            <family val="2"/>
          </rPr>
          <t>8.1.07
The decline resulted primarily from lower marketing and advertising costs in fiscal 2007. (no Akeelah &amp; the Bee spend in FY07)</t>
        </r>
        <r>
          <rPr>
            <sz val="8"/>
            <color indexed="81"/>
            <rFont val="Tahoma"/>
            <family val="2"/>
          </rPr>
          <t xml:space="preserve">
</t>
        </r>
      </text>
    </comment>
    <comment ref="BP60" authorId="1">
      <text>
        <r>
          <rPr>
            <b/>
            <sz val="8"/>
            <color indexed="81"/>
            <rFont val="Tahoma"/>
            <family val="2"/>
          </rPr>
          <t>Jon Tower:</t>
        </r>
        <r>
          <rPr>
            <sz val="8"/>
            <color indexed="81"/>
            <rFont val="Tahoma"/>
            <family val="2"/>
          </rPr>
          <t xml:space="preserve">
1.30.08
higher INTL payroll expense </t>
        </r>
      </text>
    </comment>
    <comment ref="CJ60"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K60"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L60"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M60"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N60"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O60" authorId="6">
      <text>
        <r>
          <rPr>
            <b/>
            <sz val="8"/>
            <color indexed="81"/>
            <rFont val="Tahoma"/>
            <family val="2"/>
          </rPr>
          <t>Sushama Dasari:</t>
        </r>
        <r>
          <rPr>
            <sz val="8"/>
            <color indexed="81"/>
            <rFont val="Tahoma"/>
            <family val="2"/>
          </rPr>
          <t xml:space="preserve">
</t>
        </r>
        <r>
          <rPr>
            <b/>
            <sz val="8"/>
            <color indexed="81"/>
            <rFont val="Tahoma"/>
            <family val="2"/>
          </rPr>
          <t xml:space="preserve">1.24.13
</t>
        </r>
        <r>
          <rPr>
            <sz val="8"/>
            <color indexed="81"/>
            <rFont val="Tahoma"/>
            <family val="2"/>
          </rPr>
          <t>Marketing spend little bit higher than 4% sales (very high) due to Verismo launch. Don't expect this high in the future</t>
        </r>
      </text>
    </comment>
    <comment ref="CP60" authorId="6">
      <text>
        <r>
          <rPr>
            <b/>
            <sz val="8"/>
            <color indexed="81"/>
            <rFont val="Tahoma"/>
            <family val="2"/>
          </rPr>
          <t>Sushama Dasari:</t>
        </r>
        <r>
          <rPr>
            <sz val="8"/>
            <color indexed="81"/>
            <rFont val="Tahoma"/>
            <family val="2"/>
          </rPr>
          <t xml:space="preserve">
</t>
        </r>
        <r>
          <rPr>
            <b/>
            <sz val="8"/>
            <color indexed="81"/>
            <rFont val="Tahoma"/>
            <family val="2"/>
          </rPr>
          <t xml:space="preserve">1.24.13
</t>
        </r>
        <r>
          <rPr>
            <sz val="8"/>
            <color indexed="81"/>
            <rFont val="Tahoma"/>
            <family val="2"/>
          </rPr>
          <t>Expect marketing to be 3.5-4% of sales in 2-4Q (vs. &gt;4% in Q1)</t>
        </r>
      </text>
    </comment>
    <comment ref="CQ60" authorId="6">
      <text>
        <r>
          <rPr>
            <b/>
            <sz val="8"/>
            <color indexed="81"/>
            <rFont val="Tahoma"/>
            <family val="2"/>
          </rPr>
          <t xml:space="preserve">7.25.13
</t>
        </r>
        <r>
          <rPr>
            <sz val="8"/>
            <color indexed="81"/>
            <rFont val="Tahoma"/>
            <family val="2"/>
          </rPr>
          <t>The timing of marketing spend boosted F3Q13 margins by 50 bps (lapped launch of Blond roast)</t>
        </r>
        <r>
          <rPr>
            <sz val="8"/>
            <color indexed="81"/>
            <rFont val="Tahoma"/>
            <family val="2"/>
          </rPr>
          <t xml:space="preserve">
</t>
        </r>
        <r>
          <rPr>
            <b/>
            <sz val="8"/>
            <color indexed="81"/>
            <rFont val="Tahoma"/>
            <family val="2"/>
          </rPr>
          <t xml:space="preserve">1.24.13
</t>
        </r>
        <r>
          <rPr>
            <sz val="8"/>
            <color indexed="81"/>
            <rFont val="Tahoma"/>
            <family val="2"/>
          </rPr>
          <t>Expect marketing to be 3.5-4% of sales in 2-4Q (vs. &gt;4% in Q1)</t>
        </r>
      </text>
    </comment>
    <comment ref="CR60" authorId="6">
      <text>
        <r>
          <rPr>
            <b/>
            <sz val="8"/>
            <color indexed="81"/>
            <rFont val="Tahoma"/>
            <family val="2"/>
          </rPr>
          <t>Sushama Dasari:</t>
        </r>
        <r>
          <rPr>
            <sz val="8"/>
            <color indexed="81"/>
            <rFont val="Tahoma"/>
            <family val="2"/>
          </rPr>
          <t xml:space="preserve">
</t>
        </r>
        <r>
          <rPr>
            <b/>
            <sz val="8"/>
            <color indexed="81"/>
            <rFont val="Tahoma"/>
            <family val="2"/>
          </rPr>
          <t xml:space="preserve">1.24.13
</t>
        </r>
        <r>
          <rPr>
            <sz val="8"/>
            <color indexed="81"/>
            <rFont val="Tahoma"/>
            <family val="2"/>
          </rPr>
          <t>Expect marketing to be 3.5-4% of sales in 2-4Q (vs. &gt;4% in Q1)</t>
        </r>
      </text>
    </comment>
    <comment ref="CS60" authorId="6">
      <text>
        <r>
          <rPr>
            <b/>
            <sz val="8"/>
            <color indexed="81"/>
            <rFont val="Tahoma"/>
            <family val="2"/>
          </rPr>
          <t xml:space="preserve">10.30.13
</t>
        </r>
        <r>
          <rPr>
            <sz val="8"/>
            <color indexed="81"/>
            <rFont val="Tahoma"/>
            <family val="2"/>
          </rPr>
          <t>Lower due to 40bps of sales leverage and 20bps lower marketing.</t>
        </r>
        <r>
          <rPr>
            <sz val="8"/>
            <color indexed="81"/>
            <rFont val="Tahoma"/>
            <family val="2"/>
          </rPr>
          <t xml:space="preserve">
</t>
        </r>
        <r>
          <rPr>
            <b/>
            <sz val="8"/>
            <color indexed="81"/>
            <rFont val="Tahoma"/>
            <family val="2"/>
          </rPr>
          <t xml:space="preserve">1.24.13
</t>
        </r>
        <r>
          <rPr>
            <sz val="8"/>
            <color indexed="81"/>
            <rFont val="Tahoma"/>
            <family val="2"/>
          </rPr>
          <t>Expect marketing to be 3.5-4% of sales in 2-4Q (vs. &gt;4% in Q1)</t>
        </r>
      </text>
    </comment>
    <comment ref="CT60" authorId="8">
      <text>
        <r>
          <rPr>
            <b/>
            <sz val="8"/>
            <color indexed="81"/>
            <rFont val="Tahoma"/>
            <family val="2"/>
          </rPr>
          <t xml:space="preserve">2Q 10Q:
</t>
        </r>
        <r>
          <rPr>
            <sz val="8"/>
            <color indexed="81"/>
            <rFont val="Tahoma"/>
            <family val="2"/>
          </rPr>
          <t>decreased 100bps (60bps in 1H) due to lower marketing Y/Y</t>
        </r>
        <r>
          <rPr>
            <sz val="8"/>
            <color indexed="81"/>
            <rFont val="Tahoma"/>
            <family val="2"/>
          </rPr>
          <t xml:space="preserve">
</t>
        </r>
      </text>
    </comment>
    <comment ref="CU60" authorId="8">
      <text>
        <r>
          <rPr>
            <b/>
            <sz val="8"/>
            <color indexed="81"/>
            <rFont val="Tahoma"/>
            <family val="2"/>
          </rPr>
          <t xml:space="preserve">2Q 10Q:
</t>
        </r>
        <r>
          <rPr>
            <sz val="8"/>
            <color indexed="81"/>
            <rFont val="Tahoma"/>
            <family val="2"/>
          </rPr>
          <t>Decreased 20bps due to lower marketing costs.</t>
        </r>
        <r>
          <rPr>
            <sz val="8"/>
            <color indexed="81"/>
            <rFont val="Tahoma"/>
            <family val="2"/>
          </rPr>
          <t xml:space="preserve">
</t>
        </r>
      </text>
    </comment>
    <comment ref="DM60" authorId="4">
      <text>
        <r>
          <rPr>
            <b/>
            <sz val="9"/>
            <color indexed="81"/>
            <rFont val="Tahoma"/>
            <family val="2"/>
          </rPr>
          <t>Glass, John (Research):</t>
        </r>
        <r>
          <rPr>
            <sz val="9"/>
            <color indexed="81"/>
            <rFont val="Tahoma"/>
            <family val="2"/>
          </rPr>
          <t xml:space="preserve">
lower by 50 bp sud to lower perfroamcne incentives (20 bps)</t>
        </r>
      </text>
    </comment>
    <comment ref="DM61" authorId="4">
      <text>
        <r>
          <rPr>
            <b/>
            <sz val="9"/>
            <color indexed="81"/>
            <rFont val="Tahoma"/>
            <family val="2"/>
          </rPr>
          <t>Glass, John (Research):</t>
        </r>
        <r>
          <rPr>
            <sz val="9"/>
            <color indexed="81"/>
            <rFont val="Tahoma"/>
            <family val="2"/>
          </rPr>
          <t xml:space="preserve">
down 20 bps y/y due to
   lower perfformance comp 930 bps)
  lower employment taxes due to resolution of prior matter</t>
        </r>
      </text>
    </comment>
    <comment ref="BC62" authorId="0">
      <text>
        <r>
          <rPr>
            <b/>
            <sz val="8"/>
            <color indexed="81"/>
            <rFont val="Tahoma"/>
            <family val="2"/>
          </rPr>
          <t xml:space="preserve">towerj:
</t>
        </r>
        <r>
          <rPr>
            <sz val="8"/>
            <color indexed="81"/>
            <rFont val="Tahoma"/>
            <family val="2"/>
          </rPr>
          <t>7.29.05 - The increase was primarily due to higher provisions
for incentive compensation and increased charitable commitments.</t>
        </r>
        <r>
          <rPr>
            <sz val="8"/>
            <color indexed="81"/>
            <rFont val="Tahoma"/>
            <family val="2"/>
          </rPr>
          <t xml:space="preserve">
</t>
        </r>
      </text>
    </comment>
    <comment ref="BD62" authorId="0">
      <text>
        <r>
          <rPr>
            <b/>
            <sz val="8"/>
            <color indexed="81"/>
            <rFont val="Tahoma"/>
            <family val="2"/>
          </rPr>
          <t xml:space="preserve">towerj:
</t>
        </r>
        <r>
          <rPr>
            <sz val="8"/>
            <color indexed="81"/>
            <rFont val="Tahoma"/>
            <family val="2"/>
          </rPr>
          <t xml:space="preserve">11.17.05 up due to charitable committements &amp; incentive comp
</t>
        </r>
      </text>
    </comment>
    <comment ref="BG62" authorId="0">
      <text>
        <r>
          <rPr>
            <b/>
            <sz val="8"/>
            <color indexed="81"/>
            <rFont val="Tahoma"/>
            <family val="2"/>
          </rPr>
          <t xml:space="preserve">glassj:
</t>
        </r>
        <r>
          <rPr>
            <sz val="8"/>
            <color indexed="81"/>
            <rFont val="Tahoma"/>
            <family val="2"/>
          </rPr>
          <t>some benefit form shift in store manager convention to 3Q from 2Q</t>
        </r>
        <r>
          <rPr>
            <sz val="8"/>
            <color indexed="81"/>
            <rFont val="Tahoma"/>
            <family val="2"/>
          </rPr>
          <t xml:space="preserve">
</t>
        </r>
      </text>
    </comment>
    <comment ref="BH62" authorId="0">
      <text>
        <r>
          <rPr>
            <b/>
            <sz val="8"/>
            <color indexed="81"/>
            <rFont val="Tahoma"/>
            <family val="2"/>
          </rPr>
          <t xml:space="preserve">towerj:
</t>
        </r>
        <r>
          <rPr>
            <sz val="8"/>
            <color indexed="81"/>
            <rFont val="Tahoma"/>
            <family val="2"/>
          </rPr>
          <t>5.3.06 leadership conf will cost between $11-$13 million - did not breakdown line item impact, but will mostly affect the US</t>
        </r>
        <r>
          <rPr>
            <sz val="8"/>
            <color indexed="81"/>
            <rFont val="Tahoma"/>
            <family val="2"/>
          </rPr>
          <t xml:space="preserve">
</t>
        </r>
      </text>
    </comment>
    <comment ref="BI62" authorId="0">
      <text>
        <r>
          <rPr>
            <b/>
            <sz val="8"/>
            <color indexed="81"/>
            <rFont val="Tahoma"/>
            <family val="2"/>
          </rPr>
          <t xml:space="preserve">towerj:
</t>
        </r>
        <r>
          <rPr>
            <sz val="8"/>
            <color indexed="81"/>
            <rFont val="Tahoma"/>
            <family val="2"/>
          </rPr>
          <t xml:space="preserve">11.16.06
The increase was primarily due to higher payroll-related expenditures from the recognition of stock-based compensation expense and higher professional fees in support of global systems infrastructure development, partially offset by lower provisions for incentive compensation. </t>
        </r>
        <r>
          <rPr>
            <sz val="8"/>
            <color indexed="81"/>
            <rFont val="Tahoma"/>
            <family val="2"/>
          </rPr>
          <t xml:space="preserve">
</t>
        </r>
      </text>
    </comment>
    <comment ref="BJ62" authorId="0">
      <text>
        <r>
          <rPr>
            <b/>
            <sz val="8"/>
            <color indexed="81"/>
            <rFont val="Tahoma"/>
            <family val="2"/>
          </rPr>
          <t xml:space="preserve">glassj:
</t>
        </r>
        <r>
          <rPr>
            <sz val="8"/>
            <color indexed="81"/>
            <rFont val="Tahoma"/>
            <family val="2"/>
          </rPr>
          <t>Growth slowered due to past kraft channel fill (tazo, more coffee skus) and lapping SCC</t>
        </r>
        <r>
          <rPr>
            <sz val="8"/>
            <color indexed="81"/>
            <rFont val="Tahoma"/>
            <family val="2"/>
          </rPr>
          <t xml:space="preserve">
</t>
        </r>
      </text>
    </comment>
    <comment ref="BK62" authorId="0">
      <text>
        <r>
          <rPr>
            <b/>
            <sz val="8"/>
            <color indexed="81"/>
            <rFont val="Tahoma"/>
            <family val="2"/>
          </rPr>
          <t xml:space="preserve">towerj:
</t>
        </r>
        <r>
          <rPr>
            <sz val="8"/>
            <color indexed="81"/>
            <rFont val="Tahoma"/>
            <family val="2"/>
          </rPr>
          <t>1.31.07
The decrease was primarily due to higher charitable contributions in the prior year and higher provisions for incentive compensation due to exceptional performance in the prior year. These were partially offset by increased payroll-related expenditures and higher professional fees in support of continued global growth and systems infrastructure development in the current year.</t>
        </r>
        <r>
          <rPr>
            <sz val="8"/>
            <color indexed="81"/>
            <rFont val="Tahoma"/>
            <family val="2"/>
          </rPr>
          <t xml:space="preserve">
</t>
        </r>
      </text>
    </comment>
    <comment ref="BL62" authorId="0">
      <text>
        <r>
          <rPr>
            <b/>
            <sz val="8"/>
            <color indexed="81"/>
            <rFont val="Tahoma"/>
            <family val="2"/>
          </rPr>
          <t xml:space="preserve">towerj:
</t>
        </r>
        <r>
          <rPr>
            <sz val="8"/>
            <color indexed="81"/>
            <rFont val="Tahoma"/>
            <family val="2"/>
          </rPr>
          <t>5.3.07
 The increase was primarily due to higher payroll-related expenditures and professional fees in support of continued global growth, partially offset by lower provisions for incentive compensation due to exceptional performance in the prior year. 
1.31.07 will forgo the annual management conference in order to pay wage increase to store managers, etc. in the F2Q --- this will partially offset wage increase
5.3.06 managers conference shifts back to 2Q in '07, will cost ~$20million (increase due to travel costs)</t>
        </r>
        <r>
          <rPr>
            <sz val="8"/>
            <color indexed="81"/>
            <rFont val="Tahoma"/>
            <family val="2"/>
          </rPr>
          <t xml:space="preserve">
</t>
        </r>
      </text>
    </comment>
    <comment ref="BM62" authorId="0">
      <text>
        <r>
          <rPr>
            <b/>
            <sz val="8"/>
            <color indexed="81"/>
            <rFont val="Tahoma"/>
            <family val="2"/>
          </rPr>
          <t xml:space="preserve">glassj:
</t>
        </r>
        <r>
          <rPr>
            <sz val="8"/>
            <color indexed="81"/>
            <rFont val="Tahoma"/>
            <family val="2"/>
          </rPr>
          <t>5.3.07
expect to decrease as % of revs
No maangers convention this yr, pick up $12 M or 50 bps</t>
        </r>
        <r>
          <rPr>
            <sz val="8"/>
            <color indexed="81"/>
            <rFont val="Tahoma"/>
            <family val="2"/>
          </rPr>
          <t xml:space="preserve">
</t>
        </r>
      </text>
    </comment>
    <comment ref="BN62" authorId="0">
      <text>
        <r>
          <rPr>
            <b/>
            <sz val="8"/>
            <color indexed="81"/>
            <rFont val="Tahoma"/>
            <family val="2"/>
          </rPr>
          <t>towerj:
5.3.07
expect to decrease as % of revs</t>
        </r>
      </text>
    </comment>
    <comment ref="BO62" authorId="0">
      <text>
        <r>
          <rPr>
            <b/>
            <sz val="8"/>
            <color indexed="81"/>
            <rFont val="Tahoma"/>
            <family val="2"/>
          </rPr>
          <t xml:space="preserve">towerj:
</t>
        </r>
        <r>
          <rPr>
            <sz val="8"/>
            <color indexed="81"/>
            <rFont val="Tahoma"/>
            <family val="2"/>
          </rPr>
          <t>11.16.06 Y/Y G&amp;A benefit</t>
        </r>
        <r>
          <rPr>
            <sz val="8"/>
            <color indexed="81"/>
            <rFont val="Tahoma"/>
            <family val="2"/>
          </rPr>
          <t xml:space="preserve">
</t>
        </r>
      </text>
    </comment>
    <comment ref="BS62" authorId="1">
      <text>
        <r>
          <rPr>
            <b/>
            <sz val="8"/>
            <color indexed="81"/>
            <rFont val="Tahoma"/>
            <family val="2"/>
          </rPr>
          <t>Jon Tower:</t>
        </r>
        <r>
          <rPr>
            <sz val="8"/>
            <color indexed="81"/>
            <rFont val="Tahoma"/>
            <family val="2"/>
          </rPr>
          <t xml:space="preserve">
11.10.08
 The favorability was primarily due to lower payroll-related expenses.
</t>
        </r>
      </text>
    </comment>
    <comment ref="BU62" authorId="1">
      <text>
        <r>
          <rPr>
            <b/>
            <sz val="8"/>
            <color indexed="81"/>
            <rFont val="Tahoma"/>
            <family val="2"/>
          </rPr>
          <t>Jon Tower:</t>
        </r>
        <r>
          <rPr>
            <sz val="8"/>
            <color indexed="81"/>
            <rFont val="Tahoma"/>
            <family val="2"/>
          </rPr>
          <t xml:space="preserve">
1.28.09
The improvement was primarily due to lower payroll-related expenses, due in part to the reduction in headcount as a result of the decision in July 2008 to eliminate approximately 1,000 open and filled positions</t>
        </r>
        <r>
          <rPr>
            <sz val="8"/>
            <color indexed="81"/>
            <rFont val="Tahoma"/>
            <family val="2"/>
          </rPr>
          <t xml:space="preserve">
11.10.08
expect to see additional expense related to operator conf in NO</t>
        </r>
      </text>
    </comment>
    <comment ref="BX62" authorId="1">
      <text>
        <r>
          <rPr>
            <b/>
            <sz val="8"/>
            <color indexed="81"/>
            <rFont val="Tahoma"/>
            <family val="2"/>
          </rPr>
          <t>Jon Tower:</t>
        </r>
        <r>
          <rPr>
            <sz val="8"/>
            <color indexed="81"/>
            <rFont val="Tahoma"/>
            <family val="2"/>
          </rPr>
          <t xml:space="preserve">
11.5.09
G&amp;A expenses increased as a percent of revenue as compared to
the last year due to higher performance based compensation</t>
        </r>
      </text>
    </comment>
    <comment ref="BY62" authorId="1">
      <text>
        <r>
          <rPr>
            <b/>
            <sz val="8"/>
            <color indexed="81"/>
            <rFont val="Tahoma"/>
            <family val="2"/>
          </rPr>
          <t>Jon Tower:</t>
        </r>
        <r>
          <rPr>
            <sz val="8"/>
            <color indexed="81"/>
            <rFont val="Tahoma"/>
            <family val="2"/>
          </rPr>
          <t xml:space="preserve">
4.30.08
unallocated G&amp;A --- should see 1% benefit from FY07 levels by FY2011</t>
        </r>
      </text>
    </comment>
    <comment ref="CD62" authorId="1">
      <text>
        <r>
          <rPr>
            <b/>
            <sz val="8"/>
            <color indexed="81"/>
            <rFont val="Tahoma"/>
            <family val="2"/>
          </rPr>
          <t xml:space="preserve">Jon Tower:
1.20.10
will increase expenses against employee comp this year
</t>
        </r>
        <r>
          <rPr>
            <sz val="8"/>
            <color indexed="81"/>
            <rFont val="Tahoma"/>
            <family val="2"/>
          </rPr>
          <t xml:space="preserve">
4.30.08
unallocated G&amp;A --- should see 1% benefit from FY07 levels by FY2011</t>
        </r>
      </text>
    </comment>
    <comment ref="CI62" authorId="1">
      <text>
        <r>
          <rPr>
            <b/>
            <sz val="8"/>
            <color indexed="81"/>
            <rFont val="Tahoma"/>
            <family val="2"/>
          </rPr>
          <t>Jon Tower:</t>
        </r>
        <r>
          <rPr>
            <sz val="8"/>
            <color indexed="81"/>
            <rFont val="Tahoma"/>
            <family val="2"/>
          </rPr>
          <t xml:space="preserve">
indirect overhead costs
As a result, the recent financials reflect a $113 million increase to G&amp;A for fiscal 2011, directly offset by reductions in COGS, including occupancy, store operating expenses, and other operating expenses.</t>
        </r>
      </text>
    </comment>
    <comment ref="CJ62"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K62"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L62"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M62" authorId="1">
      <text>
        <r>
          <rPr>
            <b/>
            <sz val="8"/>
            <color indexed="81"/>
            <rFont val="Tahoma"/>
            <family val="2"/>
          </rPr>
          <t xml:space="preserve">Sushama Dasari:
7.26.12
</t>
        </r>
        <r>
          <rPr>
            <sz val="8"/>
            <color indexed="81"/>
            <rFont val="Tahoma"/>
            <family val="2"/>
          </rPr>
          <t>We expect increased investments in a number of areas in 2013, totalling potentially up to $50 million. These investments include our global leadership conference scheduled in October and expected to cost approximately $35 million and potential additional investments to accelerate growth in Brazil and China and to better position the EMEA business for future earnings growth and margin improvement.</t>
        </r>
        <r>
          <rPr>
            <b/>
            <sz val="8"/>
            <color indexed="81"/>
            <rFont val="Tahoma"/>
            <family val="2"/>
          </rPr>
          <t xml:space="preserve">
</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N62" authorId="1">
      <text>
        <r>
          <rPr>
            <b/>
            <sz val="8"/>
            <color indexed="81"/>
            <rFont val="Tahoma"/>
            <family val="2"/>
          </rPr>
          <t>Jon Tower:</t>
        </r>
        <r>
          <rPr>
            <sz val="8"/>
            <color indexed="81"/>
            <rFont val="Tahoma"/>
            <family val="2"/>
          </rPr>
          <t xml:space="preserve">
1.13.12
One other change I'd like to highlight for you today is around the reporting of certain indirect overhead costs. In conjunction with the move to the new three-region structure, we have changed the accountability for and reporting of certain back-office expense allocations. These allocations include certain indirect merchandizing, manufacturing costs, and back-office shared service costs such as marketing, store development, partner resources, and facilities. These expenses were previously allocated to segment-level cost of sales and operating expenses. As these expenses will now be managed at a corporate level, they will be reported within unallocated corporate expenses.
The change in management of these expenses reflects our growing operations, as the focus of these support teams has become much more global in nature and straddles the business as a whole rather than on a specific business unit. </t>
        </r>
        <r>
          <rPr>
            <b/>
            <sz val="8"/>
            <color indexed="81"/>
            <rFont val="Tahoma"/>
            <family val="2"/>
          </rPr>
          <t>As a result, the recent financials reflect a $113 million increase to G&amp;A for fiscal 2011, directly offset by reductions in COGS, including occupancy, store operating expenses, and other operating expenses.</t>
        </r>
        <r>
          <rPr>
            <sz val="8"/>
            <color indexed="81"/>
            <rFont val="Tahoma"/>
            <family val="2"/>
          </rPr>
          <t xml:space="preserve"> The only changes to our two other reporting segments, CPG and Other, were due to the reclassification of the certain G&amp;A expenses I just noted.</t>
        </r>
      </text>
    </comment>
    <comment ref="CO62" authorId="10">
      <text>
        <r>
          <rPr>
            <b/>
            <sz val="8"/>
            <color indexed="81"/>
            <rFont val="Tahoma"/>
            <family val="2"/>
          </rPr>
          <t xml:space="preserve">John Glass:
 Bi annual operator convention = 60 bp deleverage ($25 M?)
</t>
        </r>
        <r>
          <rPr>
            <sz val="8"/>
            <color indexed="81"/>
            <rFont val="Tahoma"/>
            <family val="2"/>
          </rPr>
          <t xml:space="preserve">
some offsets in G&amp;A related to changes in trading portfolio of mgmt's deffered copm plan</t>
        </r>
      </text>
    </comment>
    <comment ref="CQ62" authorId="8">
      <text>
        <r>
          <rPr>
            <b/>
            <sz val="8"/>
            <color indexed="81"/>
            <rFont val="Tahoma"/>
            <family val="2"/>
          </rPr>
          <t xml:space="preserve">7.25.13:
</t>
        </r>
        <r>
          <rPr>
            <sz val="8"/>
            <color indexed="81"/>
            <rFont val="Tahoma"/>
            <family val="2"/>
          </rPr>
          <t xml:space="preserve">Donations to the Starbucks Foundation added $10 M, or 30bps to G&amp;A in 3Q and 10bps YTD. Costs of global leadership conference also boosted G&amp;A by 20bps YTD. 
</t>
        </r>
      </text>
    </comment>
    <comment ref="CS62" authorId="8">
      <text>
        <r>
          <rPr>
            <b/>
            <sz val="8"/>
            <color indexed="81"/>
            <rFont val="Tahoma"/>
            <family val="2"/>
          </rPr>
          <t xml:space="preserve">2013 10K:
</t>
        </r>
        <r>
          <rPr>
            <sz val="8"/>
            <color indexed="81"/>
            <rFont val="Tahoma"/>
            <family val="2"/>
          </rPr>
          <t xml:space="preserve">30bps due to higher costs to support growth and costs for October Global Leadership Conference. </t>
        </r>
        <r>
          <rPr>
            <sz val="8"/>
            <color indexed="81"/>
            <rFont val="Tahoma"/>
            <family val="2"/>
          </rPr>
          <t xml:space="preserve">
</t>
        </r>
      </text>
    </comment>
    <comment ref="CT62" authorId="8">
      <text>
        <r>
          <rPr>
            <b/>
            <sz val="8"/>
            <color indexed="81"/>
            <rFont val="Tahoma"/>
            <family val="2"/>
          </rPr>
          <t xml:space="preserve">10Q:
</t>
        </r>
        <r>
          <rPr>
            <sz val="8"/>
            <color indexed="81"/>
            <rFont val="Tahoma"/>
            <family val="2"/>
          </rPr>
          <t>Lapped leadership conference (60bps)</t>
        </r>
        <r>
          <rPr>
            <sz val="8"/>
            <color indexed="81"/>
            <rFont val="Tahoma"/>
            <family val="2"/>
          </rPr>
          <t xml:space="preserve">
</t>
        </r>
      </text>
    </comment>
    <comment ref="CY62" authorId="4">
      <text>
        <r>
          <rPr>
            <b/>
            <sz val="9"/>
            <color indexed="81"/>
            <rFont val="Tahoma"/>
            <family val="2"/>
          </rPr>
          <t>Glass, John (Research):</t>
        </r>
        <r>
          <rPr>
            <sz val="9"/>
            <color indexed="81"/>
            <rFont val="Tahoma"/>
            <family val="2"/>
          </rPr>
          <t xml:space="preserve">
includes 30 bp from japan relaetd transaction costs</t>
        </r>
      </text>
    </comment>
    <comment ref="DC62" authorId="4">
      <text>
        <r>
          <rPr>
            <b/>
            <sz val="9"/>
            <color indexed="81"/>
            <rFont val="Tahoma"/>
            <family val="2"/>
          </rPr>
          <t>Glass, John (Research):</t>
        </r>
        <r>
          <rPr>
            <sz val="9"/>
            <color indexed="81"/>
            <rFont val="Tahoma"/>
            <family val="2"/>
          </rPr>
          <t xml:space="preserve">
2105: cmmitmentto grow G&amp;A at less than half the rate of revs (ex mgmt conferneces + sbux donations)</t>
        </r>
      </text>
    </comment>
    <comment ref="DE62" authorId="4">
      <text>
        <r>
          <rPr>
            <b/>
            <sz val="9"/>
            <color indexed="81"/>
            <rFont val="Tahoma"/>
            <family val="2"/>
          </rPr>
          <t>Glass, John (Research):</t>
        </r>
        <r>
          <rPr>
            <sz val="9"/>
            <color indexed="81"/>
            <rFont val="Tahoma"/>
            <family val="2"/>
          </rPr>
          <t xml:space="preserve">
includes neg imapct from a multi yr tax accrual ~40 bps</t>
        </r>
      </text>
    </comment>
    <comment ref="AZ63" authorId="0">
      <text>
        <r>
          <rPr>
            <sz val="8"/>
            <color indexed="81"/>
            <rFont val="Tahoma"/>
            <family val="2"/>
          </rPr>
          <t>4/21/04 "modest improvement in full-year operating income margin"</t>
        </r>
        <r>
          <rPr>
            <sz val="8"/>
            <color indexed="81"/>
            <rFont val="Tahoma"/>
            <family val="2"/>
          </rPr>
          <t xml:space="preserve">
</t>
        </r>
      </text>
    </comment>
    <comment ref="BH63" authorId="0">
      <text>
        <r>
          <rPr>
            <b/>
            <sz val="8"/>
            <color indexed="81"/>
            <rFont val="Tahoma"/>
            <family val="2"/>
          </rPr>
          <t xml:space="preserve">towerj:
</t>
        </r>
        <r>
          <rPr>
            <sz val="8"/>
            <color indexed="81"/>
            <rFont val="Tahoma"/>
            <family val="2"/>
          </rPr>
          <t xml:space="preserve">ex sbc expense, would have been 12.3%
</t>
        </r>
      </text>
    </comment>
    <comment ref="BJ63" authorId="0">
      <text>
        <r>
          <rPr>
            <b/>
            <sz val="8"/>
            <color indexed="81"/>
            <rFont val="Tahoma"/>
            <family val="2"/>
          </rPr>
          <t xml:space="preserve">towerj:
</t>
        </r>
        <r>
          <rPr>
            <sz val="8"/>
            <color indexed="81"/>
            <rFont val="Tahoma"/>
            <family val="2"/>
          </rPr>
          <t>11.17.05 expect higher commodity costs &amp; higher op expenses in support of INTL growth &amp; U.S. licensing biz, offset by G&amp;A leverage.
11.18.05 Op Margin in line w/'05 - convo w/Casey</t>
        </r>
        <r>
          <rPr>
            <b/>
            <sz val="8"/>
            <color indexed="81"/>
            <rFont val="Tahoma"/>
            <family val="2"/>
          </rPr>
          <t xml:space="preserve">
Glass: </t>
        </r>
        <r>
          <rPr>
            <sz val="8"/>
            <color indexed="81"/>
            <rFont val="Tahoma"/>
            <family val="2"/>
          </rPr>
          <t>would have been 12.8% prior to optiosn expensing</t>
        </r>
        <r>
          <rPr>
            <sz val="8"/>
            <color indexed="81"/>
            <rFont val="Tahoma"/>
            <family val="2"/>
          </rPr>
          <t xml:space="preserve">
</t>
        </r>
      </text>
    </comment>
    <comment ref="BM63" authorId="0">
      <text>
        <r>
          <rPr>
            <b/>
            <sz val="8"/>
            <color indexed="81"/>
            <rFont val="Tahoma"/>
            <family val="2"/>
          </rPr>
          <t xml:space="preserve">towerj:
</t>
        </r>
        <r>
          <rPr>
            <sz val="8"/>
            <color indexed="81"/>
            <rFont val="Tahoma"/>
            <family val="2"/>
          </rPr>
          <t>1.31.07 expects modest op margin improvement 2H07</t>
        </r>
        <r>
          <rPr>
            <sz val="8"/>
            <color indexed="81"/>
            <rFont val="Tahoma"/>
            <family val="2"/>
          </rPr>
          <t xml:space="preserve">
</t>
        </r>
      </text>
    </comment>
    <comment ref="BN63" authorId="0">
      <text>
        <r>
          <rPr>
            <b/>
            <sz val="8"/>
            <color indexed="81"/>
            <rFont val="Tahoma"/>
            <family val="2"/>
          </rPr>
          <t>towerj:
1.31.07 expects modest op margin improvement 2H07</t>
        </r>
        <r>
          <rPr>
            <sz val="8"/>
            <color indexed="81"/>
            <rFont val="Tahoma"/>
            <family val="2"/>
          </rPr>
          <t xml:space="preserve">
</t>
        </r>
      </text>
    </comment>
    <comment ref="BO63" authorId="0">
      <text>
        <r>
          <rPr>
            <b/>
            <sz val="8"/>
            <color indexed="81"/>
            <rFont val="Tahoma"/>
            <family val="2"/>
          </rPr>
          <t xml:space="preserve">towerj:
</t>
        </r>
        <r>
          <rPr>
            <sz val="8"/>
            <color indexed="81"/>
            <rFont val="Tahoma"/>
            <family val="2"/>
          </rPr>
          <t>11.16.06 flat Y/Y
1.31.07 expects modest op margin improvement 2H07</t>
        </r>
      </text>
    </comment>
    <comment ref="BP63" authorId="13">
      <text>
        <r>
          <rPr>
            <sz val="8"/>
            <color indexed="81"/>
            <rFont val="Tahoma"/>
            <family val="2"/>
          </rPr>
          <t xml:space="preserve">11.15.07
expand slightly Y/Y, improvement in F2H08
</t>
        </r>
        <r>
          <rPr>
            <b/>
            <sz val="8"/>
            <color indexed="81"/>
            <rFont val="Tahoma"/>
            <family val="2"/>
          </rPr>
          <t>(conf call)</t>
        </r>
        <r>
          <rPr>
            <sz val="8"/>
            <color indexed="81"/>
            <rFont val="Tahoma"/>
            <family val="2"/>
          </rPr>
          <t xml:space="preserve">
total Company operating margin is expected to expand slightly year over year. Given the continued pressure from dairy costs along with the other factors we previously discussed today, we expect the margin to contract in Q1 but to improve in the second half of the year to deliver margin expansion year over year.</t>
        </r>
      </text>
    </comment>
    <comment ref="BQ63" authorId="13">
      <text>
        <r>
          <rPr>
            <sz val="8"/>
            <color indexed="81"/>
            <rFont val="Tahoma"/>
            <family val="2"/>
          </rPr>
          <t xml:space="preserve">11.15.07
expand slightly Y/Y, improvement in F2H08
</t>
        </r>
        <r>
          <rPr>
            <b/>
            <sz val="8"/>
            <color indexed="81"/>
            <rFont val="Tahoma"/>
            <family val="2"/>
          </rPr>
          <t>(conf call)</t>
        </r>
        <r>
          <rPr>
            <sz val="8"/>
            <color indexed="81"/>
            <rFont val="Tahoma"/>
            <family val="2"/>
          </rPr>
          <t xml:space="preserve">
total Company operating margin is expected to expand slightly year over year. Given the continued pressure from dairy costs along with the other factors we previously discussed today, we expect the margin to contract in Q1 but to improve in the second half of the year to deliver margin expansion year over year.</t>
        </r>
      </text>
    </comment>
    <comment ref="BR63" authorId="13">
      <text>
        <r>
          <rPr>
            <sz val="8"/>
            <color indexed="81"/>
            <rFont val="Tahoma"/>
            <family val="2"/>
          </rPr>
          <t xml:space="preserve">11.15.07
expand slightly Y/Y, improvement in F2H08
</t>
        </r>
        <r>
          <rPr>
            <b/>
            <sz val="8"/>
            <color indexed="81"/>
            <rFont val="Tahoma"/>
            <family val="2"/>
          </rPr>
          <t>(conf call)</t>
        </r>
        <r>
          <rPr>
            <sz val="8"/>
            <color indexed="81"/>
            <rFont val="Tahoma"/>
            <family val="2"/>
          </rPr>
          <t xml:space="preserve">
total Company operating margin is expected to expand slightly year over year. Given the continued pressure from dairy costs along with the other factors we previously discussed today, we expect the margin to contract in Q1 but to improve in the second half of the year to deliver margin expansion year over year.</t>
        </r>
      </text>
    </comment>
    <comment ref="BS63" authorId="13">
      <text>
        <r>
          <rPr>
            <sz val="8"/>
            <color indexed="81"/>
            <rFont val="Tahoma"/>
            <family val="2"/>
          </rPr>
          <t xml:space="preserve">11.15.07
expand slightly Y/Y, improvement in F2H08
</t>
        </r>
        <r>
          <rPr>
            <b/>
            <sz val="8"/>
            <color indexed="81"/>
            <rFont val="Tahoma"/>
            <family val="2"/>
          </rPr>
          <t>(conf call)</t>
        </r>
        <r>
          <rPr>
            <sz val="8"/>
            <color indexed="81"/>
            <rFont val="Tahoma"/>
            <family val="2"/>
          </rPr>
          <t xml:space="preserve">
total Company operating margin is expected to expand slightly year over year. Given the continued pressure from dairy costs along with the other factors we previously discussed today, we expect the margin to contract in Q1 but to improve in the second half of the year to deliver margin expansion year over year.</t>
        </r>
      </text>
    </comment>
    <comment ref="BT63" authorId="13">
      <text>
        <r>
          <rPr>
            <sz val="8"/>
            <color indexed="81"/>
            <rFont val="Tahoma"/>
            <family val="2"/>
          </rPr>
          <t xml:space="preserve">11.15.07
expand slightly Y/Y, improvement in F2H08
</t>
        </r>
        <r>
          <rPr>
            <b/>
            <sz val="8"/>
            <color indexed="81"/>
            <rFont val="Tahoma"/>
            <family val="2"/>
          </rPr>
          <t>(conf call)</t>
        </r>
        <r>
          <rPr>
            <sz val="8"/>
            <color indexed="81"/>
            <rFont val="Tahoma"/>
            <family val="2"/>
          </rPr>
          <t xml:space="preserve">
total Company operating margin is expected to expand slightly year over year. Given the continued pressure from dairy costs along with the other factors we previously discussed today, we expect the margin to contract in Q1 but to improve in the second half of the year to deliver margin expansion year over year.</t>
        </r>
      </text>
    </comment>
    <comment ref="BY63" authorId="1">
      <text>
        <r>
          <rPr>
            <b/>
            <sz val="8"/>
            <color indexed="81"/>
            <rFont val="Tahoma"/>
            <family val="2"/>
          </rPr>
          <t>Jon Tower:</t>
        </r>
        <r>
          <rPr>
            <sz val="8"/>
            <color indexed="81"/>
            <rFont val="Tahoma"/>
            <family val="2"/>
          </rPr>
          <t xml:space="preserve">
4.30.08
Op margin expected to improve from '08 levels, but remain under FY07 levels of 11.2%</t>
        </r>
      </text>
    </comment>
    <comment ref="CD63" authorId="1">
      <text>
        <r>
          <rPr>
            <b/>
            <sz val="8"/>
            <color indexed="81"/>
            <rFont val="Tahoma"/>
            <family val="2"/>
          </rPr>
          <t xml:space="preserve">Jon Tower:
1.20.10
The cumulative result of these expected margins is that consolidated non-GAAP operating margin will be in the range of 11% to 12%
</t>
        </r>
        <r>
          <rPr>
            <sz val="8"/>
            <color indexed="81"/>
            <rFont val="Tahoma"/>
            <family val="2"/>
          </rPr>
          <t xml:space="preserve">
11.5.09
The cumulative result of these expected margins is a consolidated non-GAAP operating margin that is anticipated to reach double digits. 
</t>
        </r>
        <r>
          <rPr>
            <sz val="8"/>
            <color indexed="81"/>
            <rFont val="Tahoma"/>
            <family val="2"/>
          </rPr>
          <t xml:space="preserve">
4.30.08
Op margin expected to improve from '08 levels, but remain under FY07 levels of 11.2%</t>
        </r>
      </text>
    </comment>
    <comment ref="CH63" authorId="3">
      <text/>
    </comment>
    <comment ref="CI63" authorId="1">
      <text>
        <r>
          <rPr>
            <b/>
            <sz val="8"/>
            <color indexed="81"/>
            <rFont val="Tahoma"/>
            <family val="2"/>
          </rPr>
          <t>Jon Tower:</t>
        </r>
        <r>
          <rPr>
            <sz val="8"/>
            <color indexed="81"/>
            <rFont val="Tahoma"/>
            <family val="2"/>
          </rPr>
          <t xml:space="preserve">
4.30.08
Op margin expected to improve from '08 levels, but remain under FY07 levels of 11.2%</t>
        </r>
      </text>
    </comment>
    <comment ref="CT63" authorId="8">
      <text>
        <r>
          <rPr>
            <b/>
            <sz val="8"/>
            <color indexed="81"/>
            <rFont val="Tahoma"/>
            <family val="2"/>
          </rPr>
          <t>10Q:</t>
        </r>
        <r>
          <rPr>
            <sz val="8"/>
            <color indexed="81"/>
            <rFont val="Tahoma"/>
            <family val="2"/>
          </rPr>
          <t xml:space="preserve">
Lapping the impact of Superstorm Sandy, which unfavorably impacted revenues and various expense lines in the prior year quarter, also contributed (approximately 20 basis points). The combination of these changes resulted in an overall increase in operating margin of 260 basis points for the first quarter of fiscal 2014.</t>
        </r>
      </text>
    </comment>
    <comment ref="DB63" authorId="3">
      <text>
        <r>
          <rPr>
            <b/>
            <sz val="9"/>
            <color indexed="81"/>
            <rFont val="Tahoma"/>
            <family val="2"/>
          </rPr>
          <t>O'Brien, Courtney (Research):</t>
        </r>
        <r>
          <rPr>
            <sz val="9"/>
            <color indexed="81"/>
            <rFont val="Tahoma"/>
            <family val="2"/>
          </rPr>
          <t xml:space="preserve">
10.29.15
GAAP operating margin in Q4 was 19.7%
and non-GAAP operating margin was 20%, up nicely from Q3, but down 50 basis points from Q4 of last year, due to the impact of partner and
digital investments and the change in ownership of Starbucks Japan, partially offset by sales and cost of goods sold leverage.</t>
        </r>
      </text>
    </comment>
    <comment ref="DC63" authorId="1">
      <text>
        <r>
          <rPr>
            <sz val="8"/>
            <color indexed="81"/>
            <rFont val="Tahoma"/>
            <family val="2"/>
          </rPr>
          <t>10.29.15
Ex 90bps  impact from Starbucks Japan, our operating margin once again expanded by over 100 bps in 2015, driven by sales leverage, including significant leverage in cost of goods sold, reflecting the ongoing success of our efforts to drive efficiency in this critical area.</t>
        </r>
        <r>
          <rPr>
            <b/>
            <sz val="8"/>
            <color indexed="81"/>
            <rFont val="Tahoma"/>
            <family val="2"/>
          </rPr>
          <t xml:space="preserve">
</t>
        </r>
        <r>
          <rPr>
            <sz val="8"/>
            <color indexed="81"/>
            <rFont val="Tahoma"/>
            <family val="2"/>
          </rPr>
          <t>1.22.14
mildly dilutive to GAAP op margin
10.30.14
japan acquisition mildly dilutive to operating margins 
12.1.10
LT Consolidated Op Margin = mid-to-upper teens</t>
        </r>
      </text>
    </comment>
    <comment ref="DF63" authorId="14">
      <text>
        <r>
          <rPr>
            <b/>
            <sz val="9"/>
            <color indexed="81"/>
            <rFont val="Tahoma"/>
            <family val="2"/>
          </rPr>
          <t>Dorfman, David (Research):</t>
        </r>
        <r>
          <rPr>
            <sz val="9"/>
            <color indexed="81"/>
            <rFont val="Tahoma"/>
            <family val="2"/>
          </rPr>
          <t xml:space="preserve">
7.16: Margin improvement
was driven by sales leverage in favorability and cost of sales that more than offset the impact of ongoing partner and digital investments, primarily
related to our Americas segment.</t>
        </r>
      </text>
    </comment>
    <comment ref="DG63" authorId="9">
      <text>
        <r>
          <rPr>
            <b/>
            <sz val="9"/>
            <color indexed="81"/>
            <rFont val="Tahoma"/>
            <family val="2"/>
          </rPr>
          <t>Carril, Christopher E (Research):</t>
        </r>
        <r>
          <rPr>
            <sz val="9"/>
            <color indexed="81"/>
            <rFont val="Tahoma"/>
            <family val="2"/>
          </rPr>
          <t xml:space="preserve">
</t>
        </r>
        <r>
          <rPr>
            <b/>
            <sz val="9"/>
            <color indexed="81"/>
            <rFont val="Tahoma"/>
            <family val="2"/>
          </rPr>
          <t>11.3.2016</t>
        </r>
        <r>
          <rPr>
            <sz val="9"/>
            <color indexed="81"/>
            <rFont val="Tahoma"/>
            <family val="2"/>
          </rPr>
          <t xml:space="preserve">
Operating margin improvement was driven primarily by sales leverage and favorability in
commodity costs that more than offset the impact of increased partner investments and certain additional G&amp;A costs.</t>
        </r>
      </text>
    </comment>
    <comment ref="DH63" authorId="3">
      <text>
        <r>
          <rPr>
            <b/>
            <sz val="9"/>
            <color indexed="81"/>
            <rFont val="Tahoma"/>
            <family val="2"/>
          </rPr>
          <t>O'Brien, Courtney (Research):</t>
        </r>
        <r>
          <rPr>
            <sz val="9"/>
            <color indexed="81"/>
            <rFont val="Tahoma"/>
            <family val="2"/>
          </rPr>
          <t xml:space="preserve">
</t>
        </r>
        <r>
          <rPr>
            <b/>
            <sz val="9"/>
            <color indexed="81"/>
            <rFont val="Tahoma"/>
            <family val="2"/>
          </rPr>
          <t xml:space="preserve">7.21.2016
</t>
        </r>
        <r>
          <rPr>
            <sz val="9"/>
            <color indexed="81"/>
            <rFont val="Tahoma"/>
            <family val="2"/>
          </rPr>
          <t xml:space="preserve">FY16 operating margin is expected to increase slightly versus prior year
</t>
        </r>
        <r>
          <rPr>
            <b/>
            <sz val="9"/>
            <color indexed="81"/>
            <rFont val="Tahoma"/>
            <family val="2"/>
          </rPr>
          <t>4.21.2016</t>
        </r>
        <r>
          <rPr>
            <sz val="9"/>
            <color indexed="81"/>
            <rFont val="Tahoma"/>
            <family val="2"/>
          </rPr>
          <t xml:space="preserve">
FY16 operating margin is expected to increase slightly versus prior year
</t>
        </r>
        <r>
          <rPr>
            <b/>
            <sz val="9"/>
            <color indexed="81"/>
            <rFont val="Tahoma"/>
            <family val="2"/>
          </rPr>
          <t>10.29.15</t>
        </r>
        <r>
          <rPr>
            <sz val="9"/>
            <color indexed="81"/>
            <rFont val="Tahoma"/>
            <family val="2"/>
          </rPr>
          <t xml:space="preserve">
consolidated operating margin will increase slightly from 2015 on both GAAP and non-GAAP bases</t>
        </r>
      </text>
    </comment>
    <comment ref="BU64" authorId="10">
      <text>
        <r>
          <rPr>
            <b/>
            <sz val="8"/>
            <color indexed="81"/>
            <rFont val="Tahoma"/>
            <family val="2"/>
          </rPr>
          <t>John Glass:</t>
        </r>
        <r>
          <rPr>
            <sz val="8"/>
            <color indexed="81"/>
            <rFont val="Tahoma"/>
            <family val="2"/>
          </rPr>
          <t xml:space="preserve">
excludes btohthe impariment and manager conference. Added back, those increase op margin by another 200 bp to 9.4%</t>
        </r>
      </text>
    </comment>
    <comment ref="BX64" authorId="1">
      <text>
        <r>
          <rPr>
            <b/>
            <sz val="8"/>
            <color indexed="81"/>
            <rFont val="Tahoma"/>
            <family val="2"/>
          </rPr>
          <t>Jon Tower:</t>
        </r>
        <r>
          <rPr>
            <sz val="8"/>
            <color indexed="81"/>
            <rFont val="Tahoma"/>
            <family val="2"/>
          </rPr>
          <t xml:space="preserve">
11.5.09
backing out the 1X $17M tax audit charge in store expenses, op margin would have been 11.1%</t>
        </r>
      </text>
    </comment>
    <comment ref="BZ64" authorId="1">
      <text>
        <r>
          <rPr>
            <b/>
            <sz val="8"/>
            <color indexed="81"/>
            <rFont val="Tahoma"/>
            <family val="2"/>
          </rPr>
          <t>Jon Tower:</t>
        </r>
        <r>
          <rPr>
            <sz val="8"/>
            <color indexed="81"/>
            <rFont val="Tahoma"/>
            <family val="2"/>
          </rPr>
          <t xml:space="preserve">
1.20.10
Non-GAAP Q1 FY10 operating income totaled $370.9 million, representing a non-GAAP operating margin expansion of 620 basis points to 13.6%. This improvement was driven mainly by lower cost of sales including occupancy costs related to operational initiatives, which resulted in lower product costs and reduced store waste, and to lower commodity costs in the U.S. Also contributing to the margin expansion were lower store operating expenses resulting from initiatives focused on in-store labor efficiencies and the impact of the closure of underperforming company-operated stores. These improvements were partially offset by higher general and administrative expenses due in part to higher performance-based compensation expenses in the quarter.</t>
        </r>
      </text>
    </comment>
    <comment ref="CC64" authorId="1">
      <text>
        <r>
          <rPr>
            <b/>
            <sz val="8"/>
            <color indexed="81"/>
            <rFont val="Tahoma"/>
            <family val="2"/>
          </rPr>
          <t>Jon Tower:</t>
        </r>
        <r>
          <rPr>
            <sz val="8"/>
            <color indexed="81"/>
            <rFont val="Tahoma"/>
            <family val="2"/>
          </rPr>
          <t xml:space="preserve">
7.21.10
The operating margin outlook includes approximately $0.02 of incremental marketing in Q4
compared to FY2009
• Most of this increase is to support the expansion of VIA in the CPG channel
o Also, higher dairy costs are expected to impact fourth quarter earnings by
approximately $0.01</t>
        </r>
      </text>
    </comment>
    <comment ref="CD64" authorId="1">
      <text>
        <r>
          <rPr>
            <b/>
            <sz val="8"/>
            <color indexed="81"/>
            <rFont val="Tahoma"/>
            <family val="2"/>
          </rPr>
          <t>Jon Tower:
7.21.10</t>
        </r>
        <r>
          <rPr>
            <sz val="8"/>
            <color indexed="81"/>
            <rFont val="Tahoma"/>
            <family val="2"/>
          </rPr>
          <t xml:space="preserve">
the company is now targeting full-year non-GAAP operating margin (excluding restructuring charges) at the high end of the previously-stated ranges of 15% to 17% for the  U.S. segment, and 8% to 10% for the International segment. Starbucks  continues to expect CPG segment margin of approximately 35% for FY10.  </t>
        </r>
        <r>
          <rPr>
            <b/>
            <sz val="8"/>
            <color indexed="81"/>
            <rFont val="Tahoma"/>
            <family val="2"/>
          </rPr>
          <t>Consolidated non-GAAP operating margin is expected to be at the high  end 
of the previously-stated range of 12% to 13%.</t>
        </r>
        <r>
          <rPr>
            <b/>
            <sz val="8"/>
            <color indexed="81"/>
            <rFont val="Tahoma"/>
            <family val="2"/>
          </rPr>
          <t xml:space="preserve">
</t>
        </r>
        <r>
          <rPr>
            <sz val="8"/>
            <color indexed="81"/>
            <rFont val="Tahoma"/>
            <family val="2"/>
          </rPr>
          <t xml:space="preserve">
4.21.10
The cumulative result of these expected margins is that consolidated non-GAAP operating margin will be in the range of</t>
        </r>
        <r>
          <rPr>
            <b/>
            <sz val="8"/>
            <color indexed="81"/>
            <rFont val="Tahoma"/>
            <family val="2"/>
          </rPr>
          <t xml:space="preserve"> 12% to 13%</t>
        </r>
        <r>
          <rPr>
            <sz val="8"/>
            <color indexed="81"/>
            <rFont val="Tahoma"/>
            <family val="2"/>
          </rPr>
          <t xml:space="preserve">
1.20.10
The cumulative result of these expected margins is that consolidated non-GAAP operating margin will be in the range of 11% to 12%
11.5.09
The cumulative result of these expected margins is a consolidated non-GAAP operating margin that is anticipated to reach double digits. 
4.30.08
Op margin expected to improve from '08 levels, but remain under FY07 levels of 11.2%</t>
        </r>
      </text>
    </comment>
    <comment ref="CG64" authorId="1">
      <text>
        <r>
          <rPr>
            <b/>
            <sz val="8"/>
            <color indexed="81"/>
            <rFont val="Tahoma"/>
            <family val="2"/>
          </rPr>
          <t>Jon Tower:</t>
        </r>
        <r>
          <rPr>
            <sz val="8"/>
            <color indexed="81"/>
            <rFont val="Tahoma"/>
            <family val="2"/>
          </rPr>
          <t xml:space="preserve">
7.28.11
Operating income for Q3 FY11 totaled $402.2 million, representing operating margin expansion of 120 basis points to 13.7%. This improvement was primarily due to increased sales leverage, partially offset by higher commodity costs. The increase in commodity costs, primarily coffee, negatively impacted operating margin in the quarter by approximately 280 basis points and EPS by $0.07.</t>
        </r>
      </text>
    </comment>
    <comment ref="CH64" authorId="1">
      <text>
        <r>
          <rPr>
            <b/>
            <sz val="8"/>
            <color indexed="81"/>
            <rFont val="Tahoma"/>
            <family val="2"/>
          </rPr>
          <t>Jon Tower:</t>
        </r>
        <r>
          <rPr>
            <sz val="8"/>
            <color indexed="81"/>
            <rFont val="Tahoma"/>
            <family val="2"/>
          </rPr>
          <t xml:space="preserve">
11.3.11
Consolidated operating margin reached 14.8%, up 70 basis points over the prior-year period’s GAAP results Operating margin expanded 60 basis points to 13.8% from 13.2% on a non-GAAP basis, which excludes the non-routine gain in Q4 FY11 and the impact of restructuring and the extra week in Q4 FY10 
---
The increase in commodity costs, primarily coffee, negatively impacted operating margin in the quarter by approximately 290 basis points and EPS by $0.07
</t>
        </r>
      </text>
    </comment>
    <comment ref="CI64" authorId="1">
      <text>
        <r>
          <rPr>
            <b/>
            <sz val="8"/>
            <color indexed="81"/>
            <rFont val="Tahoma"/>
            <family val="2"/>
          </rPr>
          <t>Jon Tower:
7.28.11</t>
        </r>
        <r>
          <rPr>
            <sz val="8"/>
            <color indexed="81"/>
            <rFont val="Tahoma"/>
            <family val="2"/>
          </rPr>
          <t xml:space="preserve">
Including the impact from Borders store closures, Starbucks is now targeting full-year consolidated operating margin improvement of 50 to 100 basis points over fiscal 2010 non-GAAP results
IMPLIES --- 14.3%-14.8%
</t>
        </r>
        <r>
          <rPr>
            <b/>
            <sz val="8"/>
            <color indexed="81"/>
            <rFont val="Tahoma"/>
            <family val="2"/>
          </rPr>
          <t xml:space="preserve">
1.26.11
Consolidated operating margin improvement is expected to be approximately 50 to 100 basis points compared to FY10 non-GAAP  operating  margin. 
IMPLIES -- 14.3%-14.8%
11.4.10</t>
        </r>
        <r>
          <rPr>
            <sz val="8"/>
            <color indexed="81"/>
            <rFont val="Tahoma"/>
            <family val="2"/>
          </rPr>
          <t xml:space="preserve">
Starbucks is now targeting full-year operating margin improvement (excluding restructuring charges in FY10) of 100 to 200 basis points for the U.S. segment. Margin targets remain unchanged for the following: 100 to 200 basis points of improvement for the International segment and a range of 30% to 35% for the CPG segment.</t>
        </r>
        <r>
          <rPr>
            <b/>
            <sz val="8"/>
            <color indexed="81"/>
            <rFont val="Tahoma"/>
            <family val="2"/>
          </rPr>
          <t xml:space="preserve"> Consolidated operating margin improvement is expected to be approximately 50 to 100 basis points compared to FY10 non-GAAP operating margin
</t>
        </r>
        <r>
          <rPr>
            <sz val="8"/>
            <color indexed="81"/>
            <rFont val="Tahoma"/>
            <family val="2"/>
          </rPr>
          <t xml:space="preserve">
7.21.10
Starbucks is targeting full-year non-GAAP operating margin improvement (excluding restructuring charges) of 100 to 150 basis points for the  U.S. segment, and 100 to 200 basis points for the International  segment. 
      The company expects CPG segment margin of approximately 30%  to 35%. 
</t>
        </r>
        <r>
          <rPr>
            <b/>
            <sz val="8"/>
            <color indexed="81"/>
            <rFont val="Tahoma"/>
            <family val="2"/>
          </rPr>
          <t xml:space="preserve">      Consolidated non-GAAP operating margin improvement is expected  to be approximately 50 to 100 basis points compared to FY10 non-GAAP  operating  margin. 
IMPLIES </t>
        </r>
      </text>
    </comment>
    <comment ref="CN64" authorId="1">
      <text>
        <r>
          <rPr>
            <sz val="8"/>
            <color indexed="81"/>
            <rFont val="Tahoma"/>
            <family val="2"/>
          </rPr>
          <t>4.26.2012:
Still expect y/y improvement of 50-100bps.</t>
        </r>
        <r>
          <rPr>
            <b/>
            <sz val="8"/>
            <color indexed="81"/>
            <rFont val="Tahoma"/>
            <family val="2"/>
          </rPr>
          <t xml:space="preserve">
Jon Tower:
1.26.12
still expect 50-100 bp improvement -- non-gaap
11.3.11
</t>
        </r>
        <r>
          <rPr>
            <sz val="8"/>
            <color indexed="81"/>
            <rFont val="Tahoma"/>
            <family val="2"/>
          </rPr>
          <t xml:space="preserve">Starbucks is maintaining its full-year operating margin improvement target of </t>
        </r>
        <r>
          <rPr>
            <b/>
            <sz val="8"/>
            <color indexed="81"/>
            <rFont val="Tahoma"/>
            <family val="2"/>
          </rPr>
          <t>50 to 100 basis points over FY11 non- GAAP</t>
        </r>
        <r>
          <rPr>
            <sz val="8"/>
            <color indexed="81"/>
            <rFont val="Tahoma"/>
            <family val="2"/>
          </rPr>
          <t xml:space="preserve"> results on a consolidated basis.</t>
        </r>
        <r>
          <rPr>
            <b/>
            <sz val="8"/>
            <color indexed="81"/>
            <rFont val="Tahoma"/>
            <family val="2"/>
          </rPr>
          <t xml:space="preserve">
7.28.11
</t>
        </r>
        <r>
          <rPr>
            <sz val="8"/>
            <color indexed="81"/>
            <rFont val="Tahoma"/>
            <family val="2"/>
          </rPr>
          <t>Starbucks is targeting full-year operating margin improvement of 50 to 100 basis points on a consolidated basis, driven by improvement in both the U.S. and International segments. Fiscal 2012 CPG margin is expected to be approximately
25%.</t>
        </r>
        <r>
          <rPr>
            <b/>
            <sz val="8"/>
            <color indexed="81"/>
            <rFont val="Tahoma"/>
            <family val="2"/>
          </rPr>
          <t xml:space="preserve">
</t>
        </r>
        <r>
          <rPr>
            <sz val="8"/>
            <color indexed="81"/>
            <rFont val="Tahoma"/>
            <family val="2"/>
          </rPr>
          <t xml:space="preserve">
12.1.10
LT Consolidated Op Margin = mid-to-upper teens</t>
        </r>
      </text>
    </comment>
    <comment ref="CO64" authorId="6">
      <text>
        <r>
          <rPr>
            <b/>
            <sz val="8"/>
            <color indexed="81"/>
            <rFont val="Tahoma"/>
            <family val="2"/>
          </rPr>
          <t>Sushama Dasari:</t>
        </r>
        <r>
          <rPr>
            <sz val="8"/>
            <color indexed="81"/>
            <rFont val="Tahoma"/>
            <family val="2"/>
          </rPr>
          <t xml:space="preserve">
</t>
        </r>
        <r>
          <rPr>
            <b/>
            <sz val="8"/>
            <color indexed="81"/>
            <rFont val="Tahoma"/>
            <family val="2"/>
          </rPr>
          <t xml:space="preserve">1.24.13
includes ~$53 M in the Americas (operator convention, litigation and sandy) plus $30 M (est) from verismo launch costs. troy called out jsu the US prtion at 140 bop neg but inclding verismo it totals 218 bp of margin pressure
</t>
        </r>
        <r>
          <rPr>
            <sz val="8"/>
            <color indexed="81"/>
            <rFont val="Tahoma"/>
            <family val="2"/>
          </rPr>
          <t>Net 2c per share benefit (50 bps to operating margin) from commodities, including favorability in coffee offset by unfavorability in dairy and couple of other small commodities</t>
        </r>
      </text>
    </comment>
    <comment ref="CP64" authorId="7">
      <text>
        <r>
          <rPr>
            <b/>
            <sz val="8"/>
            <color indexed="81"/>
            <rFont val="Tahoma"/>
            <family val="2"/>
          </rPr>
          <t>Michael Phillips:</t>
        </r>
        <r>
          <rPr>
            <sz val="8"/>
            <color indexed="81"/>
            <rFont val="Tahoma"/>
            <family val="2"/>
          </rPr>
          <t xml:space="preserve">
</t>
        </r>
        <r>
          <rPr>
            <b/>
            <sz val="8"/>
            <color indexed="81"/>
            <rFont val="Tahoma"/>
            <family val="2"/>
          </rPr>
          <t>4.25.13</t>
        </r>
        <r>
          <rPr>
            <sz val="8"/>
            <color indexed="81"/>
            <rFont val="Tahoma"/>
            <family val="2"/>
          </rPr>
          <t xml:space="preserve">
Boosted by lower coffee costs.</t>
        </r>
      </text>
    </comment>
    <comment ref="CR64" authorId="8">
      <text>
        <r>
          <rPr>
            <b/>
            <sz val="8"/>
            <color indexed="81"/>
            <rFont val="Tahoma"/>
            <family val="2"/>
          </rPr>
          <t>10.30.13</t>
        </r>
        <r>
          <rPr>
            <sz val="8"/>
            <color indexed="81"/>
            <rFont val="Tahoma"/>
            <family val="2"/>
          </rPr>
          <t>:
Commodities added 50bps to margins. EMEA improvement added 60bps</t>
        </r>
        <r>
          <rPr>
            <b/>
            <sz val="8"/>
            <color indexed="81"/>
            <rFont val="Tahoma"/>
            <family val="2"/>
          </rPr>
          <t xml:space="preserve">
</t>
        </r>
        <r>
          <rPr>
            <sz val="8"/>
            <color indexed="81"/>
            <rFont val="Tahoma"/>
            <family val="2"/>
          </rPr>
          <t xml:space="preserve">
7.25.13
Consolidated op. margin 100bps higher Y/Y in 4Q.</t>
        </r>
      </text>
    </comment>
    <comment ref="CS64" authorId="1">
      <text>
        <r>
          <rPr>
            <b/>
            <sz val="8"/>
            <color indexed="81"/>
            <rFont val="Tahoma"/>
            <family val="2"/>
          </rPr>
          <t xml:space="preserve">4.25.13
</t>
        </r>
        <r>
          <rPr>
            <sz val="8"/>
            <color indexed="81"/>
            <rFont val="Tahoma"/>
            <family val="2"/>
          </rPr>
          <t>+100bps Y/Y</t>
        </r>
        <r>
          <rPr>
            <b/>
            <sz val="8"/>
            <color indexed="81"/>
            <rFont val="Tahoma"/>
            <family val="2"/>
          </rPr>
          <t xml:space="preserve">
11.1.2012
</t>
        </r>
        <r>
          <rPr>
            <sz val="8"/>
            <color indexed="81"/>
            <rFont val="Tahoma"/>
            <family val="2"/>
          </rPr>
          <t xml:space="preserve">The company now expects full-year consolidated operating margin improvement of approximately 100 basis points over FY12 results </t>
        </r>
        <r>
          <rPr>
            <b/>
            <sz val="8"/>
            <color indexed="81"/>
            <rFont val="Tahoma"/>
            <family val="2"/>
          </rPr>
          <t>(implies 16.0%)
7.26.2012</t>
        </r>
        <r>
          <rPr>
            <sz val="8"/>
            <color indexed="81"/>
            <rFont val="Tahoma"/>
            <family val="2"/>
          </rPr>
          <t xml:space="preserve">
Starbucks expects full-year consolidated operating margin improvement of 50 to 100 basis points over FY12 results.</t>
        </r>
        <r>
          <rPr>
            <b/>
            <sz val="8"/>
            <color indexed="81"/>
            <rFont val="Tahoma"/>
            <family val="2"/>
          </rPr>
          <t xml:space="preserve">
</t>
        </r>
        <r>
          <rPr>
            <sz val="8"/>
            <color indexed="81"/>
            <rFont val="Tahoma"/>
            <family val="2"/>
          </rPr>
          <t xml:space="preserve">
12.1.10
LT Consolidated Op Margin = mid-to-upper teens</t>
        </r>
      </text>
    </comment>
    <comment ref="CW64" authorId="3">
      <text>
        <r>
          <rPr>
            <b/>
            <sz val="9"/>
            <color indexed="81"/>
            <rFont val="Tahoma"/>
            <family val="2"/>
          </rPr>
          <t>O'Brien, Courtney (Research):
10.30.14</t>
        </r>
        <r>
          <rPr>
            <sz val="9"/>
            <color indexed="81"/>
            <rFont val="Tahoma"/>
            <family val="2"/>
          </rPr>
          <t xml:space="preserve">
20.5% nongaap, +280 bps y/y, driven by sales leverage, invenotry mgmt, lower commodity costs</t>
        </r>
      </text>
    </comment>
    <comment ref="CX64" authorId="1">
      <text>
        <r>
          <rPr>
            <b/>
            <sz val="8"/>
            <color indexed="81"/>
            <rFont val="Tahoma"/>
            <family val="2"/>
          </rPr>
          <t xml:space="preserve">7.24.14:
</t>
        </r>
        <r>
          <rPr>
            <sz val="8"/>
            <color indexed="81"/>
            <rFont val="Tahoma"/>
            <family val="2"/>
          </rPr>
          <t>+200bps</t>
        </r>
        <r>
          <rPr>
            <b/>
            <sz val="8"/>
            <color indexed="81"/>
            <rFont val="Tahoma"/>
            <family val="2"/>
          </rPr>
          <t xml:space="preserve">
4.24.14:
</t>
        </r>
        <r>
          <rPr>
            <sz val="8"/>
            <color indexed="81"/>
            <rFont val="Tahoma"/>
            <family val="2"/>
          </rPr>
          <t>175-200bps</t>
        </r>
        <r>
          <rPr>
            <b/>
            <sz val="8"/>
            <color indexed="81"/>
            <rFont val="Tahoma"/>
            <family val="2"/>
          </rPr>
          <t xml:space="preserve">
10.30.13
</t>
        </r>
        <r>
          <rPr>
            <sz val="8"/>
            <color indexed="81"/>
            <rFont val="Tahoma"/>
            <family val="2"/>
          </rPr>
          <t xml:space="preserve">150-200bps increase excluding FY13 litigation charge. </t>
        </r>
        <r>
          <rPr>
            <b/>
            <sz val="8"/>
            <color indexed="81"/>
            <rFont val="Tahoma"/>
            <family val="2"/>
          </rPr>
          <t xml:space="preserve">
7.25.13
</t>
        </r>
        <r>
          <rPr>
            <sz val="8"/>
            <color indexed="81"/>
            <rFont val="Tahoma"/>
            <family val="2"/>
          </rPr>
          <t>Consolidated margin improvement of 150-200 bps</t>
        </r>
        <r>
          <rPr>
            <b/>
            <sz val="8"/>
            <color indexed="81"/>
            <rFont val="Tahoma"/>
            <family val="2"/>
          </rPr>
          <t xml:space="preserve">
</t>
        </r>
        <r>
          <rPr>
            <sz val="8"/>
            <color indexed="81"/>
            <rFont val="Tahoma"/>
            <family val="2"/>
          </rPr>
          <t xml:space="preserve">
12.1.10
LT Consolidated Op Margin = mid-to-upper teens</t>
        </r>
      </text>
    </comment>
    <comment ref="DB64" authorId="3">
      <text>
        <r>
          <rPr>
            <b/>
            <sz val="9"/>
            <color indexed="81"/>
            <rFont val="Tahoma"/>
            <family val="2"/>
          </rPr>
          <t>O'Brien, Courtney (Research):</t>
        </r>
        <r>
          <rPr>
            <sz val="9"/>
            <color indexed="81"/>
            <rFont val="Tahoma"/>
            <family val="2"/>
          </rPr>
          <t xml:space="preserve">
10.29.15
20%</t>
        </r>
      </text>
    </comment>
    <comment ref="DC64" authorId="1">
      <text>
        <r>
          <rPr>
            <b/>
            <sz val="8"/>
            <color indexed="81"/>
            <rFont val="Tahoma"/>
            <family val="2"/>
          </rPr>
          <t>4.15:</t>
        </r>
        <r>
          <rPr>
            <sz val="8"/>
            <color indexed="81"/>
            <rFont val="Tahoma"/>
            <family val="2"/>
          </rPr>
          <t xml:space="preserve">
 non GAAP operating margins = "modest improvement over '14"
10.30.14
japan acquisition mildly dilutive to operating margins 
12.1.10
LT Consolidated Op Margin = mid-to-upper teens</t>
        </r>
      </text>
    </comment>
    <comment ref="DE64" authorId="4">
      <text>
        <r>
          <rPr>
            <b/>
            <sz val="9"/>
            <color indexed="81"/>
            <rFont val="Tahoma"/>
            <family val="2"/>
          </rPr>
          <t>Glass, John (Research):</t>
        </r>
        <r>
          <rPr>
            <sz val="9"/>
            <color indexed="81"/>
            <rFont val="Tahoma"/>
            <family val="2"/>
          </rPr>
          <t xml:space="preserve">
Woud have been 40 bps higher exluign the US labor tax audit (credited back in tax rate).</t>
        </r>
      </text>
    </comment>
    <comment ref="DH64" authorId="3">
      <text>
        <r>
          <rPr>
            <b/>
            <sz val="9"/>
            <color indexed="81"/>
            <rFont val="Tahoma"/>
            <family val="2"/>
          </rPr>
          <t>O'Brien, Courtney (Research):</t>
        </r>
        <r>
          <rPr>
            <sz val="9"/>
            <color indexed="81"/>
            <rFont val="Tahoma"/>
            <family val="2"/>
          </rPr>
          <t xml:space="preserve">
</t>
        </r>
        <r>
          <rPr>
            <b/>
            <sz val="9"/>
            <color indexed="81"/>
            <rFont val="Tahoma"/>
            <family val="2"/>
          </rPr>
          <t>7.21.2016</t>
        </r>
        <r>
          <rPr>
            <sz val="9"/>
            <color indexed="81"/>
            <rFont val="Tahoma"/>
            <family val="2"/>
          </rPr>
          <t xml:space="preserve">
FY16 operating margin is expected to increase slightly versus prior year
</t>
        </r>
        <r>
          <rPr>
            <b/>
            <sz val="9"/>
            <color indexed="81"/>
            <rFont val="Tahoma"/>
            <family val="2"/>
          </rPr>
          <t xml:space="preserve">4.21.2016
</t>
        </r>
        <r>
          <rPr>
            <sz val="9"/>
            <color indexed="81"/>
            <rFont val="Tahoma"/>
            <family val="2"/>
          </rPr>
          <t xml:space="preserve">FY16 operating margin is expected to increase slightly versus prior year
</t>
        </r>
        <r>
          <rPr>
            <b/>
            <sz val="9"/>
            <color indexed="81"/>
            <rFont val="Tahoma"/>
            <family val="2"/>
          </rPr>
          <t>10.29.15</t>
        </r>
        <r>
          <rPr>
            <sz val="9"/>
            <color indexed="81"/>
            <rFont val="Tahoma"/>
            <family val="2"/>
          </rPr>
          <t xml:space="preserve">
consolidated operating margin will increase slightly from 2015 on both GAAP and non-GAAP bases</t>
        </r>
      </text>
    </comment>
    <comment ref="DK64" authorId="9">
      <text>
        <r>
          <rPr>
            <b/>
            <sz val="9"/>
            <color indexed="81"/>
            <rFont val="Tahoma"/>
            <family val="2"/>
          </rPr>
          <t>Carril, Christopher E (Research):</t>
        </r>
        <r>
          <rPr>
            <sz val="9"/>
            <color indexed="81"/>
            <rFont val="Tahoma"/>
            <family val="2"/>
          </rPr>
          <t xml:space="preserve">
</t>
        </r>
        <r>
          <rPr>
            <b/>
            <sz val="9"/>
            <color indexed="81"/>
            <rFont val="Tahoma"/>
            <family val="2"/>
          </rPr>
          <t xml:space="preserve">7.27.2017
</t>
        </r>
        <r>
          <rPr>
            <sz val="9"/>
            <color indexed="81"/>
            <rFont val="Tahoma"/>
            <family val="2"/>
          </rPr>
          <t>Consolidated operating margin declined 110 basis points to 18.4% primarily due to goodwill and store asset impairments, which drove a 210 basis point decline, largely related to the change in strategic direction for Teavana. Excluding these impairments, margin expanded by 100 basis points driven primarily by sales leverage, partially offset by increased partner investments, largely in the Americas segment.</t>
        </r>
        <r>
          <rPr>
            <b/>
            <sz val="9"/>
            <color indexed="81"/>
            <rFont val="Tahoma"/>
            <family val="2"/>
          </rPr>
          <t xml:space="preserve">
</t>
        </r>
        <r>
          <rPr>
            <sz val="9"/>
            <color indexed="81"/>
            <rFont val="Tahoma"/>
            <family val="2"/>
          </rPr>
          <t xml:space="preserve">
Operating margin totaled 18.4% on a GAAP basis and 20.8% on a non-GAAP basis, up 100 basis points year-over-year, primarily driven by sales leverage,
partially offset by increased partner investments in the Americas.</t>
        </r>
      </text>
    </comment>
    <comment ref="DM64" authorId="9">
      <text>
        <r>
          <rPr>
            <b/>
            <sz val="9"/>
            <color indexed="81"/>
            <rFont val="Tahoma"/>
            <family val="2"/>
          </rPr>
          <t>Carril, Christopher E (Research):</t>
        </r>
        <r>
          <rPr>
            <sz val="9"/>
            <color indexed="81"/>
            <rFont val="Tahoma"/>
            <family val="2"/>
          </rPr>
          <t xml:space="preserve">
</t>
        </r>
        <r>
          <rPr>
            <b/>
            <sz val="9"/>
            <color indexed="81"/>
            <rFont val="Tahoma"/>
            <family val="2"/>
          </rPr>
          <t>7.27.2017</t>
        </r>
        <r>
          <rPr>
            <sz val="9"/>
            <color indexed="81"/>
            <rFont val="Tahoma"/>
            <family val="2"/>
          </rPr>
          <t xml:space="preserve">
Slight improvement versus prior year (FY16 = 19.6%)
</t>
        </r>
        <r>
          <rPr>
            <b/>
            <sz val="9"/>
            <color indexed="81"/>
            <rFont val="Tahoma"/>
            <family val="2"/>
          </rPr>
          <t xml:space="preserve">4.27.2017
</t>
        </r>
        <r>
          <rPr>
            <sz val="9"/>
            <color indexed="81"/>
            <rFont val="Tahoma"/>
            <family val="2"/>
          </rPr>
          <t xml:space="preserve">Consolidated operating margins, we still expect a slight improvement on a 52-week basis compared to fiscal 2016.
</t>
        </r>
        <r>
          <rPr>
            <b/>
            <sz val="9"/>
            <color indexed="81"/>
            <rFont val="Tahoma"/>
            <family val="2"/>
          </rPr>
          <t>1.26.2017</t>
        </r>
        <r>
          <rPr>
            <sz val="9"/>
            <color indexed="81"/>
            <rFont val="Tahoma"/>
            <family val="2"/>
          </rPr>
          <t xml:space="preserve">
On a 52-week basis, we continue to expect slight improvement in consolidated operating margin compared to fiscal 2016. This margin expansion is a strong result given the twin pressures of foreign exchange and increased partner and digital investments.
</t>
        </r>
        <r>
          <rPr>
            <b/>
            <sz val="9"/>
            <color indexed="81"/>
            <rFont val="Tahoma"/>
            <family val="2"/>
          </rPr>
          <t>11.3.2016</t>
        </r>
        <r>
          <rPr>
            <sz val="9"/>
            <color indexed="81"/>
            <rFont val="Tahoma"/>
            <family val="2"/>
          </rPr>
          <t xml:space="preserve">
Consolidated GAAP and non-GAAP operating margin is expected to improve slightly from 2016 on a 52-week basis reflecting strong revenue
growth and leverage on cost of goods sold and G&amp;A partially offset by the impact of increased investments for retail store partners and digital
investments. Includes $250 m of incremental investments vs 4160 m in 16</t>
        </r>
      </text>
    </comment>
    <comment ref="DR64" authorId="9">
      <text>
        <r>
          <rPr>
            <b/>
            <sz val="9"/>
            <color indexed="81"/>
            <rFont val="Tahoma"/>
            <family val="2"/>
          </rPr>
          <t>Carril, Christopher E (Research):</t>
        </r>
        <r>
          <rPr>
            <sz val="9"/>
            <color indexed="81"/>
            <rFont val="Tahoma"/>
            <family val="2"/>
          </rPr>
          <t xml:space="preserve">
1.25.2018
The financial impact of consolidating East China includes a 4 percentage point lift to consolidated revenue and a slightly negative impact to consolidated operating margin.
11.2.2017
</t>
        </r>
        <r>
          <rPr>
            <b/>
            <sz val="9"/>
            <color indexed="81"/>
            <rFont val="Tahoma"/>
            <family val="2"/>
          </rPr>
          <t>Fiscal 2018 consolidated operating margin is expected to be up slightly relative to fiscal 2017,</t>
        </r>
        <r>
          <rPr>
            <sz val="9"/>
            <color indexed="81"/>
            <rFont val="Tahoma"/>
            <family val="2"/>
          </rPr>
          <t xml:space="preserve"> excluding the impact that the change in ownership structure in East China has on operating margin. We expect leverage on cost of goods sold as we continue to make progress against our savings target through 2021. We will grow core G&amp;A at half the rate of revenue growth, a goal we met in 2017 after adjusting both 2016 and 2017 for items affecting comparability. Notably, the incremental dollar impact from partner and digital investments is expected to be lower in 2018.</t>
        </r>
      </text>
    </comment>
    <comment ref="AU66" authorId="0">
      <text>
        <r>
          <rPr>
            <sz val="8"/>
            <color indexed="81"/>
            <rFont val="Tahoma"/>
            <family val="2"/>
          </rPr>
          <t>4/25/03 guidance - 38.5%</t>
        </r>
        <r>
          <rPr>
            <sz val="8"/>
            <color indexed="81"/>
            <rFont val="Tahoma"/>
            <family val="2"/>
          </rPr>
          <t xml:space="preserve">
</t>
        </r>
      </text>
    </comment>
    <comment ref="AZ66" authorId="0">
      <text>
        <r>
          <rPr>
            <sz val="8"/>
            <color indexed="81"/>
            <rFont val="Tahoma"/>
            <family val="2"/>
          </rPr>
          <t>7/24/03 - 38%
11/13/03 38%</t>
        </r>
        <r>
          <rPr>
            <sz val="8"/>
            <color indexed="81"/>
            <rFont val="Tahoma"/>
            <family val="2"/>
          </rPr>
          <t xml:space="preserve">
</t>
        </r>
      </text>
    </comment>
    <comment ref="BD66" authorId="0">
      <text>
        <r>
          <rPr>
            <b/>
            <sz val="8"/>
            <color indexed="81"/>
            <rFont val="Tahoma"/>
            <family val="2"/>
          </rPr>
          <t xml:space="preserve">towerj:
</t>
        </r>
        <r>
          <rPr>
            <sz val="8"/>
            <color indexed="81"/>
            <rFont val="Tahoma"/>
            <family val="2"/>
          </rPr>
          <t>7.29.05 - 38%</t>
        </r>
        <r>
          <rPr>
            <sz val="8"/>
            <color indexed="81"/>
            <rFont val="Tahoma"/>
            <family val="2"/>
          </rPr>
          <t xml:space="preserve">
</t>
        </r>
      </text>
    </comment>
    <comment ref="BE66" authorId="0">
      <text>
        <r>
          <rPr>
            <sz val="8"/>
            <color indexed="81"/>
            <rFont val="Tahoma"/>
            <family val="2"/>
          </rPr>
          <t>7/21/04 - "reasonably good chance to lower in 2004" 
11/10/04 37.5%
1.26.05 37.5% w/ minor variations from quarter to quarter
4.27.05 37.7%
7.29.05   38%</t>
        </r>
        <r>
          <rPr>
            <sz val="8"/>
            <color indexed="81"/>
            <rFont val="Tahoma"/>
            <family val="2"/>
          </rPr>
          <t xml:space="preserve">
</t>
        </r>
      </text>
    </comment>
    <comment ref="BI66" authorId="0">
      <text>
        <r>
          <rPr>
            <b/>
            <sz val="8"/>
            <color indexed="81"/>
            <rFont val="Tahoma"/>
            <family val="2"/>
          </rPr>
          <t xml:space="preserve">towerj:
</t>
        </r>
        <r>
          <rPr>
            <sz val="8"/>
            <color indexed="81"/>
            <rFont val="Tahoma"/>
            <family val="2"/>
          </rPr>
          <t>8.2.06 38%
11.16.06
The effective tax rate in the current period was lower than normal due to recognition of the full-year benefit of a shift in the mix of profitability to lower-tax international markets and increased effectiveness of the Company's long-term tax planning strategies as well as several favorable audit settlements, closures and adjustments. In addition, there was a valuation allowance recorded in the fourth quarter of fiscal 2005 which resulted in a higher effective tax rate in that period.</t>
        </r>
        <r>
          <rPr>
            <b/>
            <sz val="8"/>
            <color indexed="81"/>
            <rFont val="Tahoma"/>
            <family val="2"/>
          </rPr>
          <t xml:space="preserve">
</t>
        </r>
        <r>
          <rPr>
            <sz val="8"/>
            <color indexed="81"/>
            <rFont val="Tahoma"/>
            <family val="2"/>
          </rPr>
          <t xml:space="preserve">
</t>
        </r>
      </text>
    </comment>
    <comment ref="BJ66" authorId="0">
      <text>
        <r>
          <rPr>
            <b/>
            <sz val="8"/>
            <color indexed="81"/>
            <rFont val="Tahoma"/>
            <family val="2"/>
          </rPr>
          <t xml:space="preserve">towerj:
</t>
        </r>
        <r>
          <rPr>
            <sz val="8"/>
            <color indexed="81"/>
            <rFont val="Tahoma"/>
            <family val="2"/>
          </rPr>
          <t>7.29.05  38%
11.17.05 reit 38%
2.1.06 reit 38%
5.3.06 reit 38%</t>
        </r>
        <r>
          <rPr>
            <sz val="8"/>
            <color indexed="81"/>
            <rFont val="Tahoma"/>
            <family val="2"/>
          </rPr>
          <t xml:space="preserve">
</t>
        </r>
      </text>
    </comment>
    <comment ref="BN66" authorId="0">
      <text>
        <r>
          <rPr>
            <sz val="8"/>
            <color indexed="81"/>
            <rFont val="Tahoma"/>
            <family val="2"/>
          </rPr>
          <t>11/13/03 20% growth</t>
        </r>
      </text>
    </comment>
    <comment ref="BO66" authorId="0">
      <text>
        <r>
          <rPr>
            <b/>
            <sz val="8"/>
            <color indexed="81"/>
            <rFont val="Tahoma"/>
            <family val="2"/>
          </rPr>
          <t>11/13/03 20% grwoth
1/21/04 reiterated</t>
        </r>
        <r>
          <rPr>
            <sz val="8"/>
            <color indexed="81"/>
            <rFont val="Tahoma"/>
            <family val="2"/>
          </rPr>
          <t xml:space="preserve">
</t>
        </r>
      </text>
    </comment>
    <comment ref="BR66" authorId="1">
      <text>
        <r>
          <rPr>
            <b/>
            <sz val="8"/>
            <color indexed="81"/>
            <rFont val="Tahoma"/>
            <family val="2"/>
          </rPr>
          <t>Jon Tower:</t>
        </r>
        <r>
          <rPr>
            <sz val="8"/>
            <color indexed="81"/>
            <rFont val="Tahoma"/>
            <family val="2"/>
          </rPr>
          <t xml:space="preserve">
7.30.08
The third quarter of fiscal 2008 includes the impact of the release of tax reserves during the quarter as well as a modest downward revision to the full year expected tax rate.</t>
        </r>
      </text>
    </comment>
    <comment ref="BT66" authorId="13">
      <text>
        <r>
          <rPr>
            <sz val="8"/>
            <color indexed="81"/>
            <rFont val="Tahoma"/>
            <family val="2"/>
          </rPr>
          <t>7.30.08
11.15.07
TR in line w/FY07</t>
        </r>
      </text>
    </comment>
    <comment ref="BX66" authorId="1">
      <text>
        <r>
          <rPr>
            <b/>
            <sz val="8"/>
            <color indexed="81"/>
            <rFont val="Tahoma"/>
            <family val="2"/>
          </rPr>
          <t>Jon Tower:</t>
        </r>
        <r>
          <rPr>
            <sz val="8"/>
            <color indexed="81"/>
            <rFont val="Tahoma"/>
            <family val="2"/>
          </rPr>
          <t xml:space="preserve">
11.5.09
Our effective tax rate for the fourth quarter was lower than normal due to an employment tax audit
settlement. As a result of this settlement we’ve recorded approximately $17 million in additional
payroll tax for the quarter, which shows up in our store operating expenses. This additional payroll
tax is fully offset by an income tax credit resulting in no impact to net profit. This tax audit
settlement lowered our effective tax rate by roughly 4.5 percentage points in the quarter, otherwise
the effective tax rate would have been in line with our historical rate. And I’ll point out again, this
unusually low tax rate had no impact on EPS as it was completely offset by additional store
operating expenses.</t>
        </r>
      </text>
    </comment>
    <comment ref="BY66" authorId="1">
      <text>
        <r>
          <rPr>
            <b/>
            <sz val="8"/>
            <color indexed="81"/>
            <rFont val="Tahoma"/>
            <family val="2"/>
          </rPr>
          <t>Jon Tower:</t>
        </r>
        <r>
          <rPr>
            <sz val="8"/>
            <color indexed="81"/>
            <rFont val="Tahoma"/>
            <family val="2"/>
          </rPr>
          <t xml:space="preserve">
4.30.08
34%</t>
        </r>
      </text>
    </comment>
    <comment ref="BZ66" authorId="1">
      <text>
        <r>
          <rPr>
            <b/>
            <sz val="8"/>
            <color indexed="81"/>
            <rFont val="Tahoma"/>
            <family val="2"/>
          </rPr>
          <t>Jon Tower:</t>
        </r>
        <r>
          <rPr>
            <sz val="8"/>
            <color indexed="81"/>
            <rFont val="Tahoma"/>
            <family val="2"/>
          </rPr>
          <t xml:space="preserve">
1.20.10
Of note, included within in quarters' earnings was roughly 2 cents per share related to the France, Spain and Portugal transaction completed at the end of the quarter.  That two cents net benefit includes an accounting gain reported in other income and a favorable impact on the effective tax rate for the quarter.  This earnings favorable is strictly related to the transaction completed in the first quarters and is not reflective of ongoing financial impact from operations. </t>
        </r>
      </text>
    </comment>
    <comment ref="CD66" authorId="1">
      <text>
        <r>
          <rPr>
            <b/>
            <sz val="8"/>
            <color indexed="81"/>
            <rFont val="Tahoma"/>
            <family val="2"/>
          </rPr>
          <t>Jon Tower:
11.5.09</t>
        </r>
        <r>
          <rPr>
            <sz val="8"/>
            <color indexed="81"/>
            <rFont val="Tahoma"/>
            <family val="2"/>
          </rPr>
          <t xml:space="preserve">
The company is currently expecting an effective tax rate in the range of 34% to 35%. </t>
        </r>
        <r>
          <rPr>
            <sz val="8"/>
            <color indexed="81"/>
            <rFont val="Tahoma"/>
            <family val="2"/>
          </rPr>
          <t xml:space="preserve">
4.30.08
33%</t>
        </r>
      </text>
    </comment>
    <comment ref="CH66" authorId="1">
      <text>
        <r>
          <rPr>
            <b/>
            <sz val="8"/>
            <color indexed="81"/>
            <rFont val="Tahoma"/>
            <family val="2"/>
          </rPr>
          <t>Jon Tower:</t>
        </r>
        <r>
          <rPr>
            <sz val="8"/>
            <color indexed="81"/>
            <rFont val="Tahoma"/>
            <family val="2"/>
          </rPr>
          <t xml:space="preserve">
11.3.11
gain on purchase of Switz/Aus markets = 330 bp impact on tax rate in 4Q11</t>
        </r>
      </text>
    </comment>
    <comment ref="CI66" authorId="1">
      <text>
        <r>
          <rPr>
            <b/>
            <sz val="8"/>
            <color indexed="81"/>
            <rFont val="Tahoma"/>
            <family val="2"/>
          </rPr>
          <t xml:space="preserve">Jon Tower:
11.3.11
gain on purchase of Switz/Aus markets = 90 bp impact on tax rate in 2011
1.26.11
32-33%
</t>
        </r>
        <r>
          <rPr>
            <sz val="8"/>
            <color indexed="81"/>
            <rFont val="Tahoma"/>
            <family val="2"/>
          </rPr>
          <t xml:space="preserve">
4.30.08
33%</t>
        </r>
      </text>
    </comment>
    <comment ref="CJ66" authorId="1">
      <text>
        <r>
          <rPr>
            <b/>
            <sz val="8"/>
            <color indexed="81"/>
            <rFont val="Tahoma"/>
            <family val="2"/>
          </rPr>
          <t>Jon Tower:</t>
        </r>
        <r>
          <rPr>
            <sz val="8"/>
            <color indexed="81"/>
            <rFont val="Tahoma"/>
            <family val="2"/>
          </rPr>
          <t xml:space="preserve">
11.3.11
The effective tax rate is expected to be approximately 33%.</t>
        </r>
      </text>
    </comment>
    <comment ref="CK66" authorId="1">
      <text>
        <r>
          <rPr>
            <b/>
            <sz val="8"/>
            <color indexed="81"/>
            <rFont val="Tahoma"/>
            <family val="2"/>
          </rPr>
          <t>Jon Tower:</t>
        </r>
        <r>
          <rPr>
            <sz val="8"/>
            <color indexed="81"/>
            <rFont val="Tahoma"/>
            <family val="2"/>
          </rPr>
          <t xml:space="preserve">
11.3.11
The effective tax rate is expected to be approximately 33%.</t>
        </r>
      </text>
    </comment>
    <comment ref="CL66" authorId="1">
      <text>
        <r>
          <rPr>
            <sz val="8"/>
            <color indexed="81"/>
            <rFont val="Tahoma"/>
            <family val="2"/>
          </rPr>
          <t>4.26.2012
The effective tax rate is expected to be approximately 33%.</t>
        </r>
      </text>
    </comment>
    <comment ref="CN66" authorId="1">
      <text>
        <r>
          <rPr>
            <sz val="8"/>
            <color indexed="81"/>
            <rFont val="Tahoma"/>
            <family val="2"/>
          </rPr>
          <t>4.26.2012
The effective tax rate is expected to be approximately 33%.</t>
        </r>
      </text>
    </comment>
    <comment ref="CO66" authorId="6">
      <text>
        <r>
          <rPr>
            <b/>
            <sz val="8"/>
            <color indexed="81"/>
            <rFont val="Tahoma"/>
            <family val="2"/>
          </rPr>
          <t>Sushama Dasari:</t>
        </r>
        <r>
          <rPr>
            <sz val="8"/>
            <color indexed="81"/>
            <rFont val="Tahoma"/>
            <family val="2"/>
          </rPr>
          <t xml:space="preserve">
</t>
        </r>
        <r>
          <rPr>
            <b/>
            <sz val="8"/>
            <color indexed="81"/>
            <rFont val="Tahoma"/>
            <family val="2"/>
          </rPr>
          <t xml:space="preserve">1.24.13
</t>
        </r>
        <r>
          <rPr>
            <sz val="8"/>
            <color indexed="81"/>
            <rFont val="Tahoma"/>
            <family val="2"/>
          </rPr>
          <t>Recognized $18M benefit from state income tax expense adjustments for returns filed in prior years (known by mgmt and factored into guidance but unknown by analysts)</t>
        </r>
        <r>
          <rPr>
            <sz val="8"/>
            <color indexed="81"/>
            <rFont val="Tahoma"/>
            <family val="2"/>
          </rPr>
          <t xml:space="preserve">
</t>
        </r>
        <r>
          <rPr>
            <b/>
            <sz val="8"/>
            <color indexed="81"/>
            <rFont val="Tahoma"/>
            <family val="2"/>
          </rPr>
          <t xml:space="preserve">7.26.2012
</t>
        </r>
        <r>
          <rPr>
            <sz val="8"/>
            <color indexed="81"/>
            <rFont val="Tahoma"/>
            <family val="2"/>
          </rPr>
          <t>Company expects full-year tax rate of approximately 33%</t>
        </r>
      </text>
    </comment>
    <comment ref="CP66" authorId="6">
      <text>
        <r>
          <rPr>
            <b/>
            <sz val="8"/>
            <color indexed="81"/>
            <rFont val="Tahoma"/>
            <family val="2"/>
          </rPr>
          <t>Sushama Dasari:</t>
        </r>
        <r>
          <rPr>
            <sz val="8"/>
            <color indexed="81"/>
            <rFont val="Tahoma"/>
            <family val="2"/>
          </rPr>
          <t xml:space="preserve">
</t>
        </r>
        <r>
          <rPr>
            <b/>
            <sz val="8"/>
            <color indexed="81"/>
            <rFont val="Tahoma"/>
            <family val="2"/>
          </rPr>
          <t xml:space="preserve">7.26.2012
</t>
        </r>
        <r>
          <rPr>
            <sz val="8"/>
            <color indexed="81"/>
            <rFont val="Tahoma"/>
            <family val="2"/>
          </rPr>
          <t>Company expects full-year tax rate of approximately 33%</t>
        </r>
      </text>
    </comment>
    <comment ref="CQ66" authorId="6">
      <text>
        <r>
          <rPr>
            <b/>
            <sz val="8"/>
            <color indexed="81"/>
            <rFont val="Tahoma"/>
            <family val="2"/>
          </rPr>
          <t>Sushama Dasari:</t>
        </r>
        <r>
          <rPr>
            <sz val="8"/>
            <color indexed="81"/>
            <rFont val="Tahoma"/>
            <family val="2"/>
          </rPr>
          <t xml:space="preserve">
</t>
        </r>
        <r>
          <rPr>
            <b/>
            <sz val="8"/>
            <color indexed="81"/>
            <rFont val="Tahoma"/>
            <family val="2"/>
          </rPr>
          <t xml:space="preserve">7.26.2012
</t>
        </r>
        <r>
          <rPr>
            <sz val="8"/>
            <color indexed="81"/>
            <rFont val="Tahoma"/>
            <family val="2"/>
          </rPr>
          <t>Company expects full-year tax rate of approximately 33%</t>
        </r>
      </text>
    </comment>
    <comment ref="CR66" authorId="6">
      <text>
        <r>
          <rPr>
            <b/>
            <sz val="8"/>
            <color indexed="81"/>
            <rFont val="Tahoma"/>
            <family val="2"/>
          </rPr>
          <t>Sushama Dasari:</t>
        </r>
        <r>
          <rPr>
            <sz val="8"/>
            <color indexed="81"/>
            <rFont val="Tahoma"/>
            <family val="2"/>
          </rPr>
          <t xml:space="preserve">
</t>
        </r>
        <r>
          <rPr>
            <b/>
            <sz val="8"/>
            <color indexed="81"/>
            <rFont val="Tahoma"/>
            <family val="2"/>
          </rPr>
          <t xml:space="preserve">7.26.2012
</t>
        </r>
        <r>
          <rPr>
            <sz val="8"/>
            <color indexed="81"/>
            <rFont val="Tahoma"/>
            <family val="2"/>
          </rPr>
          <t>Company expects full-year tax rate of approximately 33%</t>
        </r>
      </text>
    </comment>
    <comment ref="CS66" authorId="6">
      <text>
        <r>
          <rPr>
            <b/>
            <sz val="8"/>
            <color indexed="81"/>
            <rFont val="Tahoma"/>
            <family val="2"/>
          </rPr>
          <t xml:space="preserve">11.13.13
</t>
        </r>
        <r>
          <rPr>
            <sz val="8"/>
            <color indexed="81"/>
            <rFont val="Tahoma"/>
            <family val="2"/>
          </rPr>
          <t>adjusted (pre-charge)</t>
        </r>
        <r>
          <rPr>
            <sz val="8"/>
            <color indexed="81"/>
            <rFont val="Tahoma"/>
            <family val="2"/>
          </rPr>
          <t xml:space="preserve">
</t>
        </r>
        <r>
          <rPr>
            <b/>
            <sz val="8"/>
            <color indexed="81"/>
            <rFont val="Tahoma"/>
            <family val="2"/>
          </rPr>
          <t xml:space="preserve">7.26.2012
</t>
        </r>
        <r>
          <rPr>
            <sz val="8"/>
            <color indexed="81"/>
            <rFont val="Tahoma"/>
            <family val="2"/>
          </rPr>
          <t>Company expects full-year tax rate of approximately 33%</t>
        </r>
      </text>
    </comment>
    <comment ref="CT66" authorId="8">
      <text>
        <r>
          <rPr>
            <b/>
            <sz val="8"/>
            <color indexed="81"/>
            <rFont val="Tahoma"/>
            <family val="2"/>
          </rPr>
          <t xml:space="preserve">10Q:
</t>
        </r>
        <r>
          <rPr>
            <sz val="8"/>
            <color indexed="81"/>
            <rFont val="Tahoma"/>
            <family val="2"/>
          </rPr>
          <t>The increase in the rate was primarily due to lapping the recognition of a net tax benefit in the first quarter of fiscal 2013, primarily from state income tax expense adjustments for returns filed in prior years.</t>
        </r>
        <r>
          <rPr>
            <sz val="8"/>
            <color indexed="81"/>
            <rFont val="Tahoma"/>
            <family val="2"/>
          </rPr>
          <t xml:space="preserve">
</t>
        </r>
      </text>
    </comment>
    <comment ref="CX66" authorId="8">
      <text>
        <r>
          <rPr>
            <b/>
            <sz val="8"/>
            <color indexed="81"/>
            <rFont val="Tahoma"/>
            <family val="2"/>
          </rPr>
          <t>4.24.14</t>
        </r>
        <r>
          <rPr>
            <sz val="8"/>
            <color indexed="81"/>
            <rFont val="Tahoma"/>
            <family val="2"/>
          </rPr>
          <t>:
Tax rate of 34%</t>
        </r>
        <r>
          <rPr>
            <b/>
            <sz val="8"/>
            <color indexed="81"/>
            <rFont val="Tahoma"/>
            <family val="2"/>
          </rPr>
          <t xml:space="preserve">
10.30.13:
</t>
        </r>
        <r>
          <rPr>
            <sz val="8"/>
            <color indexed="81"/>
            <rFont val="Tahoma"/>
            <family val="2"/>
          </rPr>
          <t>Tax rate of 34.5%</t>
        </r>
        <r>
          <rPr>
            <sz val="8"/>
            <color indexed="81"/>
            <rFont val="Tahoma"/>
            <family val="2"/>
          </rPr>
          <t xml:space="preserve">
</t>
        </r>
      </text>
    </comment>
    <comment ref="CY66" authorId="3">
      <text>
        <r>
          <rPr>
            <b/>
            <sz val="9"/>
            <color indexed="81"/>
            <rFont val="Tahoma"/>
            <family val="2"/>
          </rPr>
          <t>O'Brien, Courtney (Research):</t>
        </r>
        <r>
          <rPr>
            <sz val="9"/>
            <color indexed="81"/>
            <rFont val="Tahoma"/>
            <family val="2"/>
          </rPr>
          <t xml:space="preserve">
1.23.15
Regarding taxes, our Q1 tax rate was 24.2% and the decrease in the rate was primarily due to the impact of the gain related to the Starbucks Japan
acquisition, which is almost entirely nontaxable.
</t>
        </r>
      </text>
    </comment>
    <comment ref="DB66" authorId="3">
      <text>
        <r>
          <rPr>
            <b/>
            <sz val="9"/>
            <color indexed="81"/>
            <rFont val="Tahoma"/>
            <family val="2"/>
          </rPr>
          <t>O'Brien, Courtney (Research):</t>
        </r>
        <r>
          <rPr>
            <sz val="9"/>
            <color indexed="81"/>
            <rFont val="Tahoma"/>
            <family val="2"/>
          </rPr>
          <t xml:space="preserve">
10.29.15
Second, our effective tax rate for Q4 2015 reflects an incremental tax benefit related to certain additional domestic manufacturing
deductions to be claimed in our US consolidated tax returns</t>
        </r>
      </text>
    </comment>
    <comment ref="DC66" authorId="3">
      <text>
        <r>
          <rPr>
            <b/>
            <sz val="9"/>
            <color indexed="81"/>
            <rFont val="Tahoma"/>
            <family val="2"/>
          </rPr>
          <t>7.22.15
reit 31%
1.22.14
tax rate = 31% for the year
10.14</t>
        </r>
        <r>
          <rPr>
            <sz val="9"/>
            <color indexed="81"/>
            <rFont val="Tahoma"/>
            <family val="2"/>
          </rPr>
          <t xml:space="preserve">
incleds 4pts of favorable impact from Q1, difference from 35% is all do to Japan acqisitions</t>
        </r>
      </text>
    </comment>
    <comment ref="DF66" authorId="14">
      <text>
        <r>
          <rPr>
            <b/>
            <sz val="9"/>
            <color indexed="81"/>
            <rFont val="Tahoma"/>
            <family val="2"/>
          </rPr>
          <t>Dorfman, David (Research):</t>
        </r>
        <r>
          <rPr>
            <sz val="9"/>
            <color indexed="81"/>
            <rFont val="Tahoma"/>
            <family val="2"/>
          </rPr>
          <t xml:space="preserve">
7.16: we recorded a true-up related to a specific domestic manufacturing
tax benefit in the quarter and also the net gain from the Germany sale, the majority of which was nontaxable. These items had a favorable 260
basis point impact on the tax rate.
The remaining net favorability, which was not included as a non-GAAP adjustment, related to various other items that we recorded during the
quarter. We do not anticipate that the benefit from most of these items will recur in Q4.</t>
        </r>
      </text>
    </comment>
    <comment ref="DH66" authorId="3">
      <text>
        <r>
          <rPr>
            <b/>
            <sz val="9"/>
            <color indexed="81"/>
            <rFont val="Tahoma"/>
            <family val="2"/>
          </rPr>
          <t xml:space="preserve">7.21.2016
</t>
        </r>
        <r>
          <rPr>
            <sz val="9"/>
            <color indexed="81"/>
            <rFont val="Tahoma"/>
            <family val="2"/>
          </rPr>
          <t>~33%</t>
        </r>
        <r>
          <rPr>
            <b/>
            <sz val="9"/>
            <color indexed="81"/>
            <rFont val="Tahoma"/>
            <family val="2"/>
          </rPr>
          <t xml:space="preserve">
4.21.2016
</t>
        </r>
        <r>
          <rPr>
            <sz val="9"/>
            <color indexed="81"/>
            <rFont val="Tahoma"/>
            <family val="2"/>
          </rPr>
          <t xml:space="preserve">Consolidated tax rate now expected to be approximately 34% (from a range of 34% - 35%) </t>
        </r>
        <r>
          <rPr>
            <b/>
            <sz val="9"/>
            <color indexed="81"/>
            <rFont val="Tahoma"/>
            <family val="2"/>
          </rPr>
          <t xml:space="preserve">
1.21.16
</t>
        </r>
        <r>
          <rPr>
            <sz val="9"/>
            <color indexed="81"/>
            <rFont val="Tahoma"/>
            <family val="2"/>
          </rPr>
          <t xml:space="preserve">reit 34-35%
</t>
        </r>
        <r>
          <rPr>
            <b/>
            <sz val="9"/>
            <color indexed="81"/>
            <rFont val="Tahoma"/>
            <family val="2"/>
          </rPr>
          <t>10.29.15</t>
        </r>
        <r>
          <rPr>
            <sz val="9"/>
            <color indexed="81"/>
            <rFont val="Tahoma"/>
            <family val="2"/>
          </rPr>
          <t xml:space="preserve">
34-35%</t>
        </r>
      </text>
    </comment>
    <comment ref="DM66" authorId="9">
      <text>
        <r>
          <rPr>
            <b/>
            <sz val="9"/>
            <color indexed="81"/>
            <rFont val="Tahoma"/>
            <family val="2"/>
          </rPr>
          <t>Carril, Christopher E (Research):</t>
        </r>
        <r>
          <rPr>
            <sz val="9"/>
            <color indexed="81"/>
            <rFont val="Tahoma"/>
            <family val="2"/>
          </rPr>
          <t xml:space="preserve">
</t>
        </r>
        <r>
          <rPr>
            <b/>
            <sz val="9"/>
            <color indexed="81"/>
            <rFont val="Tahoma"/>
            <family val="2"/>
          </rPr>
          <t xml:space="preserve">7.27.2017
</t>
        </r>
        <r>
          <rPr>
            <sz val="9"/>
            <color indexed="81"/>
            <rFont val="Tahoma"/>
            <family val="2"/>
          </rPr>
          <t xml:space="preserve">~ 34%
</t>
        </r>
        <r>
          <rPr>
            <b/>
            <sz val="9"/>
            <color indexed="81"/>
            <rFont val="Tahoma"/>
            <family val="2"/>
          </rPr>
          <t xml:space="preserve">11.3.2016
</t>
        </r>
        <r>
          <rPr>
            <sz val="9"/>
            <color indexed="81"/>
            <rFont val="Tahoma"/>
            <family val="2"/>
          </rPr>
          <t>~34%</t>
        </r>
      </text>
    </comment>
    <comment ref="DR66" authorId="9">
      <text>
        <r>
          <rPr>
            <b/>
            <sz val="9"/>
            <color indexed="81"/>
            <rFont val="Tahoma"/>
            <family val="2"/>
          </rPr>
          <t>Carril, Christopher E (Research):</t>
        </r>
        <r>
          <rPr>
            <sz val="9"/>
            <color indexed="81"/>
            <rFont val="Tahoma"/>
            <family val="2"/>
          </rPr>
          <t xml:space="preserve">
1.25.2018
26%
We expect our 2018 GAAP tax rate will be 23%, with significant impacts from the gain of East China acquisitions and transition-related items from the U.S. tax law change. The East China gain will impact our 2018 effective rate by 5 points. Partially offsetting this is approximately 2 points or an estimated tax charge related to deemed repatriation of international earnings, partially offset by an estimated tax benefit from revaluing our net deferred tax liability position at lower statutory rates. Excluding the net 3 points of favorability from these drivers, our non-GAAP effective tax rate is estimated to be 26% for 2018 and beyond or roughly 7 points below previous guidance.
11.2.2017
~33%
We expect our effective tax rate for 2018 to be approximately 27%, including approximately 6 points of favorable impact from the planned acquisition of East China.</t>
        </r>
      </text>
    </comment>
    <comment ref="DC69" authorId="3">
      <text>
        <r>
          <rPr>
            <b/>
            <sz val="9"/>
            <color indexed="81"/>
            <rFont val="Tahoma"/>
            <family val="2"/>
          </rPr>
          <t>Acq of Jpana added 6-7% to revenue growth in FY15
7.22.15
reaffirmed 16-18%</t>
        </r>
        <r>
          <rPr>
            <sz val="9"/>
            <color indexed="81"/>
            <rFont val="Tahoma"/>
            <family val="2"/>
          </rPr>
          <t xml:space="preserve">
1.22.14 
16-18% reaffirmed</t>
        </r>
      </text>
    </comment>
    <comment ref="DN69" authorId="9">
      <text>
        <r>
          <rPr>
            <b/>
            <sz val="9"/>
            <color indexed="81"/>
            <rFont val="Tahoma"/>
            <family val="2"/>
          </rPr>
          <t>Carril, Christopher E (Research):</t>
        </r>
        <r>
          <rPr>
            <sz val="9"/>
            <color indexed="81"/>
            <rFont val="Tahoma"/>
            <family val="2"/>
          </rPr>
          <t xml:space="preserve">
1.25.2018
7% after adjusting for 1 point of impact for the licensing of our business in Singapore, the sale of our TAZO tea business, the exit of our e-commerce business and the continued
wind-down of our Teavana stores, all streamline-driven activities.</t>
        </r>
      </text>
    </comment>
    <comment ref="A70" authorId="0">
      <text>
        <r>
          <rPr>
            <b/>
            <sz val="8"/>
            <color indexed="81"/>
            <rFont val="Tahoma"/>
            <family val="2"/>
          </rPr>
          <t xml:space="preserve">Jon Tower:
</t>
        </r>
        <r>
          <rPr>
            <sz val="8"/>
            <color indexed="81"/>
            <rFont val="Tahoma"/>
            <family val="2"/>
          </rPr>
          <t xml:space="preserve">Concurrent with the change in our distribution method for packaged coffee and tea in the U.S., the company has revised the presentation of revenues this quarter. Non-retail licensing revenues have been reclassified on the consolidated financial statements to the renamed “CPG, foodservice and other” revenue line, which includes revenues from our direct sale of packaged coffee and tea as well as licensing revenues received under the previous distribution arrangement. The previous “Licensing” revenue line now includes only licensed store revenue and therefore has been renamed “Licensed stores.” Within the CPG segment, the previous “Licensing” revenue line has been renamed “CPG.” There was no impact to consolidated or segment net revenues from this change in presentation. </t>
        </r>
        <r>
          <rPr>
            <b/>
            <sz val="8"/>
            <color indexed="81"/>
            <rFont val="Tahoma"/>
            <family val="2"/>
          </rPr>
          <t xml:space="preserve">
</t>
        </r>
        <r>
          <rPr>
            <sz val="8"/>
            <color indexed="81"/>
            <rFont val="Tahoma"/>
            <family val="2"/>
          </rPr>
          <t xml:space="preserve">
</t>
        </r>
      </text>
    </comment>
    <comment ref="A71" authorId="0">
      <text>
        <r>
          <rPr>
            <b/>
            <sz val="8"/>
            <color indexed="81"/>
            <rFont val="Tahoma"/>
            <family val="2"/>
          </rPr>
          <t xml:space="preserve">Jon Tower:
</t>
        </r>
        <r>
          <rPr>
            <sz val="8"/>
            <color indexed="81"/>
            <rFont val="Tahoma"/>
            <family val="2"/>
          </rPr>
          <t xml:space="preserve">Concurrent with the change in our distribution method for packaged coffee and tea in the U.S., the company has revised the presentation of revenues this quarter. Non-retail licensing revenues have been reclassified on the consolidated financial statements to the renamed “CPG, foodservice and other” revenue line, which includes revenues from our direct sale of packaged coffee and tea as well as licensing revenues received under the previous distribution arrangement. The previous “Licensing” revenue line now includes only licensed store revenue and therefore has been renamed “Licensed stores.” Within the CPG segment, the previous “Licensing” revenue line has been renamed “CPG.” There was no impact to consolidated or segment net revenues from this change in presentation. </t>
        </r>
        <r>
          <rPr>
            <sz val="8"/>
            <color indexed="81"/>
            <rFont val="Tahoma"/>
            <family val="2"/>
          </rPr>
          <t xml:space="preserve">
</t>
        </r>
      </text>
    </comment>
    <comment ref="BA72" authorId="0">
      <text>
        <r>
          <rPr>
            <b/>
            <sz val="8"/>
            <color indexed="81"/>
            <rFont val="Tahoma"/>
            <family val="2"/>
          </rPr>
          <t xml:space="preserve">glassj:
</t>
        </r>
        <r>
          <rPr>
            <sz val="8"/>
            <color indexed="81"/>
            <rFont val="Tahoma"/>
            <family val="2"/>
          </rPr>
          <t>lower yr/yr growth due to (1) channel fill for kraft preceeding 2 qurts and (2) lapping SCC acq.</t>
        </r>
        <r>
          <rPr>
            <sz val="8"/>
            <color indexed="81"/>
            <rFont val="Tahoma"/>
            <family val="2"/>
          </rPr>
          <t xml:space="preserve">
</t>
        </r>
      </text>
    </comment>
    <comment ref="A73" authorId="0">
      <text>
        <r>
          <rPr>
            <b/>
            <sz val="8"/>
            <color indexed="81"/>
            <rFont val="Tahoma"/>
            <family val="2"/>
          </rPr>
          <t xml:space="preserve">towerj:
</t>
        </r>
        <r>
          <rPr>
            <sz val="8"/>
            <color indexed="81"/>
            <rFont val="Tahoma"/>
            <family val="2"/>
          </rPr>
          <t>LT net rev growth of 20%</t>
        </r>
        <r>
          <rPr>
            <sz val="8"/>
            <color indexed="81"/>
            <rFont val="Tahoma"/>
            <family val="2"/>
          </rPr>
          <t xml:space="preserve">
</t>
        </r>
      </text>
    </comment>
    <comment ref="AU73" authorId="0">
      <text>
        <r>
          <rPr>
            <sz val="8"/>
            <color indexed="81"/>
            <rFont val="Tahoma"/>
            <family val="2"/>
          </rPr>
          <t>guidance total revenue up 20%</t>
        </r>
        <r>
          <rPr>
            <sz val="8"/>
            <color indexed="81"/>
            <rFont val="Tahoma"/>
            <family val="2"/>
          </rPr>
          <t xml:space="preserve">
</t>
        </r>
      </text>
    </comment>
    <comment ref="AZ73" authorId="0">
      <text>
        <r>
          <rPr>
            <sz val="8"/>
            <color indexed="81"/>
            <rFont val="Tahoma"/>
            <family val="2"/>
          </rPr>
          <t>1/21/04 - 25%
4/21/04 25-30%
7/21/04 25-30%</t>
        </r>
        <r>
          <rPr>
            <sz val="8"/>
            <color indexed="81"/>
            <rFont val="Tahoma"/>
            <family val="2"/>
          </rPr>
          <t xml:space="preserve">
</t>
        </r>
      </text>
    </comment>
    <comment ref="BD73" authorId="0">
      <text>
        <r>
          <rPr>
            <b/>
            <sz val="8"/>
            <color indexed="81"/>
            <rFont val="Tahoma"/>
            <family val="2"/>
          </rPr>
          <t xml:space="preserve">towerj:
</t>
        </r>
        <r>
          <rPr>
            <sz val="8"/>
            <color indexed="81"/>
            <rFont val="Tahoma"/>
            <family val="2"/>
          </rPr>
          <t>7.29.05 - As a reminder, fiscal year 2004 included an extra week of operations in the fourth quarter and, as a result, total reported net revenue growth for fourth quarter 2005 will be lower than 20 percent.</t>
        </r>
        <r>
          <rPr>
            <sz val="8"/>
            <color indexed="81"/>
            <rFont val="Tahoma"/>
            <family val="2"/>
          </rPr>
          <t xml:space="preserve">
</t>
        </r>
      </text>
    </comment>
    <comment ref="BE73" authorId="0">
      <text>
        <r>
          <rPr>
            <sz val="8"/>
            <color indexed="81"/>
            <rFont val="Tahoma"/>
            <family val="2"/>
          </rPr>
          <t>7/21/04 20% revenue growth excluding impact of 53rd week in 2004
1.26.05 reiterated
4.27.05 reiterated
7.29.05 - The Company targets total net revenue growth of approximately
        20 percent for fiscal 2005. As a reminder, fiscal year 2004
        included an extra week of operations in the fourth quarter
        and, as a result, total reported net revenue growth for fourth
        quarter 2005 will be lower than 20 percent.</t>
        </r>
        <r>
          <rPr>
            <sz val="8"/>
            <color indexed="81"/>
            <rFont val="Tahoma"/>
            <family val="2"/>
          </rPr>
          <t xml:space="preserve">
</t>
        </r>
      </text>
    </comment>
    <comment ref="BJ73" authorId="0">
      <text>
        <r>
          <rPr>
            <b/>
            <sz val="8"/>
            <color indexed="81"/>
            <rFont val="Tahoma"/>
            <family val="2"/>
          </rPr>
          <t xml:space="preserve">towerj:
</t>
        </r>
        <r>
          <rPr>
            <sz val="8"/>
            <color indexed="81"/>
            <rFont val="Tahoma"/>
            <family val="2"/>
          </rPr>
          <t>7.29.05  20%
2.1.06 reit 20% on Q and FY basis
5.3.06 reit @ least 20%
8.2.06 20%</t>
        </r>
        <r>
          <rPr>
            <sz val="8"/>
            <color indexed="81"/>
            <rFont val="Tahoma"/>
            <family val="2"/>
          </rPr>
          <t xml:space="preserve">
</t>
        </r>
      </text>
    </comment>
    <comment ref="BO73" authorId="0">
      <text>
        <r>
          <rPr>
            <sz val="8"/>
            <color indexed="81"/>
            <rFont val="Tahoma"/>
            <family val="2"/>
          </rPr>
          <t>towerj:
3.21.07 reit 20%
1.31.07 reit 20%
11.16.06 reit 20%
8.2.06 20% rev growth</t>
        </r>
        <r>
          <rPr>
            <sz val="8"/>
            <color indexed="81"/>
            <rFont val="Tahoma"/>
            <family val="2"/>
          </rPr>
          <t xml:space="preserve">
</t>
        </r>
      </text>
    </comment>
    <comment ref="BQ73" authorId="1">
      <text>
        <r>
          <rPr>
            <b/>
            <sz val="8"/>
            <color indexed="81"/>
            <rFont val="Tahoma"/>
            <family val="2"/>
          </rPr>
          <t>Jon Tower:</t>
        </r>
        <r>
          <rPr>
            <sz val="8"/>
            <color indexed="81"/>
            <rFont val="Tahoma"/>
            <family val="2"/>
          </rPr>
          <t xml:space="preserve">
4.23.08
12%</t>
        </r>
      </text>
    </comment>
    <comment ref="BT73" authorId="13">
      <text>
        <r>
          <rPr>
            <b/>
            <sz val="8"/>
            <color indexed="81"/>
            <rFont val="Tahoma"/>
            <family val="2"/>
          </rPr>
          <t xml:space="preserve">
7.30.08
11%
4.30.08
13-14%
</t>
        </r>
        <r>
          <rPr>
            <sz val="8"/>
            <color indexed="81"/>
            <rFont val="Tahoma"/>
            <family val="2"/>
          </rPr>
          <t xml:space="preserve">11.15.07
17-18%
</t>
        </r>
        <r>
          <rPr>
            <sz val="8"/>
            <color indexed="81"/>
            <rFont val="Tahoma"/>
            <family val="2"/>
          </rPr>
          <t>8.1.07
18%</t>
        </r>
      </text>
    </comment>
    <comment ref="BY73" authorId="1">
      <text>
        <r>
          <rPr>
            <b/>
            <sz val="8"/>
            <color indexed="81"/>
            <rFont val="Tahoma"/>
            <family val="2"/>
          </rPr>
          <t>Jon Tower:
11.10.8
expect flat revenue assuming SSS fall w/in range</t>
        </r>
        <r>
          <rPr>
            <sz val="8"/>
            <color indexed="81"/>
            <rFont val="Tahoma"/>
            <family val="2"/>
          </rPr>
          <t xml:space="preserve">
4.30.08
slightly over 10% in FY09, but lower in '10, '11</t>
        </r>
      </text>
    </comment>
    <comment ref="CD73" authorId="1">
      <text>
        <r>
          <rPr>
            <b/>
            <sz val="8"/>
            <color indexed="81"/>
            <rFont val="Tahoma"/>
            <family val="2"/>
          </rPr>
          <t xml:space="preserve">Jon Tower:
</t>
        </r>
        <r>
          <rPr>
            <sz val="8"/>
            <color indexed="81"/>
            <rFont val="Tahoma"/>
            <family val="2"/>
          </rPr>
          <t>4.21.10
The company is now targeting mid-single-digit revenue growth over the comparable 52-week period, and high-single-digit revenue growth with the inclusion of a 53rd week, driven by mid-single-digit comparable store sales growth</t>
        </r>
        <r>
          <rPr>
            <b/>
            <sz val="8"/>
            <color indexed="81"/>
            <rFont val="Tahoma"/>
            <family val="2"/>
          </rPr>
          <t xml:space="preserve">
1.20.10
The company is now targeting mid-single digit revenue growth, driven by modestly positive comparable store sales growth, a 53rd fiscal week, and approximately 300 planned net new stores.
11.5.09
</t>
        </r>
        <r>
          <rPr>
            <sz val="8"/>
            <color indexed="81"/>
            <rFont val="Tahoma"/>
            <family val="2"/>
          </rPr>
          <t>The company is targeting revenue growth in the low-to-mid single digits, driven by modestly positive comparable store sales, a 53rd fiscal week, and approximately 300 planned net new stores</t>
        </r>
        <r>
          <rPr>
            <sz val="8"/>
            <color indexed="81"/>
            <rFont val="Tahoma"/>
            <family val="2"/>
          </rPr>
          <t xml:space="preserve">
4.30.08
slightly over 10% in FY09, but lower in '10, '11</t>
        </r>
      </text>
    </comment>
    <comment ref="CI73" authorId="1">
      <text>
        <r>
          <rPr>
            <b/>
            <sz val="8"/>
            <color indexed="81"/>
            <rFont val="Tahoma"/>
            <family val="2"/>
          </rPr>
          <t>Jon Tower:
7.28.11
The company is now targeting fiscal 2011 revenue growth of approximately 10% on a comparable 52-week basis, driven by comparable store sales growth at the high end of its target range of 3% to 7%. 
4.27.11</t>
        </r>
        <r>
          <rPr>
            <sz val="8"/>
            <color indexed="81"/>
            <rFont val="Tahoma"/>
            <family val="2"/>
          </rPr>
          <t xml:space="preserve">
The company is now targeting high single-digit revenue growth based on a 52-week comparable year, driven by mid single-digit comparable store sales growth.</t>
        </r>
        <r>
          <rPr>
            <b/>
            <sz val="8"/>
            <color indexed="81"/>
            <rFont val="Tahoma"/>
            <family val="2"/>
          </rPr>
          <t xml:space="preserve">
11.4.10 REIT</t>
        </r>
        <r>
          <rPr>
            <sz val="8"/>
            <color indexed="81"/>
            <rFont val="Tahoma"/>
            <family val="2"/>
          </rPr>
          <t xml:space="preserve">
The company is targeting mid-to-high single-digit revenue growth based on a 52-week comparable year, driven by low-to-mid single-digit comparable store sales growth.</t>
        </r>
        <r>
          <rPr>
            <b/>
            <sz val="8"/>
            <color indexed="81"/>
            <rFont val="Tahoma"/>
            <family val="2"/>
          </rPr>
          <t xml:space="preserve">
7.21.10
</t>
        </r>
        <r>
          <rPr>
            <sz val="8"/>
            <color indexed="81"/>
            <rFont val="Tahoma"/>
            <family val="2"/>
          </rPr>
          <t>The company is targeting mid- to high-single-digit revenue growth, driven by low- to mid-single-digit comparable store sales growth.</t>
        </r>
        <r>
          <rPr>
            <b/>
            <sz val="8"/>
            <color indexed="81"/>
            <rFont val="Tahoma"/>
            <family val="2"/>
          </rPr>
          <t xml:space="preserve">
</t>
        </r>
        <r>
          <rPr>
            <sz val="8"/>
            <color indexed="81"/>
            <rFont val="Tahoma"/>
            <family val="2"/>
          </rPr>
          <t xml:space="preserve">
4.30.08
slightly over 10% in FY09, but lower in '10, '11</t>
        </r>
      </text>
    </comment>
    <comment ref="CM73" authorId="6">
      <text>
        <r>
          <rPr>
            <b/>
            <sz val="8"/>
            <color indexed="81"/>
            <rFont val="Tahoma"/>
            <family val="2"/>
          </rPr>
          <t>Sushama Dasari:</t>
        </r>
        <r>
          <rPr>
            <sz val="8"/>
            <color indexed="81"/>
            <rFont val="Tahoma"/>
            <family val="2"/>
          </rPr>
          <t xml:space="preserve">
</t>
        </r>
        <r>
          <rPr>
            <b/>
            <sz val="8"/>
            <color indexed="81"/>
            <rFont val="Tahoma"/>
            <family val="2"/>
          </rPr>
          <t xml:space="preserve">7.26.2012
</t>
        </r>
        <r>
          <rPr>
            <sz val="8"/>
            <color indexed="81"/>
            <rFont val="Tahoma"/>
            <family val="2"/>
          </rPr>
          <t xml:space="preserve">Q4 revenue growth expected to be 10-12%
</t>
        </r>
        <r>
          <rPr>
            <b/>
            <sz val="8"/>
            <color indexed="81"/>
            <rFont val="Tahoma"/>
            <family val="2"/>
          </rPr>
          <t xml:space="preserve">6.12.2012
</t>
        </r>
        <r>
          <rPr>
            <sz val="8"/>
            <color indexed="81"/>
            <rFont val="Tahoma"/>
            <family val="2"/>
          </rPr>
          <t>William Blair conference - Q4 revenue growth expected to be 14%</t>
        </r>
      </text>
    </comment>
    <comment ref="CN73" authorId="1">
      <text>
        <r>
          <rPr>
            <b/>
            <sz val="8"/>
            <color indexed="81"/>
            <rFont val="Tahoma"/>
            <family val="2"/>
          </rPr>
          <t>Jon Tower:
11.3.11</t>
        </r>
        <r>
          <rPr>
            <sz val="8"/>
            <color indexed="81"/>
            <rFont val="Tahoma"/>
            <family val="2"/>
          </rPr>
          <t xml:space="preserve">
The company continues to target approximately 10% revenue growth, driven by mid-single-digit comparable store sales
growth, 800 net new store openings, and strong growth in the CPG business.</t>
        </r>
        <r>
          <rPr>
            <b/>
            <sz val="8"/>
            <color indexed="81"/>
            <rFont val="Tahoma"/>
            <family val="2"/>
          </rPr>
          <t xml:space="preserve">
7.28.11
The company is targeting approximately 10% revenue growth, driven by mid-single-digit comparable store sales growth,
800 net new store openings, and strong growth in the CPG business.
</t>
        </r>
        <r>
          <rPr>
            <sz val="8"/>
            <color indexed="81"/>
            <rFont val="Tahoma"/>
            <family val="2"/>
          </rPr>
          <t xml:space="preserve">
12.1.10
LT Revenue Growth = 10%+ </t>
        </r>
      </text>
    </comment>
    <comment ref="CS73" authorId="1">
      <text>
        <r>
          <rPr>
            <b/>
            <sz val="8"/>
            <color indexed="81"/>
            <rFont val="Tahoma"/>
            <family val="2"/>
          </rPr>
          <t xml:space="preserve">4.25.13
</t>
        </r>
        <r>
          <rPr>
            <sz val="8"/>
            <color indexed="81"/>
            <rFont val="Tahoma"/>
            <family val="2"/>
          </rPr>
          <t>The company is targeting approximately 10% - 13% revenue growth in FY13</t>
        </r>
        <r>
          <rPr>
            <b/>
            <sz val="8"/>
            <color indexed="81"/>
            <rFont val="Tahoma"/>
            <family val="2"/>
          </rPr>
          <t xml:space="preserve">
</t>
        </r>
        <r>
          <rPr>
            <b/>
            <sz val="8"/>
            <color indexed="81"/>
            <rFont val="Tahoma"/>
            <family val="2"/>
          </rPr>
          <t>11.1.2012</t>
        </r>
        <r>
          <rPr>
            <sz val="8"/>
            <color indexed="81"/>
            <rFont val="Tahoma"/>
            <family val="2"/>
          </rPr>
          <t xml:space="preserve">
Starbucks continues to target approximately </t>
        </r>
        <r>
          <rPr>
            <b/>
            <sz val="8"/>
            <color indexed="81"/>
            <rFont val="Tahoma"/>
            <family val="2"/>
          </rPr>
          <t>10% - 13% revenue growth</t>
        </r>
        <r>
          <rPr>
            <sz val="8"/>
            <color indexed="81"/>
            <rFont val="Tahoma"/>
            <family val="2"/>
          </rPr>
          <t>, driven by mid-single-digit comparable store
sales growth, approximately 1,300 net new store openings, and continued strong growth in the Channel Development
business.</t>
        </r>
        <r>
          <rPr>
            <b/>
            <sz val="8"/>
            <color indexed="81"/>
            <rFont val="Tahoma"/>
            <family val="2"/>
          </rPr>
          <t xml:space="preserve">
7.26.2012
</t>
        </r>
        <r>
          <rPr>
            <sz val="8"/>
            <color indexed="81"/>
            <rFont val="Tahoma"/>
            <family val="2"/>
          </rPr>
          <t>The company is targeting approximately 10% - 13% revenue growth in FY13, driven by mid-single-digit comparable store sales growth, approximately 1,200 net new store openings, and continued strong growth in the Channel Development business.</t>
        </r>
        <r>
          <rPr>
            <b/>
            <sz val="8"/>
            <color indexed="81"/>
            <rFont val="Tahoma"/>
            <family val="2"/>
          </rPr>
          <t xml:space="preserve">
</t>
        </r>
        <r>
          <rPr>
            <sz val="8"/>
            <color indexed="81"/>
            <rFont val="Tahoma"/>
            <family val="2"/>
          </rPr>
          <t xml:space="preserve">
12.1.10
LT Revenue Growth = 10%+ 
</t>
        </r>
      </text>
    </comment>
    <comment ref="CX73" authorId="1">
      <text>
        <r>
          <rPr>
            <b/>
            <sz val="8"/>
            <color indexed="81"/>
            <rFont val="Tahoma"/>
            <family val="2"/>
          </rPr>
          <t xml:space="preserve">4.24.14:
</t>
        </r>
        <r>
          <rPr>
            <sz val="8"/>
            <color indexed="81"/>
            <rFont val="Tahoma"/>
            <family val="2"/>
          </rPr>
          <t>Reiterate: revenue growth of 10% or greater, based on MSD comps</t>
        </r>
        <r>
          <rPr>
            <b/>
            <sz val="8"/>
            <color indexed="81"/>
            <rFont val="Tahoma"/>
            <family val="2"/>
          </rPr>
          <t xml:space="preserve">
1.14: rev growth of 10% or greater (affirmed) based on MSD comps
10.13:</t>
        </r>
        <r>
          <rPr>
            <sz val="8"/>
            <color indexed="81"/>
            <rFont val="Tahoma"/>
            <family val="2"/>
          </rPr>
          <t xml:space="preserve"> 
Rev growth of 10% or greater (changed language, claims meaning is the same and meant to be long term sustainable at this level
</t>
        </r>
        <r>
          <rPr>
            <b/>
            <sz val="8"/>
            <color indexed="81"/>
            <rFont val="Tahoma"/>
            <family val="2"/>
          </rPr>
          <t xml:space="preserve">
7.25.13
</t>
        </r>
        <r>
          <rPr>
            <sz val="8"/>
            <color indexed="81"/>
            <rFont val="Tahoma"/>
            <family val="2"/>
          </rPr>
          <t>Approx</t>
        </r>
        <r>
          <rPr>
            <b/>
            <sz val="8"/>
            <color indexed="81"/>
            <rFont val="Tahoma"/>
            <family val="2"/>
          </rPr>
          <t xml:space="preserve"> </t>
        </r>
        <r>
          <rPr>
            <sz val="8"/>
            <color indexed="81"/>
            <rFont val="Tahoma"/>
            <family val="2"/>
          </rPr>
          <t xml:space="preserve">10-13% </t>
        </r>
        <r>
          <rPr>
            <b/>
            <sz val="8"/>
            <color indexed="81"/>
            <rFont val="Tahoma"/>
            <family val="2"/>
          </rPr>
          <t xml:space="preserve">
12.5.12
</t>
        </r>
        <r>
          <rPr>
            <sz val="8"/>
            <color indexed="81"/>
            <rFont val="Tahoma"/>
            <family val="2"/>
          </rPr>
          <t>Confirmed LT revenue growth target = 10%+</t>
        </r>
        <r>
          <rPr>
            <b/>
            <sz val="8"/>
            <color indexed="81"/>
            <rFont val="Tahoma"/>
            <family val="2"/>
          </rPr>
          <t xml:space="preserve">
</t>
        </r>
        <r>
          <rPr>
            <sz val="8"/>
            <color indexed="81"/>
            <rFont val="Tahoma"/>
            <family val="2"/>
          </rPr>
          <t xml:space="preserve">
12.1.10
LT Revenue Growth = 10%+ </t>
        </r>
      </text>
    </comment>
    <comment ref="CY73" authorId="4">
      <text>
        <r>
          <rPr>
            <b/>
            <sz val="9"/>
            <color indexed="81"/>
            <rFont val="Tahoma"/>
            <family val="2"/>
          </rPr>
          <t>Glass, John (Research):</t>
        </r>
        <r>
          <rPr>
            <sz val="9"/>
            <color indexed="81"/>
            <rFont val="Tahoma"/>
            <family val="2"/>
          </rPr>
          <t xml:space="preserve">
acq of japan in for partial quarter, adding to revenue growth</t>
        </r>
      </text>
    </comment>
    <comment ref="CZ73" authorId="4">
      <text>
        <r>
          <rPr>
            <b/>
            <sz val="9"/>
            <color indexed="81"/>
            <rFont val="Tahoma"/>
            <family val="2"/>
          </rPr>
          <t>Glass, John (Research):</t>
        </r>
        <r>
          <rPr>
            <sz val="9"/>
            <color indexed="81"/>
            <rFont val="Tahoma"/>
            <family val="2"/>
          </rPr>
          <t xml:space="preserve">
acq of jpana adds 6-7% to revenu growth</t>
        </r>
      </text>
    </comment>
    <comment ref="DA73" authorId="4">
      <text>
        <r>
          <rPr>
            <b/>
            <sz val="9"/>
            <color indexed="81"/>
            <rFont val="Tahoma"/>
            <family val="2"/>
          </rPr>
          <t>Glass, John (Research):</t>
        </r>
        <r>
          <rPr>
            <sz val="9"/>
            <color indexed="81"/>
            <rFont val="Tahoma"/>
            <family val="2"/>
          </rPr>
          <t xml:space="preserve">
acq of japan adds 6-7% to revenue growth</t>
        </r>
      </text>
    </comment>
    <comment ref="DB73" authorId="4">
      <text>
        <r>
          <rPr>
            <b/>
            <sz val="9"/>
            <color indexed="81"/>
            <rFont val="Tahoma"/>
            <family val="2"/>
          </rPr>
          <t>Glass, John (Research):</t>
        </r>
        <r>
          <rPr>
            <sz val="9"/>
            <color indexed="81"/>
            <rFont val="Tahoma"/>
            <family val="2"/>
          </rPr>
          <t xml:space="preserve">
acq of japan adds 6-7% to revenue growth </t>
        </r>
      </text>
    </comment>
    <comment ref="DC73" authorId="1">
      <text>
        <r>
          <rPr>
            <b/>
            <sz val="8"/>
            <color indexed="81"/>
            <rFont val="Tahoma"/>
            <family val="2"/>
          </rPr>
          <t xml:space="preserve">10.27.14
+16-18%; includes 1.2bn incremental rev from japan (adds 6-7% to tota revenue growth)
7.24.14:
</t>
        </r>
        <r>
          <rPr>
            <sz val="8"/>
            <color indexed="81"/>
            <rFont val="Tahoma"/>
            <family val="2"/>
          </rPr>
          <t>Guidance of 10% or greater</t>
        </r>
        <r>
          <rPr>
            <b/>
            <sz val="8"/>
            <color indexed="81"/>
            <rFont val="Tahoma"/>
            <family val="2"/>
          </rPr>
          <t xml:space="preserve">
Jon Tower:</t>
        </r>
        <r>
          <rPr>
            <sz val="8"/>
            <color indexed="81"/>
            <rFont val="Tahoma"/>
            <family val="2"/>
          </rPr>
          <t xml:space="preserve">
12.1.10
LT Revenue Growth = 10%+ </t>
        </r>
      </text>
    </comment>
    <comment ref="DG73" authorId="4">
      <text>
        <r>
          <rPr>
            <b/>
            <sz val="9"/>
            <color indexed="81"/>
            <rFont val="Tahoma"/>
            <family val="2"/>
          </rPr>
          <t>Glass, John (Research):</t>
        </r>
        <r>
          <rPr>
            <sz val="9"/>
            <color indexed="81"/>
            <rFont val="Tahoma"/>
            <family val="2"/>
          </rPr>
          <t xml:space="preserve">
9% ex the extra week, 10% ex F/x</t>
        </r>
      </text>
    </comment>
    <comment ref="DH73" authorId="1">
      <text>
        <r>
          <rPr>
            <b/>
            <sz val="8"/>
            <color indexed="81"/>
            <rFont val="Tahoma"/>
            <family val="2"/>
          </rPr>
          <t xml:space="preserve">7.21.2016
</t>
        </r>
        <r>
          <rPr>
            <sz val="8"/>
            <color indexed="81"/>
            <rFont val="Tahoma"/>
            <family val="2"/>
          </rPr>
          <t>Now ~10%, from 10+% on 52 week; 53rd week adds ~2%</t>
        </r>
        <r>
          <rPr>
            <b/>
            <sz val="8"/>
            <color indexed="81"/>
            <rFont val="Tahoma"/>
            <family val="2"/>
          </rPr>
          <t xml:space="preserve">
4.21.2016
</t>
        </r>
        <r>
          <rPr>
            <sz val="8"/>
            <color indexed="81"/>
            <rFont val="Tahoma"/>
            <family val="2"/>
          </rPr>
          <t>Reit +10% on 52 week, +12% on 53 week</t>
        </r>
        <r>
          <rPr>
            <b/>
            <sz val="8"/>
            <color indexed="81"/>
            <rFont val="Tahoma"/>
            <family val="2"/>
          </rPr>
          <t xml:space="preserve">
1.21.16
</t>
        </r>
        <r>
          <rPr>
            <sz val="8"/>
            <color indexed="81"/>
            <rFont val="Tahoma"/>
            <family val="2"/>
          </rPr>
          <t xml:space="preserve">reit +10% on 52 week, +12% on 53 week
</t>
        </r>
        <r>
          <rPr>
            <b/>
            <sz val="8"/>
            <color indexed="81"/>
            <rFont val="Tahoma"/>
            <family val="2"/>
          </rPr>
          <t xml:space="preserve">
10.29.15
</t>
        </r>
        <r>
          <rPr>
            <sz val="8"/>
            <color indexed="81"/>
            <rFont val="Tahoma"/>
            <family val="2"/>
          </rPr>
          <t xml:space="preserve">+10% on 52 week, +12% on 53 week
</t>
        </r>
        <r>
          <rPr>
            <b/>
            <sz val="8"/>
            <color indexed="81"/>
            <rFont val="Tahoma"/>
            <family val="2"/>
          </rPr>
          <t xml:space="preserve">12.1.10
</t>
        </r>
        <r>
          <rPr>
            <sz val="8"/>
            <color indexed="81"/>
            <rFont val="Tahoma"/>
            <family val="2"/>
          </rPr>
          <t xml:space="preserve">LT Revenue Growth = 10%+ </t>
        </r>
      </text>
    </comment>
    <comment ref="DM73" authorId="1">
      <text>
        <r>
          <rPr>
            <b/>
            <sz val="8"/>
            <color indexed="81"/>
            <rFont val="Tahoma"/>
            <family val="2"/>
          </rPr>
          <t xml:space="preserve">7.27.2017
5-7% incl extra week/FX impact
</t>
        </r>
        <r>
          <rPr>
            <sz val="8"/>
            <color indexed="81"/>
            <rFont val="Tahoma"/>
            <family val="2"/>
          </rPr>
          <t>Low end of 8% to 10% excluding ~2 points for the extra week in FY16 and ~1 point for FX (FY16 = $20.9B)</t>
        </r>
        <r>
          <rPr>
            <b/>
            <sz val="8"/>
            <color indexed="81"/>
            <rFont val="Tahoma"/>
            <family val="2"/>
          </rPr>
          <t xml:space="preserve">
4.27.2017</t>
        </r>
        <r>
          <rPr>
            <sz val="8"/>
            <color indexed="81"/>
            <rFont val="Tahoma"/>
            <family val="2"/>
          </rPr>
          <t xml:space="preserve">
Revenue growth for the full year will be 8% to 10%, excluding approximately 2 points for the extra week in 2016 and 1 point for FX. But given performance in the first 2 quarters of the year, we are likely to be at the lower end of that range for the full year. We expect the back half of the year to be near the upper end of this range.</t>
        </r>
        <r>
          <rPr>
            <b/>
            <sz val="8"/>
            <color indexed="81"/>
            <rFont val="Tahoma"/>
            <family val="2"/>
          </rPr>
          <t xml:space="preserve">
1.26.2017
</t>
        </r>
        <r>
          <rPr>
            <sz val="8"/>
            <color indexed="81"/>
            <rFont val="Tahoma"/>
            <family val="2"/>
          </rPr>
          <t>8-10%
Also given recent movement in current exchange rates, we now expect an increased negative impact from foreign exchange for the year with revenue growth now
impacted by roughly 1 point and earnings per share negatively impacted by 1 to 2 points. The impact of FX will accelerate as we move into the last half of 2017. You will note that this is a meaningful increase from our last guidance relative to the impact of FX.</t>
        </r>
        <r>
          <rPr>
            <b/>
            <sz val="8"/>
            <color indexed="81"/>
            <rFont val="Tahoma"/>
            <family val="2"/>
          </rPr>
          <t xml:space="preserve">
2016 Investor Day (12.8.2016):
</t>
        </r>
        <r>
          <rPr>
            <sz val="8"/>
            <color indexed="81"/>
            <rFont val="Tahoma"/>
            <family val="2"/>
          </rPr>
          <t>10+%</t>
        </r>
        <r>
          <rPr>
            <b/>
            <sz val="8"/>
            <color indexed="81"/>
            <rFont val="Tahoma"/>
            <family val="2"/>
          </rPr>
          <t xml:space="preserve">
11.3.2016
</t>
        </r>
        <r>
          <rPr>
            <sz val="8"/>
            <color indexed="81"/>
            <rFont val="Tahoma"/>
            <family val="2"/>
          </rPr>
          <t>~+10%</t>
        </r>
        <r>
          <rPr>
            <b/>
            <sz val="8"/>
            <color indexed="81"/>
            <rFont val="Tahoma"/>
            <family val="2"/>
          </rPr>
          <t xml:space="preserve">
Jon Tower:</t>
        </r>
        <r>
          <rPr>
            <sz val="8"/>
            <color indexed="81"/>
            <rFont val="Tahoma"/>
            <family val="2"/>
          </rPr>
          <t xml:space="preserve">
12.1.10
LT Revenue Growth = 10%+ </t>
        </r>
      </text>
    </comment>
    <comment ref="DR73" authorId="1">
      <text>
        <r>
          <rPr>
            <b/>
            <sz val="8"/>
            <color indexed="81"/>
            <rFont val="Tahoma"/>
            <family val="2"/>
          </rPr>
          <t>1.25.2018</t>
        </r>
        <r>
          <rPr>
            <sz val="8"/>
            <color indexed="81"/>
            <rFont val="Tahoma"/>
            <family val="2"/>
          </rPr>
          <t xml:space="preserve">
Continue to expect consolidated revenue growth in the high single digits consistent with long term guidance; when including approximately 2% of net favorability related to the acquisition of East China and other streamlining activities, we expect consolidated revenue growth of approximately 9-11% in FY18
The financial impact of consolidating East China includes a 4 percentage point lift to consolidated revenue and a slightly negative impact to consolidated operating margin. </t>
        </r>
        <r>
          <rPr>
            <b/>
            <sz val="8"/>
            <color indexed="81"/>
            <rFont val="Tahoma"/>
            <family val="2"/>
          </rPr>
          <t xml:space="preserve">
11.17: 
</t>
        </r>
        <r>
          <rPr>
            <sz val="8"/>
            <color indexed="81"/>
            <rFont val="Tahoma"/>
            <family val="2"/>
          </rPr>
          <t xml:space="preserve">HSD revenue growth in 18
</t>
        </r>
        <r>
          <rPr>
            <b/>
            <sz val="8"/>
            <color indexed="81"/>
            <rFont val="Tahoma"/>
            <family val="2"/>
          </rPr>
          <t xml:space="preserve">
2016 Investor Day (12.8.2016):
</t>
        </r>
        <r>
          <rPr>
            <sz val="8"/>
            <color indexed="81"/>
            <rFont val="Tahoma"/>
            <family val="2"/>
          </rPr>
          <t xml:space="preserve">10+%
</t>
        </r>
        <r>
          <rPr>
            <b/>
            <sz val="8"/>
            <color indexed="81"/>
            <rFont val="Tahoma"/>
            <family val="2"/>
          </rPr>
          <t xml:space="preserve">
</t>
        </r>
        <r>
          <rPr>
            <sz val="8"/>
            <color indexed="81"/>
            <rFont val="Tahoma"/>
            <family val="2"/>
          </rPr>
          <t xml:space="preserve">12.1.10
LT Revenue Growth = 10%+ </t>
        </r>
      </text>
    </comment>
    <comment ref="DW73" authorId="1">
      <text>
        <r>
          <rPr>
            <b/>
            <sz val="8"/>
            <color indexed="81"/>
            <rFont val="Tahoma"/>
            <family val="2"/>
          </rPr>
          <t xml:space="preserve">2016 Investor Day (12.8.2016):
</t>
        </r>
        <r>
          <rPr>
            <sz val="8"/>
            <color indexed="81"/>
            <rFont val="Tahoma"/>
            <family val="2"/>
          </rPr>
          <t>10+%</t>
        </r>
        <r>
          <rPr>
            <b/>
            <sz val="8"/>
            <color indexed="81"/>
            <rFont val="Tahoma"/>
            <family val="2"/>
          </rPr>
          <t xml:space="preserve">
</t>
        </r>
        <r>
          <rPr>
            <sz val="8"/>
            <color indexed="81"/>
            <rFont val="Tahoma"/>
            <family val="2"/>
          </rPr>
          <t xml:space="preserve">12.1.10
LT Revenue Growth = 10%+ </t>
        </r>
      </text>
    </comment>
    <comment ref="EB73" authorId="1">
      <text>
        <r>
          <rPr>
            <b/>
            <sz val="8"/>
            <color indexed="81"/>
            <rFont val="Tahoma"/>
            <family val="2"/>
          </rPr>
          <t xml:space="preserve">2016 Investor Day (12.8.2016):
</t>
        </r>
        <r>
          <rPr>
            <sz val="8"/>
            <color indexed="81"/>
            <rFont val="Tahoma"/>
            <family val="2"/>
          </rPr>
          <t>10+%</t>
        </r>
        <r>
          <rPr>
            <b/>
            <sz val="8"/>
            <color indexed="81"/>
            <rFont val="Tahoma"/>
            <family val="2"/>
          </rPr>
          <t xml:space="preserve">
</t>
        </r>
        <r>
          <rPr>
            <sz val="8"/>
            <color indexed="81"/>
            <rFont val="Tahoma"/>
            <family val="2"/>
          </rPr>
          <t xml:space="preserve">
12.1.10
LT Revenue Growth = 10%+ </t>
        </r>
      </text>
    </comment>
    <comment ref="CI74" authorId="1">
      <text>
        <r>
          <rPr>
            <b/>
            <sz val="8"/>
            <color indexed="81"/>
            <rFont val="Tahoma"/>
            <family val="2"/>
          </rPr>
          <t>Jon Tower:</t>
        </r>
        <r>
          <rPr>
            <sz val="8"/>
            <color indexed="81"/>
            <rFont val="Tahoma"/>
            <family val="2"/>
          </rPr>
          <t xml:space="preserve">
4.30.08
3-year CAGR of 10% in 2011, with growth moderating slightly over that 3 year period</t>
        </r>
      </text>
    </comment>
    <comment ref="CY76" authorId="4">
      <text>
        <r>
          <rPr>
            <b/>
            <sz val="9"/>
            <color indexed="81"/>
            <rFont val="Tahoma"/>
            <family val="2"/>
          </rPr>
          <t>Glass, John (Research):</t>
        </r>
        <r>
          <rPr>
            <sz val="9"/>
            <color indexed="81"/>
            <rFont val="Tahoma"/>
            <family val="2"/>
          </rPr>
          <t xml:space="preserve">
includes 30 bp of acquisition related costs for japan ($14-$15 m)</t>
        </r>
      </text>
    </comment>
    <comment ref="DC76" authorId="3">
      <text>
        <r>
          <rPr>
            <b/>
            <sz val="9"/>
            <color indexed="81"/>
            <rFont val="Tahoma"/>
            <family val="2"/>
          </rPr>
          <t>O'Brien, Courtney (Research):
1.15</t>
        </r>
        <r>
          <rPr>
            <sz val="9"/>
            <color indexed="81"/>
            <rFont val="Tahoma"/>
            <family val="2"/>
          </rPr>
          <t>: goal is to growth G&amp;A at half the rate of revneu in 15, savings an equivaletn of $100 M, but reinvesting that. Tis exlcudes osme 1x transaction costs in the 1Q...</t>
        </r>
        <r>
          <rPr>
            <b/>
            <sz val="9"/>
            <color indexed="81"/>
            <rFont val="Tahoma"/>
            <family val="2"/>
          </rPr>
          <t xml:space="preserve">
1.22.14
</t>
        </r>
        <r>
          <rPr>
            <sz val="9"/>
            <color indexed="81"/>
            <rFont val="Tahoma"/>
            <family val="2"/>
          </rPr>
          <t>1/2 revs is a goal for by end of 4q due to support cost cuts</t>
        </r>
        <r>
          <rPr>
            <b/>
            <sz val="9"/>
            <color indexed="81"/>
            <rFont val="Tahoma"/>
            <family val="2"/>
          </rPr>
          <t xml:space="preserve">
</t>
        </r>
        <r>
          <rPr>
            <sz val="9"/>
            <color indexed="81"/>
            <rFont val="Tahoma"/>
            <family val="2"/>
          </rPr>
          <t xml:space="preserve">
12.9.14
grow at 1/2 rate of revs in FY15 ex transaction costs</t>
        </r>
      </text>
    </comment>
    <comment ref="DJ76" authorId="9">
      <text>
        <r>
          <rPr>
            <b/>
            <sz val="9"/>
            <color indexed="81"/>
            <rFont val="Tahoma"/>
            <family val="2"/>
          </rPr>
          <t>Carril, Christopher E (Research):</t>
        </r>
        <r>
          <rPr>
            <sz val="9"/>
            <color indexed="81"/>
            <rFont val="Tahoma"/>
            <family val="2"/>
          </rPr>
          <t xml:space="preserve">
4.27.2017
Specifically, G&amp;A as reported
declined by 1%. But after adjusting for certain current and prior year anomalies of approximately 6%, total G&amp;A grew by about 5%. Core G&amp;A, which
comprises over 80% of the total, was roughly flat, while innovation G&amp;A increased significantly on an absolute percentage basis.</t>
        </r>
      </text>
    </comment>
    <comment ref="DM76" authorId="9">
      <text>
        <r>
          <rPr>
            <b/>
            <sz val="9"/>
            <color indexed="81"/>
            <rFont val="Tahoma"/>
            <family val="2"/>
          </rPr>
          <t>Carril, Christopher E (Research):</t>
        </r>
        <r>
          <rPr>
            <sz val="9"/>
            <color indexed="81"/>
            <rFont val="Tahoma"/>
            <family val="2"/>
          </rPr>
          <t xml:space="preserve">
4.27.2017
As a reminder, we have set our long-term target to grow total G&amp;A below the rate of revenue growth and core G&amp;A at half the rate of revenue growth. </t>
        </r>
        <r>
          <rPr>
            <b/>
            <sz val="9"/>
            <color indexed="81"/>
            <rFont val="Tahoma"/>
            <family val="2"/>
          </rPr>
          <t xml:space="preserve">I'm pleased to announce that we achieved both objectives during Q2 and are on track to achieve this for the full year.
</t>
        </r>
        <r>
          <rPr>
            <sz val="9"/>
            <color indexed="81"/>
            <rFont val="Tahoma"/>
            <family val="2"/>
          </rPr>
          <t xml:space="preserve">
2016 Investor Day (12.8.2016):
Core G&amp;A to grow 1/2 rate of revenue growth</t>
        </r>
      </text>
    </comment>
    <comment ref="DR76" authorId="9">
      <text>
        <r>
          <rPr>
            <b/>
            <sz val="9"/>
            <color indexed="81"/>
            <rFont val="Tahoma"/>
            <family val="2"/>
          </rPr>
          <t>Carril, Christopher E (Research):</t>
        </r>
        <r>
          <rPr>
            <sz val="9"/>
            <color indexed="81"/>
            <rFont val="Tahoma"/>
            <family val="2"/>
          </rPr>
          <t xml:space="preserve">
11.2.2017
Core G&amp;A to grow 1/2 rate of revenue growth
2016 Investor Day (12.8.2016):
Core G&amp;A to grow 1/2 rate of revenue growth</t>
        </r>
      </text>
    </comment>
    <comment ref="DW76" authorId="9">
      <text>
        <r>
          <rPr>
            <b/>
            <sz val="9"/>
            <color indexed="81"/>
            <rFont val="Tahoma"/>
            <family val="2"/>
          </rPr>
          <t>Carril, Christopher E (Research):</t>
        </r>
        <r>
          <rPr>
            <sz val="9"/>
            <color indexed="81"/>
            <rFont val="Tahoma"/>
            <family val="2"/>
          </rPr>
          <t xml:space="preserve">
2016 Investor Day (12.8.2016):
Core G&amp;A to grow 1/2 rate of revenue growth
</t>
        </r>
      </text>
    </comment>
    <comment ref="EB76" authorId="9">
      <text>
        <r>
          <rPr>
            <b/>
            <sz val="9"/>
            <color indexed="81"/>
            <rFont val="Tahoma"/>
            <family val="2"/>
          </rPr>
          <t>Carril, Christopher E (Research):</t>
        </r>
        <r>
          <rPr>
            <sz val="9"/>
            <color indexed="81"/>
            <rFont val="Tahoma"/>
            <family val="2"/>
          </rPr>
          <t xml:space="preserve">
2016 Investor Day (12.8.2016):
Core G&amp;A to grow 1/2 rate of revenue growth</t>
        </r>
      </text>
    </comment>
    <comment ref="BJ77" authorId="0">
      <text>
        <r>
          <rPr>
            <sz val="8"/>
            <color indexed="81"/>
            <rFont val="Tahoma"/>
            <family val="2"/>
          </rPr>
          <t>28% growth before options expensing</t>
        </r>
        <r>
          <rPr>
            <sz val="8"/>
            <color indexed="81"/>
            <rFont val="Tahoma"/>
            <family val="2"/>
          </rPr>
          <t xml:space="preserve">
</t>
        </r>
      </text>
    </comment>
    <comment ref="BO77" authorId="0">
      <text>
        <r>
          <rPr>
            <b/>
            <sz val="8"/>
            <color indexed="81"/>
            <rFont val="Tahoma"/>
            <family val="2"/>
          </rPr>
          <t xml:space="preserve">glassj:
</t>
        </r>
        <r>
          <rPr>
            <sz val="8"/>
            <color indexed="81"/>
            <rFont val="Tahoma"/>
            <family val="2"/>
          </rPr>
          <t>Includes $25.6 millionin advertsiing</t>
        </r>
        <r>
          <rPr>
            <sz val="8"/>
            <color indexed="81"/>
            <rFont val="Tahoma"/>
            <family val="2"/>
          </rPr>
          <t xml:space="preserve">
</t>
        </r>
      </text>
    </comment>
    <comment ref="BT77" authorId="5">
      <text>
        <r>
          <rPr>
            <b/>
            <sz val="8"/>
            <color indexed="81"/>
            <rFont val="Tahoma"/>
            <family val="2"/>
          </rPr>
          <t>farmerje:</t>
        </r>
        <r>
          <rPr>
            <sz val="8"/>
            <color indexed="81"/>
            <rFont val="Tahoma"/>
            <family val="2"/>
          </rPr>
          <t xml:space="preserve">
6% traffic, 3% price, 1% mix</t>
        </r>
      </text>
    </comment>
    <comment ref="DE77" authorId="4">
      <text>
        <r>
          <rPr>
            <b/>
            <sz val="9"/>
            <color indexed="81"/>
            <rFont val="Tahoma"/>
            <family val="2"/>
          </rPr>
          <t>Glass, John (Research):</t>
        </r>
        <r>
          <rPr>
            <sz val="9"/>
            <color indexed="81"/>
            <rFont val="Tahoma"/>
            <family val="2"/>
          </rPr>
          <t xml:space="preserve">
Woud lhave been 14% ex the US emplyment tax audit which hurt op orfit but credited back in tax rate</t>
        </r>
      </text>
    </comment>
    <comment ref="DH77" authorId="4">
      <text>
        <r>
          <rPr>
            <b/>
            <sz val="9"/>
            <color indexed="81"/>
            <rFont val="Tahoma"/>
            <family val="2"/>
          </rPr>
          <t>Glass, John (Research):</t>
        </r>
        <r>
          <rPr>
            <sz val="9"/>
            <color indexed="81"/>
            <rFont val="Tahoma"/>
            <family val="2"/>
          </rPr>
          <t xml:space="preserve">
4.16: f/x will impact op profit growht by 2-3% in 16.</t>
        </r>
      </text>
    </comment>
    <comment ref="BE81" authorId="0">
      <text>
        <r>
          <rPr>
            <b/>
            <sz val="8"/>
            <color indexed="81"/>
            <rFont val="Tahoma"/>
            <family val="2"/>
          </rPr>
          <t xml:space="preserve">towerj:
</t>
        </r>
        <r>
          <rPr>
            <sz val="8"/>
            <color indexed="81"/>
            <rFont val="Tahoma"/>
            <family val="2"/>
          </rPr>
          <t>7.29.05 - Excluding the $0.03 per share impact
        of the 53rd week in fiscal 2004, Starbucks new fiscal 2005
        target range represents 29 percent to 30 percent growth over
        $0.92 earnings per share in fiscal 2004;</t>
        </r>
        <r>
          <rPr>
            <b/>
            <sz val="8"/>
            <color indexed="81"/>
            <rFont val="Tahoma"/>
            <family val="2"/>
          </rPr>
          <t xml:space="preserve">
</t>
        </r>
        <r>
          <rPr>
            <sz val="8"/>
            <color indexed="81"/>
            <rFont val="Tahoma"/>
            <family val="2"/>
          </rPr>
          <t xml:space="preserve">
</t>
        </r>
      </text>
    </comment>
    <comment ref="BJ81" authorId="0">
      <text>
        <r>
          <rPr>
            <b/>
            <sz val="8"/>
            <color indexed="81"/>
            <rFont val="Tahoma"/>
            <family val="2"/>
          </rPr>
          <t xml:space="preserve">towerj:
</t>
        </r>
        <r>
          <rPr>
            <sz val="8"/>
            <color indexed="81"/>
            <rFont val="Tahoma"/>
            <family val="2"/>
          </rPr>
          <t>7.29.05  20% to 25%
11.17.05 reit 20-25%</t>
        </r>
      </text>
    </comment>
    <comment ref="BO81" authorId="0">
      <text>
        <r>
          <rPr>
            <b/>
            <sz val="8"/>
            <color indexed="81"/>
            <rFont val="Tahoma"/>
            <family val="2"/>
          </rPr>
          <t xml:space="preserve">towerj:
</t>
        </r>
        <r>
          <rPr>
            <sz val="8"/>
            <color indexed="81"/>
            <rFont val="Tahoma"/>
            <family val="2"/>
          </rPr>
          <t>EPS growth 20-25%</t>
        </r>
        <r>
          <rPr>
            <sz val="8"/>
            <color indexed="81"/>
            <rFont val="Tahoma"/>
            <family val="2"/>
          </rPr>
          <t xml:space="preserve">
</t>
        </r>
      </text>
    </comment>
    <comment ref="BT81" authorId="13">
      <text>
        <r>
          <rPr>
            <b/>
            <sz val="8"/>
            <color indexed="81"/>
            <rFont val="Tahoma"/>
            <family val="2"/>
          </rPr>
          <t>1.30.08
low double-digit growth
11.15.07
17-21%</t>
        </r>
        <r>
          <rPr>
            <sz val="8"/>
            <color indexed="81"/>
            <rFont val="Tahoma"/>
            <family val="2"/>
          </rPr>
          <t xml:space="preserve">
8.1.07
20%-22%</t>
        </r>
      </text>
    </comment>
    <comment ref="CI81" authorId="1">
      <text>
        <r>
          <rPr>
            <b/>
            <sz val="8"/>
            <color indexed="81"/>
            <rFont val="Tahoma"/>
            <family val="2"/>
          </rPr>
          <t>Jon Tower:</t>
        </r>
        <r>
          <rPr>
            <sz val="8"/>
            <color indexed="81"/>
            <rFont val="Tahoma"/>
            <family val="2"/>
          </rPr>
          <t xml:space="preserve">
7.28.11
Starbucks now expects earnings per share in the range of $1.50 to $1.51, modestly above the previously communicated
15% to 20% growth over fiscal 2010 non-GAAP EPS on a comparable 52-week basis</t>
        </r>
      </text>
    </comment>
    <comment ref="CJ81" authorId="1">
      <text>
        <r>
          <rPr>
            <b/>
            <sz val="8"/>
            <color indexed="81"/>
            <rFont val="Tahoma"/>
            <family val="2"/>
          </rPr>
          <t>Jon Tower:
1.26.12</t>
        </r>
        <r>
          <rPr>
            <sz val="8"/>
            <color indexed="81"/>
            <rFont val="Tahoma"/>
            <family val="2"/>
          </rPr>
          <t xml:space="preserve">
Given the strong Q1 FY12 results, the company has raised its expectation for earnings per share to a range of $1.78 to $1.82, representing 17% to 20% growth over the $1.52 EPS in FY11, excluding the non-routine gains. </t>
        </r>
        <r>
          <rPr>
            <b/>
            <sz val="8"/>
            <color indexed="81"/>
            <rFont val="Tahoma"/>
            <family val="2"/>
          </rPr>
          <t>EPS growth is expected to be approximately 10% in the first half of FY12 and approximately 25% in the second half of FY12, reflecting the expected distribution of unfavorable commodity cost impact throughout the year.</t>
        </r>
        <r>
          <rPr>
            <b/>
            <sz val="8"/>
            <color indexed="81"/>
            <rFont val="Tahoma"/>
            <family val="2"/>
          </rPr>
          <t xml:space="preserve">
</t>
        </r>
        <r>
          <rPr>
            <sz val="8"/>
            <color indexed="81"/>
            <rFont val="Tahoma"/>
            <family val="2"/>
          </rPr>
          <t xml:space="preserve">
11.3.11
only 5% ish EPS growth in F1H12 due to coffee cost pressures (18cents of 21 cents total for the year)</t>
        </r>
      </text>
    </comment>
    <comment ref="CK81" authorId="1">
      <text>
        <r>
          <rPr>
            <b/>
            <sz val="8"/>
            <color indexed="81"/>
            <rFont val="Tahoma"/>
            <family val="2"/>
          </rPr>
          <t xml:space="preserve">Jon Tower:
1.26.12
</t>
        </r>
        <r>
          <rPr>
            <sz val="8"/>
            <color indexed="81"/>
            <rFont val="Tahoma"/>
            <family val="2"/>
          </rPr>
          <t>EPS growth is expected to be approximately 10% in the first half of FY12 and approximately 25% in the second half of FY12, reflecting the expected distribution of unfavorable commodity cost impact throughout the year.</t>
        </r>
        <r>
          <rPr>
            <b/>
            <sz val="8"/>
            <color indexed="81"/>
            <rFont val="Tahoma"/>
            <family val="2"/>
          </rPr>
          <t xml:space="preserve">
</t>
        </r>
        <r>
          <rPr>
            <sz val="8"/>
            <color indexed="81"/>
            <rFont val="Tahoma"/>
            <family val="2"/>
          </rPr>
          <t xml:space="preserve">
11.3.11
only 5% ish EPS growth in F1H12 due to coffee cost pressures (18cents of 21 cents total for the year)</t>
        </r>
      </text>
    </comment>
    <comment ref="CL81" authorId="1">
      <text>
        <r>
          <rPr>
            <b/>
            <sz val="8"/>
            <color indexed="81"/>
            <rFont val="Tahoma"/>
            <family val="2"/>
          </rPr>
          <t>Jon Tower:
1.26.12</t>
        </r>
        <r>
          <rPr>
            <sz val="8"/>
            <color indexed="81"/>
            <rFont val="Tahoma"/>
            <family val="2"/>
          </rPr>
          <t xml:space="preserve">
EPS growth is expected to be approximately 10% in the first half of FY12 and approximately 25% in the second half of FY12, reflecting the expected distribution of unfavorable commodity cost impact throughout the year.</t>
        </r>
        <r>
          <rPr>
            <b/>
            <sz val="8"/>
            <color indexed="81"/>
            <rFont val="Tahoma"/>
            <family val="2"/>
          </rPr>
          <t xml:space="preserve">
</t>
        </r>
        <r>
          <rPr>
            <sz val="8"/>
            <color indexed="81"/>
            <rFont val="Tahoma"/>
            <family val="2"/>
          </rPr>
          <t xml:space="preserve">
11.3.11
expect F2H12 ~25%, with only $0.03 of $0.21 impact commodity costs in this part of the year</t>
        </r>
      </text>
    </comment>
    <comment ref="CM81" authorId="2">
      <text>
        <r>
          <rPr>
            <b/>
            <sz val="8"/>
            <color indexed="81"/>
            <rFont val="Tahoma"/>
            <family val="2"/>
          </rPr>
          <t xml:space="preserve">Sushama Dasari:
7.26.2012
</t>
        </r>
        <r>
          <rPr>
            <sz val="8"/>
            <color indexed="81"/>
            <rFont val="Tahoma"/>
            <family val="2"/>
          </rPr>
          <t>Q4 EPS target $0.44 to $0.45, representing growth of 19-22% compared to Q4 FY11 non-GAAP EPS</t>
        </r>
        <r>
          <rPr>
            <b/>
            <sz val="8"/>
            <color indexed="81"/>
            <rFont val="Tahoma"/>
            <family val="2"/>
          </rPr>
          <t xml:space="preserve">
6.12.2012
</t>
        </r>
        <r>
          <rPr>
            <sz val="8"/>
            <color indexed="81"/>
            <rFont val="Tahoma"/>
            <family val="2"/>
          </rPr>
          <t>William Blair conference - Q4 EPS target $0.46-$0.47 incl. La boulange, +24-27% y/y</t>
        </r>
        <r>
          <rPr>
            <b/>
            <sz val="8"/>
            <color indexed="81"/>
            <rFont val="Tahoma"/>
            <family val="2"/>
          </rPr>
          <t xml:space="preserve">
</t>
        </r>
        <r>
          <rPr>
            <b/>
            <sz val="8"/>
            <color indexed="81"/>
            <rFont val="Tahoma"/>
            <family val="2"/>
          </rPr>
          <t xml:space="preserve">4.26.2012
</t>
        </r>
        <r>
          <rPr>
            <sz val="8"/>
            <color indexed="81"/>
            <rFont val="Tahoma"/>
            <family val="2"/>
          </rPr>
          <t>(At 2Q earnings release) - Q4 EPS target $0.46-$0.48</t>
        </r>
        <r>
          <rPr>
            <b/>
            <sz val="8"/>
            <color indexed="81"/>
            <rFont val="Tahoma"/>
            <family val="2"/>
          </rPr>
          <t xml:space="preserve">
1.26.12
</t>
        </r>
        <r>
          <rPr>
            <sz val="8"/>
            <color indexed="81"/>
            <rFont val="Tahoma"/>
            <family val="2"/>
          </rPr>
          <t>EPS growth is expected to be approximately 10% in the first half of FY12 and approximately 25% in the second half of FY12, reflecting the expected distribution of unfavorable commodity cost impact throughout the year.</t>
        </r>
        <r>
          <rPr>
            <b/>
            <sz val="8"/>
            <color indexed="81"/>
            <rFont val="Tahoma"/>
            <family val="2"/>
          </rPr>
          <t xml:space="preserve">
11.3.11
</t>
        </r>
        <r>
          <rPr>
            <sz val="8"/>
            <color indexed="81"/>
            <rFont val="Tahoma"/>
            <family val="2"/>
          </rPr>
          <t>expect F2H12 ~25%, with only $0.03 of $0.21 impact commodity costs in this part of the year</t>
        </r>
        <r>
          <rPr>
            <b/>
            <sz val="8"/>
            <color indexed="81"/>
            <rFont val="Tahoma"/>
            <family val="2"/>
          </rPr>
          <t xml:space="preserve">
</t>
        </r>
      </text>
    </comment>
    <comment ref="CN81" authorId="1">
      <text>
        <r>
          <rPr>
            <b/>
            <sz val="8"/>
            <color indexed="81"/>
            <rFont val="Tahoma"/>
            <family val="2"/>
          </rPr>
          <t xml:space="preserve">Jon Tower:
11.3.11
</t>
        </r>
        <r>
          <rPr>
            <sz val="8"/>
            <color indexed="81"/>
            <rFont val="Tahoma"/>
            <family val="2"/>
          </rPr>
          <t>The company expects earnings per share of $1.75 to $1.82, representing 15% to 20% growth over the $1.52 EPS in FY11, excluding the non-routine gains, and consistent with its long-term outlook. Given the expected distribution of the unfavorable commodity cost impact throughout the year,</t>
        </r>
        <r>
          <rPr>
            <b/>
            <sz val="8"/>
            <color indexed="81"/>
            <rFont val="Tahoma"/>
            <family val="2"/>
          </rPr>
          <t xml:space="preserve"> EPS growth is expected to be approximately 5% in the first half of FY12 and approximately 25% in the second half of FY12.</t>
        </r>
        <r>
          <rPr>
            <b/>
            <sz val="8"/>
            <color indexed="81"/>
            <rFont val="Tahoma"/>
            <family val="2"/>
          </rPr>
          <t xml:space="preserve">
The company expects earnings per share growth in the range of 15% to 20%, consistent with its long-term outlook, and
including the unfavorable impact of approximately $0.21 attributable to higher coffee costs.
</t>
        </r>
        <r>
          <rPr>
            <sz val="8"/>
            <color indexed="81"/>
            <rFont val="Tahoma"/>
            <family val="2"/>
          </rPr>
          <t xml:space="preserve">
12.1.10
LT EPS growth = 15-20%</t>
        </r>
      </text>
    </comment>
    <comment ref="CO81" authorId="11">
      <text>
        <r>
          <rPr>
            <b/>
            <sz val="8"/>
            <color indexed="81"/>
            <rFont val="Tahoma"/>
            <family val="2"/>
          </rPr>
          <t>Sushama Dasari:</t>
        </r>
        <r>
          <rPr>
            <sz val="8"/>
            <color indexed="81"/>
            <rFont val="Tahoma"/>
            <family val="2"/>
          </rPr>
          <t xml:space="preserve">
</t>
        </r>
        <r>
          <rPr>
            <b/>
            <sz val="8"/>
            <color indexed="81"/>
            <rFont val="Tahoma"/>
            <family val="2"/>
          </rPr>
          <t xml:space="preserve">11.1.2012
</t>
        </r>
        <r>
          <rPr>
            <sz val="8"/>
            <color indexed="81"/>
            <rFont val="Tahoma"/>
            <family val="2"/>
          </rPr>
          <t>Expect 15-20% EPS growth in each quarter in 2013. Low end of that range (~15%) in 1Q due to October leadership conference</t>
        </r>
        <r>
          <rPr>
            <sz val="8"/>
            <color indexed="81"/>
            <rFont val="Tahoma"/>
            <family val="2"/>
          </rPr>
          <t xml:space="preserve">
</t>
        </r>
      </text>
    </comment>
    <comment ref="CP81" authorId="11">
      <text>
        <r>
          <rPr>
            <b/>
            <sz val="8"/>
            <color indexed="81"/>
            <rFont val="Tahoma"/>
            <family val="2"/>
          </rPr>
          <t>Sushama Dasari:</t>
        </r>
        <r>
          <rPr>
            <sz val="8"/>
            <color indexed="81"/>
            <rFont val="Tahoma"/>
            <family val="2"/>
          </rPr>
          <t xml:space="preserve">
</t>
        </r>
        <r>
          <rPr>
            <b/>
            <sz val="8"/>
            <color indexed="81"/>
            <rFont val="Tahoma"/>
            <family val="2"/>
          </rPr>
          <t xml:space="preserve">11.1.2012
</t>
        </r>
        <r>
          <rPr>
            <sz val="8"/>
            <color indexed="81"/>
            <rFont val="Tahoma"/>
            <family val="2"/>
          </rPr>
          <t>Expect 15-20% EPS growth in each quarter in 2013</t>
        </r>
        <r>
          <rPr>
            <sz val="8"/>
            <color indexed="81"/>
            <rFont val="Tahoma"/>
            <family val="2"/>
          </rPr>
          <t xml:space="preserve">
</t>
        </r>
      </text>
    </comment>
    <comment ref="CQ81" authorId="11">
      <text>
        <r>
          <rPr>
            <b/>
            <sz val="8"/>
            <color indexed="81"/>
            <rFont val="Tahoma"/>
            <family val="2"/>
          </rPr>
          <t>Sushama Dasari:</t>
        </r>
        <r>
          <rPr>
            <sz val="8"/>
            <color indexed="81"/>
            <rFont val="Tahoma"/>
            <family val="2"/>
          </rPr>
          <t xml:space="preserve">
</t>
        </r>
        <r>
          <rPr>
            <b/>
            <sz val="8"/>
            <color indexed="81"/>
            <rFont val="Tahoma"/>
            <family val="2"/>
          </rPr>
          <t xml:space="preserve">11.1.2012
</t>
        </r>
        <r>
          <rPr>
            <sz val="8"/>
            <color indexed="81"/>
            <rFont val="Tahoma"/>
            <family val="2"/>
          </rPr>
          <t>Expect 15-20% EPS growth in each quarter in 2013</t>
        </r>
        <r>
          <rPr>
            <sz val="8"/>
            <color indexed="81"/>
            <rFont val="Tahoma"/>
            <family val="2"/>
          </rPr>
          <t xml:space="preserve">
</t>
        </r>
      </text>
    </comment>
    <comment ref="CR81" authorId="11">
      <text>
        <r>
          <rPr>
            <b/>
            <sz val="8"/>
            <color indexed="81"/>
            <rFont val="Tahoma"/>
            <family val="2"/>
          </rPr>
          <t>Sushama Dasari:</t>
        </r>
        <r>
          <rPr>
            <sz val="8"/>
            <color indexed="81"/>
            <rFont val="Tahoma"/>
            <family val="2"/>
          </rPr>
          <t xml:space="preserve">
</t>
        </r>
        <r>
          <rPr>
            <b/>
            <sz val="8"/>
            <color indexed="81"/>
            <rFont val="Tahoma"/>
            <family val="2"/>
          </rPr>
          <t xml:space="preserve">11.1.2012
</t>
        </r>
        <r>
          <rPr>
            <sz val="8"/>
            <color indexed="81"/>
            <rFont val="Tahoma"/>
            <family val="2"/>
          </rPr>
          <t>Expect 15-20% EPS growth in each quarter in 2013</t>
        </r>
        <r>
          <rPr>
            <sz val="8"/>
            <color indexed="81"/>
            <rFont val="Tahoma"/>
            <family val="2"/>
          </rPr>
          <t xml:space="preserve">
</t>
        </r>
      </text>
    </comment>
    <comment ref="CS81" authorId="6">
      <text>
        <r>
          <rPr>
            <b/>
            <sz val="8"/>
            <color indexed="81"/>
            <rFont val="Tahoma"/>
            <family val="2"/>
          </rPr>
          <t>Sushama Dasari:</t>
        </r>
        <r>
          <rPr>
            <sz val="8"/>
            <color indexed="81"/>
            <rFont val="Tahoma"/>
            <family val="2"/>
          </rPr>
          <t xml:space="preserve">
</t>
        </r>
        <r>
          <rPr>
            <b/>
            <sz val="8"/>
            <color indexed="81"/>
            <rFont val="Tahoma"/>
            <family val="2"/>
          </rPr>
          <t xml:space="preserve">1.24.13
</t>
        </r>
        <r>
          <rPr>
            <sz val="8"/>
            <color indexed="81"/>
            <rFont val="Tahoma"/>
            <family val="2"/>
          </rPr>
          <t>Reaffirmed</t>
        </r>
        <r>
          <rPr>
            <sz val="8"/>
            <color indexed="81"/>
            <rFont val="Tahoma"/>
            <family val="2"/>
          </rPr>
          <t xml:space="preserve">
</t>
        </r>
        <r>
          <rPr>
            <b/>
            <sz val="8"/>
            <color indexed="81"/>
            <rFont val="Tahoma"/>
            <family val="2"/>
          </rPr>
          <t xml:space="preserve">11.1.2012
</t>
        </r>
        <r>
          <rPr>
            <sz val="8"/>
            <color indexed="81"/>
            <rFont val="Tahoma"/>
            <family val="2"/>
          </rPr>
          <t xml:space="preserve">Starbucks is raising its earnings per share target to a range of </t>
        </r>
        <r>
          <rPr>
            <b/>
            <sz val="8"/>
            <color indexed="81"/>
            <rFont val="Tahoma"/>
            <family val="2"/>
          </rPr>
          <t>$2.06 to $2.15</t>
        </r>
        <r>
          <rPr>
            <sz val="8"/>
            <color indexed="81"/>
            <rFont val="Tahoma"/>
            <family val="2"/>
          </rPr>
          <t>, representing growth in the range of 15% - 20%, and consistent with its long-term outlook.</t>
        </r>
        <r>
          <rPr>
            <sz val="8"/>
            <color indexed="81"/>
            <rFont val="Tahoma"/>
            <family val="2"/>
          </rPr>
          <t xml:space="preserve">
</t>
        </r>
        <r>
          <rPr>
            <b/>
            <sz val="8"/>
            <color indexed="81"/>
            <rFont val="Tahoma"/>
            <family val="2"/>
          </rPr>
          <t xml:space="preserve">7.26.2012
</t>
        </r>
        <r>
          <rPr>
            <sz val="8"/>
            <color indexed="81"/>
            <rFont val="Tahoma"/>
            <family val="2"/>
          </rPr>
          <t>Targeting FY13 EPS of $2.04-$2.14, representing 15-20% growth y/y. Range does roughly include costs (~$10MM) of potential store closures in Europe as part of Renaissance Plan</t>
        </r>
      </text>
    </comment>
    <comment ref="CX81" authorId="1">
      <text>
        <r>
          <rPr>
            <b/>
            <sz val="8"/>
            <color indexed="81"/>
            <rFont val="Tahoma"/>
            <family val="2"/>
          </rPr>
          <t xml:space="preserve">Sushama Dasari:
12.5.12
</t>
        </r>
        <r>
          <rPr>
            <sz val="8"/>
            <color indexed="81"/>
            <rFont val="Tahoma"/>
            <family val="2"/>
          </rPr>
          <t>Confirmed LT EPS growth target = 15-20%</t>
        </r>
        <r>
          <rPr>
            <b/>
            <sz val="8"/>
            <color indexed="81"/>
            <rFont val="Tahoma"/>
            <family val="2"/>
          </rPr>
          <t xml:space="preserve">
</t>
        </r>
        <r>
          <rPr>
            <sz val="8"/>
            <color indexed="81"/>
            <rFont val="Tahoma"/>
            <family val="2"/>
          </rPr>
          <t xml:space="preserve">
12.1.10
LT EPS growth = 15-20%</t>
        </r>
      </text>
    </comment>
    <comment ref="DC81" authorId="1">
      <text>
        <r>
          <rPr>
            <b/>
            <sz val="8"/>
            <color indexed="81"/>
            <rFont val="Tahoma"/>
            <family val="2"/>
          </rPr>
          <t xml:space="preserve">7.24.14:
</t>
        </r>
        <r>
          <rPr>
            <sz val="8"/>
            <color indexed="81"/>
            <rFont val="Tahoma"/>
            <family val="2"/>
          </rPr>
          <t>15-20% EPS growth over non-GAAP FY14 EPS</t>
        </r>
        <r>
          <rPr>
            <b/>
            <sz val="8"/>
            <color indexed="81"/>
            <rFont val="Tahoma"/>
            <family val="2"/>
          </rPr>
          <t xml:space="preserve">
Jon Tower:</t>
        </r>
        <r>
          <rPr>
            <sz val="8"/>
            <color indexed="81"/>
            <rFont val="Tahoma"/>
            <family val="2"/>
          </rPr>
          <t xml:space="preserve">
12.1.10
LT EPS growth = 15-20%</t>
        </r>
      </text>
    </comment>
    <comment ref="DD81" authorId="3">
      <text>
        <r>
          <rPr>
            <b/>
            <sz val="9"/>
            <color indexed="81"/>
            <rFont val="Tahoma"/>
            <family val="2"/>
          </rPr>
          <t>O'Brien, Courtney (Research):</t>
        </r>
        <r>
          <rPr>
            <sz val="9"/>
            <color indexed="81"/>
            <rFont val="Tahoma"/>
            <family val="2"/>
          </rPr>
          <t xml:space="preserve">
10.29.15
0.45, representing a lower growth rate than
the full year, as significant FX headwinds in Q1 of 2016 will impact non-GAAP EPS growth by 4 full points; vast majority of our 2015 partner and digital investments in earnest in Q2 of last year</t>
        </r>
      </text>
    </comment>
    <comment ref="DH81" authorId="1">
      <text>
        <r>
          <rPr>
            <b/>
            <sz val="8"/>
            <color indexed="81"/>
            <rFont val="Tahoma"/>
            <family val="2"/>
          </rPr>
          <t xml:space="preserve">Jon Tower:
11.16: extra week added about 3% to full yr EPS growth
</t>
        </r>
        <r>
          <rPr>
            <sz val="8"/>
            <color indexed="81"/>
            <rFont val="Tahoma"/>
            <family val="2"/>
          </rPr>
          <t xml:space="preserve">
12.1.10
LT EPS growth = 15-20%</t>
        </r>
      </text>
    </comment>
    <comment ref="DM81" authorId="1">
      <text>
        <r>
          <rPr>
            <sz val="8"/>
            <color indexed="81"/>
            <rFont val="Tahoma"/>
            <family val="2"/>
          </rPr>
          <t>11.16:
11-12% growth non gapp EPS in 17 vs 16, lapping extra week and excluding imapct of japan acq.
15-16% exclding the extra week whci added 6c to 16 or 3% to LY's growth
LT EPS growth = 15-20%</t>
        </r>
      </text>
    </comment>
    <comment ref="DR81" authorId="1">
      <text>
        <r>
          <rPr>
            <b/>
            <sz val="8"/>
            <color indexed="81"/>
            <rFont val="Tahoma"/>
            <family val="2"/>
          </rPr>
          <t xml:space="preserve">11.17: 
$2.30-2.33 or 12-13% growth in 18, back half loaded
</t>
        </r>
        <r>
          <rPr>
            <sz val="8"/>
            <color indexed="81"/>
            <rFont val="Tahoma"/>
            <family val="2"/>
          </rPr>
          <t xml:space="preserve">
3.9.2017
... we've had 15% to 20% guidance out there for a while. What I've tried to tell people is, we're still within that range as we look over the longer term. I think over the next two or three years, given all the things that are going on in wage, both mandated and some things that we want and things we need to do, we're probably in the lower half of that range.
11.16
LT EPS growth = 15-20% LT</t>
        </r>
      </text>
    </comment>
    <comment ref="DW81" authorId="1">
      <text>
        <r>
          <rPr>
            <b/>
            <sz val="8"/>
            <color indexed="81"/>
            <rFont val="Tahoma"/>
            <family val="2"/>
          </rPr>
          <t>11.17: LT groth as 12%+ (actualy 12-17%) acclerating as exit 18
:</t>
        </r>
        <r>
          <rPr>
            <sz val="8"/>
            <color indexed="81"/>
            <rFont val="Tahoma"/>
            <family val="2"/>
          </rPr>
          <t xml:space="preserve">
3.9.2017
... we've had 15% to 20% guidance out there for a while. What I've tried to tell people is, we're still within that range as we look over the longer term. I think over the next two or three years, given all the things that are going on in wage, both mandated and some things that we want and things we need to do, we're probably in the lower half of that range.
11.16:
LT EPS growth = 15-20% LT</t>
        </r>
      </text>
    </comment>
    <comment ref="EB81" authorId="1">
      <text>
        <r>
          <rPr>
            <b/>
            <sz val="8"/>
            <color indexed="81"/>
            <rFont val="Tahoma"/>
            <family val="2"/>
          </rPr>
          <t>Jon Tower:</t>
        </r>
        <r>
          <rPr>
            <sz val="8"/>
            <color indexed="81"/>
            <rFont val="Tahoma"/>
            <family val="2"/>
          </rPr>
          <t xml:space="preserve">
3.9.2017
... we've had 15% to 20% guidance out there for a while. What I've tried to tell people is, we're still within that range as we look over the longer term. I think over the next two or three years, given all the things that are going on in wage, both mandated and some things that we want and things we need to do, we're probably in the lower half of that range.
11.26:
LT EPS growth = 15-20%</t>
        </r>
      </text>
    </comment>
    <comment ref="DW90" authorId="3">
      <text>
        <r>
          <rPr>
            <b/>
            <sz val="9"/>
            <color indexed="81"/>
            <rFont val="Tahoma"/>
            <family val="2"/>
          </rPr>
          <t>O'Brien, Courtney (Research):
2014 ANALYST DAY:</t>
        </r>
        <r>
          <rPr>
            <sz val="9"/>
            <color indexed="81"/>
            <rFont val="Tahoma"/>
            <family val="2"/>
          </rPr>
          <t xml:space="preserve">
~30k stores by FY19</t>
        </r>
      </text>
    </comment>
    <comment ref="BY114" authorId="1">
      <text>
        <r>
          <rPr>
            <b/>
            <sz val="8"/>
            <color indexed="81"/>
            <rFont val="Tahoma"/>
            <family val="2"/>
          </rPr>
          <t>Jon Tower:</t>
        </r>
        <r>
          <rPr>
            <sz val="8"/>
            <color indexed="81"/>
            <rFont val="Tahoma"/>
            <family val="2"/>
          </rPr>
          <t xml:space="preserve">
11.08: no repurchases planned for 08
4.30.08
$2B of cumulative FCF generated FY09-Fy011 -- used primarily for buybacks</t>
        </r>
      </text>
    </comment>
    <comment ref="CC114" authorId="1">
      <text>
        <r>
          <rPr>
            <b/>
            <sz val="8"/>
            <color indexed="81"/>
            <rFont val="Tahoma"/>
            <family val="2"/>
          </rPr>
          <t>Jon Tower:
11.4.10</t>
        </r>
        <r>
          <rPr>
            <sz val="8"/>
            <color indexed="81"/>
            <rFont val="Tahoma"/>
            <family val="2"/>
          </rPr>
          <t xml:space="preserve">
In the fourth quarter, Starbucks repurchased 4.5 million shares of its common stock for a total of $112 million. For the full fiscal year 2010, the company repurchased 11.2 million shares of its common stock for a total of $285 million</t>
        </r>
        <r>
          <rPr>
            <sz val="8"/>
            <color indexed="81"/>
            <rFont val="Tahoma"/>
            <family val="2"/>
          </rPr>
          <t xml:space="preserve">
7.21.10
In addition, we repurchased 6.7mm shares of Starbucks stock during Q3 leaving
approximately 14mm shares still available for purchase under the current authorization</t>
        </r>
      </text>
    </comment>
    <comment ref="CD114" authorId="1">
      <text>
        <r>
          <rPr>
            <b/>
            <sz val="8"/>
            <color indexed="81"/>
            <rFont val="Tahoma"/>
            <family val="2"/>
          </rPr>
          <t>Jon Tower:</t>
        </r>
        <r>
          <rPr>
            <sz val="8"/>
            <color indexed="81"/>
            <rFont val="Tahoma"/>
            <family val="2"/>
          </rPr>
          <t xml:space="preserve">
4.30.08
$2B of cumulative FCF generated FY09-Fy011 -- used primarily for buybacks</t>
        </r>
      </text>
    </comment>
    <comment ref="CE114" authorId="1">
      <text>
        <r>
          <rPr>
            <b/>
            <sz val="8"/>
            <color indexed="81"/>
            <rFont val="Tahoma"/>
            <family val="2"/>
          </rPr>
          <t>Jon Tower:</t>
        </r>
        <r>
          <rPr>
            <sz val="8"/>
            <color indexed="81"/>
            <rFont val="Tahoma"/>
            <family val="2"/>
          </rPr>
          <t xml:space="preserve">
11.15.10
Starbucks Corporation (Nasdaq: SBUX) today announced that its Board of Directors has authorized the repurchase of up to 10 million shares of the company's common stock. This authorization is in addition to the 10.1 million shares that remained available at fiscal year-end 2010 for repurchase under an existing authorization.</t>
        </r>
      </text>
    </comment>
    <comment ref="CF114" authorId="1">
      <text>
        <r>
          <rPr>
            <b/>
            <sz val="8"/>
            <color indexed="81"/>
            <rFont val="Tahoma"/>
            <family val="2"/>
          </rPr>
          <t>Jon Tower:</t>
        </r>
        <r>
          <rPr>
            <sz val="8"/>
            <color indexed="81"/>
            <rFont val="Tahoma"/>
            <family val="2"/>
          </rPr>
          <t xml:space="preserve">
11.15.10
Starbucks Corporation (Nasdaq: SBUX) today announced that its Board of Directors has authorized the repurchase of up to 10 million shares of the company's common stock. This authorization is in addition to the 10.1 million shares that remained available at fiscal year-end 2010 for repurchase under an existing authorization.</t>
        </r>
      </text>
    </comment>
    <comment ref="CG114" authorId="1">
      <text>
        <r>
          <rPr>
            <b/>
            <sz val="8"/>
            <color indexed="81"/>
            <rFont val="Tahoma"/>
            <family val="2"/>
          </rPr>
          <t>Jon Tower:</t>
        </r>
        <r>
          <rPr>
            <sz val="8"/>
            <color indexed="81"/>
            <rFont val="Tahoma"/>
            <family val="2"/>
          </rPr>
          <t xml:space="preserve">
11.15.10
Starbucks Corporation (Nasdaq: SBUX) today announced that its Board of Directors has authorized the repurchase of up to 10 million shares of the company's common stock. This authorization is in addition to the 10.1 million shares that remained available at fiscal year-end 2010 for repurchase under an existing authorization.</t>
        </r>
      </text>
    </comment>
    <comment ref="CH114" authorId="1">
      <text>
        <r>
          <rPr>
            <b/>
            <sz val="8"/>
            <color indexed="81"/>
            <rFont val="Tahoma"/>
            <family val="2"/>
          </rPr>
          <t>Jon Tower:</t>
        </r>
        <r>
          <rPr>
            <sz val="8"/>
            <color indexed="81"/>
            <rFont val="Tahoma"/>
            <family val="2"/>
          </rPr>
          <t xml:space="preserve">
11.15.10
Starbucks Corporation (Nasdaq: SBUX) today announced that its Board of Directors has authorized the repurchase of up to 10 million shares of the company's common stock. This authorization is in addition to the 10.1 million shares that remained available at fiscal year-end 2010 for repurchase under an existing authorization.</t>
        </r>
      </text>
    </comment>
    <comment ref="CI114" authorId="1">
      <text>
        <r>
          <rPr>
            <b/>
            <sz val="8"/>
            <color indexed="81"/>
            <rFont val="Tahoma"/>
            <family val="2"/>
          </rPr>
          <t xml:space="preserve">Jon Tower:
11.15.10
</t>
        </r>
        <r>
          <rPr>
            <sz val="8"/>
            <color indexed="81"/>
            <rFont val="Tahoma"/>
            <family val="2"/>
          </rPr>
          <t xml:space="preserve">Starbucks Corporation (Nasdaq: SBUX) today announced that its Board of Directors has </t>
        </r>
        <r>
          <rPr>
            <b/>
            <sz val="8"/>
            <color indexed="81"/>
            <rFont val="Tahoma"/>
            <family val="2"/>
          </rPr>
          <t>authorized the repurchase of up to 10 million shares of the company's common stock. This authorization is in addition to the 10.1 million shares that remained available at fiscal year-end 2010</t>
        </r>
        <r>
          <rPr>
            <sz val="8"/>
            <color indexed="81"/>
            <rFont val="Tahoma"/>
            <family val="2"/>
          </rPr>
          <t xml:space="preserve"> for repurchase under an existing authorization.</t>
        </r>
        <r>
          <rPr>
            <b/>
            <sz val="8"/>
            <color indexed="81"/>
            <rFont val="Tahoma"/>
            <family val="2"/>
          </rPr>
          <t xml:space="preserve">
</t>
        </r>
        <r>
          <rPr>
            <sz val="8"/>
            <color indexed="81"/>
            <rFont val="Tahoma"/>
            <family val="2"/>
          </rPr>
          <t xml:space="preserve">
4.30.08
$2B of cumulative FCF generated FY09-Fy011 -- used primarily for buybacks</t>
        </r>
      </text>
    </comment>
    <comment ref="CJ114" authorId="1">
      <text>
        <r>
          <rPr>
            <b/>
            <sz val="8"/>
            <color indexed="81"/>
            <rFont val="Tahoma"/>
            <family val="2"/>
          </rPr>
          <t>Jon Tower:</t>
        </r>
        <r>
          <rPr>
            <sz val="8"/>
            <color indexed="81"/>
            <rFont val="Tahoma"/>
            <family val="2"/>
          </rPr>
          <t xml:space="preserve">
11.3.11
The Board also authorized the repurchase of up to an additional 20 million shares of the company’s common stock. This
authorization is in addition to approximately 4.4 million shares that remain available for repurchase under previous
authorizations</t>
        </r>
      </text>
    </comment>
    <comment ref="CK114" authorId="1">
      <text>
        <r>
          <rPr>
            <b/>
            <sz val="8"/>
            <color indexed="81"/>
            <rFont val="Tahoma"/>
            <family val="2"/>
          </rPr>
          <t>Jon Tower:</t>
        </r>
        <r>
          <rPr>
            <sz val="8"/>
            <color indexed="81"/>
            <rFont val="Tahoma"/>
            <family val="2"/>
          </rPr>
          <t xml:space="preserve">
11.3.11
The Board also authorized the repurchase of up to an additional 20 million shares of the company’s common stock. This
authorization is in addition to approximately 4.4 million shares that remain available for repurchase under previous
authorizations</t>
        </r>
      </text>
    </comment>
    <comment ref="CL114" authorId="1">
      <text>
        <r>
          <rPr>
            <b/>
            <sz val="8"/>
            <color indexed="81"/>
            <rFont val="Tahoma"/>
            <family val="2"/>
          </rPr>
          <t>Jon Tower:</t>
        </r>
        <r>
          <rPr>
            <sz val="8"/>
            <color indexed="81"/>
            <rFont val="Tahoma"/>
            <family val="2"/>
          </rPr>
          <t xml:space="preserve">
11.3.11
The Board also authorized the repurchase of up to an additional 20 million shares of the company’s common stock. This
authorization is in addition to approximately 4.4 million shares that remain available for repurchase under previous
authorizations</t>
        </r>
      </text>
    </comment>
    <comment ref="CM114" authorId="1">
      <text>
        <r>
          <rPr>
            <b/>
            <sz val="8"/>
            <color indexed="81"/>
            <rFont val="Tahoma"/>
            <family val="2"/>
          </rPr>
          <t>Jon Tower:</t>
        </r>
        <r>
          <rPr>
            <sz val="8"/>
            <color indexed="81"/>
            <rFont val="Tahoma"/>
            <family val="2"/>
          </rPr>
          <t xml:space="preserve">
11.3.11
The Board also authorized the repurchase of up to an additional 20 million shares of the company’s common stock. This
authorization is in addition to approximately 4.4 million shares that remain available for repurchase under previous
authorizations</t>
        </r>
      </text>
    </comment>
    <comment ref="CO114" authorId="6">
      <text>
        <r>
          <rPr>
            <b/>
            <sz val="8"/>
            <color indexed="81"/>
            <rFont val="Tahoma"/>
            <family val="2"/>
          </rPr>
          <t>Sushama Dasari:</t>
        </r>
        <r>
          <rPr>
            <sz val="8"/>
            <color indexed="81"/>
            <rFont val="Tahoma"/>
            <family val="2"/>
          </rPr>
          <t xml:space="preserve">
</t>
        </r>
        <r>
          <rPr>
            <b/>
            <sz val="8"/>
            <color indexed="81"/>
            <rFont val="Tahoma"/>
            <family val="2"/>
          </rPr>
          <t xml:space="preserve">11.14.12
</t>
        </r>
        <r>
          <rPr>
            <sz val="8"/>
            <color indexed="81"/>
            <rFont val="Tahoma"/>
            <family val="2"/>
          </rPr>
          <t xml:space="preserve">On November 14, 2012, our Board of Directors authorized the repurchase of up to an additional 25 million shares, in addition to the 12.1 million shares that remained available for repurchase at September 30, 2012 under previous authorizations. </t>
        </r>
      </text>
    </comment>
    <comment ref="CP114" authorId="6">
      <text>
        <r>
          <rPr>
            <b/>
            <sz val="8"/>
            <color indexed="81"/>
            <rFont val="Tahoma"/>
            <family val="2"/>
          </rPr>
          <t>Sushama Dasari:</t>
        </r>
        <r>
          <rPr>
            <sz val="8"/>
            <color indexed="81"/>
            <rFont val="Tahoma"/>
            <family val="2"/>
          </rPr>
          <t xml:space="preserve">
</t>
        </r>
        <r>
          <rPr>
            <b/>
            <sz val="8"/>
            <color indexed="81"/>
            <rFont val="Tahoma"/>
            <family val="2"/>
          </rPr>
          <t xml:space="preserve">1.29.13
</t>
        </r>
        <r>
          <rPr>
            <sz val="8"/>
            <color indexed="81"/>
            <rFont val="Tahoma"/>
            <family val="2"/>
          </rPr>
          <t>As of December 30, 2012, 29.1 million shares remained available for repurchase under the current authorizations.</t>
        </r>
      </text>
    </comment>
    <comment ref="DA117" authorId="3">
      <text>
        <r>
          <rPr>
            <b/>
            <sz val="9"/>
            <color indexed="81"/>
            <rFont val="Tahoma"/>
            <family val="2"/>
          </rPr>
          <t>O'Brien, Courtney (Research):</t>
        </r>
        <r>
          <rPr>
            <sz val="9"/>
            <color indexed="81"/>
            <rFont val="Tahoma"/>
            <family val="2"/>
          </rPr>
          <t xml:space="preserve">
authorization for another 61M shares</t>
        </r>
      </text>
    </comment>
    <comment ref="DE117" authorId="9">
      <text>
        <r>
          <rPr>
            <b/>
            <sz val="9"/>
            <color indexed="81"/>
            <rFont val="Tahoma"/>
            <family val="2"/>
          </rPr>
          <t>Carril, Christopher E (Research):</t>
        </r>
        <r>
          <rPr>
            <sz val="9"/>
            <color indexed="81"/>
            <rFont val="Tahoma"/>
            <family val="2"/>
          </rPr>
          <t xml:space="preserve">
4.21.2016
The company repurchased 23 million shares of common stock in Q2 FY16</t>
        </r>
      </text>
    </comment>
    <comment ref="CC120" authorId="1">
      <text>
        <r>
          <rPr>
            <b/>
            <sz val="8"/>
            <color indexed="81"/>
            <rFont val="Tahoma"/>
            <family val="2"/>
          </rPr>
          <t>Jon Tower:</t>
        </r>
        <r>
          <rPr>
            <sz val="8"/>
            <color indexed="81"/>
            <rFont val="Tahoma"/>
            <family val="2"/>
          </rPr>
          <t xml:space="preserve">
7.21.10
14M shares remaining under authorization (post F3Q10)</t>
        </r>
      </text>
    </comment>
    <comment ref="A129" authorId="9">
      <text>
        <r>
          <rPr>
            <b/>
            <sz val="9"/>
            <color indexed="81"/>
            <rFont val="Tahoma"/>
            <family val="2"/>
          </rPr>
          <t>Carril, Christopher E (Research):</t>
        </r>
        <r>
          <rPr>
            <sz val="9"/>
            <color indexed="81"/>
            <rFont val="Tahoma"/>
            <family val="2"/>
          </rPr>
          <t xml:space="preserve">
Normalization of Starbucks Japan G&amp;A expenses includes transaction and integration costs associated with the Starbucks Japan acquisition; it also adjusts for incremental G&amp;A incurred in FY15 associated with the change in Japan's ownership upon acquisition.</t>
        </r>
      </text>
    </comment>
    <comment ref="A130" authorId="9">
      <text>
        <r>
          <rPr>
            <b/>
            <sz val="9"/>
            <color indexed="81"/>
            <rFont val="Tahoma"/>
            <family val="2"/>
          </rPr>
          <t>Carril, Christopher E (Research):</t>
        </r>
        <r>
          <rPr>
            <sz val="9"/>
            <color indexed="81"/>
            <rFont val="Tahoma"/>
            <family val="2"/>
          </rPr>
          <t xml:space="preserve">
Company initiatives primarily include leadership conferences, donations made to the Starbucks Foundation and the re-alignment of certain insignificant digital expenses that were previously recorded to other operating expenses prior to Q4 FY16.</t>
        </r>
      </text>
    </comment>
    <comment ref="A131" authorId="9">
      <text>
        <r>
          <rPr>
            <b/>
            <sz val="9"/>
            <color indexed="81"/>
            <rFont val="Tahoma"/>
            <family val="2"/>
          </rPr>
          <t>Carril, Christopher E (Research):</t>
        </r>
        <r>
          <rPr>
            <sz val="9"/>
            <color indexed="81"/>
            <rFont val="Tahoma"/>
            <family val="2"/>
          </rPr>
          <t xml:space="preserve">
Non-routine items primarily include certain corporate accruals.</t>
        </r>
      </text>
    </comment>
    <comment ref="DM133" authorId="9">
      <text>
        <r>
          <rPr>
            <b/>
            <sz val="9"/>
            <color indexed="81"/>
            <rFont val="Tahoma"/>
            <family val="2"/>
          </rPr>
          <t>Carril, Christopher E (Research):</t>
        </r>
        <r>
          <rPr>
            <sz val="9"/>
            <color indexed="81"/>
            <rFont val="Tahoma"/>
            <family val="2"/>
          </rPr>
          <t xml:space="preserve">
</t>
        </r>
        <r>
          <rPr>
            <b/>
            <sz val="9"/>
            <color indexed="81"/>
            <rFont val="Tahoma"/>
            <family val="2"/>
          </rPr>
          <t>2016 Investor Day (12.8.2016):</t>
        </r>
        <r>
          <rPr>
            <sz val="9"/>
            <color indexed="81"/>
            <rFont val="Tahoma"/>
            <family val="2"/>
          </rPr>
          <t xml:space="preserve">
Core G&amp;A to grow 1/2 rate of revenue growth</t>
        </r>
      </text>
    </comment>
    <comment ref="DR133" authorId="9">
      <text>
        <r>
          <rPr>
            <b/>
            <sz val="9"/>
            <color indexed="81"/>
            <rFont val="Tahoma"/>
            <family val="2"/>
          </rPr>
          <t>Carril, Christopher E (Research):</t>
        </r>
        <r>
          <rPr>
            <sz val="9"/>
            <color indexed="81"/>
            <rFont val="Tahoma"/>
            <family val="2"/>
          </rPr>
          <t xml:space="preserve">
</t>
        </r>
        <r>
          <rPr>
            <b/>
            <sz val="9"/>
            <color indexed="81"/>
            <rFont val="Tahoma"/>
            <family val="2"/>
          </rPr>
          <t>2016 Investor Day (12.8.2016):</t>
        </r>
        <r>
          <rPr>
            <sz val="9"/>
            <color indexed="81"/>
            <rFont val="Tahoma"/>
            <family val="2"/>
          </rPr>
          <t xml:space="preserve">
Core G&amp;A to grow 1/2 rate of revenue growth</t>
        </r>
      </text>
    </comment>
    <comment ref="DW133" authorId="9">
      <text>
        <r>
          <rPr>
            <b/>
            <sz val="9"/>
            <color indexed="81"/>
            <rFont val="Tahoma"/>
            <family val="2"/>
          </rPr>
          <t>Carril, Christopher E (Research):</t>
        </r>
        <r>
          <rPr>
            <sz val="9"/>
            <color indexed="81"/>
            <rFont val="Tahoma"/>
            <family val="2"/>
          </rPr>
          <t xml:space="preserve">
</t>
        </r>
        <r>
          <rPr>
            <b/>
            <sz val="9"/>
            <color indexed="81"/>
            <rFont val="Tahoma"/>
            <family val="2"/>
          </rPr>
          <t>2016 Investor Day (12.8.2016):</t>
        </r>
        <r>
          <rPr>
            <sz val="9"/>
            <color indexed="81"/>
            <rFont val="Tahoma"/>
            <family val="2"/>
          </rPr>
          <t xml:space="preserve">
Core G&amp;A to grow 1/2 rate of revenue growth</t>
        </r>
      </text>
    </comment>
    <comment ref="EB133" authorId="9">
      <text>
        <r>
          <rPr>
            <b/>
            <sz val="9"/>
            <color indexed="81"/>
            <rFont val="Tahoma"/>
            <family val="2"/>
          </rPr>
          <t>Carril, Christopher E (Research):</t>
        </r>
        <r>
          <rPr>
            <sz val="9"/>
            <color indexed="81"/>
            <rFont val="Tahoma"/>
            <family val="2"/>
          </rPr>
          <t xml:space="preserve">
</t>
        </r>
        <r>
          <rPr>
            <b/>
            <sz val="9"/>
            <color indexed="81"/>
            <rFont val="Tahoma"/>
            <family val="2"/>
          </rPr>
          <t>2016 Investor Day (12.8.2016):</t>
        </r>
        <r>
          <rPr>
            <sz val="9"/>
            <color indexed="81"/>
            <rFont val="Tahoma"/>
            <family val="2"/>
          </rPr>
          <t xml:space="preserve">
Core G&amp;A to grow 1/2 rate of revenue growth</t>
        </r>
      </text>
    </comment>
    <comment ref="A135" authorId="9">
      <text>
        <r>
          <rPr>
            <b/>
            <sz val="9"/>
            <color indexed="81"/>
            <rFont val="Tahoma"/>
            <family val="2"/>
          </rPr>
          <t>Carril, Christopher E (Research):</t>
        </r>
        <r>
          <rPr>
            <sz val="9"/>
            <color indexed="81"/>
            <rFont val="Tahoma"/>
            <family val="2"/>
          </rPr>
          <t xml:space="preserve">
Adjusted for incremental G&amp;A incurred in FY15 associated with the change in Japan's ownership upon acquisition.</t>
        </r>
      </text>
    </comment>
    <comment ref="DC135" authorId="9">
      <text>
        <r>
          <rPr>
            <b/>
            <sz val="9"/>
            <color indexed="81"/>
            <rFont val="Tahoma"/>
            <family val="2"/>
          </rPr>
          <t>Carril, Christopher E (Research):</t>
        </r>
        <r>
          <rPr>
            <sz val="9"/>
            <color indexed="81"/>
            <rFont val="Tahoma"/>
            <family val="2"/>
          </rPr>
          <t xml:space="preserve">
Adjusted for incremental G&amp;A incurred in FY15 associated with the change in Japan's ownership upon acquisition.</t>
        </r>
      </text>
    </comment>
    <comment ref="A138" authorId="15">
      <text>
        <r>
          <rPr>
            <sz val="8"/>
            <color indexed="81"/>
            <rFont val="Tahoma"/>
            <family val="2"/>
          </rPr>
          <t>Effective tax rate tagged  as statutory tax rate.  This rate is our ongoing assumption of the effective tax rate, not necessarily what is stated in 10-K.</t>
        </r>
      </text>
    </comment>
    <comment ref="DH148" authorId="9">
      <text>
        <r>
          <rPr>
            <b/>
            <sz val="9"/>
            <color indexed="81"/>
            <rFont val="Tahoma"/>
            <family val="2"/>
          </rPr>
          <t>Carril, Christopher E (Research):</t>
        </r>
        <r>
          <rPr>
            <sz val="9"/>
            <color indexed="81"/>
            <rFont val="Tahoma"/>
            <family val="2"/>
          </rPr>
          <t xml:space="preserve">
</t>
        </r>
        <r>
          <rPr>
            <b/>
            <sz val="9"/>
            <color indexed="81"/>
            <rFont val="Tahoma"/>
            <family val="2"/>
          </rPr>
          <t>FY16 10-K</t>
        </r>
        <r>
          <rPr>
            <sz val="9"/>
            <color indexed="81"/>
            <rFont val="Tahoma"/>
            <family val="2"/>
          </rPr>
          <t xml:space="preserve">
Interest income and other, net increased $65 million, primarily due to higher income recognized on unredeemed stored value card balances ($21 million), net favorable foreign exchange fluctuations ($11 million) and gains on our trading securities portfolio ($8 million). </t>
        </r>
      </text>
    </comment>
    <comment ref="DI148" authorId="9">
      <text>
        <r>
          <rPr>
            <b/>
            <sz val="9"/>
            <color indexed="81"/>
            <rFont val="Tahoma"/>
            <family val="2"/>
          </rPr>
          <t>Carril, Christopher E (Research):</t>
        </r>
        <r>
          <rPr>
            <sz val="9"/>
            <color indexed="81"/>
            <rFont val="Tahoma"/>
            <family val="2"/>
          </rPr>
          <t xml:space="preserve">
</t>
        </r>
        <r>
          <rPr>
            <b/>
            <sz val="9"/>
            <color indexed="81"/>
            <rFont val="Tahoma"/>
            <family val="2"/>
          </rPr>
          <t>1Q17 10-Q</t>
        </r>
        <r>
          <rPr>
            <sz val="9"/>
            <color indexed="81"/>
            <rFont val="Tahoma"/>
            <family val="2"/>
          </rPr>
          <t xml:space="preserve">
Net interest income and other increased $16 million for the first quarter of fiscal 2017, primarily related to net favorable fair value adjustments from derivative instruments used to manage our risk of commodity price fluctuations.</t>
        </r>
      </text>
    </comment>
    <comment ref="DJ148" authorId="9">
      <text>
        <r>
          <rPr>
            <b/>
            <sz val="9"/>
            <color indexed="81"/>
            <rFont val="Tahoma"/>
            <family val="2"/>
          </rPr>
          <t>Carril, Christopher E (Research):</t>
        </r>
        <r>
          <rPr>
            <sz val="9"/>
            <color indexed="81"/>
            <rFont val="Tahoma"/>
            <family val="2"/>
          </rPr>
          <t xml:space="preserve">
</t>
        </r>
        <r>
          <rPr>
            <b/>
            <sz val="9"/>
            <color indexed="81"/>
            <rFont val="Tahoma"/>
            <family val="2"/>
          </rPr>
          <t>2Q17 10-Q</t>
        </r>
        <r>
          <rPr>
            <sz val="9"/>
            <color indexed="81"/>
            <rFont val="Tahoma"/>
            <family val="2"/>
          </rPr>
          <t xml:space="preserve">
Net interest income and other increased $70 million primarily related to the gain on the sale of our investment in Square, Inc. warrants ($41 million), net favorable fair value adjustments from derivative instruments used to manage our risk of commodity price fluctuations ($15 million) and an adjustment associated with estimated indemnifications
related to the sale of our Germany retail operations, which occurred in fiscal 2016.</t>
        </r>
      </text>
    </comment>
    <comment ref="DK148" authorId="9">
      <text>
        <r>
          <rPr>
            <b/>
            <sz val="9"/>
            <color indexed="81"/>
            <rFont val="Tahoma"/>
            <family val="2"/>
          </rPr>
          <t>Carril, Christopher E (Research):</t>
        </r>
        <r>
          <rPr>
            <sz val="9"/>
            <color indexed="81"/>
            <rFont val="Tahoma"/>
            <family val="2"/>
          </rPr>
          <t xml:space="preserve">
</t>
        </r>
        <r>
          <rPr>
            <b/>
            <sz val="9"/>
            <color indexed="81"/>
            <rFont val="Tahoma"/>
            <family val="2"/>
          </rPr>
          <t>3Q17 10-Q</t>
        </r>
        <r>
          <rPr>
            <sz val="9"/>
            <color indexed="81"/>
            <rFont val="Tahoma"/>
            <family val="2"/>
          </rPr>
          <t xml:space="preserve">
Net interest income and other decreased $41 million primarily driven by the adjusted net gain in the sale of our Germany retail operations in fiscal 2016 and unfavorable fair value adjustments from derivatives used to manage our risk of commodity price fluctuations.
Net interest income and other increased $28 million primarily related to the gain on the sale of our investment in Square, Inc. warrants ($41 million), higher income recognized on unredeemed stored value card balances ($7 million) and net favorable fair value adjustments from derivative instruments used to manage our risk of commodity price fluctuations ($6 million), partially offset by the adjusted net gain on the sale of our Germany retail operations, which occurred in fiscal 2016.</t>
        </r>
      </text>
    </comment>
    <comment ref="CP150" authorId="9">
      <text>
        <r>
          <rPr>
            <b/>
            <sz val="9"/>
            <color indexed="81"/>
            <rFont val="Tahoma"/>
            <family val="2"/>
          </rPr>
          <t>Carril, Christopher E (Research):</t>
        </r>
        <r>
          <rPr>
            <sz val="9"/>
            <color indexed="81"/>
            <rFont val="Tahoma"/>
            <family val="2"/>
          </rPr>
          <t xml:space="preserve">
</t>
        </r>
        <r>
          <rPr>
            <b/>
            <sz val="9"/>
            <color indexed="81"/>
            <rFont val="Tahoma"/>
            <family val="2"/>
          </rPr>
          <t>FY15 10-K</t>
        </r>
        <r>
          <rPr>
            <sz val="9"/>
            <color indexed="81"/>
            <rFont val="Tahoma"/>
            <family val="2"/>
          </rPr>
          <t xml:space="preserve">
During the second quarter of fiscal 2013, we sold our 18% interest in Cafe Sirena S. de R.L. de CV (a Mexican limited liability company), to our controlling joint venture partner,
SC de Mexico, S.A. de CV, owned by Alsea, S.A.B. de C.V., for a total purchase price of $50.3 million , which included final working capital adjustments. This transaction
resulted in a gain of $35.2 million , which was included in net interest income and other on our consolidated statements of earnings.</t>
        </r>
      </text>
    </comment>
    <comment ref="CR150" authorId="9">
      <text>
        <r>
          <rPr>
            <b/>
            <sz val="9"/>
            <color indexed="81"/>
            <rFont val="Tahoma"/>
            <family val="2"/>
          </rPr>
          <t>Carril, Christopher E (Research):</t>
        </r>
        <r>
          <rPr>
            <sz val="9"/>
            <color indexed="81"/>
            <rFont val="Tahoma"/>
            <family val="2"/>
          </rPr>
          <t xml:space="preserve">
</t>
        </r>
        <r>
          <rPr>
            <b/>
            <sz val="9"/>
            <color indexed="81"/>
            <rFont val="Tahoma"/>
            <family val="2"/>
          </rPr>
          <t>FY15 10-K</t>
        </r>
        <r>
          <rPr>
            <sz val="9"/>
            <color indexed="81"/>
            <rFont val="Tahoma"/>
            <family val="2"/>
          </rPr>
          <t xml:space="preserve">
During the fourth quarter of fiscal 2013, we sold our 82% interest in Starbucks Coffee Chile S.A. to our joint venture partner Alsea, S.A.B. de C.V., converting this market to a 100% licensed market, for a total purchase price of $68.6 million , which includes final working capital adjustments. This transaction resulted in a gain of $45.9 million , which was included in net interest income and other on our consolidated statements of earnings.
During the fourth quarter of fiscal 2013, we sold our 18% interest in Starbucks Coffee Argentina S.R.L. to our joint venture partner Alsea, S.A.B. de C.V., for a total purchase price of $4.4 million . This transaction resulted in a loss of $1.0 million , which was included in net interest income and other on our consolidated statements of earnings.</t>
        </r>
      </text>
    </comment>
    <comment ref="CW150" authorId="9">
      <text>
        <r>
          <rPr>
            <b/>
            <sz val="9"/>
            <color indexed="81"/>
            <rFont val="Tahoma"/>
            <family val="2"/>
          </rPr>
          <t>Carril, Christopher E (Research):</t>
        </r>
        <r>
          <rPr>
            <sz val="9"/>
            <color indexed="81"/>
            <rFont val="Tahoma"/>
            <family val="2"/>
          </rPr>
          <t xml:space="preserve">
</t>
        </r>
        <r>
          <rPr>
            <b/>
            <sz val="9"/>
            <color indexed="81"/>
            <rFont val="Tahoma"/>
            <family val="2"/>
          </rPr>
          <t>FY15 10-K</t>
        </r>
        <r>
          <rPr>
            <sz val="9"/>
            <color indexed="81"/>
            <rFont val="Tahoma"/>
            <family val="2"/>
          </rPr>
          <t xml:space="preserve">
During the fourth quarter of fiscal 2014, we sold our Australian company-operated retail store assets and operations to the Withers Group, converting these operations to a fully licensed market, for a total of $15.9 million. </t>
        </r>
        <r>
          <rPr>
            <b/>
            <sz val="9"/>
            <color indexed="81"/>
            <rFont val="Tahoma"/>
            <family val="2"/>
          </rPr>
          <t>This transaction resulted in a pre-tax gain of $2.4 million, which was included in net interest income and other</t>
        </r>
        <r>
          <rPr>
            <sz val="9"/>
            <color indexed="81"/>
            <rFont val="Tahoma"/>
            <family val="2"/>
          </rPr>
          <t xml:space="preserve"> on our consolidated statements of earnings. On an after-tax basis, this transaction resulted in a loss that was not material to our financial statements.
In the fourth quarter of fiscal 2014, we sold our 50% equity method ownership interest in our Malaysian joint venture, Berjaya Starbucks Coffee Company Sdn. Bhd., to our
joint venture partner, Berjaya Food Berhad, for a total purchase price of $88.0 million. </t>
        </r>
        <r>
          <rPr>
            <b/>
            <sz val="9"/>
            <color indexed="81"/>
            <rFont val="Tahoma"/>
            <family val="2"/>
          </rPr>
          <t>This transaction resulted in a gain of $67.8 million , which was included in net interest
income and other</t>
        </r>
        <r>
          <rPr>
            <sz val="9"/>
            <color indexed="81"/>
            <rFont val="Tahoma"/>
            <family val="2"/>
          </rPr>
          <t xml:space="preserve"> on our consolidated statements of earnings.</t>
        </r>
      </text>
    </comment>
    <comment ref="DB150" authorId="9">
      <text>
        <r>
          <rPr>
            <b/>
            <sz val="9"/>
            <color indexed="81"/>
            <rFont val="Tahoma"/>
            <family val="2"/>
          </rPr>
          <t>Carril, Christopher E (Research):</t>
        </r>
        <r>
          <rPr>
            <sz val="9"/>
            <color indexed="81"/>
            <rFont val="Tahoma"/>
            <family val="2"/>
          </rPr>
          <t xml:space="preserve">
</t>
        </r>
        <r>
          <rPr>
            <b/>
            <sz val="9"/>
            <color indexed="81"/>
            <rFont val="Tahoma"/>
            <family val="2"/>
          </rPr>
          <t xml:space="preserve">FY15 10-K
</t>
        </r>
        <r>
          <rPr>
            <sz val="9"/>
            <color indexed="81"/>
            <rFont val="Tahoma"/>
            <family val="2"/>
          </rPr>
          <t>During the fourth quarter of fiscal 2015, we sold our company-operated retail store assets and operations in Puerto Rico to Baristas Del Caribe, LLC, converting these operations to a fully licensed market, for a total of $8.9 million . This transaction resulted in a pre-tax gain of $3.7 million , which was included in net interest income and other on the consolidated statements of earnings.</t>
        </r>
      </text>
    </comment>
    <comment ref="DD150" authorId="9">
      <text>
        <r>
          <rPr>
            <b/>
            <sz val="9"/>
            <color indexed="81"/>
            <rFont val="Tahoma"/>
            <family val="2"/>
          </rPr>
          <t>Carril, Christopher E (Research):</t>
        </r>
        <r>
          <rPr>
            <sz val="9"/>
            <color indexed="81"/>
            <rFont val="Tahoma"/>
            <family val="2"/>
          </rPr>
          <t xml:space="preserve">
</t>
        </r>
        <r>
          <rPr>
            <b/>
            <sz val="9"/>
            <color indexed="81"/>
            <rFont val="Tahoma"/>
            <family val="2"/>
          </rPr>
          <t>1Q16 10-Q</t>
        </r>
        <r>
          <rPr>
            <sz val="9"/>
            <color indexed="81"/>
            <rFont val="Tahoma"/>
            <family val="2"/>
          </rPr>
          <t xml:space="preserve">
In the first quarter of fiscal 2016, we sold our 49% ownership interest in our Spanish joint venture, Starbucks Coffee España, S.L. ("Starbucks Spain"), to our joint venture partner, Sigla S.A. (Grupo Vips), for a total purchase price of $30.2 million . This transaction resulted in a gain of $0.6 million , which was included in net interest income and
other on the consolidated statements of earnings for the quarter ended December 27, 2015.</t>
        </r>
      </text>
    </comment>
    <comment ref="DF150" authorId="9">
      <text>
        <r>
          <rPr>
            <b/>
            <sz val="9"/>
            <color indexed="81"/>
            <rFont val="Tahoma"/>
            <family val="2"/>
          </rPr>
          <t>Carril, Christopher E (Research):</t>
        </r>
        <r>
          <rPr>
            <sz val="9"/>
            <color indexed="81"/>
            <rFont val="Tahoma"/>
            <family val="2"/>
          </rPr>
          <t xml:space="preserve">
During the third quarter of fiscal 2016, we sold our Germany company-operated retail store assets and operations to AmRest Holdings SE, converting these operations to a
fully licensed market for a total of $47.3 million. This transaction resulted in a pre-tax gain of $30.1 million, which was included in net interest income and other on our
condensed consolidated statements of earnings.</t>
        </r>
      </text>
    </comment>
    <comment ref="DJ150" authorId="9">
      <text>
        <r>
          <rPr>
            <b/>
            <sz val="9"/>
            <color indexed="81"/>
            <rFont val="Tahoma"/>
            <family val="2"/>
          </rPr>
          <t>Carril, Christopher E (Research):</t>
        </r>
        <r>
          <rPr>
            <sz val="9"/>
            <color indexed="81"/>
            <rFont val="Tahoma"/>
            <family val="2"/>
          </rPr>
          <t xml:space="preserve">
4.27.2017
Included in interest income and other, net is the gain on the sale of our investment in Square, Inc. warrants of $40.5 million in Q2 FY17.
</t>
        </r>
      </text>
    </comment>
    <comment ref="BA188" authorId="16">
      <text>
        <r>
          <rPr>
            <sz val="8"/>
            <color indexed="81"/>
            <rFont val="Tahoma"/>
            <family val="2"/>
          </rPr>
          <t>6% traffic, 5% value of transaction</t>
        </r>
      </text>
    </comment>
    <comment ref="BB188" authorId="17">
      <text>
        <r>
          <rPr>
            <b/>
            <sz val="8"/>
            <color indexed="81"/>
            <rFont val="Tahoma"/>
            <family val="2"/>
          </rPr>
          <t>towerj:</t>
        </r>
        <r>
          <rPr>
            <sz val="8"/>
            <color indexed="81"/>
            <rFont val="Tahoma"/>
            <family val="2"/>
          </rPr>
          <t xml:space="preserve">
5.10.05 - increase due to 4% increase in customer transactions and a 3% increase in the ticket.</t>
        </r>
      </text>
    </comment>
    <comment ref="BC188" authorId="17">
      <text>
        <r>
          <rPr>
            <b/>
            <sz val="8"/>
            <color indexed="81"/>
            <rFont val="Tahoma"/>
            <family val="2"/>
          </rPr>
          <t>towerj:</t>
        </r>
        <r>
          <rPr>
            <sz val="8"/>
            <color indexed="81"/>
            <rFont val="Tahoma"/>
            <family val="2"/>
          </rPr>
          <t xml:space="preserve">
7.29.05 = 4% increase in average check (including 3% attributable to a beverage price increase in Oct 04). And 3% increase due to customer transactions.</t>
        </r>
      </text>
    </comment>
    <comment ref="BQ188" authorId="1">
      <text>
        <r>
          <rPr>
            <b/>
            <sz val="8"/>
            <color indexed="81"/>
            <rFont val="Tahoma"/>
            <family val="2"/>
          </rPr>
          <t>Jon Tower:
ASOF THE 2Q08 COMPS WILL NO LONGER BE REPORTED</t>
        </r>
        <r>
          <rPr>
            <sz val="8"/>
            <color indexed="81"/>
            <rFont val="Tahoma"/>
            <family val="2"/>
          </rPr>
          <t xml:space="preserve">
4.23.08
"mid-single digit decline" in US -- driven by traffic</t>
        </r>
      </text>
    </comment>
    <comment ref="BR188" authorId="1">
      <text>
        <r>
          <rPr>
            <b/>
            <sz val="8"/>
            <color indexed="81"/>
            <rFont val="Tahoma"/>
            <family val="2"/>
          </rPr>
          <t>Jon Tower:</t>
        </r>
        <r>
          <rPr>
            <sz val="8"/>
            <color indexed="81"/>
            <rFont val="Tahoma"/>
            <family val="2"/>
          </rPr>
          <t xml:space="preserve">
7.30.08
mid-single-digit decline - a slight deterioration from the F2Q</t>
        </r>
      </text>
    </comment>
    <comment ref="BS188" authorId="1">
      <text>
        <r>
          <rPr>
            <b/>
            <sz val="8"/>
            <color indexed="81"/>
            <rFont val="Tahoma"/>
            <family val="2"/>
          </rPr>
          <t xml:space="preserve">Jon Tower:
10.29.08
</t>
        </r>
        <r>
          <rPr>
            <sz val="8"/>
            <color indexed="81"/>
            <rFont val="Tahoma"/>
            <family val="2"/>
          </rPr>
          <t>To provide further context, the company had expected U.S. fourth-quarter comparable store sales to be relatively stable with third-quarter trends. In fact, Starbucks experienced deterioration sequentially in its fourth quarter.</t>
        </r>
        <r>
          <rPr>
            <b/>
            <sz val="8"/>
            <color indexed="81"/>
            <rFont val="Tahoma"/>
            <family val="2"/>
          </rPr>
          <t xml:space="preserve">
</t>
        </r>
        <r>
          <rPr>
            <sz val="8"/>
            <color indexed="81"/>
            <rFont val="Tahoma"/>
            <family val="2"/>
          </rPr>
          <t xml:space="preserve">
7.30.08
company store SSS will remain stable w/3Q</t>
        </r>
      </text>
    </comment>
    <comment ref="BU188" authorId="1">
      <text>
        <r>
          <rPr>
            <b/>
            <sz val="8"/>
            <color indexed="81"/>
            <rFont val="Tahoma"/>
            <family val="2"/>
          </rPr>
          <t>Jon Tower:
12.4.08
SSS QTD were down 9%</t>
        </r>
        <r>
          <rPr>
            <sz val="8"/>
            <color indexed="81"/>
            <rFont val="Tahoma"/>
            <family val="2"/>
          </rPr>
          <t xml:space="preserve">
10.29.08
October comparable store sales improved slightly over fourth quarter, due primarily to a higher average value per transaction.
</t>
        </r>
      </text>
    </comment>
    <comment ref="BX188" authorId="1">
      <text>
        <r>
          <rPr>
            <b/>
            <sz val="8"/>
            <color indexed="81"/>
            <rFont val="Tahoma"/>
            <family val="2"/>
          </rPr>
          <t>Jon Tower:</t>
        </r>
        <r>
          <rPr>
            <sz val="8"/>
            <color indexed="81"/>
            <rFont val="Tahoma"/>
            <family val="2"/>
          </rPr>
          <t xml:space="preserve">
11.5.09
'With same-store sales in both our U.S. and international businesses stronger as we
exited the fourth quarter than when we entered it.'</t>
        </r>
      </text>
    </comment>
    <comment ref="BY188" authorId="1">
      <text>
        <r>
          <rPr>
            <b/>
            <sz val="8"/>
            <color indexed="81"/>
            <rFont val="Tahoma"/>
            <family val="2"/>
          </rPr>
          <t>Jon Tower:</t>
        </r>
        <r>
          <rPr>
            <sz val="8"/>
            <color indexed="81"/>
            <rFont val="Tahoma"/>
            <family val="2"/>
          </rPr>
          <t xml:space="preserve">
7.30.08
need low-single-digit positive SSS to meet EPS guidance of $0.90-$1.00
closures could add 3-4% to comps in '09, based on:
$700k per store ($420 m in revs)
75% of closed stores w/in 3 miles of another store
75% of sales get captured by other sbux (.75*.75*420M = 237M) --- over $7B in sales.</t>
        </r>
      </text>
    </comment>
    <comment ref="BZ188" authorId="1">
      <text>
        <r>
          <rPr>
            <b/>
            <sz val="8"/>
            <color indexed="81"/>
            <rFont val="Tahoma"/>
            <family val="2"/>
          </rPr>
          <t>Jon Tower:</t>
        </r>
        <r>
          <rPr>
            <sz val="8"/>
            <color indexed="81"/>
            <rFont val="Tahoma"/>
            <family val="2"/>
          </rPr>
          <t xml:space="preserve">
1.20.10
The increase was due to a 4% increase in comparable store sales, comprised entirely of an increase in the average value per transaction, partially offset by the closure of 369 underperforming company-operated stores over the last 12 months. 
2% of SSS gain in US was related to Via sales: would imply ~5 boxes/store sold/day.
Calc:
Average store sales = $264k in US
Divide by total comp increase (1.04) to get base, or $253,846 and 2% is $5,077/store.
Divide by 90 days in Q = 56.41
Divide by average selling price (assume $10 for 12 pack) =5.6 packs/day/store</t>
        </r>
      </text>
    </comment>
    <comment ref="CB188" authorId="1">
      <text>
        <r>
          <rPr>
            <b/>
            <sz val="8"/>
            <color indexed="81"/>
            <rFont val="Tahoma"/>
            <family val="2"/>
          </rPr>
          <t>Jon Tower:</t>
        </r>
        <r>
          <rPr>
            <sz val="8"/>
            <color indexed="81"/>
            <rFont val="Tahoma"/>
            <family val="2"/>
          </rPr>
          <t xml:space="preserve">
7.21.10
Customizable frappuccino was 2% of the total 9%
New card program added 1-2% of SSS growth (net of discounts)
--------------------------------
We are very pleased with a successful mid-quarter launch of our customizable frappuccinos, which contributed roughly 2 points to the overall 9% comp growth for the quarter. Considering the decline
we have seen in the blended beverage category in recent years, the reestablishment of growth this quarter is promising. We hope to continue this trend as we now offer something our competitors
cannot: a high quality blended beverage that is fully customizable.
My Starbucks Rewards, our new loyalty program launched six months ago, has been extremely successful. Card loads, redemptions, and percent of tender are all up significantly over last year, and customer feedback has been overwhelmingly positive. Perhaps most significant, we estimate that the new program drove between one and two points of the comp growth for the quarter net of discounts.</t>
        </r>
      </text>
    </comment>
    <comment ref="CC188" authorId="1">
      <text>
        <r>
          <rPr>
            <b/>
            <sz val="8"/>
            <color indexed="81"/>
            <rFont val="Tahoma"/>
            <family val="2"/>
          </rPr>
          <t>Jon Tower:</t>
        </r>
        <r>
          <rPr>
            <sz val="8"/>
            <color indexed="81"/>
            <rFont val="Tahoma"/>
            <family val="2"/>
          </rPr>
          <t xml:space="preserve">
7.21.10
In addition to the earnings outlook, we expect mid-single digit revenue and comp growth for both Q4 and the full year on a 52-week basis</t>
        </r>
      </text>
    </comment>
    <comment ref="CF188" authorId="1">
      <text>
        <r>
          <rPr>
            <b/>
            <sz val="8"/>
            <color indexed="81"/>
            <rFont val="Tahoma"/>
            <family val="2"/>
          </rPr>
          <t xml:space="preserve">Jon Tower:
4.27.11
</t>
        </r>
        <r>
          <rPr>
            <sz val="8"/>
            <color indexed="81"/>
            <rFont val="Tahoma"/>
            <family val="2"/>
          </rPr>
          <t xml:space="preserve">Comparable store sales increased 7%, driven by a 6% increase in traffic and a 1% increase in average ticket 
U.S. comparable store sales increased 7%, driven by a 6% increase in traffic and a 1% increase in average ticket 
International comparable store sales increased 4%, driven by an increase in traffic 
</t>
        </r>
        <r>
          <rPr>
            <b/>
            <sz val="8"/>
            <color indexed="81"/>
            <rFont val="Tahoma"/>
            <family val="2"/>
          </rPr>
          <t xml:space="preserve">
</t>
        </r>
        <r>
          <rPr>
            <sz val="8"/>
            <color indexed="81"/>
            <rFont val="Tahoma"/>
            <family val="2"/>
          </rPr>
          <t xml:space="preserve">
3.29.11
</t>
        </r>
        <r>
          <rPr>
            <b/>
            <sz val="8"/>
            <color indexed="81"/>
            <rFont val="Tahoma"/>
            <family val="2"/>
          </rPr>
          <t>Finally as I mentioned just a moment ago, the underlying trends in the business aside from these very unusual events in the quarter remain very, very strong.</t>
        </r>
        <r>
          <rPr>
            <sz val="8"/>
            <color indexed="81"/>
            <rFont val="Tahoma"/>
            <family val="2"/>
          </rPr>
          <t xml:space="preserve">
</t>
        </r>
      </text>
    </comment>
    <comment ref="CI188" authorId="1">
      <text>
        <r>
          <rPr>
            <b/>
            <sz val="8"/>
            <color indexed="81"/>
            <rFont val="Tahoma"/>
            <family val="2"/>
          </rPr>
          <t xml:space="preserve">Jon Tower:
7.28.11
</t>
        </r>
        <r>
          <rPr>
            <sz val="8"/>
            <color indexed="81"/>
            <rFont val="Tahoma"/>
            <family val="2"/>
          </rPr>
          <t xml:space="preserve">The company is now targeting fiscal 2011 revenue growth of approximately 10% on a comparable 52-week basis, driven by </t>
        </r>
        <r>
          <rPr>
            <b/>
            <sz val="8"/>
            <color indexed="81"/>
            <rFont val="Tahoma"/>
            <family val="2"/>
          </rPr>
          <t xml:space="preserve">comparable store sales growth at the high end of its target range of 3% to 7%
4.27.11
driven by mid single-digit comparable store sales growth
</t>
        </r>
        <r>
          <rPr>
            <sz val="8"/>
            <color indexed="81"/>
            <rFont val="Tahoma"/>
            <family val="2"/>
          </rPr>
          <t xml:space="preserve">
7.21.10
FY11 - The company is targeting mid- to high-single-digit revenue growth, driven by low- to mid-single-digit comparable store sales growth.</t>
        </r>
      </text>
    </comment>
    <comment ref="BM189" authorId="13">
      <text>
        <r>
          <rPr>
            <sz val="8"/>
            <color indexed="81"/>
            <rFont val="Tahoma"/>
            <family val="2"/>
          </rPr>
          <t>8.1.07
less than 1%</t>
        </r>
      </text>
    </comment>
    <comment ref="BN189" authorId="13">
      <text>
        <r>
          <rPr>
            <sz val="8"/>
            <color indexed="81"/>
            <rFont val="Tahoma"/>
            <family val="2"/>
          </rPr>
          <t>11.15.07 (conf call)
The pressure we are seeing on the traffic isn't entirely unexpected, considering the challenging operating environment and similar trends reported across both the retail and the restaurant industry. It is apparent that our customers are feeling the impact of the economic slowdown. We believe the combination of this slowdown and the price increases we implemented in 2007 to
help mitigate significant cost pressures within our business, such as dairy, have impacted the frequency of customer visits to
our stores</t>
        </r>
      </text>
    </comment>
    <comment ref="BA190" authorId="18">
      <text>
        <r>
          <rPr>
            <b/>
            <sz val="8"/>
            <color indexed="81"/>
            <rFont val="Tahoma"/>
            <family val="2"/>
          </rPr>
          <t>glassj:</t>
        </r>
        <r>
          <rPr>
            <sz val="8"/>
            <color indexed="81"/>
            <rFont val="Tahoma"/>
            <family val="2"/>
          </rPr>
          <t xml:space="preserve">
prices increased 3% in US in Oct 04</t>
        </r>
      </text>
    </comment>
    <comment ref="BI190" authorId="10">
      <text>
        <r>
          <rPr>
            <b/>
            <sz val="8"/>
            <color indexed="81"/>
            <rFont val="Tahoma"/>
            <family val="2"/>
          </rPr>
          <t>John Glass:</t>
        </r>
        <r>
          <rPr>
            <sz val="8"/>
            <color indexed="81"/>
            <rFont val="Tahoma"/>
            <family val="2"/>
          </rPr>
          <t xml:space="preserve">
9.21.06 SBUX will take $0.05 price increase on all beverages --- will lift comps 1.2% (based on $4.25 average check)</t>
        </r>
      </text>
    </comment>
    <comment ref="BL190" authorId="13">
      <text>
        <r>
          <rPr>
            <sz val="8"/>
            <color indexed="81"/>
            <rFont val="Tahoma"/>
            <family val="2"/>
          </rPr>
          <t>5.3.07
of the 3% average ticket increase that we've had, about 1.5% of that is from the price increase that we took, but the other 1.5%  is from the attachment of things like music, food, et cetera</t>
        </r>
      </text>
    </comment>
    <comment ref="BM190" authorId="13">
      <text>
        <r>
          <rPr>
            <sz val="8"/>
            <color indexed="81"/>
            <rFont val="Tahoma"/>
            <family val="2"/>
          </rPr>
          <t>8.1.07
about 3%</t>
        </r>
      </text>
    </comment>
    <comment ref="BN190" authorId="13">
      <text>
        <r>
          <rPr>
            <sz val="8"/>
            <color indexed="81"/>
            <rFont val="Tahoma"/>
            <family val="2"/>
          </rPr>
          <t>assumes 3.5% pricing, and 1.5% mix (b'fast sandwich)
7.23.07
took $0.09/cup price increase on most bev on 7/31 --- adds about 2% to check with pricing running about 3.5% in Aug &amp; Sept before hitting 2% again in Oct.</t>
        </r>
      </text>
    </comment>
    <comment ref="BQ190" authorId="10">
      <text>
        <r>
          <rPr>
            <b/>
            <sz val="8"/>
            <color indexed="81"/>
            <rFont val="Tahoma"/>
            <family val="2"/>
          </rPr>
          <t>John Glass:</t>
        </r>
        <r>
          <rPr>
            <sz val="8"/>
            <color indexed="81"/>
            <rFont val="Tahoma"/>
            <family val="2"/>
          </rPr>
          <t xml:space="preserve">
assumes remvoela of b'fast sandwiches hurt ticket by 1%</t>
        </r>
      </text>
    </comment>
    <comment ref="BS190" authorId="10">
      <text>
        <r>
          <rPr>
            <b/>
            <sz val="8"/>
            <color indexed="81"/>
            <rFont val="Tahoma"/>
            <family val="2"/>
          </rPr>
          <t>John Glass:</t>
        </r>
        <r>
          <rPr>
            <sz val="8"/>
            <color indexed="81"/>
            <rFont val="Tahoma"/>
            <family val="2"/>
          </rPr>
          <t xml:space="preserve">
no brewing event this 4Q vs last yr.</t>
        </r>
      </text>
    </comment>
    <comment ref="BW190" authorId="1">
      <text>
        <r>
          <rPr>
            <b/>
            <sz val="8"/>
            <color indexed="81"/>
            <rFont val="Tahoma"/>
            <family val="2"/>
          </rPr>
          <t>Jon Tower:</t>
        </r>
        <r>
          <rPr>
            <sz val="8"/>
            <color indexed="81"/>
            <rFont val="Tahoma"/>
            <family val="2"/>
          </rPr>
          <t xml:space="preserve">
4.29.09
To that end, we will be fine tuning our pricing in several key markets to better reflect geographic, cost of goods and labor considerations. As a result, there will be minor changes that will lower prices on some of our more popular items such as tall lattes and slightly increase prices on our larger and more complex beverages.</t>
        </r>
      </text>
    </comment>
    <comment ref="BX190" authorId="1">
      <text>
        <r>
          <rPr>
            <b/>
            <sz val="8"/>
            <color indexed="81"/>
            <rFont val="Tahoma"/>
            <family val="2"/>
          </rPr>
          <t>Jon Tower:</t>
        </r>
        <r>
          <rPr>
            <sz val="8"/>
            <color indexed="81"/>
            <rFont val="Tahoma"/>
            <family val="2"/>
          </rPr>
          <t xml:space="preserve">
11.5.09
"Importantly, we saw food contribute to ticket growth in the
quarter"
"As you know, we prelaunched VIA in Seattle, Chicago and a number of stores in London in March and expanded the offering through the U.S. and Canada at the end of September. I am delighted to report that in the initial weeks of the rollout, VIA has outperformed the initial test markets."
11.5.09
The average value per transaction was favorably impacted by food as well as more a focused and more effective
merchandise assortment.
Offsetting this favorability was the impact from our value offerings, including the return this year of
our Treat Receipt promotion, which ran four weeks longer than last year.</t>
        </r>
      </text>
    </comment>
    <comment ref="CB190" authorId="1">
      <text>
        <r>
          <rPr>
            <b/>
            <sz val="8"/>
            <color indexed="81"/>
            <rFont val="Tahoma"/>
            <family val="2"/>
          </rPr>
          <t>Jon Tower:</t>
        </r>
        <r>
          <rPr>
            <sz val="8"/>
            <color indexed="81"/>
            <rFont val="Tahoma"/>
            <family val="2"/>
          </rPr>
          <t xml:space="preserve">
7.21.10
With respect to the increase in the average value per transaction, the pricing architecture work we
started in the fiscal fourth quarter of last year contributed </t>
        </r>
        <r>
          <rPr>
            <b/>
            <sz val="8"/>
            <color indexed="81"/>
            <rFont val="Tahoma"/>
            <family val="2"/>
          </rPr>
          <t>roughly half of the 3% ticket growth with
most of the remaining increase coming from mix shift to the new customized frappuccinos, VIA, and
the continued roll-out of our warming program</t>
        </r>
      </text>
    </comment>
    <comment ref="BC191" authorId="17">
      <text>
        <r>
          <rPr>
            <b/>
            <sz val="8"/>
            <color indexed="81"/>
            <rFont val="Tahoma"/>
            <family val="2"/>
          </rPr>
          <t>towerj:</t>
        </r>
        <r>
          <rPr>
            <sz val="8"/>
            <color indexed="81"/>
            <rFont val="Tahoma"/>
            <family val="2"/>
          </rPr>
          <t xml:space="preserve">
7.29.05 4% increase due to increase in transactions. 3% increase due to average check increase.</t>
        </r>
      </text>
    </comment>
    <comment ref="BR191" authorId="1">
      <text>
        <r>
          <rPr>
            <b/>
            <sz val="8"/>
            <color indexed="81"/>
            <rFont val="Tahoma"/>
            <family val="2"/>
          </rPr>
          <t>Jon Tower:</t>
        </r>
        <r>
          <rPr>
            <sz val="8"/>
            <color indexed="81"/>
            <rFont val="Tahoma"/>
            <family val="2"/>
          </rPr>
          <t xml:space="preserve">
7.30.08
International revenue growth was dampened somewhat by a slight decline in traffic in the U.K. along with slower sales momentum in Canada.</t>
        </r>
      </text>
    </comment>
    <comment ref="BS191" authorId="1">
      <text>
        <r>
          <rPr>
            <b/>
            <sz val="8"/>
            <color indexed="81"/>
            <rFont val="Tahoma"/>
            <family val="2"/>
          </rPr>
          <t xml:space="preserve">Jon Tower:
11.10.08
</t>
        </r>
        <r>
          <rPr>
            <sz val="8"/>
            <color indexed="81"/>
            <rFont val="Tahoma"/>
            <family val="2"/>
          </rPr>
          <t>Overall, comparable store sales for the International segment were flat for the fourth quarter, primarily resulting from a decline in traffic in the UK along with continued softer sales in Canada during the period</t>
        </r>
        <r>
          <rPr>
            <b/>
            <sz val="8"/>
            <color indexed="81"/>
            <rFont val="Tahoma"/>
            <family val="2"/>
          </rPr>
          <t xml:space="preserve">
</t>
        </r>
        <r>
          <rPr>
            <sz val="8"/>
            <color indexed="81"/>
            <rFont val="Tahoma"/>
            <family val="2"/>
          </rPr>
          <t xml:space="preserve">
7.30.08
company store SSS will remain stable w/3Q</t>
        </r>
      </text>
    </comment>
    <comment ref="BU191" authorId="10">
      <text>
        <r>
          <rPr>
            <b/>
            <sz val="8"/>
            <color indexed="81"/>
            <rFont val="Tahoma"/>
            <family val="2"/>
          </rPr>
          <t>John Glass:</t>
        </r>
        <r>
          <rPr>
            <sz val="8"/>
            <color indexed="81"/>
            <rFont val="Tahoma"/>
            <family val="2"/>
          </rPr>
          <t xml:space="preserve">
Canada and UK made up 77% in the 1Q09</t>
        </r>
      </text>
    </comment>
    <comment ref="BV191" authorId="1">
      <text>
        <r>
          <rPr>
            <b/>
            <sz val="8"/>
            <color indexed="81"/>
            <rFont val="Tahoma"/>
            <family val="2"/>
          </rPr>
          <t>Jon Tower:</t>
        </r>
        <r>
          <rPr>
            <sz val="8"/>
            <color indexed="81"/>
            <rFont val="Tahoma"/>
            <family val="2"/>
          </rPr>
          <t xml:space="preserve">
4.29.09
The UK and Canadian markets reported negative comparable store sales for the quarter. 
</t>
        </r>
      </text>
    </comment>
    <comment ref="BW191" authorId="1">
      <text>
        <r>
          <rPr>
            <b/>
            <sz val="8"/>
            <color indexed="81"/>
            <rFont val="Tahoma"/>
            <family val="2"/>
          </rPr>
          <t>Jon Tower:</t>
        </r>
        <r>
          <rPr>
            <sz val="8"/>
            <color indexed="81"/>
            <rFont val="Tahoma"/>
            <family val="2"/>
          </rPr>
          <t xml:space="preserve">
7.21.09
Also contributing to the decrease in International revenues was a two percent decline in comparable store sales, due to a one percent decline in the number of transactions and a two percent decrease in the average value per transaction.</t>
        </r>
      </text>
    </comment>
    <comment ref="BX191" authorId="1">
      <text>
        <r>
          <rPr>
            <b/>
            <sz val="8"/>
            <color indexed="81"/>
            <rFont val="Tahoma"/>
            <family val="2"/>
          </rPr>
          <t>Jon Tower:</t>
        </r>
        <r>
          <rPr>
            <sz val="8"/>
            <color indexed="81"/>
            <rFont val="Tahoma"/>
            <family val="2"/>
          </rPr>
          <t xml:space="preserve">
11.5.09
'With same-store sales in both our U.S. and international businesses stronger as we exited the fourth quarter than when we entered it.'
'We are particularly pleased with the ongoing strength of our business in China, which has continued to deliver positive same-store sales growth and improved profitability throughout this difficult economic period. We continue to see significant opportunities for store growth in Greater China, which we believe will ultimately be our largest market outside of the U.S.
The two percentage point improvement from the third quarter was largely driven by the UK and
Canada, our two largest company operated markets outside the U.S. Importantly, the UK market
reported positive comparable store sales growth in the quarter. Similar to the U.S, we’ve seen UK
customer satisfaction scores increase as we’ve refreshed a significant number of stores and
improved the in-store experience through a relentless focus on operational excellence</t>
        </r>
      </text>
    </comment>
    <comment ref="BZ191" authorId="1">
      <text>
        <r>
          <rPr>
            <b/>
            <sz val="8"/>
            <color indexed="81"/>
            <rFont val="Tahoma"/>
            <family val="2"/>
          </rPr>
          <t>Jon Tower:</t>
        </r>
        <r>
          <rPr>
            <sz val="8"/>
            <color indexed="81"/>
            <rFont val="Tahoma"/>
            <family val="2"/>
          </rPr>
          <t xml:space="preserve">
1.20.10
the effect of consolidating our previous joint venture operations in France, and to a 4% increase in comparable store sales. The increase in comparable store sales consisted entirely of a 4% increase in the number of transactions. 
</t>
        </r>
      </text>
    </comment>
    <comment ref="CB191" authorId="1">
      <text>
        <r>
          <rPr>
            <b/>
            <sz val="8"/>
            <color indexed="81"/>
            <rFont val="Tahoma"/>
            <family val="2"/>
          </rPr>
          <t xml:space="preserve">Jon Tower:
</t>
        </r>
        <r>
          <rPr>
            <sz val="8"/>
            <color indexed="81"/>
            <rFont val="Tahoma"/>
            <family val="2"/>
          </rPr>
          <t>7.21.10
--
With regard to China we continued to deliver strong results in China as the team delivered double-digit comps for the quarter and are on track to maintain that momentum and to deliver solid profitability this FY
---
We are particularly excited about the positive comps in Germany and France, two countries where we are working to improve the business mode
---
Let me put that in perspective for you by sharing that two months into the retail launch of VIA in Japan we have far exceeded our internal sales targets – for the entire year
o VIA helped lift comps in Japan in positive territory and improve the trajectory of our retail business of Japan overall, providing further evidence of the success of our unique new business model I described earlier</t>
        </r>
      </text>
    </comment>
    <comment ref="CF191" authorId="1">
      <text>
        <r>
          <rPr>
            <b/>
            <sz val="8"/>
            <color indexed="81"/>
            <rFont val="Tahoma"/>
            <family val="2"/>
          </rPr>
          <t xml:space="preserve">Jon Tower:
4.27.11
</t>
        </r>
        <r>
          <rPr>
            <sz val="8"/>
            <color indexed="81"/>
            <rFont val="Tahoma"/>
            <family val="2"/>
          </rPr>
          <t xml:space="preserve">Comparable store sales increased 7%, driven by a 6% increase in traffic and a 1% increase in average ticket 
U.S. comparable store sales increased 7%, driven by a 6% increase in traffic and a 1% increase in average ticket 
International comparable store sales increased 4%, driven by an increase in traffic 
</t>
        </r>
        <r>
          <rPr>
            <b/>
            <sz val="8"/>
            <color indexed="81"/>
            <rFont val="Tahoma"/>
            <family val="2"/>
          </rPr>
          <t xml:space="preserve">
</t>
        </r>
        <r>
          <rPr>
            <sz val="8"/>
            <color indexed="81"/>
            <rFont val="Tahoma"/>
            <family val="2"/>
          </rPr>
          <t xml:space="preserve">
3.29.11
</t>
        </r>
        <r>
          <rPr>
            <b/>
            <sz val="8"/>
            <color indexed="81"/>
            <rFont val="Tahoma"/>
            <family val="2"/>
          </rPr>
          <t>Finally as I mentioned just a moment ago, the underlying trends in the business aside from these very unusual events in the quarter remain very, very strong.</t>
        </r>
        <r>
          <rPr>
            <sz val="8"/>
            <color indexed="81"/>
            <rFont val="Tahoma"/>
            <family val="2"/>
          </rPr>
          <t xml:space="preserve">
</t>
        </r>
      </text>
    </comment>
    <comment ref="CG191" authorId="1">
      <text>
        <r>
          <rPr>
            <b/>
            <sz val="8"/>
            <color indexed="81"/>
            <rFont val="Tahoma"/>
            <family val="2"/>
          </rPr>
          <t>Jon Tower:</t>
        </r>
        <r>
          <rPr>
            <sz val="8"/>
            <color indexed="81"/>
            <rFont val="Tahoma"/>
            <family val="2"/>
          </rPr>
          <t xml:space="preserve">
7.28.11
China SSS were north of 30%</t>
        </r>
      </text>
    </comment>
    <comment ref="CI191" authorId="1">
      <text>
        <r>
          <rPr>
            <b/>
            <sz val="8"/>
            <color indexed="81"/>
            <rFont val="Tahoma"/>
            <family val="2"/>
          </rPr>
          <t xml:space="preserve">Jon Tower:
7.28.11
</t>
        </r>
        <r>
          <rPr>
            <sz val="8"/>
            <color indexed="81"/>
            <rFont val="Tahoma"/>
            <family val="2"/>
          </rPr>
          <t xml:space="preserve">The company is now targeting fiscal 2011 revenue growth of approximately 10% on a comparable 52-week basis, driven by </t>
        </r>
        <r>
          <rPr>
            <b/>
            <sz val="8"/>
            <color indexed="81"/>
            <rFont val="Tahoma"/>
            <family val="2"/>
          </rPr>
          <t xml:space="preserve">comparable store sales growth at the high end of its target range of 3% to 7%
4.27.11
driven by mid single-digit comparable store sales growth
</t>
        </r>
        <r>
          <rPr>
            <sz val="8"/>
            <color indexed="81"/>
            <rFont val="Tahoma"/>
            <family val="2"/>
          </rPr>
          <t xml:space="preserve">
7.21.10
FY11 - The company is targeting mid- to high-single-digit revenue growth, driven by low- to mid-single-digit comparable store sales growth.</t>
        </r>
      </text>
    </comment>
    <comment ref="BD194" authorId="17">
      <text>
        <r>
          <rPr>
            <b/>
            <sz val="8"/>
            <color indexed="81"/>
            <rFont val="Tahoma"/>
            <family val="2"/>
          </rPr>
          <t>towerj:</t>
        </r>
        <r>
          <rPr>
            <sz val="8"/>
            <color indexed="81"/>
            <rFont val="Tahoma"/>
            <family val="2"/>
          </rPr>
          <t xml:space="preserve">
7.29.05 - expects comparable store sales growth to be at the high end of its
        three percent to seven percent target range for the remainder
        of fiscal 2005, with monthly anomalies</t>
        </r>
      </text>
    </comment>
    <comment ref="BJ194" authorId="17">
      <text>
        <r>
          <rPr>
            <b/>
            <sz val="8"/>
            <color indexed="81"/>
            <rFont val="Tahoma"/>
            <family val="2"/>
          </rPr>
          <t>towerj:</t>
        </r>
        <r>
          <rPr>
            <sz val="8"/>
            <color indexed="81"/>
            <rFont val="Tahoma"/>
            <family val="2"/>
          </rPr>
          <t xml:space="preserve">
7.29.05    3-7%</t>
        </r>
      </text>
    </comment>
    <comment ref="BX194" authorId="1">
      <text>
        <r>
          <rPr>
            <b/>
            <sz val="8"/>
            <color indexed="81"/>
            <rFont val="Tahoma"/>
            <family val="2"/>
          </rPr>
          <t>Jon Tower:</t>
        </r>
        <r>
          <rPr>
            <sz val="8"/>
            <color indexed="81"/>
            <rFont val="Tahoma"/>
            <family val="2"/>
          </rPr>
          <t xml:space="preserve">
</t>
        </r>
      </text>
    </comment>
    <comment ref="CB194" authorId="1">
      <text>
        <r>
          <rPr>
            <b/>
            <sz val="8"/>
            <color indexed="81"/>
            <rFont val="Tahoma"/>
            <family val="2"/>
          </rPr>
          <t>Jon Tower:</t>
        </r>
        <r>
          <rPr>
            <sz val="8"/>
            <color indexed="81"/>
            <rFont val="Tahoma"/>
            <family val="2"/>
          </rPr>
          <t xml:space="preserve">
7.21.10
Despite the demands of increased store traffic, every single customer metric showed improvement in Q3, continuing the trend that begun in 2008
----
In Q3 we took our initial step in offering these capabilities by launching our new mobile
payment application, allowing customers at Starbucks stores in more than 1,000 Target
stores and a small number of company operated stores in Seattle and Silicon Valley to pay
for their purchases with their smartphones</t>
        </r>
      </text>
    </comment>
    <comment ref="CD194" authorId="1">
      <text>
        <r>
          <rPr>
            <b/>
            <sz val="8"/>
            <color indexed="81"/>
            <rFont val="Tahoma"/>
            <family val="2"/>
          </rPr>
          <t>Jon Tower:</t>
        </r>
        <r>
          <rPr>
            <sz val="8"/>
            <color indexed="81"/>
            <rFont val="Tahoma"/>
            <family val="2"/>
          </rPr>
          <t xml:space="preserve">
4.21.10
The company is now targeting mid-single-digit revenue growth over the comparable 52-week period, and high-single-digit revenue growth with the inclusion of a 53rd week, driven by mid-single-digit comparable store sales growth</t>
        </r>
      </text>
    </comment>
    <comment ref="CF194" authorId="1">
      <text>
        <r>
          <rPr>
            <b/>
            <sz val="8"/>
            <color indexed="81"/>
            <rFont val="Tahoma"/>
            <family val="2"/>
          </rPr>
          <t xml:space="preserve">Jon Tower:
4.27.11
</t>
        </r>
        <r>
          <rPr>
            <sz val="8"/>
            <color indexed="81"/>
            <rFont val="Tahoma"/>
            <family val="2"/>
          </rPr>
          <t xml:space="preserve">Comparable store sales increased 7%, driven by a 6% increase in traffic and a 1% increase in average ticket 
U.S. comparable store sales increased 7%, driven by a 6% increase in traffic and a 1% increase in average ticket 
International comparable store sales increased 4%, driven by an increase in traffic 
</t>
        </r>
        <r>
          <rPr>
            <b/>
            <sz val="8"/>
            <color indexed="81"/>
            <rFont val="Tahoma"/>
            <family val="2"/>
          </rPr>
          <t xml:space="preserve">
</t>
        </r>
        <r>
          <rPr>
            <sz val="8"/>
            <color indexed="81"/>
            <rFont val="Tahoma"/>
            <family val="2"/>
          </rPr>
          <t xml:space="preserve">
3.29.11
</t>
        </r>
        <r>
          <rPr>
            <b/>
            <sz val="8"/>
            <color indexed="81"/>
            <rFont val="Tahoma"/>
            <family val="2"/>
          </rPr>
          <t>Finally as I mentioned just a moment ago, the underlying trends in the business aside from these very unusual events in the quarter remain very, very strong.</t>
        </r>
        <r>
          <rPr>
            <sz val="8"/>
            <color indexed="81"/>
            <rFont val="Tahoma"/>
            <family val="2"/>
          </rPr>
          <t xml:space="preserve">
</t>
        </r>
      </text>
    </comment>
    <comment ref="CI194" authorId="1">
      <text>
        <r>
          <rPr>
            <b/>
            <sz val="8"/>
            <color indexed="81"/>
            <rFont val="Tahoma"/>
            <family val="2"/>
          </rPr>
          <t xml:space="preserve">Jon Tower:
7.28.11
</t>
        </r>
        <r>
          <rPr>
            <sz val="8"/>
            <color indexed="81"/>
            <rFont val="Tahoma"/>
            <family val="2"/>
          </rPr>
          <t xml:space="preserve">The company is now targeting fiscal 2011 revenue growth of approximately 10% on a comparable 52-week basis, driven by </t>
        </r>
        <r>
          <rPr>
            <b/>
            <sz val="8"/>
            <color indexed="81"/>
            <rFont val="Tahoma"/>
            <family val="2"/>
          </rPr>
          <t>comparable store sales growth at the high end of its target range of 3% to 7%
4.27.11
driven by mid single-digit comparable store sales growth
11.4.10 REIT</t>
        </r>
        <r>
          <rPr>
            <sz val="8"/>
            <color indexed="81"/>
            <rFont val="Tahoma"/>
            <family val="2"/>
          </rPr>
          <t xml:space="preserve">
The company is targeting mid-to-high single-digit revenue growth based on a 52-week comparable year, driven by low-to-mid single-digit comparable store sales growth.</t>
        </r>
        <r>
          <rPr>
            <b/>
            <sz val="8"/>
            <color indexed="81"/>
            <rFont val="Tahoma"/>
            <family val="2"/>
          </rPr>
          <t xml:space="preserve">
7.21.10
</t>
        </r>
        <r>
          <rPr>
            <sz val="8"/>
            <color indexed="81"/>
            <rFont val="Tahoma"/>
            <family val="2"/>
          </rPr>
          <t>The company is targeting mid- to high-single-digit revenue growth, driven by low- to mid-single-digit comparable store sales growth.</t>
        </r>
        <r>
          <rPr>
            <b/>
            <sz val="8"/>
            <color indexed="81"/>
            <rFont val="Tahoma"/>
            <family val="2"/>
          </rPr>
          <t xml:space="preserve">
</t>
        </r>
        <r>
          <rPr>
            <sz val="8"/>
            <color indexed="81"/>
            <rFont val="Tahoma"/>
            <family val="2"/>
          </rPr>
          <t xml:space="preserve">
4.30.08
slightly over 10% in FY09, but lower in '10, '11</t>
        </r>
      </text>
    </comment>
    <comment ref="AT195" authorId="16">
      <text>
        <r>
          <rPr>
            <sz val="8"/>
            <color indexed="81"/>
            <rFont val="Tahoma"/>
            <family val="2"/>
          </rPr>
          <t>"amlost entirely" transaction</t>
        </r>
      </text>
    </comment>
    <comment ref="BQ202" authorId="1">
      <text>
        <r>
          <rPr>
            <b/>
            <sz val="8"/>
            <color indexed="81"/>
            <rFont val="Tahoma"/>
            <family val="2"/>
          </rPr>
          <t>Jon Tower:</t>
        </r>
        <r>
          <rPr>
            <sz val="8"/>
            <color indexed="81"/>
            <rFont val="Tahoma"/>
            <family val="2"/>
          </rPr>
          <t xml:space="preserve">
1.30.08 -- pulling warming breakfast program from US stores by CY End '08 --- 
currently in 4,000 stores, average $35K/store in sales</t>
        </r>
      </text>
    </comment>
    <comment ref="BR202" authorId="1">
      <text>
        <r>
          <rPr>
            <b/>
            <sz val="8"/>
            <color indexed="81"/>
            <rFont val="Tahoma"/>
            <family val="2"/>
          </rPr>
          <t>Jon Tower:</t>
        </r>
        <r>
          <rPr>
            <sz val="8"/>
            <color indexed="81"/>
            <rFont val="Tahoma"/>
            <family val="2"/>
          </rPr>
          <t xml:space="preserve">
1.30.08 -- pulling warming breakfast program from US stores by CY End '08 --- 
currently in 4,000 stores, average $35K/store in sales</t>
        </r>
      </text>
    </comment>
    <comment ref="BS202" authorId="1">
      <text>
        <r>
          <rPr>
            <b/>
            <sz val="8"/>
            <color indexed="81"/>
            <rFont val="Tahoma"/>
            <family val="2"/>
          </rPr>
          <t>glassj:</t>
        </r>
        <r>
          <rPr>
            <sz val="8"/>
            <color indexed="81"/>
            <rFont val="Tahoma"/>
            <family val="2"/>
          </rPr>
          <t xml:space="preserve">
US represents 86%, Intl 14%
Retail breakdown: 
78% beverages, 12% food, 5% whole bean, 5% merchandise</t>
        </r>
      </text>
    </comment>
    <comment ref="BT202" authorId="1">
      <text>
        <r>
          <rPr>
            <b/>
            <sz val="8"/>
            <color indexed="81"/>
            <rFont val="Tahoma"/>
            <family val="2"/>
          </rPr>
          <t>Jon Tower:</t>
        </r>
        <r>
          <rPr>
            <sz val="8"/>
            <color indexed="81"/>
            <rFont val="Tahoma"/>
            <family val="2"/>
          </rPr>
          <t xml:space="preserve">
1.30.08 -- pulling warming breakfast program from US stores by CY End '08 --- 
currently in 4,000 stores, average $35K/store in sales</t>
        </r>
      </text>
    </comment>
    <comment ref="BU202" authorId="1">
      <text>
        <r>
          <rPr>
            <b/>
            <sz val="8"/>
            <color indexed="81"/>
            <rFont val="Tahoma"/>
            <family val="2"/>
          </rPr>
          <t>Jon Tower:</t>
        </r>
        <r>
          <rPr>
            <sz val="8"/>
            <color indexed="81"/>
            <rFont val="Tahoma"/>
            <family val="2"/>
          </rPr>
          <t xml:space="preserve">
1.30.08 -- pulling warming breakfast program from US stores by CY End '08 --- 
currently in 4,000 stores, average $35K/store in sales</t>
        </r>
      </text>
    </comment>
  </commentList>
</comments>
</file>

<file path=xl/comments2.xml><?xml version="1.0" encoding="utf-8"?>
<comments xmlns="http://schemas.openxmlformats.org/spreadsheetml/2006/main">
  <authors>
    <author>Jake Bartlett</author>
    <author>Bartlett, Jake (Research)</author>
    <author>O'Brien, Courtney (Research)</author>
    <author>Jon Tower</author>
    <author>mendirat</author>
    <author>John Glass</author>
    <author>Scott, Brian (Research)</author>
  </authors>
  <commentList>
    <comment ref="CS9" authorId="0">
      <text>
        <r>
          <rPr>
            <b/>
            <sz val="8"/>
            <color indexed="81"/>
            <rFont val="Tahoma"/>
            <family val="2"/>
          </rPr>
          <t xml:space="preserve">2013 10K
</t>
        </r>
        <r>
          <rPr>
            <sz val="8"/>
            <color indexed="81"/>
            <rFont val="Tahoma"/>
            <family val="2"/>
          </rPr>
          <t xml:space="preserve">$994.4M of cash held in foreign subsidiaries. Of this $527.4M is demominated in USD. </t>
        </r>
        <r>
          <rPr>
            <sz val="8"/>
            <color indexed="81"/>
            <rFont val="Tahoma"/>
            <family val="2"/>
          </rPr>
          <t xml:space="preserve">
</t>
        </r>
      </text>
    </comment>
    <comment ref="CV9" authorId="1">
      <text>
        <r>
          <rPr>
            <b/>
            <sz val="9"/>
            <color indexed="81"/>
            <rFont val="Tahoma"/>
            <family val="2"/>
          </rPr>
          <t xml:space="preserve">F3Q4 10Q:
</t>
        </r>
        <r>
          <rPr>
            <sz val="9"/>
            <color indexed="81"/>
            <rFont val="Tahoma"/>
            <family val="2"/>
          </rPr>
          <t xml:space="preserve">Approximately $1.3B of cash and equiv. held in foreign subsidiaries.
</t>
        </r>
      </text>
    </comment>
    <comment ref="CW9" authorId="2">
      <text>
        <r>
          <rPr>
            <b/>
            <sz val="9"/>
            <color indexed="81"/>
            <rFont val="Tahoma"/>
            <family val="2"/>
          </rPr>
          <t>O'Brien, Courtney (Research):</t>
        </r>
        <r>
          <rPr>
            <sz val="9"/>
            <color indexed="81"/>
            <rFont val="Tahoma"/>
            <family val="2"/>
          </rPr>
          <t xml:space="preserve">
9.21.14
Announce acquisition of Japanese JV for $913.5M via 2 tenders, to be financed with overseas cash
</t>
        </r>
      </text>
    </comment>
    <comment ref="BY35" authorId="3">
      <text>
        <r>
          <rPr>
            <b/>
            <sz val="8"/>
            <color indexed="81"/>
            <rFont val="Tahoma"/>
            <family val="2"/>
          </rPr>
          <t>Jon Tower:</t>
        </r>
        <r>
          <rPr>
            <sz val="8"/>
            <color indexed="81"/>
            <rFont val="Tahoma"/>
            <family val="2"/>
          </rPr>
          <t xml:space="preserve">
from FY08 10K
a result, the Company expects to decrease short-term borrowings in fiscal 2009</t>
        </r>
      </text>
    </comment>
    <comment ref="CP45" authorId="4">
      <text>
        <r>
          <rPr>
            <b/>
            <sz val="8"/>
            <color indexed="81"/>
            <rFont val="Tahoma"/>
            <family val="2"/>
          </rPr>
          <t xml:space="preserve">Sushama Dasari:
2.8.13
</t>
        </r>
        <r>
          <rPr>
            <sz val="8"/>
            <color indexed="81"/>
            <rFont val="Tahoma"/>
            <family val="2"/>
          </rPr>
          <t>Renewed unsecured revolving credit facility.
New revolver:
Matures Feb 5, 2018
Up to $1.5B
Lower rate
Old revolver:
matures Nov 17, 2014
Up to $1B</t>
        </r>
        <r>
          <rPr>
            <sz val="8"/>
            <color indexed="81"/>
            <rFont val="Tahoma"/>
            <family val="2"/>
          </rPr>
          <t xml:space="preserve">
</t>
        </r>
      </text>
    </comment>
    <comment ref="CQ45" authorId="0">
      <text>
        <r>
          <rPr>
            <b/>
            <sz val="8"/>
            <color indexed="81"/>
            <rFont val="Tahoma"/>
            <family val="2"/>
          </rPr>
          <t xml:space="preserve">7.25.13:
</t>
        </r>
        <r>
          <rPr>
            <sz val="8"/>
            <color indexed="81"/>
            <rFont val="Tahoma"/>
            <family val="2"/>
          </rPr>
          <t>Our previous $500 million unsecured, revolving credit facility (the “2010 credit facility”) was set to mature November 2014. In the second quarter of fiscal 2013, we replaced the 2010 credit facility with a new $750 million unsecured, revolving credit facility (the “2013 credit facility”) with various banks, of which $150 million may be used for issuances of letters of credit.
The 2013 credit facility is available for working capital, capital expenditures and other corporate purposes, including acquisitions and share repurchases, and is currently set to mature on February 5, 2018. Starbucks has the option, subject to negotiation and agreement with the related banks, to increase the maximum commitment amount by an additional $750 million. Borrowings under the 2013 credit facility will bear interest at a variable rate based on LIBOR, and, for US dollar-denominated loans under certain circumstances, a Base Rate (as defined in the 2013 credit facility), in each case plus an applicable margin. The applicable margin is based on the better of (i) the Company's long-term credit ratings assigned by Moody's and Standard &amp; Poor's rating agencies, and (ii) the Company's fixed charge coverage ratio, pursuant to a pricing grid set forth in the 2013 credit facility. The current applicable margin is 0.795% for Eurocurrency Rate Loans and 0.00% for Base Rate Loans. As with the 2010 credit facility, the 2013 credit facility contains provisions requiring us to maintain compliance with certain covenants, including a minimum fixed charge coverage ratio, which measures our ability to cover financing expenses. As of June 30, 2013, we were in compliance with each of these covenants.
The indenture under which our $550 million of 10-year 6.25% Senior Notes were issued also requires us to maintain compliance with certain covenants, including limits on future liens and sale and leaseback transactions on certain material properties. As of June 30, 2013, we were in compliance with each of these covenants.
We anticipate issuing $750 million in additional long-term debt in 2013 to provide us with financial flexibility for general corporate purposes. As discussed further in Note 3 to the condensed consolidated financial statements included in Item 1 of Part I of this 10-Q, during the third quarter of fiscal 2013, we entered into forward-starting interest rate swap agreements to hedge the variability in cash flows due to changes in the benchmark interest rate related to this expected debt issuance.</t>
        </r>
        <r>
          <rPr>
            <b/>
            <sz val="8"/>
            <color indexed="81"/>
            <rFont val="Tahoma"/>
            <family val="2"/>
          </rPr>
          <t xml:space="preserve">
</t>
        </r>
        <r>
          <rPr>
            <sz val="8"/>
            <color indexed="81"/>
            <rFont val="Tahoma"/>
            <family val="2"/>
          </rPr>
          <t xml:space="preserve">
</t>
        </r>
      </text>
    </comment>
    <comment ref="CR45" authorId="5">
      <text>
        <r>
          <rPr>
            <b/>
            <sz val="8"/>
            <color indexed="81"/>
            <rFont val="Tahoma"/>
            <family val="2"/>
          </rPr>
          <t>John Glass:</t>
        </r>
        <r>
          <rPr>
            <sz val="8"/>
            <color indexed="81"/>
            <rFont val="Tahoma"/>
            <family val="2"/>
          </rPr>
          <t xml:space="preserve">
sept 13 - added $750 M 10 yr 3.85% senior notes </t>
        </r>
      </text>
    </comment>
    <comment ref="CS45" authorId="4">
      <text>
        <r>
          <rPr>
            <b/>
            <sz val="8"/>
            <color indexed="81"/>
            <rFont val="Tahoma"/>
            <family val="2"/>
          </rPr>
          <t xml:space="preserve">Sushama Dasari:
3.4.13
</t>
        </r>
        <r>
          <rPr>
            <sz val="8"/>
            <color indexed="81"/>
            <rFont val="Tahoma"/>
            <family val="2"/>
          </rPr>
          <t>Considering taking on "moderate" debt for dividend and share repurchase, as feel underleveraged (although don't need cash)</t>
        </r>
        <r>
          <rPr>
            <b/>
            <sz val="8"/>
            <color indexed="81"/>
            <rFont val="Tahoma"/>
            <family val="2"/>
          </rPr>
          <t xml:space="preserve">
</t>
        </r>
        <r>
          <rPr>
            <sz val="8"/>
            <color indexed="81"/>
            <rFont val="Tahoma"/>
            <family val="2"/>
          </rPr>
          <t xml:space="preserve">
</t>
        </r>
      </text>
    </comment>
    <comment ref="CW101" authorId="2">
      <text>
        <r>
          <rPr>
            <b/>
            <sz val="9"/>
            <color indexed="81"/>
            <rFont val="Tahoma"/>
            <family val="2"/>
          </rPr>
          <t>O'Brien, Courtney (Research):
8.15</t>
        </r>
        <r>
          <rPr>
            <sz val="9"/>
            <color indexed="81"/>
            <rFont val="Tahoma"/>
            <family val="2"/>
          </rPr>
          <t xml:space="preserve">
redeemed beginning in 3q, finished in 4q
</t>
        </r>
      </text>
    </comment>
    <comment ref="CR102" authorId="0">
      <text>
        <r>
          <rPr>
            <b/>
            <sz val="8"/>
            <color indexed="81"/>
            <rFont val="Tahoma"/>
            <family val="2"/>
          </rPr>
          <t>Jake Bartlett:</t>
        </r>
        <r>
          <rPr>
            <sz val="8"/>
            <color indexed="81"/>
            <rFont val="Tahoma"/>
            <family val="2"/>
          </rPr>
          <t xml:space="preserve">
Issued in September '13. Swap locks effective interest rate at 2.86%</t>
        </r>
      </text>
    </comment>
    <comment ref="CT103" authorId="0">
      <text>
        <r>
          <rPr>
            <b/>
            <sz val="8"/>
            <color indexed="81"/>
            <rFont val="Tahoma"/>
            <family val="2"/>
          </rPr>
          <t xml:space="preserve">12.02.13:
</t>
        </r>
        <r>
          <rPr>
            <sz val="8"/>
            <color indexed="81"/>
            <rFont val="Tahoma"/>
            <family val="2"/>
          </rPr>
          <t>Priced 12.2.13</t>
        </r>
        <r>
          <rPr>
            <sz val="8"/>
            <color indexed="81"/>
            <rFont val="Tahoma"/>
            <family val="2"/>
          </rPr>
          <t xml:space="preserve">
</t>
        </r>
      </text>
    </comment>
    <comment ref="CT104" authorId="0">
      <text>
        <r>
          <rPr>
            <b/>
            <sz val="8"/>
            <color indexed="81"/>
            <rFont val="Tahoma"/>
            <family val="2"/>
          </rPr>
          <t xml:space="preserve">12.02.13:
</t>
        </r>
        <r>
          <rPr>
            <sz val="8"/>
            <color indexed="81"/>
            <rFont val="Tahoma"/>
            <family val="2"/>
          </rPr>
          <t>Priced 12.2.13</t>
        </r>
        <r>
          <rPr>
            <sz val="8"/>
            <color indexed="81"/>
            <rFont val="Tahoma"/>
            <family val="2"/>
          </rPr>
          <t xml:space="preserve">
</t>
        </r>
      </text>
    </comment>
    <comment ref="A108" authorId="0">
      <text>
        <r>
          <rPr>
            <b/>
            <sz val="8"/>
            <color indexed="81"/>
            <rFont val="Tahoma"/>
            <family val="2"/>
          </rPr>
          <t>Jake Bartlett:</t>
        </r>
        <r>
          <rPr>
            <sz val="8"/>
            <color indexed="81"/>
            <rFont val="Tahoma"/>
            <family val="2"/>
          </rPr>
          <t xml:space="preserve">
Option to increase by $750M. Line back stops commercial paper program</t>
        </r>
      </text>
    </comment>
    <comment ref="DI126" authorId="6">
      <text>
        <r>
          <rPr>
            <b/>
            <sz val="9"/>
            <color indexed="81"/>
            <rFont val="Tahoma"/>
            <family val="2"/>
          </rPr>
          <t>Scott, Brian (Research):</t>
        </r>
        <r>
          <rPr>
            <sz val="9"/>
            <color indexed="81"/>
            <rFont val="Tahoma"/>
            <family val="2"/>
          </rPr>
          <t xml:space="preserve">
Debt paid off in Dec 16</t>
        </r>
      </text>
    </comment>
  </commentList>
</comments>
</file>

<file path=xl/comments3.xml><?xml version="1.0" encoding="utf-8"?>
<comments xmlns="http://schemas.openxmlformats.org/spreadsheetml/2006/main">
  <authors>
    <author>pathaman</author>
    <author>O'Brien, Courtney (Research)</author>
    <author>Jake Bartlett</author>
    <author>John Glass</author>
    <author>Carril, Christopher E (Research)</author>
    <author>Jon Tower</author>
    <author>parmes</author>
  </authors>
  <commentList>
    <comment ref="AE10" authorId="0">
      <text>
        <r>
          <rPr>
            <sz val="8"/>
            <color indexed="81"/>
            <rFont val="Tahoma"/>
            <family val="2"/>
          </rPr>
          <t xml:space="preserve">Includes loss from internet-related businesses of $58.792 million
</t>
        </r>
      </text>
    </comment>
    <comment ref="AL10" authorId="0">
      <text>
        <r>
          <rPr>
            <sz val="8"/>
            <color indexed="81"/>
            <rFont val="Tahoma"/>
            <family val="2"/>
          </rPr>
          <t xml:space="preserve">added back the after tax gain on sale of investment
</t>
        </r>
      </text>
    </comment>
    <comment ref="A12" authorId="0">
      <text>
        <r>
          <rPr>
            <b/>
            <sz val="8"/>
            <color indexed="81"/>
            <rFont val="Tahoma"/>
            <family val="2"/>
          </rPr>
          <t xml:space="preserve">C/F D&amp;A is greaterthan on I/S, for the following reason: </t>
        </r>
        <r>
          <rPr>
            <sz val="8"/>
            <color indexed="81"/>
            <rFont val="Tahoma"/>
            <family val="2"/>
          </rPr>
          <t xml:space="preserve">
The portion of depreciation expense related to production and distribution facilities is included in “Cost of sales
including occupancy costs” on the consolidated statements of earnings. The costs of repairs and maintenance are
expensed when incurred, while expenditures for refurbishments and improvements that significantly add to the
productive capacity or extend the useful life of an asset are capitalized. When assets are retired or sold, the asset cost
and related accumulated depreciation are eliminated with any remaining gain or loss reflected in net earnings
</t>
        </r>
      </text>
    </comment>
    <comment ref="DC35" authorId="1">
      <text>
        <r>
          <rPr>
            <b/>
            <sz val="9"/>
            <color indexed="81"/>
            <rFont val="Tahoma"/>
            <family val="2"/>
          </rPr>
          <t>O'Brien, Courtney (Research):</t>
        </r>
        <r>
          <rPr>
            <sz val="9"/>
            <color indexed="81"/>
            <rFont val="Tahoma"/>
            <family val="2"/>
          </rPr>
          <t xml:space="preserve">
stored value card
</t>
        </r>
      </text>
    </comment>
    <comment ref="CT36" authorId="2">
      <text>
        <r>
          <rPr>
            <b/>
            <sz val="8"/>
            <color indexed="81"/>
            <rFont val="Tahoma"/>
            <family val="2"/>
          </rPr>
          <t xml:space="preserve">10Q:
</t>
        </r>
        <r>
          <rPr>
            <sz val="8"/>
            <color indexed="81"/>
            <rFont val="Tahoma"/>
            <family val="2"/>
          </rPr>
          <t>Accrued litigation chg.</t>
        </r>
        <r>
          <rPr>
            <sz val="8"/>
            <color indexed="81"/>
            <rFont val="Tahoma"/>
            <family val="2"/>
          </rPr>
          <t xml:space="preserve">
</t>
        </r>
      </text>
    </comment>
    <comment ref="BT39" authorId="0">
      <text>
        <r>
          <rPr>
            <sz val="8"/>
            <color indexed="81"/>
            <rFont val="Tahoma"/>
            <family val="2"/>
          </rPr>
          <t xml:space="preserve">Jon Tower:
7.1.08
cash charges are expected to result in a net cash outflow of approximately $100 million, net of related income tax benefits
</t>
        </r>
      </text>
    </comment>
    <comment ref="BY39" authorId="0">
      <text>
        <r>
          <rPr>
            <sz val="8"/>
            <color indexed="81"/>
            <rFont val="Tahoma"/>
            <family val="2"/>
          </rPr>
          <t>Jon Tower:
7.21.09
The company continues to expect fiscal year 2009 cash from operations to exceed $1 billion, with resulting free cash flow in excess of $500 million. Starbucks defines free cash flow as cash flow from operations less capital expenditures. 
4.29.09
Capital expenditures for fiscal 2009 remain unchanged, at approximately $600 million. Additionally, as announced in March, Starbucks fiscal year 2009 cash from operations is expected to exceed $1 billion, with resulting free cash flow in excess of $500 million.</t>
        </r>
      </text>
    </comment>
    <comment ref="CD39" authorId="0">
      <text>
        <r>
          <rPr>
            <sz val="8"/>
            <color indexed="81"/>
            <rFont val="Tahoma"/>
            <family val="2"/>
          </rPr>
          <t xml:space="preserve">Jon Tower:
7.21.10
-Troy Alstead -- FCF this year, 2010, that will reach probably in the range of $1.2B based on operating cash flow of about $1.7B. And as I look at 2011 based on the significantly growing earnings model that we’ve put in our initial outlook I would expect those numbers to be at least that level or higher as we move forward.
4.21.10
Starbucks now expects cash flow from operations to be at least $1.5 billion, and free cash flow of more than $1 billion.
1.20.10
Starbucks now expects cash flow from operations to be approximately $1.5 billion, and free cash flow of approximately $1 billion.
11.17.09 - convo w/Troy A. 
   ---includes ~$250M in maintenance capex
also includes invesment in more store ovens, new POS
11.5.09
Starbucks expects cash flow from operations to be approximately $1.4 billion, and free cash flow of approximately $900 million. 
</t>
        </r>
      </text>
    </comment>
    <comment ref="CI39" authorId="0">
      <text>
        <r>
          <rPr>
            <sz val="8"/>
            <color indexed="81"/>
            <rFont val="Tahoma"/>
            <family val="2"/>
          </rPr>
          <t xml:space="preserve">Jon Tower:
7.21.10
-Troy Alstead -- FCF this year, 2010, that will reach probably in the range of $1.2B based on operating cash flow of about $1.7B. And as I look at 2011 based on the significantly growing earnings model that we’ve put in our initial outlook I would expect those numbers to be at least that level or higher as we move forward.
</t>
        </r>
      </text>
    </comment>
    <comment ref="BQ41" authorId="0">
      <text>
        <r>
          <rPr>
            <sz val="8"/>
            <color indexed="81"/>
            <rFont val="Tahoma"/>
            <family val="2"/>
          </rPr>
          <t xml:space="preserve">towerj:
In November 2004, the Company increased its equity ownership from 18% to 100% for its licensed operations in Germany, which used $11 million, net of cash acquired.
</t>
        </r>
      </text>
    </comment>
    <comment ref="CR45" authorId="2">
      <text>
        <r>
          <rPr>
            <b/>
            <sz val="8"/>
            <color indexed="81"/>
            <rFont val="Tahoma"/>
            <family val="2"/>
          </rPr>
          <t>Jake Bartlett:</t>
        </r>
        <r>
          <rPr>
            <sz val="8"/>
            <color indexed="81"/>
            <rFont val="Tahoma"/>
            <family val="2"/>
          </rPr>
          <t xml:space="preserve">
In July 2013, SBUX sold its 82% interest in Starbucks Chile and its 18% interest in Starbucks Argentina to Alsea.</t>
        </r>
      </text>
    </comment>
    <comment ref="CP46" authorId="3">
      <text>
        <r>
          <rPr>
            <b/>
            <sz val="8"/>
            <color indexed="81"/>
            <rFont val="Tahoma"/>
            <family val="2"/>
          </rPr>
          <t>John Glass:</t>
        </r>
        <r>
          <rPr>
            <sz val="8"/>
            <color indexed="81"/>
            <rFont val="Tahoma"/>
            <family val="2"/>
          </rPr>
          <t xml:space="preserve">
Acquired Teavana
2013 10K:
On December 31, 2012, we acquired 100% of the outstanding shares of Teavana Holdings, Inc. (“Teavana”), a specialty retailer of premium loose-leaf teas,
authentic artisanal teawares and other tea-related merchandise, to elevate our tea offerings as well as expand our domestic and global tea footprint . We acquired
Teavana for $615.8 million in cash. Of the total cash paid, $12.2 million was excluded from the purchase price allocation below as it represents contingent
consideration receivable. At closing, we also repaid $35.2 million for long term debt outstanding on Teavana's balance sheet, which was recognized separately
from the business combination.</t>
        </r>
      </text>
    </comment>
    <comment ref="AU50" authorId="0">
      <text>
        <r>
          <rPr>
            <sz val="8"/>
            <color indexed="81"/>
            <rFont val="Tahoma"/>
            <family val="2"/>
          </rPr>
          <t xml:space="preserve">4/24/03 guidance 400-425
7/24/03 $410
</t>
        </r>
      </text>
    </comment>
    <comment ref="AZ50" authorId="0">
      <text>
        <r>
          <rPr>
            <sz val="8"/>
            <color indexed="81"/>
            <rFont val="Tahoma"/>
            <family val="2"/>
          </rPr>
          <t xml:space="preserve">7/24/03 $450-$475
4/21/04 $475 million
7/21/04 $475
Actual: $460, less $47 benefit from currency translation
</t>
        </r>
      </text>
    </comment>
    <comment ref="BE50" authorId="0">
      <text>
        <r>
          <rPr>
            <sz val="8"/>
            <color indexed="81"/>
            <rFont val="Tahoma"/>
            <family val="2"/>
          </rPr>
          <t xml:space="preserve">10/14/04 $650 million
11/10/04 $600 to $650
1.26.05 $600 to $650 million
4.27.05 $600 to $650 million related to related to opening approximately 650 Company−operated stores, remodeling certain existing stores and enhancing its production capacity and information systems.
7.29.05 - at 'low end' of $600 to $650 range.
</t>
        </r>
      </text>
    </comment>
    <comment ref="BJ50" authorId="0">
      <text>
        <r>
          <rPr>
            <sz val="8"/>
            <color indexed="81"/>
            <rFont val="Tahoma"/>
            <family val="2"/>
          </rPr>
          <t xml:space="preserve">towerj:
7.29.05 = $700 to $725
11.17.05 reit 
2.1.06 reit $700-$725 million
5.3.06 $750 to $775 million --- increase due to land &amp; building purchase in Seattle
8.2.06 $800 million
</t>
        </r>
      </text>
    </comment>
    <comment ref="BO50" authorId="0">
      <text>
        <r>
          <rPr>
            <sz val="8"/>
            <color indexed="81"/>
            <rFont val="Tahoma"/>
            <family val="2"/>
          </rPr>
          <t xml:space="preserve">towerj:
8.2.06 $950 mill to $1billion
</t>
        </r>
      </text>
    </comment>
    <comment ref="BT50" authorId="0">
      <text>
        <r>
          <rPr>
            <sz val="8"/>
            <color indexed="81"/>
            <rFont val="Tahoma"/>
            <family val="2"/>
          </rPr>
          <t xml:space="preserve">11.10.08
New stores $787 M (80%) was for stores, with $520 m for new stores, $157 M for remodeling and $80 M in new equipment (espresso machies, et al)
supply chain =$200 M (20%) and IT
7.30.08
$1B
4.30.08
still expected to be approximately $1.1 billion, as the reduction in store opening investment is being offset by investment in the company’s transformation agenda around innovation
1.30.08
lower than $1.1B, but lower store openings will not be completely driving this line -- there will be 'innovation' investments during the year --- more on April 30th
11.15.07
$1.1B
</t>
        </r>
      </text>
    </comment>
    <comment ref="BY50" authorId="0">
      <text>
        <r>
          <rPr>
            <sz val="8"/>
            <color indexed="81"/>
            <rFont val="Tahoma"/>
            <family val="2"/>
          </rPr>
          <t xml:space="preserve">Jon Tower:
7.21.09
Capital expenditure projections for fiscal 2009 are now approximately $550 million.
4.29.09
reit $600M
1.28.09
capex of $600M 
11.10.08
capex of $700M --- 70% (or $490M) allocated to stores, with 1/2 of the $490M for renovations/remodels/new equipment
The remaining 30% (or $210M) is designated for investment in IT systems ad supply chain
7.30.08
capex of $750M in FY09 (reduced store closures in US &amp; INTL)
7.1.08
US company new unit growth now cut to 200 units (previously 250)
closings &amp; less store openings brings capex to ~$760M -- OUR EST.
4.30.08
The company expects capital expenditures of roughly $800 million per year, beginning in fiscal 2009. Of this amount, approximately 70 percent will be for investment in stores.
Open 600 company stores @ $450k each = $270
about $290 m in store based maint capex = $30/store/yr
$230 m for non -store capex (corporate, distribution, roasting
As part of its investment in delivering a world-class in-store experience, Starbucks is planning an aggressive rollout of the Mastrena(TM). By the end of the year, more than 30 percent of U.S. company-operated stores will have the new machine and 75 percent will have the Mastrena(TM) by the end of 2010. Additionally, new international stores will receive the Mastrena(TM) starting in the summer of 2008, and all international stores will complete the Verisimo(R) upgrade by the end of this calendar year
</t>
        </r>
      </text>
    </comment>
    <comment ref="CD50" authorId="0">
      <text>
        <r>
          <rPr>
            <sz val="8"/>
            <color indexed="81"/>
            <rFont val="Tahoma"/>
            <family val="2"/>
          </rPr>
          <t xml:space="preserve">Jon Tower:
7.21.10
Capital expenditures are now expected to be approximately $450 million   for the full year. 
4.21.10
Capital expenditures are expected to be approximately $500 million for the full year
1.20.10
Capital expenditures are expected to be approximately $500 for the full year.
11.5.09
Capital expenditures are expected to be in the range of $500 million to $550 million. Approximately half of this amount will be allocated to renovations and store equipment upgrades, one quarter to systems upgrades, and one quarter to new stores and other capital investments. 
3.09: assumes capex remains ~500 M, or slightly lower than 09 levels after upgrading amchines, etc.
4.30.08
The company expects capital expenditures of roughly $800 million per year, beginning in fiscal 2009. Of this amount, approximately 70 percent will be for investment in stores.
Open 600 company stores @ $450k each = $270
about $290 m in store based maint capex = $30/store/yr
$230 m for non -store capex (corporate, distribution, roasting
</t>
        </r>
      </text>
    </comment>
    <comment ref="CI50" authorId="0">
      <text>
        <r>
          <rPr>
            <sz val="8"/>
            <color indexed="81"/>
            <rFont val="Tahoma"/>
            <family val="2"/>
          </rPr>
          <t xml:space="preserve">Jon Tower:
11.4.10
Capital expenditures are expected to be approximately $550 million to $600 million for the full year.
7.21.10
the company will 'touch' 1,000 US stores in FY11 - includes 10-year refresh &amp; others
7.21.10
Capital expenditures are expected to be approximately $500 million to  $550 million for the full year. 
4.30.08
The company expects capital expenditures of roughly $800 million per year, beginning in fiscal 2009. Of this amount, approximately 70 percent will be for investment in stores.
Open 600 company stores @ $450k each = $270
about $290 m in store based maint capex = $30/store/yr
$230 m for non -store capex (corporate, distribution, roasting
</t>
        </r>
      </text>
    </comment>
    <comment ref="CN50" authorId="0">
      <text>
        <r>
          <rPr>
            <sz val="8"/>
            <color indexed="81"/>
            <rFont val="Tahoma"/>
            <family val="2"/>
          </rPr>
          <t xml:space="preserve">Jon Tower:
11.3.11
Capital expenditures are now expected to be in the range of approximately $800 million to $900 million for the full year, reflecting additional investments in store renovations and in manufacturing capacity.
------------
We will touch, whether it be a minor or a major renovation, 1,700 stores in the U.S. just this year. That's more than we ever have in history. It must be approaching 2,000 or more globally. 
7.28.11
Capital expenditures are expected to be approximately $700 million for the full year.
</t>
        </r>
      </text>
    </comment>
    <comment ref="CS50" authorId="0">
      <text>
        <r>
          <rPr>
            <sz val="8"/>
            <color indexed="81"/>
            <rFont val="Tahoma"/>
            <family val="2"/>
          </rPr>
          <t xml:space="preserve">4.25.13
Reaffirmed $1.2B capex
1.24.13
Reaffirmed $1.2B capex
12.5.12
Confirmed $1.2B capital expenditures in FY13, broken down as:
24% new stores
17% renovations
39% supply chains
20% other
11.1.2012
Capital expenditures are now expected to be approximately $1.2 billion for the full year, reflecting the increase in new
store growth and an increase in production capacity to support recently-announced initiatives.
7.26.2012
FY13 capital expenditures are expected to be approximately $1 billion for the full year, with the 11% increase over FY12 spending attributable to both new store growth, and an increase in production capacity to support recently-announced initiatives.
</t>
        </r>
      </text>
    </comment>
    <comment ref="CX50" authorId="2">
      <text>
        <r>
          <rPr>
            <b/>
            <sz val="8"/>
            <color indexed="81"/>
            <rFont val="Tahoma"/>
            <family val="2"/>
          </rPr>
          <t xml:space="preserve">
7.24.14:
</t>
        </r>
        <r>
          <rPr>
            <sz val="8"/>
            <color indexed="81"/>
            <rFont val="Tahoma"/>
            <family val="2"/>
          </rPr>
          <t>Reiterate: $1.2B Guidance</t>
        </r>
        <r>
          <rPr>
            <b/>
            <sz val="8"/>
            <color indexed="81"/>
            <rFont val="Tahoma"/>
            <family val="2"/>
          </rPr>
          <t xml:space="preserve">
4.24.14:
</t>
        </r>
        <r>
          <rPr>
            <sz val="8"/>
            <color indexed="81"/>
            <rFont val="Tahoma"/>
            <family val="2"/>
          </rPr>
          <t xml:space="preserve">Reiterate: $1.2B Guidance
</t>
        </r>
        <r>
          <rPr>
            <b/>
            <sz val="8"/>
            <color indexed="81"/>
            <rFont val="Tahoma"/>
            <family val="2"/>
          </rPr>
          <t xml:space="preserve">
10.30.13:</t>
        </r>
        <r>
          <rPr>
            <sz val="8"/>
            <color indexed="81"/>
            <rFont val="Tahoma"/>
            <family val="2"/>
          </rPr>
          <t xml:space="preserve">
$1.2B guidance</t>
        </r>
        <r>
          <rPr>
            <sz val="8"/>
            <color indexed="81"/>
            <rFont val="Tahoma"/>
            <family val="2"/>
          </rPr>
          <t xml:space="preserve">
</t>
        </r>
      </text>
    </comment>
    <comment ref="DC50" authorId="1">
      <text>
        <r>
          <rPr>
            <sz val="9"/>
            <color indexed="81"/>
            <rFont val="Tahoma"/>
            <family val="2"/>
          </rPr>
          <t>7.22.15 $1.3bn
10.30.14
 $1.4bn
driven  by store investmenets (mobile order and pay, evening programs)
2/3 store related initiatives</t>
        </r>
      </text>
    </comment>
    <comment ref="DH50" authorId="1">
      <text>
        <r>
          <rPr>
            <b/>
            <sz val="9"/>
            <color indexed="81"/>
            <rFont val="Tahoma"/>
            <family val="2"/>
          </rPr>
          <t xml:space="preserve">7.21.2016
</t>
        </r>
        <r>
          <rPr>
            <sz val="9"/>
            <color indexed="81"/>
            <rFont val="Tahoma"/>
            <family val="2"/>
          </rPr>
          <t>~$1.4B</t>
        </r>
        <r>
          <rPr>
            <b/>
            <sz val="9"/>
            <color indexed="81"/>
            <rFont val="Tahoma"/>
            <family val="2"/>
          </rPr>
          <t xml:space="preserve">
1.21.16
</t>
        </r>
        <r>
          <rPr>
            <sz val="9"/>
            <color indexed="81"/>
            <rFont val="Tahoma"/>
            <family val="2"/>
          </rPr>
          <t xml:space="preserve">1.4B
</t>
        </r>
        <r>
          <rPr>
            <b/>
            <sz val="9"/>
            <color indexed="81"/>
            <rFont val="Tahoma"/>
            <family val="2"/>
          </rPr>
          <t xml:space="preserve">10.29.15
</t>
        </r>
        <r>
          <rPr>
            <sz val="9"/>
            <color indexed="81"/>
            <rFont val="Tahoma"/>
            <family val="2"/>
          </rPr>
          <t>1.4B</t>
        </r>
      </text>
    </comment>
    <comment ref="DM50" authorId="4">
      <text>
        <r>
          <rPr>
            <b/>
            <sz val="9"/>
            <color indexed="81"/>
            <rFont val="Tahoma"/>
            <family val="2"/>
          </rPr>
          <t>Carril, Christopher E (Research):</t>
        </r>
        <r>
          <rPr>
            <sz val="9"/>
            <color indexed="81"/>
            <rFont val="Tahoma"/>
            <family val="2"/>
          </rPr>
          <t xml:space="preserve">
</t>
        </r>
        <r>
          <rPr>
            <b/>
            <sz val="9"/>
            <color indexed="81"/>
            <rFont val="Tahoma"/>
            <family val="2"/>
          </rPr>
          <t xml:space="preserve">7.27.2017
</t>
        </r>
        <r>
          <rPr>
            <sz val="9"/>
            <color indexed="81"/>
            <rFont val="Tahoma"/>
            <family val="2"/>
          </rPr>
          <t>~ $1.6 Billion</t>
        </r>
      </text>
    </comment>
    <comment ref="DR50" authorId="4">
      <text>
        <r>
          <rPr>
            <b/>
            <sz val="9"/>
            <color indexed="81"/>
            <rFont val="Tahoma"/>
            <family val="2"/>
          </rPr>
          <t>Carril, Christopher E (Research):</t>
        </r>
        <r>
          <rPr>
            <sz val="9"/>
            <color indexed="81"/>
            <rFont val="Tahoma"/>
            <family val="2"/>
          </rPr>
          <t xml:space="preserve">
11.2.2017
~$2B</t>
        </r>
      </text>
    </comment>
    <comment ref="BP56" authorId="0">
      <text>
        <r>
          <rPr>
            <sz val="8"/>
            <color indexed="81"/>
            <rFont val="Tahoma"/>
            <family val="2"/>
          </rPr>
          <t xml:space="preserve">John Glass:
driven by a change in GAAP for commercial paper
</t>
        </r>
      </text>
    </comment>
    <comment ref="BY62" authorId="0">
      <text>
        <r>
          <rPr>
            <sz val="8"/>
            <color indexed="81"/>
            <rFont val="Tahoma"/>
            <family val="2"/>
          </rPr>
          <t xml:space="preserve">Jon Tower:
from FY08 10K
a result, the Company expects to decrease short-term borrowings in fiscal 2009
</t>
        </r>
      </text>
    </comment>
    <comment ref="CR64" authorId="3">
      <text>
        <r>
          <rPr>
            <b/>
            <sz val="8"/>
            <color indexed="81"/>
            <rFont val="Tahoma"/>
            <family val="2"/>
          </rPr>
          <t>John Glass:</t>
        </r>
        <r>
          <rPr>
            <sz val="8"/>
            <color indexed="81"/>
            <rFont val="Tahoma"/>
            <family val="2"/>
          </rPr>
          <t xml:space="preserve">
issued $750 M in 3.85% 10 yr senior notes</t>
        </r>
      </text>
    </comment>
    <comment ref="CJ67" authorId="0">
      <text>
        <r>
          <rPr>
            <sz val="8"/>
            <color indexed="81"/>
            <rFont val="Tahoma"/>
            <family val="2"/>
          </rPr>
          <t xml:space="preserve">Jon Tower:
11.3.11
The Board of Directors declared a cash dividend of $0.17 per share, a 31% increase from $0.13 per share, payable on
December 2, 2011 to shareholders of record as of November 17, 2011
</t>
        </r>
      </text>
    </comment>
    <comment ref="CS67" authorId="0">
      <text>
        <r>
          <rPr>
            <sz val="8"/>
            <color indexed="81"/>
            <rFont val="Tahoma"/>
            <family val="2"/>
          </rPr>
          <t xml:space="preserve">Sushama Dasari:
3.4.13
Plan to contiue increasing dividend and engaging in share repurchase. Considering taking on "moderate" debt for those purposes, as feel underleveraged (although don't need cash)
</t>
        </r>
      </text>
    </comment>
    <comment ref="DA67" authorId="1">
      <text>
        <r>
          <rPr>
            <b/>
            <sz val="9"/>
            <color indexed="81"/>
            <rFont val="Tahoma"/>
            <family val="2"/>
          </rPr>
          <t>O'Brien, Courtney (Research):</t>
        </r>
        <r>
          <rPr>
            <sz val="9"/>
            <color indexed="81"/>
            <rFont val="Tahoma"/>
            <family val="2"/>
          </rPr>
          <t xml:space="preserve">
7.22.15 61M shares remain avail for purchase under current authorization (11M avail to purchase on June 18th + 50M additional shares today)</t>
        </r>
      </text>
    </comment>
    <comment ref="DR67" authorId="4">
      <text>
        <r>
          <rPr>
            <b/>
            <sz val="9"/>
            <color indexed="81"/>
            <rFont val="Tahoma"/>
            <family val="2"/>
          </rPr>
          <t>Carril, Christopher E (Research):</t>
        </r>
        <r>
          <rPr>
            <sz val="9"/>
            <color indexed="81"/>
            <rFont val="Tahoma"/>
            <family val="2"/>
          </rPr>
          <t xml:space="preserve">
11.2.2017
The company announced a new commitment of returning $15 billion to shareholders over the next 3 years through dividends and share repurchases.
So if you look at that $15 billion, it's definitely ratably over the 3 years, but a little bit more in 2018 and a little bit more early in the quarter.</t>
        </r>
      </text>
    </comment>
    <comment ref="DW67" authorId="4">
      <text>
        <r>
          <rPr>
            <b/>
            <sz val="9"/>
            <color indexed="81"/>
            <rFont val="Tahoma"/>
            <family val="2"/>
          </rPr>
          <t>Carril, Christopher E (Research):</t>
        </r>
        <r>
          <rPr>
            <sz val="9"/>
            <color indexed="81"/>
            <rFont val="Tahoma"/>
            <family val="2"/>
          </rPr>
          <t xml:space="preserve">
11.2.2017
The company announced a new commitment of returning $15 billion to shareholders over the next 3 years through dividends and share repurchases.</t>
        </r>
      </text>
    </comment>
    <comment ref="EB67" authorId="4">
      <text>
        <r>
          <rPr>
            <b/>
            <sz val="9"/>
            <color indexed="81"/>
            <rFont val="Tahoma"/>
            <family val="2"/>
          </rPr>
          <t>Carril, Christopher E (Research):</t>
        </r>
        <r>
          <rPr>
            <sz val="9"/>
            <color indexed="81"/>
            <rFont val="Tahoma"/>
            <family val="2"/>
          </rPr>
          <t xml:space="preserve">
11.2.2017
The company announced a new commitment of returning $15 billion to shareholders over the next 3 years through dividends and share repurchases.</t>
        </r>
      </text>
    </comment>
    <comment ref="BB68" authorId="0">
      <text>
        <r>
          <rPr>
            <sz val="8"/>
            <color indexed="81"/>
            <rFont val="Tahoma"/>
            <family val="2"/>
          </rPr>
          <t xml:space="preserve">towerj:
6.5 miilion shares @ $51.12 average price over 26 wekk period.
As of 5 5 05, have 15.7 milliion shares authorized for repurchase. 
</t>
        </r>
      </text>
    </comment>
    <comment ref="BC68" authorId="0">
      <text>
        <r>
          <rPr>
            <sz val="8"/>
            <color indexed="81"/>
            <rFont val="Tahoma"/>
            <family val="2"/>
          </rPr>
          <t xml:space="preserve">towerj:
as of 7.3.05 - Share repurchases are funded through cash, cash equivalents and available−for−sale securities. Starbucks acquired 16 million shares at an average price of $50.47 for a total cost of $807 million during the 39−week period ended July 3, 2005. As of July 3, 2005, the Company had 12.6 million additional shares authorized for repurchase.
</t>
        </r>
      </text>
    </comment>
    <comment ref="BD68" authorId="0">
      <text>
        <r>
          <rPr>
            <sz val="8"/>
            <color indexed="81"/>
            <rFont val="Tahoma"/>
            <family val="2"/>
          </rPr>
          <t xml:space="preserve">towerj:
9.22.05 company announced authorization to repurchase an additional 5 million shares (on top of the already 7.2 million shares that remain available under existing authorizations). Totaling 12.2 million shares.
SINCE Sept of 2001, the company has bought back 35.7 million shares ~$1.5billion
</t>
        </r>
      </text>
    </comment>
    <comment ref="BJ68" authorId="0">
      <text>
        <r>
          <rPr>
            <sz val="8"/>
            <color indexed="81"/>
            <rFont val="Tahoma"/>
            <family val="2"/>
          </rPr>
          <t xml:space="preserve">towerj:
8.2.06 Board of Directors
has authorized the repurchase of up to 25 million shares of the Company’s common stock. This authorization is in
addition to the 3.4 million shares that remain available for repurchase under a previous authorization.
</t>
        </r>
      </text>
    </comment>
    <comment ref="CM68" authorId="0">
      <text>
        <r>
          <rPr>
            <sz val="8"/>
            <color indexed="81"/>
            <rFont val="Tahoma"/>
            <family val="2"/>
          </rPr>
          <t xml:space="preserve">Jon Tower:
11.3.11
The Board also authorized the repurchase of up to an additional 20 million shares of the company’s common stock. This
authorization is in addition to approximately 4.4 million shares that remain available for repurchase under previous
authorizations
</t>
        </r>
      </text>
    </comment>
    <comment ref="CO68" authorId="0">
      <text>
        <r>
          <rPr>
            <sz val="8"/>
            <color indexed="81"/>
            <rFont val="Tahoma"/>
            <family val="2"/>
          </rPr>
          <t xml:space="preserve">Sushama Dasari:
1.24.13
8M shares repurchased during 1Q. The combination of these repurchases, along with the $0.21
per share dividend, resulted in more than $0.5 billion returned to shareholders in the first quarter
11.14.12
On November 14, 2012, our Board of Directors authorized the repurchase of up to an additional 25 million shares, in addition to the 12.1 million shares that remained available for repurchase at September 30, 2012 under previous authorizations. 
</t>
        </r>
      </text>
    </comment>
    <comment ref="CS68" authorId="0">
      <text>
        <r>
          <rPr>
            <b/>
            <sz val="8"/>
            <color indexed="81"/>
            <rFont val="Tahoma"/>
            <family val="2"/>
          </rPr>
          <t>2013 10K</t>
        </r>
        <r>
          <rPr>
            <sz val="8"/>
            <color indexed="81"/>
            <rFont val="Tahoma"/>
            <family val="2"/>
          </rPr>
          <t xml:space="preserve">
Starbucks did not repurchase any shares during the fourth quarter of fiscal 2013. As of the end of the quarter, the maximum number of shares that may yet be purchased under our current share repurchase program was 26,359,511 shares. The share repurchase program is conducted under authorizations made from time to time by our Board of Directors. On November 3, 2011, we publicly announced the authorization of up to an additional 20 million shares, and on November 15, 2012, we publicly announced the authorization of up to an additional 25 million shares. These authorizations have no expiration date.
3.4.13
Plan to contiue increasing dividend and engaging in share repurchase. Considering taking on "moderate" debt for those purposes, as feel underleveraged (although don't need cash)
11.15.12
Starbucks Corporation today announced that its Board of Directors has authorized the repurchase of up to 25 million shares of the Company’s common stock. This authorization is in addition to the 12.1 million shares that remained available at fiscal year-end 2012 for repurchase under an existing authorization. Since the Company’s initial share repurchase program was authorized in September of 2001, Starbucks has repurchased a total of 184 million shares at a cost of $5.1 billion under authorized programs through September 30, 2012. 
</t>
        </r>
      </text>
    </comment>
    <comment ref="DA68" authorId="1">
      <text>
        <r>
          <rPr>
            <b/>
            <sz val="9"/>
            <color indexed="81"/>
            <rFont val="Tahoma"/>
            <family val="2"/>
          </rPr>
          <t>O'Brien, Courtney (Research):</t>
        </r>
        <r>
          <rPr>
            <sz val="9"/>
            <color indexed="81"/>
            <rFont val="Tahoma"/>
            <family val="2"/>
          </rPr>
          <t xml:space="preserve">
7.22.15 61M shares remain avail for purchase under current authorization (11M avail to purchase on June 18th + 50M additional shares today)</t>
        </r>
      </text>
    </comment>
    <comment ref="DC68" authorId="1">
      <text>
        <r>
          <rPr>
            <b/>
            <sz val="9"/>
            <color indexed="81"/>
            <rFont val="Tahoma"/>
            <family val="2"/>
          </rPr>
          <t>O'Brien, Courtney (Research):</t>
        </r>
        <r>
          <rPr>
            <sz val="9"/>
            <color indexed="81"/>
            <rFont val="Tahoma"/>
            <family val="2"/>
          </rPr>
          <t xml:space="preserve">
7.22.15 61M shares remain avail for purchase under current authorization (11M avail to purchase on June 18th + 50M additional shares today)</t>
        </r>
      </text>
    </comment>
    <comment ref="DR68" authorId="4">
      <text>
        <r>
          <rPr>
            <b/>
            <sz val="9"/>
            <color indexed="81"/>
            <rFont val="Tahoma"/>
            <family val="2"/>
          </rPr>
          <t>Carril, Christopher E (Research):</t>
        </r>
        <r>
          <rPr>
            <sz val="9"/>
            <color indexed="81"/>
            <rFont val="Tahoma"/>
            <family val="2"/>
          </rPr>
          <t xml:space="preserve">
11.2.2017
The company announced a new commitment of returning $15 billion to shareholders over the next 3 years through dividends and share repurchases.
So if you look at that $15 billion, it's definitely ratably over the 3 years, but a little bit more in 2018 and a little bit more early in the quarter.</t>
        </r>
      </text>
    </comment>
    <comment ref="DW68" authorId="4">
      <text>
        <r>
          <rPr>
            <b/>
            <sz val="9"/>
            <color indexed="81"/>
            <rFont val="Tahoma"/>
            <family val="2"/>
          </rPr>
          <t>Carril, Christopher E (Research):</t>
        </r>
        <r>
          <rPr>
            <sz val="9"/>
            <color indexed="81"/>
            <rFont val="Tahoma"/>
            <family val="2"/>
          </rPr>
          <t xml:space="preserve">
11.2.2017
The company announced a new commitment of returning $15 billion to shareholders over the next 3 years through dividends and share repurchases.</t>
        </r>
      </text>
    </comment>
    <comment ref="EB68" authorId="4">
      <text>
        <r>
          <rPr>
            <b/>
            <sz val="9"/>
            <color indexed="81"/>
            <rFont val="Tahoma"/>
            <family val="2"/>
          </rPr>
          <t>Carril, Christopher E (Research):</t>
        </r>
        <r>
          <rPr>
            <sz val="9"/>
            <color indexed="81"/>
            <rFont val="Tahoma"/>
            <family val="2"/>
          </rPr>
          <t xml:space="preserve">
11.2.2017
The company announced a new commitment of returning $15 billion to shareholders over the next 3 years through dividends and share repurchases.</t>
        </r>
      </text>
    </comment>
    <comment ref="BY85" authorId="5">
      <text>
        <r>
          <rPr>
            <b/>
            <sz val="8"/>
            <color indexed="81"/>
            <rFont val="Tahoma"/>
            <family val="2"/>
          </rPr>
          <t xml:space="preserve">Jon Tower:
7.21.09
The company continues to expect fiscal year 2009 cash from operations to exceed $1 billion, with resulting free cash flow in excess of $500 million. Starbucks defines free cash flow as cash flow from operations less capital expenditures. 
</t>
        </r>
        <r>
          <rPr>
            <sz val="8"/>
            <color indexed="81"/>
            <rFont val="Tahoma"/>
            <family val="2"/>
          </rPr>
          <t xml:space="preserve">
4.29.09
Capital expenditures for fiscal 2009 remain unchanged, at approximately $600 million. Additionally, as announced in March, Starbucks fiscal year 2009 cash from operations is expected to exceed $1 billion, with resulting free cash flow in excess of $500 million.</t>
        </r>
      </text>
    </comment>
    <comment ref="CD85" authorId="5">
      <text>
        <r>
          <rPr>
            <b/>
            <sz val="8"/>
            <color indexed="81"/>
            <rFont val="Tahoma"/>
            <family val="2"/>
          </rPr>
          <t>Jon Tower:</t>
        </r>
        <r>
          <rPr>
            <sz val="8"/>
            <color indexed="81"/>
            <rFont val="Tahoma"/>
            <family val="2"/>
          </rPr>
          <t xml:space="preserve">
4.21.10
Starbucks now expects cash flow from operations to be at least $1.5 billion, and free cash flow of more than $1 billion. 
11.17.09 - convo w/Troy A. 
   ---includes ~$250M in maintenance capex
also includes invesment in more store ovens, new POS
11.5.09
Starbucks expects cash flow from operations to be approximately $1.4 billion, and free cash flow of approximately $900 million. 
</t>
        </r>
      </text>
    </comment>
    <comment ref="CJ101" authorId="5">
      <text>
        <r>
          <rPr>
            <b/>
            <sz val="8"/>
            <color indexed="81"/>
            <rFont val="Tahoma"/>
            <family val="2"/>
          </rPr>
          <t>Jon Tower:</t>
        </r>
        <r>
          <rPr>
            <sz val="8"/>
            <color indexed="81"/>
            <rFont val="Tahoma"/>
            <family val="2"/>
          </rPr>
          <t xml:space="preserve">
11.3.11
The Board of Directors declared a cash dividend of $0.17 per share, a 31% increase from $0.13 per share, payable on
December 2, 2011 to shareholders of record as of November 17, 2011</t>
        </r>
      </text>
    </comment>
    <comment ref="CK101" authorId="5">
      <text>
        <r>
          <rPr>
            <b/>
            <sz val="8"/>
            <color indexed="81"/>
            <rFont val="Tahoma"/>
            <family val="2"/>
          </rPr>
          <t>Jon Tower:</t>
        </r>
        <r>
          <rPr>
            <sz val="8"/>
            <color indexed="81"/>
            <rFont val="Tahoma"/>
            <family val="2"/>
          </rPr>
          <t xml:space="preserve">
11.3.11
The Board of Directors declared a cash dividend of $0.17 per share, a 31% increase from $0.13 per share, payable on
December 2, 2011 to shareholders of record as of November 17, 2011</t>
        </r>
      </text>
    </comment>
    <comment ref="CL101" authorId="5">
      <text>
        <r>
          <rPr>
            <b/>
            <sz val="8"/>
            <color indexed="81"/>
            <rFont val="Tahoma"/>
            <family val="2"/>
          </rPr>
          <t>Jon Tower:</t>
        </r>
        <r>
          <rPr>
            <sz val="8"/>
            <color indexed="81"/>
            <rFont val="Tahoma"/>
            <family val="2"/>
          </rPr>
          <t xml:space="preserve">
11.3.11
The Board of Directors declared a cash dividend of $0.17 per share, a 31% increase from $0.13 per share, payable on
December 2, 2011 to shareholders of record as of November 17, 2011</t>
        </r>
      </text>
    </comment>
    <comment ref="CM101" authorId="5">
      <text>
        <r>
          <rPr>
            <b/>
            <sz val="8"/>
            <color indexed="81"/>
            <rFont val="Tahoma"/>
            <family val="2"/>
          </rPr>
          <t>Jon Tower:</t>
        </r>
        <r>
          <rPr>
            <sz val="8"/>
            <color indexed="81"/>
            <rFont val="Tahoma"/>
            <family val="2"/>
          </rPr>
          <t xml:space="preserve">
11.3.11
The Board of Directors declared a cash dividend of $0.17 per share, a 31% increase from $0.13 per share, payable on
December 2, 2011 to shareholders of record as of November 17, 2011</t>
        </r>
      </text>
    </comment>
    <comment ref="CO101" authorId="0">
      <text>
        <r>
          <rPr>
            <b/>
            <sz val="8"/>
            <color indexed="81"/>
            <rFont val="Tahoma"/>
            <family val="2"/>
          </rPr>
          <t>Sushama Dasari:</t>
        </r>
        <r>
          <rPr>
            <sz val="8"/>
            <color indexed="81"/>
            <rFont val="Tahoma"/>
            <family val="2"/>
          </rPr>
          <t xml:space="preserve">
1.24.13
The Board of Directors declared a cash dividend of $0.21 per share, payable on February 22, 2013, to shareholders of record as of February 7, 2013.
</t>
        </r>
      </text>
    </comment>
    <comment ref="DN101" authorId="4">
      <text>
        <r>
          <rPr>
            <b/>
            <sz val="9"/>
            <color indexed="81"/>
            <rFont val="Tahoma"/>
            <family val="2"/>
          </rPr>
          <t>Carril, Christopher E (Research):</t>
        </r>
        <r>
          <rPr>
            <sz val="9"/>
            <color indexed="81"/>
            <rFont val="Tahoma"/>
            <family val="2"/>
          </rPr>
          <t xml:space="preserve">
11.2.2017
The Board of Directors declared a cash dividend of $0.30 per share, an increase of 20%, payable on December 1, 2017, to shareholders of record as of November 16, 2017.</t>
        </r>
      </text>
    </comment>
    <comment ref="CJ102" authorId="5">
      <text>
        <r>
          <rPr>
            <b/>
            <sz val="8"/>
            <color indexed="81"/>
            <rFont val="Tahoma"/>
            <family val="2"/>
          </rPr>
          <t>Jon Tower:</t>
        </r>
        <r>
          <rPr>
            <sz val="8"/>
            <color indexed="81"/>
            <rFont val="Tahoma"/>
            <family val="2"/>
          </rPr>
          <t xml:space="preserve">
11.3.11
The Board of Directors declared a cash dividend of $0.17 per share, a 31% increase from $0.13 per share, payable on
December 2, 2011 to shareholders of record as of November 17, 2011</t>
        </r>
      </text>
    </comment>
    <comment ref="CK102" authorId="5">
      <text>
        <r>
          <rPr>
            <b/>
            <sz val="8"/>
            <color indexed="81"/>
            <rFont val="Tahoma"/>
            <family val="2"/>
          </rPr>
          <t>Jon Tower:</t>
        </r>
        <r>
          <rPr>
            <sz val="8"/>
            <color indexed="81"/>
            <rFont val="Tahoma"/>
            <family val="2"/>
          </rPr>
          <t xml:space="preserve">
11.3.11
The Board of Directors declared a cash dividend of $0.17 per share, a 31% increase from $0.13 per share, payable on
December 2, 2011 to shareholders of record as of November 17, 2011</t>
        </r>
      </text>
    </comment>
    <comment ref="CL102" authorId="5">
      <text>
        <r>
          <rPr>
            <b/>
            <sz val="8"/>
            <color indexed="81"/>
            <rFont val="Tahoma"/>
            <family val="2"/>
          </rPr>
          <t>Jon Tower:</t>
        </r>
        <r>
          <rPr>
            <sz val="8"/>
            <color indexed="81"/>
            <rFont val="Tahoma"/>
            <family val="2"/>
          </rPr>
          <t xml:space="preserve">
11.3.11
The Board of Directors declared a cash dividend of $0.17 per share, a 31% increase from $0.13 per share, payable on
December 2, 2011 to shareholders of record as of November 17, 2011</t>
        </r>
      </text>
    </comment>
    <comment ref="CM102" authorId="5">
      <text>
        <r>
          <rPr>
            <b/>
            <sz val="8"/>
            <color indexed="81"/>
            <rFont val="Tahoma"/>
            <family val="2"/>
          </rPr>
          <t>Jon Tower:</t>
        </r>
        <r>
          <rPr>
            <sz val="8"/>
            <color indexed="81"/>
            <rFont val="Tahoma"/>
            <family val="2"/>
          </rPr>
          <t xml:space="preserve">
11.3.11
The Board of Directors declared a cash dividend of $0.17 per share, a 31% increase from $0.13 per share, payable on
December 2, 2011 to shareholders of record as of November 17, 2011</t>
        </r>
      </text>
    </comment>
    <comment ref="A103" authorId="6">
      <text>
        <r>
          <rPr>
            <b/>
            <sz val="8"/>
            <color indexed="81"/>
            <rFont val="Tahoma"/>
            <family val="2"/>
          </rPr>
          <t xml:space="preserve">3.11.14:
</t>
        </r>
        <r>
          <rPr>
            <sz val="8"/>
            <color indexed="81"/>
            <rFont val="Tahoma"/>
            <family val="2"/>
          </rPr>
          <t>35-45% payout target</t>
        </r>
        <r>
          <rPr>
            <b/>
            <sz val="8"/>
            <color indexed="81"/>
            <rFont val="Tahoma"/>
            <family val="2"/>
          </rPr>
          <t xml:space="preserve">
</t>
        </r>
        <r>
          <rPr>
            <b/>
            <sz val="8"/>
            <color indexed="81"/>
            <rFont val="Tahoma"/>
            <family val="2"/>
          </rPr>
          <t>12.12:</t>
        </r>
        <r>
          <rPr>
            <sz val="8"/>
            <color indexed="81"/>
            <rFont val="Tahoma"/>
            <family val="2"/>
          </rPr>
          <t xml:space="preserve">
target (as of 12.12) 35-40% payout</t>
        </r>
        <r>
          <rPr>
            <sz val="8"/>
            <color indexed="81"/>
            <rFont val="Tahoma"/>
            <family val="2"/>
          </rPr>
          <t xml:space="preserve">
</t>
        </r>
      </text>
    </comment>
    <comment ref="CX103" authorId="2">
      <text>
        <r>
          <rPr>
            <b/>
            <sz val="8"/>
            <color indexed="81"/>
            <rFont val="Tahoma"/>
            <family val="2"/>
          </rPr>
          <t xml:space="preserve">3.11.14:
</t>
        </r>
        <r>
          <rPr>
            <sz val="8"/>
            <color indexed="81"/>
            <rFont val="Tahoma"/>
            <family val="2"/>
          </rPr>
          <t>Targeting 35045%</t>
        </r>
        <r>
          <rPr>
            <sz val="8"/>
            <color indexed="81"/>
            <rFont val="Tahoma"/>
            <family val="2"/>
          </rPr>
          <t xml:space="preserve">
</t>
        </r>
      </text>
    </comment>
    <comment ref="DC103" authorId="2">
      <text>
        <r>
          <rPr>
            <b/>
            <sz val="8"/>
            <color indexed="81"/>
            <rFont val="Tahoma"/>
            <family val="2"/>
          </rPr>
          <t xml:space="preserve">3.11.14:
</t>
        </r>
        <r>
          <rPr>
            <sz val="8"/>
            <color indexed="81"/>
            <rFont val="Tahoma"/>
            <family val="2"/>
          </rPr>
          <t>Targeting 35045%</t>
        </r>
        <r>
          <rPr>
            <sz val="8"/>
            <color indexed="81"/>
            <rFont val="Tahoma"/>
            <family val="2"/>
          </rPr>
          <t xml:space="preserve">
</t>
        </r>
      </text>
    </comment>
  </commentList>
</comments>
</file>

<file path=xl/sharedStrings.xml><?xml version="1.0" encoding="utf-8"?>
<sst xmlns="http://schemas.openxmlformats.org/spreadsheetml/2006/main" count="1699" uniqueCount="1038">
  <si>
    <t>FY11</t>
  </si>
  <si>
    <t xml:space="preserve">  International</t>
  </si>
  <si>
    <t xml:space="preserve">  US</t>
  </si>
  <si>
    <t>Current Liabilities</t>
  </si>
  <si>
    <t>LIABILITIES AND STOCKHOLDER'S EQUITY</t>
  </si>
  <si>
    <t>TOTAL ASSETS</t>
  </si>
  <si>
    <t>Goodwill</t>
  </si>
  <si>
    <t>Other intangible assets</t>
  </si>
  <si>
    <t xml:space="preserve">Other assets  </t>
  </si>
  <si>
    <t>Deferred Income taxes, net</t>
  </si>
  <si>
    <t>Property, plant &amp; equipment, net</t>
  </si>
  <si>
    <t>Dec-96R</t>
  </si>
  <si>
    <t>Mar-97R</t>
  </si>
  <si>
    <t>Jun-97R</t>
  </si>
  <si>
    <t>Restructuring</t>
  </si>
  <si>
    <t>EPS (FD)</t>
  </si>
  <si>
    <t>EPS including One-time charges</t>
  </si>
  <si>
    <t>Store Expense % Of Store Sales</t>
  </si>
  <si>
    <t>Operating profit before charges</t>
  </si>
  <si>
    <t>Starbucks Corporation</t>
  </si>
  <si>
    <t>John S. Glass</t>
  </si>
  <si>
    <t>(617) 856-8752</t>
  </si>
  <si>
    <t>john.glass@morganstanley.com</t>
  </si>
  <si>
    <t>Go To:</t>
  </si>
  <si>
    <t>Income Statement</t>
  </si>
  <si>
    <t>Balance Sheet</t>
  </si>
  <si>
    <t>Statement of Cash Flows</t>
  </si>
  <si>
    <t>Unit Detail</t>
  </si>
  <si>
    <t>Revenue Drivers</t>
  </si>
  <si>
    <t>Segment Details</t>
  </si>
  <si>
    <t>(data in $ millions except EPS &amp; Units)</t>
  </si>
  <si>
    <t>FY10</t>
  </si>
  <si>
    <t>FY18E</t>
  </si>
  <si>
    <t xml:space="preserve">Revenue </t>
  </si>
  <si>
    <t>Revenue Growth</t>
  </si>
  <si>
    <t>Operating Income Growth</t>
  </si>
  <si>
    <t>Operating EPS</t>
  </si>
  <si>
    <t>Check</t>
  </si>
  <si>
    <t xml:space="preserve">   LTM EBIT margin (adj)</t>
  </si>
  <si>
    <t>LTM/NTM EBIT (adj)</t>
  </si>
  <si>
    <t>USD</t>
  </si>
  <si>
    <t>SBUX.O</t>
  </si>
  <si>
    <t>Starbucks Corp.</t>
  </si>
  <si>
    <t>Interest Income &amp; other</t>
  </si>
  <si>
    <t>Other Operating Expense &amp; Impairments</t>
  </si>
  <si>
    <t>Costs of Sales w/D&amp;A, G&amp;A &amp; Franchise costs</t>
  </si>
  <si>
    <t>OLD MEASURES (previous reporting SEGMENTS</t>
  </si>
  <si>
    <t>Total Units at Period End</t>
  </si>
  <si>
    <t xml:space="preserve">  U.S. Company Units</t>
  </si>
  <si>
    <t xml:space="preserve">  U.S. Licensed Units</t>
  </si>
  <si>
    <t>U.S. Units at Period End</t>
  </si>
  <si>
    <t xml:space="preserve">  International Company Units</t>
  </si>
  <si>
    <t xml:space="preserve">  International Licensed Units</t>
  </si>
  <si>
    <t>International Units at Period End</t>
  </si>
  <si>
    <t xml:space="preserve">  Total Company Units</t>
  </si>
  <si>
    <t>FY03</t>
  </si>
  <si>
    <t>Net Cash From Financing Activities</t>
  </si>
  <si>
    <t>Jun-13A</t>
  </si>
  <si>
    <t>P/E</t>
  </si>
  <si>
    <t>P/S</t>
  </si>
  <si>
    <t>FCF Yield</t>
  </si>
  <si>
    <t>Rent Adjusted EV/EBITDAR (before charges)</t>
  </si>
  <si>
    <t>EV/EBITDA (before charges)</t>
  </si>
  <si>
    <t>Rent Adjusted Debt to EBITDAR</t>
  </si>
  <si>
    <t>Debt to EBITDA</t>
  </si>
  <si>
    <t>Capitalized Rent</t>
  </si>
  <si>
    <t>Rent (fiscal year)</t>
  </si>
  <si>
    <t>Enterprise Value</t>
  </si>
  <si>
    <t>Current net debt</t>
  </si>
  <si>
    <t>Market Cap</t>
  </si>
  <si>
    <t>Current shares outstanding</t>
  </si>
  <si>
    <t>Current stock price</t>
  </si>
  <si>
    <t>CY17E</t>
  </si>
  <si>
    <t>Snapshot</t>
  </si>
  <si>
    <t>Ticker (Nasdaq): SBUX</t>
  </si>
  <si>
    <t>ND</t>
  </si>
  <si>
    <t xml:space="preserve">  Repurchase of comon stock</t>
  </si>
  <si>
    <t xml:space="preserve">  Dividend</t>
  </si>
  <si>
    <t xml:space="preserve">  Principal payments on long-term debt</t>
  </si>
  <si>
    <t>FY14</t>
  </si>
  <si>
    <t>FY13</t>
  </si>
  <si>
    <t>FY05</t>
  </si>
  <si>
    <t>FY04</t>
  </si>
  <si>
    <t>Aggregate unamoertized amount</t>
  </si>
  <si>
    <t>Effective interest rates</t>
  </si>
  <si>
    <t>CY</t>
  </si>
  <si>
    <t xml:space="preserve">  Corporate</t>
  </si>
  <si>
    <t xml:space="preserve">  CPG</t>
  </si>
  <si>
    <t>ROA by Segment (including charges)</t>
  </si>
  <si>
    <t>ROA by Segment (ex-charges)</t>
  </si>
  <si>
    <t xml:space="preserve">  Other countries</t>
  </si>
  <si>
    <t>Net Revenues from external customers</t>
  </si>
  <si>
    <t>Long-lived assets</t>
  </si>
  <si>
    <t>Total Assets (started reporting FY09)</t>
  </si>
  <si>
    <t>Assets by Segment</t>
  </si>
  <si>
    <t>Common Equity End of Period</t>
  </si>
  <si>
    <t>Other Changes</t>
  </si>
  <si>
    <t>AOCI changes</t>
  </si>
  <si>
    <t>Unit Summary</t>
  </si>
  <si>
    <t>FY15</t>
  </si>
  <si>
    <t>FY16</t>
  </si>
  <si>
    <t>United States</t>
  </si>
  <si>
    <t>FY 2005</t>
  </si>
  <si>
    <t>Currency</t>
  </si>
  <si>
    <t>Current Stock Price</t>
  </si>
  <si>
    <t xml:space="preserve">Other metrics </t>
  </si>
  <si>
    <t>Payout Ratio</t>
  </si>
  <si>
    <t>Long-term investments - available for sale securities</t>
  </si>
  <si>
    <t xml:space="preserve">     Total Current Assets</t>
  </si>
  <si>
    <t xml:space="preserve">    Deferred income taxes</t>
  </si>
  <si>
    <t xml:space="preserve">    Prepaid expenses and other</t>
  </si>
  <si>
    <t xml:space="preserve">    Accounts receivable (Net)</t>
  </si>
  <si>
    <t xml:space="preserve">    Trading securities</t>
  </si>
  <si>
    <t xml:space="preserve">    Available-for-sale securities</t>
  </si>
  <si>
    <t>Current Assets</t>
  </si>
  <si>
    <t>ASSETS</t>
  </si>
  <si>
    <t>FY 2018</t>
  </si>
  <si>
    <t>FY 2017</t>
  </si>
  <si>
    <t>FY 2016</t>
  </si>
  <si>
    <t>FY 2015</t>
  </si>
  <si>
    <t>FY 2014</t>
  </si>
  <si>
    <t>FY 2013</t>
  </si>
  <si>
    <t>FY 2012</t>
  </si>
  <si>
    <t>FY 2011</t>
  </si>
  <si>
    <t>FY 2010</t>
  </si>
  <si>
    <t>FY 2008</t>
  </si>
  <si>
    <t>FY 2007</t>
  </si>
  <si>
    <t>FY 2006</t>
  </si>
  <si>
    <t>FY 2004</t>
  </si>
  <si>
    <t>FY 2003</t>
  </si>
  <si>
    <t>Price Target/Base Case</t>
  </si>
  <si>
    <t>FY 2002</t>
  </si>
  <si>
    <t>Mar-98R</t>
  </si>
  <si>
    <t>Dec-97R</t>
  </si>
  <si>
    <t>FY 1997</t>
  </si>
  <si>
    <t>STARBUCKS CORPORATION: BALANCE SHEET</t>
  </si>
  <si>
    <t>Valuation Information</t>
  </si>
  <si>
    <t xml:space="preserve">    Accrued occupancy costs</t>
  </si>
  <si>
    <t xml:space="preserve">    Accrued compensation and related costs</t>
  </si>
  <si>
    <t>Common Equity Beginning of Period</t>
  </si>
  <si>
    <t>Statement of Stockholder's Equity</t>
  </si>
  <si>
    <t>Change in AOCI</t>
  </si>
  <si>
    <t>Net Issuance/repurchase of common stock</t>
  </si>
  <si>
    <t>Unrecorded goodwill from poolings, etc.</t>
  </si>
  <si>
    <t>Interest Income Rate</t>
  </si>
  <si>
    <t>Interest Expense Rate</t>
  </si>
  <si>
    <t>Packaging and other supplies</t>
  </si>
  <si>
    <t>Other merchandise held for sale</t>
  </si>
  <si>
    <t>FY12</t>
  </si>
  <si>
    <t>52 weeks</t>
  </si>
  <si>
    <t>FY 2018E</t>
  </si>
  <si>
    <t>FY 2009</t>
  </si>
  <si>
    <t>Sep-97R</t>
  </si>
  <si>
    <t>FY 1997 R</t>
  </si>
  <si>
    <t>Jun-98</t>
  </si>
  <si>
    <t>Dec-97</t>
  </si>
  <si>
    <t>Mar-98</t>
  </si>
  <si>
    <t>Sep-98</t>
  </si>
  <si>
    <t>FY 1998</t>
  </si>
  <si>
    <t>$ in millions, quarters 4,4,5</t>
  </si>
  <si>
    <t>SYSTEMWIDE SALES</t>
  </si>
  <si>
    <t>Dec-98</t>
  </si>
  <si>
    <t>Mar-99</t>
  </si>
  <si>
    <t>Cash Dividend</t>
  </si>
  <si>
    <t>LTM/NTM Capex</t>
  </si>
  <si>
    <t>LTM/NTM CFO</t>
  </si>
  <si>
    <t>FCF (EBITDA - Capex)</t>
  </si>
  <si>
    <t>Capex / Sales</t>
  </si>
  <si>
    <t>= Adjusted Free Cash Flow</t>
  </si>
  <si>
    <t>+ Proceeds from Stock Option Exercise/sale of common Stock</t>
  </si>
  <si>
    <t>+ Sale of Assets</t>
  </si>
  <si>
    <t>- Acquisitions</t>
  </si>
  <si>
    <t>Free Cash Flow</t>
  </si>
  <si>
    <t>Stores</t>
  </si>
  <si>
    <t>OPERATING INCOME</t>
  </si>
  <si>
    <t>Operating income before charges</t>
  </si>
  <si>
    <t>EBITDA</t>
  </si>
  <si>
    <t>EBITDA before charges</t>
  </si>
  <si>
    <t>Interest income &amp; other, net</t>
  </si>
  <si>
    <t>Interest Expense</t>
  </si>
  <si>
    <t>Interest/Other Expense (Income)</t>
  </si>
  <si>
    <t>Internet related investment losses</t>
  </si>
  <si>
    <t>Gain on sale of investment</t>
  </si>
  <si>
    <t>Earnings Before Taxes</t>
  </si>
  <si>
    <t>Income Taxes</t>
  </si>
  <si>
    <t xml:space="preserve">Net Income </t>
  </si>
  <si>
    <t>Cumulative changes in accting</t>
  </si>
  <si>
    <t>Net earnings attributable to Non-controlling interests</t>
  </si>
  <si>
    <t>Net earnings attributable to Starbucks</t>
  </si>
  <si>
    <t>Non-recurring charges</t>
  </si>
  <si>
    <t>Net Income adjusted for consensus</t>
  </si>
  <si>
    <t>FX Impact on EPS</t>
  </si>
  <si>
    <t>Stock-Based Compensation Expense</t>
  </si>
  <si>
    <t>Avg. Shs. Outs. (FD)</t>
  </si>
  <si>
    <t>Margin Analysis</t>
  </si>
  <si>
    <t>Store Expense % Of Retail Sales</t>
  </si>
  <si>
    <t>Other Op Expense % Of Spec. Sales</t>
  </si>
  <si>
    <t>D&amp;A</t>
  </si>
  <si>
    <t>Operating profit before charges/gains</t>
  </si>
  <si>
    <t>Sep-96A</t>
  </si>
  <si>
    <t>Jun-96A</t>
  </si>
  <si>
    <t>Mar-96A</t>
  </si>
  <si>
    <t>Dec-95A</t>
  </si>
  <si>
    <t>FY 1995A</t>
  </si>
  <si>
    <t>Sep-95A</t>
  </si>
  <si>
    <t>Jun-95A</t>
  </si>
  <si>
    <t>Mar-95A</t>
  </si>
  <si>
    <t>Dec-94A</t>
  </si>
  <si>
    <t>FY 1994A</t>
  </si>
  <si>
    <t>Fiscal Year Ended: September</t>
  </si>
  <si>
    <t xml:space="preserve"> </t>
  </si>
  <si>
    <t>STARBUCKS CORPORATION: STATEMENT OF CASH FLOWS</t>
  </si>
  <si>
    <t>Uses of FCF</t>
  </si>
  <si>
    <t xml:space="preserve"> - Dividends</t>
  </si>
  <si>
    <t>Total Expenses</t>
  </si>
  <si>
    <t>Operating Income</t>
  </si>
  <si>
    <t>Capex Breakdown</t>
  </si>
  <si>
    <t>New Stores</t>
  </si>
  <si>
    <t>Renovations</t>
  </si>
  <si>
    <t>SCO/Roasting</t>
  </si>
  <si>
    <t>Company</t>
  </si>
  <si>
    <t>Net Debt + Cap leases (8x)/LTM EBITDAR</t>
  </si>
  <si>
    <t>LTM/NTM EBITDA (adj)</t>
  </si>
  <si>
    <t>Jun-14A</t>
  </si>
  <si>
    <t>ModelWare Required Tags</t>
  </si>
  <si>
    <t xml:space="preserve">Net Income as reported for validation </t>
  </si>
  <si>
    <t>ModelWare Net Income</t>
  </si>
  <si>
    <t>ModelWare EPS</t>
  </si>
  <si>
    <t>Cash from Oerations (ex Kraft payment)</t>
  </si>
  <si>
    <t>SBUX.O,mscalc:sedolCodeCalc</t>
  </si>
  <si>
    <t>SBUX.O,mscalc:targetPrice,,,,USD</t>
  </si>
  <si>
    <t>SBUX.O,mscalc:closePriceCurrencyCalc</t>
  </si>
  <si>
    <t>2842255</t>
  </si>
  <si>
    <t>Count</t>
  </si>
  <si>
    <t>Treasury Stock Repurchased ($millions)</t>
  </si>
  <si>
    <t>Common stock issued ($millions</t>
  </si>
  <si>
    <t>Dilution</t>
  </si>
  <si>
    <t xml:space="preserve">  Other</t>
  </si>
  <si>
    <t xml:space="preserve">    Checks drawn in excess</t>
  </si>
  <si>
    <t xml:space="preserve">    Accounts Payable</t>
  </si>
  <si>
    <t>Operating EPS Growth</t>
  </si>
  <si>
    <t>TOTAL SSS</t>
  </si>
  <si>
    <t>Total Units</t>
  </si>
  <si>
    <t>Total Unit Growth</t>
  </si>
  <si>
    <t>EBITDA (before charges)</t>
  </si>
  <si>
    <t>Free Cash Flow (CFO less Capex)</t>
  </si>
  <si>
    <t>Calendarized Results and Estimates</t>
  </si>
  <si>
    <t>John S. Glass (617) 856-8752</t>
  </si>
  <si>
    <t>STARBUCKS CORPORATION: INCOME STATEMENT</t>
  </si>
  <si>
    <t>Fiscal Year Ends: September</t>
  </si>
  <si>
    <t>FY 1994</t>
  </si>
  <si>
    <t>FY 1995</t>
  </si>
  <si>
    <t>FY 1996</t>
  </si>
  <si>
    <t>Jun-99</t>
  </si>
  <si>
    <t>Sep-99</t>
  </si>
  <si>
    <t>FY 1999</t>
  </si>
  <si>
    <t>Dec-99</t>
  </si>
  <si>
    <t>Mar-00</t>
  </si>
  <si>
    <t>Jun-00</t>
  </si>
  <si>
    <t>Sep-00</t>
  </si>
  <si>
    <t>FY 2000A</t>
  </si>
  <si>
    <t>Dec-00A</t>
  </si>
  <si>
    <t>Mar-01A</t>
  </si>
  <si>
    <t>Sep-01A</t>
  </si>
  <si>
    <t>Jun-01A</t>
  </si>
  <si>
    <t>FY 2001</t>
  </si>
  <si>
    <t>Dec-01A</t>
  </si>
  <si>
    <t>Mar-02A</t>
  </si>
  <si>
    <t>Jun-02A</t>
  </si>
  <si>
    <t>Sep-02A</t>
  </si>
  <si>
    <t>FY 2002A</t>
  </si>
  <si>
    <t>Dec-02A</t>
  </si>
  <si>
    <t>Mar-03A</t>
  </si>
  <si>
    <t>Jun-03A</t>
  </si>
  <si>
    <t>Sep-03A</t>
  </si>
  <si>
    <t>FY 2003A</t>
  </si>
  <si>
    <t>Dec-03A</t>
  </si>
  <si>
    <t>Mar-04A</t>
  </si>
  <si>
    <t>Jun-04A</t>
  </si>
  <si>
    <t>Sep-04A</t>
  </si>
  <si>
    <t>FY 2004A</t>
  </si>
  <si>
    <t>Dec-04A</t>
  </si>
  <si>
    <t>Mar-05A</t>
  </si>
  <si>
    <t>Jun-05A</t>
  </si>
  <si>
    <t>Sep-05A</t>
  </si>
  <si>
    <t>FY 2005A</t>
  </si>
  <si>
    <t>Dec-05A</t>
  </si>
  <si>
    <t>Mar-06A</t>
  </si>
  <si>
    <t>Jun-06A</t>
  </si>
  <si>
    <t>Sep-06A</t>
  </si>
  <si>
    <t>FY 2006A</t>
  </si>
  <si>
    <t>Dec-06A</t>
  </si>
  <si>
    <t>Mar-07A</t>
  </si>
  <si>
    <t>Jun-07A</t>
  </si>
  <si>
    <t>Sep-07A</t>
  </si>
  <si>
    <t>FY 2007A</t>
  </si>
  <si>
    <t>Dec-07A</t>
  </si>
  <si>
    <t>Mar-08A</t>
  </si>
  <si>
    <t>Jun-08A</t>
  </si>
  <si>
    <t>Sep-08A</t>
  </si>
  <si>
    <t>FY 2008A</t>
  </si>
  <si>
    <t>Dec-08A</t>
  </si>
  <si>
    <t>Mar-09A</t>
  </si>
  <si>
    <t>Jun-09A</t>
  </si>
  <si>
    <t>Sep-09A</t>
  </si>
  <si>
    <t>FY 2009A</t>
  </si>
  <si>
    <t>Dec-09A</t>
  </si>
  <si>
    <t>Mar-10A</t>
  </si>
  <si>
    <t>Jun-10A</t>
  </si>
  <si>
    <t>Sep-10A</t>
  </si>
  <si>
    <t>FY 2010A</t>
  </si>
  <si>
    <t>Dec-10A</t>
  </si>
  <si>
    <t>Mar-11A</t>
  </si>
  <si>
    <t>Jun-11A</t>
  </si>
  <si>
    <t>Sep-11A</t>
  </si>
  <si>
    <t>FY 2011A</t>
  </si>
  <si>
    <t>Dec-11A</t>
  </si>
  <si>
    <t>Mar-12A</t>
  </si>
  <si>
    <t>Jun-12A</t>
  </si>
  <si>
    <t>Sep-12A</t>
  </si>
  <si>
    <t>FY 2012A</t>
  </si>
  <si>
    <t>Dec-12A</t>
  </si>
  <si>
    <t>Mar-13A</t>
  </si>
  <si>
    <t>EPS - Operating</t>
  </si>
  <si>
    <t>EPS - Reported</t>
  </si>
  <si>
    <t xml:space="preserve">EPS Operating </t>
  </si>
  <si>
    <t>Dec-17E</t>
  </si>
  <si>
    <t>Mar-18E</t>
  </si>
  <si>
    <t>Jun-18E</t>
  </si>
  <si>
    <t>Sep-18E</t>
  </si>
  <si>
    <t>FY2018E</t>
  </si>
  <si>
    <t>CY 1998</t>
  </si>
  <si>
    <t>CY 1999</t>
  </si>
  <si>
    <t>CY 2000</t>
  </si>
  <si>
    <t>CY 2001</t>
  </si>
  <si>
    <t>CY 2002</t>
  </si>
  <si>
    <t>CY 2003</t>
  </si>
  <si>
    <t>CY 2004</t>
  </si>
  <si>
    <t>CY 2005</t>
  </si>
  <si>
    <t>CY 2006</t>
  </si>
  <si>
    <t>CY 2007</t>
  </si>
  <si>
    <t>CY 2008</t>
  </si>
  <si>
    <t>CY 2009</t>
  </si>
  <si>
    <t>CY 2010</t>
  </si>
  <si>
    <t>CY 2011</t>
  </si>
  <si>
    <t>CY 2012</t>
  </si>
  <si>
    <t>CY 2013</t>
  </si>
  <si>
    <t>CY 2014</t>
  </si>
  <si>
    <t>CY 2015</t>
  </si>
  <si>
    <t>CY 2016</t>
  </si>
  <si>
    <t>CY 2017</t>
  </si>
  <si>
    <t>A vs. E</t>
  </si>
  <si>
    <t>Y/Y</t>
  </si>
  <si>
    <t>dollars in millions, quarters 4,4,5</t>
  </si>
  <si>
    <t>Company Store Sales</t>
  </si>
  <si>
    <t xml:space="preserve">  Licensing</t>
  </si>
  <si>
    <t xml:space="preserve">  Food Service and Other</t>
  </si>
  <si>
    <t>Licensed stores</t>
  </si>
  <si>
    <t>CPG, foodservice and other</t>
  </si>
  <si>
    <t>Specialty Sales</t>
  </si>
  <si>
    <t>Mail Order (2)</t>
  </si>
  <si>
    <t>Net Sales</t>
  </si>
  <si>
    <t>Cost of sales</t>
  </si>
  <si>
    <t>Occupancy costs</t>
  </si>
  <si>
    <t>Cost of Sales and Related Occupancy Costs</t>
  </si>
  <si>
    <t>Store Operating Expenses</t>
  </si>
  <si>
    <t>Other Op. Expenses</t>
  </si>
  <si>
    <t>Depreciation &amp; Amortization</t>
  </si>
  <si>
    <t>General &amp; Admin. Expense</t>
  </si>
  <si>
    <t>Income from Equity Investees (loss)</t>
  </si>
  <si>
    <t xml:space="preserve">Working Capital </t>
  </si>
  <si>
    <t>Balance Sheet Assumptions</t>
  </si>
  <si>
    <t>Long-Term Debt Detail</t>
  </si>
  <si>
    <t>Senior Notes 6.25% - Due Aug. '17</t>
  </si>
  <si>
    <t>Senior Notes 3.85% - Due Oct. '23</t>
  </si>
  <si>
    <t>Senior Notes 0.875% - Due Dec. '16</t>
  </si>
  <si>
    <t>Senior Notes 2.00% - Due Dec. '18</t>
  </si>
  <si>
    <t>Revolver - $750M - Libor + 79.5bps - Due Aug. '18</t>
  </si>
  <si>
    <t>Interest expense</t>
  </si>
  <si>
    <t>Effective interest rate</t>
  </si>
  <si>
    <t>Weighted average (est.)</t>
  </si>
  <si>
    <t xml:space="preserve"> - Share repurchase</t>
  </si>
  <si>
    <t xml:space="preserve"> - Debt Repayment</t>
  </si>
  <si>
    <t xml:space="preserve"> - Other (eg litigation)</t>
  </si>
  <si>
    <t xml:space="preserve">  Stock-based compensation</t>
  </si>
  <si>
    <t xml:space="preserve">  Distributions from equity investees</t>
  </si>
  <si>
    <t xml:space="preserve">  Net accretion of disc./amort. of prem. mark. secs./ OTHER</t>
  </si>
  <si>
    <t xml:space="preserve">  Equity in income of investees</t>
  </si>
  <si>
    <t xml:space="preserve">  Deferred income taxes</t>
  </si>
  <si>
    <t xml:space="preserve">  Provisions for asset impairment</t>
  </si>
  <si>
    <t xml:space="preserve">  Gain on sale of investment</t>
  </si>
  <si>
    <t xml:space="preserve">  Depreciation &amp; amortization</t>
  </si>
  <si>
    <t xml:space="preserve">  Cumulative effect of accounting change for FIN 47, net of taxes</t>
  </si>
  <si>
    <t xml:space="preserve">  Net Income</t>
  </si>
  <si>
    <t>CASH FLOWS FROM OPERATIONS:</t>
  </si>
  <si>
    <t>CY17</t>
  </si>
  <si>
    <t>CY16</t>
  </si>
  <si>
    <t>CY15</t>
  </si>
  <si>
    <t>CY14</t>
  </si>
  <si>
    <t>CY13</t>
  </si>
  <si>
    <t>CY12</t>
  </si>
  <si>
    <t>CY11</t>
  </si>
  <si>
    <t>CY10</t>
  </si>
  <si>
    <t>CY09</t>
  </si>
  <si>
    <t>CY08</t>
  </si>
  <si>
    <t>CY07</t>
  </si>
  <si>
    <t>CY06</t>
  </si>
  <si>
    <t>FY 2001A</t>
  </si>
  <si>
    <t>Sep-00A</t>
  </si>
  <si>
    <t>Jun-00A</t>
  </si>
  <si>
    <t>Mar-00A</t>
  </si>
  <si>
    <t>Dec-99A</t>
  </si>
  <si>
    <t>FY 1999A</t>
  </si>
  <si>
    <t>Sep-99A</t>
  </si>
  <si>
    <t>Jun-99A</t>
  </si>
  <si>
    <t>Mar-99A</t>
  </si>
  <si>
    <t>Dec-98A</t>
  </si>
  <si>
    <t>FY 1998A</t>
  </si>
  <si>
    <t>Sep-98A</t>
  </si>
  <si>
    <t>Jun-98A</t>
  </si>
  <si>
    <t>Mar-98A</t>
  </si>
  <si>
    <t>Dec-97A</t>
  </si>
  <si>
    <t>FY 1997A</t>
  </si>
  <si>
    <t>Sep-97A</t>
  </si>
  <si>
    <t>Jun-97A</t>
  </si>
  <si>
    <t>Mar-97A</t>
  </si>
  <si>
    <t>Dec-96A</t>
  </si>
  <si>
    <t>FY 1996A</t>
  </si>
  <si>
    <t xml:space="preserve">  Proceeds from issuance of LT debt</t>
  </si>
  <si>
    <t xml:space="preserve">  Proceeds from exercise of stock options</t>
  </si>
  <si>
    <t xml:space="preserve">  Net repayment of revolving credit facility</t>
  </si>
  <si>
    <t xml:space="preserve">  Excess tax benefit from exercise of non-qual stock options</t>
  </si>
  <si>
    <t xml:space="preserve">  Proceeds from issuance of common stock</t>
  </si>
  <si>
    <t xml:space="preserve">  Borrowings under revolving credit facility</t>
  </si>
  <si>
    <t xml:space="preserve">  Decrease in cash provided by checks drawn in excess of balnce</t>
  </si>
  <si>
    <t xml:space="preserve">  Proceeds from the issuance of comercial paper</t>
  </si>
  <si>
    <t xml:space="preserve">  Repayments of commercial paper</t>
  </si>
  <si>
    <t>CASH FLOWS FROM FINANCING:</t>
  </si>
  <si>
    <t>Net Cash Used In Investing Activities</t>
  </si>
  <si>
    <t xml:space="preserve">  Changes to other assets</t>
  </si>
  <si>
    <t xml:space="preserve">  Property, plant and equipment additions</t>
  </si>
  <si>
    <t xml:space="preserve">  Purchase of other investments</t>
  </si>
  <si>
    <t xml:space="preserve">  Distibutions from joint ventures</t>
  </si>
  <si>
    <t xml:space="preserve">  Proceeds from sale of equity investment</t>
  </si>
  <si>
    <t xml:space="preserve">  Purchases of businesses, net of cash acquired</t>
  </si>
  <si>
    <t xml:space="preserve">  Net investments in joint ventures</t>
  </si>
  <si>
    <t xml:space="preserve">  Sale of available for sale securities</t>
  </si>
  <si>
    <t xml:space="preserve">  Maturity of available for sale securities</t>
  </si>
  <si>
    <t xml:space="preserve">  Purchase of available for sale securities</t>
  </si>
  <si>
    <t>CASH FLOWS FROM INVESTING:</t>
  </si>
  <si>
    <t>Net Cash From Operating Activities</t>
  </si>
  <si>
    <t>Change in Working Capital</t>
  </si>
  <si>
    <t xml:space="preserve">    Other accrued expenses</t>
  </si>
  <si>
    <t xml:space="preserve">    Deferred revenue</t>
  </si>
  <si>
    <t xml:space="preserve">    Minority interest</t>
  </si>
  <si>
    <t xml:space="preserve">    Accrued taxes</t>
  </si>
  <si>
    <t xml:space="preserve">    Accrued occupany costs</t>
  </si>
  <si>
    <t xml:space="preserve">    Accrued compensation</t>
  </si>
  <si>
    <t xml:space="preserve">    Accounts payable</t>
  </si>
  <si>
    <t xml:space="preserve">    Other current assets</t>
  </si>
  <si>
    <t xml:space="preserve">    Inventory</t>
  </si>
  <si>
    <t xml:space="preserve">    Accounts receivable</t>
  </si>
  <si>
    <t xml:space="preserve">    Net purchases of trading securities</t>
  </si>
  <si>
    <t xml:space="preserve">  Tax benefit from exercise of stock options</t>
  </si>
  <si>
    <t>Net Issuance (Repurchase of common stock)</t>
  </si>
  <si>
    <t>Mar-14A</t>
  </si>
  <si>
    <t>Restructuring/Other one-time</t>
  </si>
  <si>
    <t xml:space="preserve">   Litigation Charge</t>
  </si>
  <si>
    <t>Revenue</t>
  </si>
  <si>
    <t>CY05</t>
  </si>
  <si>
    <t>Equity and other investments (JV's)</t>
  </si>
  <si>
    <t xml:space="preserve">  Roasted</t>
  </si>
  <si>
    <t xml:space="preserve">  Unroasted</t>
  </si>
  <si>
    <t>Coffee:</t>
  </si>
  <si>
    <t>Inventories Detail</t>
  </si>
  <si>
    <t>A/P Days</t>
  </si>
  <si>
    <t>Inventory Days</t>
  </si>
  <si>
    <t>A/R Days</t>
  </si>
  <si>
    <t>Total SG&amp;A</t>
  </si>
  <si>
    <t>Total COGS</t>
  </si>
  <si>
    <t>Total Net Sales</t>
  </si>
  <si>
    <t>Working capital ex cash</t>
  </si>
  <si>
    <t>Working capital</t>
  </si>
  <si>
    <t>NI/Sales</t>
  </si>
  <si>
    <t>Total Debt/LTM EBITDA</t>
  </si>
  <si>
    <t>Total Debt/Cap</t>
  </si>
  <si>
    <t>ROAE (based on NI/Sales)</t>
  </si>
  <si>
    <t>ROAA</t>
  </si>
  <si>
    <t>Average Assets/Average Equity</t>
  </si>
  <si>
    <t>Sales/Average Assets</t>
  </si>
  <si>
    <t>EBIT/Sales</t>
  </si>
  <si>
    <t>DUPONT ANALYSIS</t>
  </si>
  <si>
    <t>Total Liabilities &amp; Equity</t>
  </si>
  <si>
    <t>Non-controlling interests</t>
  </si>
  <si>
    <t>Total Stockholders' Equity</t>
  </si>
  <si>
    <t>Accumulated Other Comprehensive Income</t>
  </si>
  <si>
    <t xml:space="preserve">    other additional paid in capital </t>
  </si>
  <si>
    <t xml:space="preserve">    Additional paid in capital</t>
  </si>
  <si>
    <t xml:space="preserve">    Common Stock &amp; additional paid-in-capital</t>
  </si>
  <si>
    <t xml:space="preserve">    Retained Earnings</t>
  </si>
  <si>
    <t>Stockholders' Equity</t>
  </si>
  <si>
    <t>Total Liabilities</t>
  </si>
  <si>
    <t xml:space="preserve">  Total long-term liabilities</t>
  </si>
  <si>
    <t>Other liabilities/minority interest</t>
  </si>
  <si>
    <t>Deferred income taxes</t>
  </si>
  <si>
    <t>Long-term liabilities</t>
  </si>
  <si>
    <t xml:space="preserve">     Total Current Liabilities</t>
  </si>
  <si>
    <t xml:space="preserve">    Other Cur. Liabs./Checks in excess</t>
  </si>
  <si>
    <t xml:space="preserve">    Accrued Liabilities</t>
  </si>
  <si>
    <t xml:space="preserve">    Current portion of long-term debt</t>
  </si>
  <si>
    <t xml:space="preserve">   Commercial paper and ST borrowings</t>
  </si>
  <si>
    <t>Capital expenditures</t>
  </si>
  <si>
    <t>Cash from Operations</t>
  </si>
  <si>
    <t>Cash At End of Period</t>
  </si>
  <si>
    <t>Cash At Beginning Of Period</t>
  </si>
  <si>
    <t>Net increase (decrease) in cash</t>
  </si>
  <si>
    <t>Effect of Foreign Exchange Changes</t>
  </si>
  <si>
    <t>FY2013A</t>
  </si>
  <si>
    <t>Sep-13A</t>
  </si>
  <si>
    <t>FY 2013A</t>
  </si>
  <si>
    <t>Dec-13A</t>
  </si>
  <si>
    <t>General &amp; Administrative Exp.</t>
  </si>
  <si>
    <t>Operating Margin</t>
  </si>
  <si>
    <t>Operating margin before charges/gains</t>
  </si>
  <si>
    <t>Tax Rate</t>
  </si>
  <si>
    <t>Net Income</t>
  </si>
  <si>
    <t>Year-Over-Year % Change:</t>
  </si>
  <si>
    <t>Retail Sales</t>
  </si>
  <si>
    <t>Revenues Three-Year CAGR</t>
  </si>
  <si>
    <t>Income from equity investees</t>
  </si>
  <si>
    <t>G&amp;A</t>
  </si>
  <si>
    <t>Operating Profit</t>
  </si>
  <si>
    <t>EBITDA Growth</t>
  </si>
  <si>
    <t>EPS</t>
  </si>
  <si>
    <t>EPS Three Year CAGR</t>
  </si>
  <si>
    <t>UNIT SUMMARY</t>
  </si>
  <si>
    <t>Total Stores</t>
  </si>
  <si>
    <t>The Americas</t>
  </si>
  <si>
    <t>EMEA</t>
  </si>
  <si>
    <t>China Asia Pacific</t>
  </si>
  <si>
    <t>Total</t>
  </si>
  <si>
    <t>Y/Y Growth</t>
  </si>
  <si>
    <t>Same-Store Sales</t>
  </si>
  <si>
    <t>Total Company SSS</t>
  </si>
  <si>
    <t>Balance Sheet Data</t>
  </si>
  <si>
    <t>Cash and equivalents</t>
  </si>
  <si>
    <t>Long-Term Debt</t>
  </si>
  <si>
    <t>Net Debt/LTM EBITDA</t>
  </si>
  <si>
    <t>Cash Flow Data</t>
  </si>
  <si>
    <t>Cash from operations</t>
  </si>
  <si>
    <t>Capex</t>
  </si>
  <si>
    <t>FCF (CFO less capex)</t>
  </si>
  <si>
    <t>Source: Morgan Stanley &amp; company reports</t>
  </si>
  <si>
    <t>LTM/NTM Revenues</t>
  </si>
  <si>
    <t>LTM/NTM Operating EPS</t>
  </si>
  <si>
    <t>LTM/NTM G&amp;A</t>
  </si>
  <si>
    <t>TTM EBIT Margin</t>
  </si>
  <si>
    <t>COS w/o depreciation</t>
  </si>
  <si>
    <t>Share Count Calculation</t>
  </si>
  <si>
    <t>Beginning Shares (millions)</t>
  </si>
  <si>
    <t>Avg. Price</t>
  </si>
  <si>
    <t>Price appreciation</t>
  </si>
  <si>
    <t>Shares Purchased (millions)</t>
  </si>
  <si>
    <t>Shares Issued (millions)</t>
  </si>
  <si>
    <t xml:space="preserve">Average Diluted shares outstanding </t>
  </si>
  <si>
    <t>Period end basic shares outstanding</t>
  </si>
  <si>
    <t>Taxes</t>
  </si>
  <si>
    <t>Effective tax rate</t>
  </si>
  <si>
    <t>Statutory tax rate</t>
  </si>
  <si>
    <t xml:space="preserve">    State &amp; local taxes</t>
  </si>
  <si>
    <t xml:space="preserve">    Other, net</t>
  </si>
  <si>
    <t xml:space="preserve">Interest Expense/Income </t>
  </si>
  <si>
    <t>Implied Interest Rate</t>
  </si>
  <si>
    <t xml:space="preserve">  Total Licensed Units</t>
  </si>
  <si>
    <t>US Company SSS</t>
  </si>
  <si>
    <t xml:space="preserve">  Transactions</t>
  </si>
  <si>
    <t xml:space="preserve">  Ticket</t>
  </si>
  <si>
    <t>International Company SSS</t>
  </si>
  <si>
    <t>Sales / Avg. Store (000s)</t>
  </si>
  <si>
    <t xml:space="preserve">   Y/Y Pct. Change</t>
  </si>
  <si>
    <t>Two-year Same-Store Sales</t>
  </si>
  <si>
    <t>NM</t>
  </si>
  <si>
    <t>53 weeks</t>
  </si>
  <si>
    <t>restated</t>
  </si>
  <si>
    <t>Other</t>
  </si>
  <si>
    <t>FY09</t>
  </si>
  <si>
    <t>FY08</t>
  </si>
  <si>
    <t>FY07</t>
  </si>
  <si>
    <t>FY06</t>
  </si>
  <si>
    <t>2013 Y/Y change</t>
  </si>
  <si>
    <t>Mar-19E</t>
  </si>
  <si>
    <t>Jun-19E</t>
  </si>
  <si>
    <t>Sep-19E</t>
  </si>
  <si>
    <t>FY2019E</t>
  </si>
  <si>
    <t>Dec-18E</t>
  </si>
  <si>
    <t>Mar-20E</t>
  </si>
  <si>
    <t>Jun-20E</t>
  </si>
  <si>
    <t>Sep-20E</t>
  </si>
  <si>
    <t>FY2020E</t>
  </si>
  <si>
    <t>Dec-19E</t>
  </si>
  <si>
    <t>CY18E</t>
  </si>
  <si>
    <t>CY 2018</t>
  </si>
  <si>
    <t>CY 2019</t>
  </si>
  <si>
    <t>Sep-14A</t>
  </si>
  <si>
    <t>FY 2014A</t>
  </si>
  <si>
    <t>FY2014A</t>
  </si>
  <si>
    <t>Dec-14A</t>
  </si>
  <si>
    <t>Mar-15A</t>
  </si>
  <si>
    <t>Jun-15A</t>
  </si>
  <si>
    <t>Senior Notes 4.3% - Due June '45</t>
  </si>
  <si>
    <t>Senior Notes 2.7% - Due June '22</t>
  </si>
  <si>
    <t>Loss on extinguishment of debt</t>
  </si>
  <si>
    <t>Sep-15A</t>
  </si>
  <si>
    <t>FY2015A</t>
  </si>
  <si>
    <t xml:space="preserve">  Loss on extinguishment of debt</t>
  </si>
  <si>
    <t>FY 2015A</t>
  </si>
  <si>
    <t>EBITDA Adjustments</t>
  </si>
  <si>
    <t>Dec-15A</t>
  </si>
  <si>
    <t>SBUX.O,mscalc:targetPrice</t>
  </si>
  <si>
    <t>$H$2</t>
  </si>
  <si>
    <t>Mar-16A</t>
  </si>
  <si>
    <r>
      <t xml:space="preserve">EPS Reported </t>
    </r>
    <r>
      <rPr>
        <sz val="8"/>
        <rFont val="Arial"/>
        <family val="2"/>
      </rPr>
      <t>(GAAP)</t>
    </r>
  </si>
  <si>
    <t>Jun-16A</t>
  </si>
  <si>
    <t>Non-recurring (charges)/gains</t>
  </si>
  <si>
    <t>Senior Notes 2.10%- Due Feb. '21</t>
  </si>
  <si>
    <t>Senior Notes 2.45%- Due June '26</t>
  </si>
  <si>
    <t>Average basic shares outstanding</t>
  </si>
  <si>
    <t>Sep-16A</t>
  </si>
  <si>
    <t>FY2016A</t>
  </si>
  <si>
    <t>FY 2016A</t>
  </si>
  <si>
    <t>G&amp;A Detail</t>
  </si>
  <si>
    <t>G&amp;A expenses (GAAP)</t>
  </si>
  <si>
    <t>Normalization of Starbucks Japan G&amp;A expenses</t>
  </si>
  <si>
    <t>Company initiatives</t>
  </si>
  <si>
    <t>Non-routine items</t>
  </si>
  <si>
    <t>Impact of extra week</t>
  </si>
  <si>
    <t>Normalized G&amp;A expense growth</t>
  </si>
  <si>
    <t>Starbucks Japan, transaction &amp; integration</t>
  </si>
  <si>
    <t>Normalized G&amp;A expenses (Non-GAAP) - FY15 Adj</t>
  </si>
  <si>
    <t>Core G&amp;A (Non-GAAP)</t>
  </si>
  <si>
    <t>Dec-16A</t>
  </si>
  <si>
    <t>Cost Of Sales and Opex Per Store</t>
  </si>
  <si>
    <t>Sales Per Store</t>
  </si>
  <si>
    <t>Mar-17A</t>
  </si>
  <si>
    <t>Senior Notes 0.372% - Due Mar. '24</t>
  </si>
  <si>
    <t>Jun-17A</t>
  </si>
  <si>
    <t>1x Items</t>
  </si>
  <si>
    <t>Stored value card liability</t>
  </si>
  <si>
    <t>Breakage income (from stored value cards)</t>
  </si>
  <si>
    <t>Breakage income as % of card liability</t>
  </si>
  <si>
    <t xml:space="preserve">   Cash and equivalents</t>
  </si>
  <si>
    <t>Interest Income &amp; other less: 1x items and breakage income</t>
  </si>
  <si>
    <t>FY 2017A</t>
  </si>
  <si>
    <t>Sep-17A</t>
  </si>
  <si>
    <t>FY2017A</t>
  </si>
  <si>
    <t>Chris Carril (617) 856-8750</t>
  </si>
  <si>
    <t>FY19E</t>
  </si>
  <si>
    <t>CY19E</t>
  </si>
  <si>
    <t>72</t>
  </si>
  <si>
    <t>CY18</t>
  </si>
  <si>
    <t>CY19</t>
  </si>
  <si>
    <t>3yr ('17/'14) CAGR</t>
  </si>
  <si>
    <t>FY17</t>
  </si>
  <si>
    <t>Chris Carril</t>
  </si>
  <si>
    <t>(617) 856-8750</t>
  </si>
  <si>
    <t>christopher.carril@morganstanley.com</t>
  </si>
  <si>
    <t>Dec-17A</t>
  </si>
  <si>
    <t xml:space="preserve">could insrt this </t>
  </si>
  <si>
    <t>MSA12568</t>
  </si>
  <si>
    <t>Research</t>
  </si>
  <si>
    <t>e = Morgan Stanley Research estimates unless otherwise noted</t>
  </si>
  <si>
    <t>Source: Morgan Stanley Research unless otherwise noted</t>
  </si>
  <si>
    <t>Stocks ratings are relative to the analyst's industry coverage universe.</t>
  </si>
  <si>
    <t>1585 Broadway</t>
  </si>
  <si>
    <t>New York, NY  10036-8293</t>
  </si>
  <si>
    <t>Tel: +1 (1)212 761 4000</t>
  </si>
  <si>
    <t>Authors: John Glass</t>
  </si>
  <si>
    <t>Date: 16 Apr 2018</t>
  </si>
  <si>
    <t>Ticker: SBUX.O</t>
  </si>
  <si>
    <t>Stock Rating: Overweight</t>
  </si>
  <si>
    <t>Industry: Restaurants</t>
  </si>
  <si>
    <t>Industry View: In-Line</t>
  </si>
  <si>
    <t>Price as of 16 Apr 2018: 59.36</t>
  </si>
  <si>
    <t>Target Price: 72</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</si>
  <si>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</si>
  <si>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</si>
  <si>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</si>
  <si>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</si>
  <si>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Starbucks Corp..</t>
  </si>
  <si>
    <t>STOCK RATINGS</t>
  </si>
  <si>
    <t>Global Stock Ratings Distribution</t>
  </si>
  <si>
    <t>(as of March 31, 2018)</t>
  </si>
  <si>
    <t>Coverage Universe</t>
  </si>
  <si>
    <t>Investment Banking Clients (IBC)</t>
  </si>
  <si>
    <t>Other Material Investment Services Clients (MISC)</t>
  </si>
  <si>
    <t>Stock Rating Category</t>
  </si>
  <si>
    <t>% of Total</t>
  </si>
  <si>
    <t>% of Total IBC</t>
  </si>
  <si>
    <t>% of Rating Category</t>
  </si>
  <si>
    <t>% of Total Other MISC</t>
  </si>
  <si>
    <t>Overweight/Buy</t>
  </si>
  <si>
    <t>Equal-weight/Hold</t>
  </si>
  <si>
    <t>Not-Rated/Hold</t>
  </si>
  <si>
    <t>Underweight/Sell</t>
  </si>
  <si>
    <t>Analyst Stock Ratings</t>
  </si>
  <si>
    <t>Analyst Industry Views</t>
  </si>
  <si>
    <t>.</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</si>
  <si>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</si>
  <si>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</si>
  <si>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</si>
  <si>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</si>
  <si>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</si>
  <si>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</si>
  <si>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</si>
  <si>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</si>
  <si>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</si>
  <si>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</si>
  <si>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</si>
  <si>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</si>
  <si>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</si>
  <si>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</si>
  <si>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</si>
  <si>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</si>
  <si>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</si>
  <si>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</si>
  <si>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</si>
  <si>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</si>
  <si>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</si>
  <si>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</si>
  <si>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</si>
  <si>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</si>
  <si>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</si>
  <si>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</si>
  <si>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</si>
  <si>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</si>
  <si>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</si>
  <si>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</si>
  <si>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</si>
  <si>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</si>
  <si>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</si>
  <si>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</si>
  <si>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</si>
  <si>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</si>
  <si>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</si>
  <si>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</si>
  <si>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</si>
  <si>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</si>
  <si>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</si>
  <si>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</si>
  <si>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</si>
  <si>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</si>
  <si>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</si>
  <si>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</si>
  <si>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</si>
  <si>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</si>
  <si>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</si>
  <si>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</si>
  <si>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</si>
  <si>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</si>
  <si>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</si>
  <si>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</si>
  <si>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</si>
  <si>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</si>
  <si>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</si>
  <si>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</si>
  <si>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</si>
  <si>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</si>
  <si>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</si>
  <si>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</si>
  <si>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</si>
  <si>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</si>
  <si>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</si>
  <si>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</si>
  <si>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</si>
  <si>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</si>
  <si>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</si>
  <si>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</si>
  <si>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</si>
  <si>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</si>
  <si>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</si>
  <si>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</si>
  <si>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</si>
  <si>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</si>
  <si>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</si>
  <si>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</si>
  <si>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</si>
  <si>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</si>
  <si>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</si>
  <si>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</si>
  <si>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</si>
  <si>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</si>
  <si>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</si>
  <si>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</si>
  <si>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</si>
  <si>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</si>
  <si>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</si>
  <si>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</si>
  <si>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</si>
  <si>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</si>
  <si>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</si>
  <si>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</si>
  <si>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</si>
  <si>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</si>
  <si>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</si>
  <si>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</si>
  <si>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</si>
  <si>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</si>
  <si>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</si>
  <si>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</si>
  <si>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</si>
  <si>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</si>
  <si>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</si>
  <si>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</si>
  <si>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</si>
  <si>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</si>
  <si>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</si>
  <si>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</si>
  <si>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</si>
  <si>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</si>
  <si>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</si>
  <si>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</si>
  <si>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</si>
  <si>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</si>
  <si>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</si>
  <si>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</si>
  <si>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</si>
  <si>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</si>
  <si>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</si>
  <si>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</si>
  <si>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</si>
  <si>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</si>
  <si>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</si>
  <si>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</si>
  <si>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</si>
  <si>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</si>
  <si>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</si>
  <si>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</si>
  <si>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</si>
  <si>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</si>
  <si>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</si>
  <si>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</si>
  <si>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</si>
  <si>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</si>
  <si>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</si>
  <si>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</si>
  <si>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</si>
  <si>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</si>
  <si>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</si>
  <si>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</si>
  <si>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</si>
  <si>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</si>
  <si>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</si>
  <si>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</si>
  <si>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</si>
  <si>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</si>
  <si>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</si>
  <si>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</si>
  <si>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</si>
  <si>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</si>
  <si>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</si>
  <si>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</si>
  <si>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</si>
  <si>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</si>
  <si>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</si>
  <si>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&amp; Co. International PLC and its affiliates have a significant financial interest in the</t>
  </si>
  <si>
    <t>debt securities of Starbucks Corp..</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</si>
  <si>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</si>
  <si>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</si>
  <si>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</si>
  <si>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</si>
  <si>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</si>
  <si>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</si>
  <si>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</si>
  <si>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</si>
  <si>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</si>
  <si>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</si>
  <si>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</si>
  <si>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</si>
  <si>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</si>
  <si>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</si>
  <si>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</si>
  <si>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</si>
  <si>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</si>
  <si>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</si>
  <si>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</si>
  <si>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</si>
  <si>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</si>
  <si>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</si>
  <si>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</si>
  <si>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</si>
  <si>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</si>
  <si>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</si>
  <si>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</si>
  <si>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</si>
  <si>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</si>
  <si>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</si>
  <si>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</si>
  <si>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</si>
  <si>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</si>
  <si>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</si>
  <si>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</si>
  <si>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</si>
  <si>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</si>
  <si>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</si>
  <si>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</si>
  <si>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</si>
  <si>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</si>
  <si>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</si>
  <si>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</si>
  <si>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</si>
  <si>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</si>
  <si>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</si>
  <si>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</si>
  <si>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</si>
  <si>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</si>
  <si>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</si>
  <si>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</si>
  <si>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</si>
  <si>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</si>
  <si>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</si>
  <si>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</si>
  <si>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</si>
  <si>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</si>
  <si>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</si>
  <si>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</si>
  <si>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</si>
  <si>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</si>
  <si>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</si>
  <si>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</si>
  <si>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</si>
  <si>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</si>
  <si>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</si>
  <si>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Within the last 12 months, Morgan Stanley has either provided or is providing non-investment banking,</t>
  </si>
  <si>
    <t>securities-related services to and/or in the past has entered into an agreement to provide services or</t>
  </si>
  <si>
    <t>has a client relationship with the following company: Starbucks Corp..</t>
  </si>
  <si>
    <t>Within the last 12 months, Morgan Stanley has provided or is providing investment banking services to,</t>
  </si>
  <si>
    <t>or has an investment banking client relationship with, the following company: Starbucks Corp..</t>
  </si>
  <si>
    <t>Within the last 12 months, Morgan Stanley has received compensation for products and services other than</t>
  </si>
  <si>
    <t>investment banking services from Starbucks Corp..</t>
  </si>
  <si>
    <t>In the next 3 months, Morgan Stanley expects to receive or intends to seek compensation for investment</t>
  </si>
  <si>
    <t>banking services from Starbucks Corp..</t>
  </si>
  <si>
    <t>Within the last 12 months, Morgan Stanley has received compensation for investment banking services from</t>
  </si>
  <si>
    <t>Starbucks Corp..</t>
  </si>
  <si>
    <t>Within the last 12 months, Morgan Stanley managed or co-managed a public offering (or 144A offering) of</t>
  </si>
  <si>
    <t>securities of Starbucks Corp..</t>
  </si>
  <si>
    <t>As of March 29, 2018, Morgan Stanley beneficially owned 1% or more of a class of common equity</t>
  </si>
  <si>
    <t>securities of the following companies covered in Morgan Stanley Research: Starbucks Corp..</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</si>
  <si>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</si>
  <si>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</si>
  <si>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</si>
  <si>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</si>
  <si>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</si>
  <si>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John Glass.</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</si>
  <si>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</si>
  <si>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</si>
  <si>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</si>
  <si>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</si>
  <si>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</si>
  <si>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</si>
  <si>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</si>
  <si>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</si>
  <si>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</si>
  <si>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</si>
  <si>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</si>
  <si>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</si>
  <si>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</si>
  <si>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</si>
  <si>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</si>
  <si>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</si>
  <si>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</si>
  <si>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</si>
  <si>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</si>
  <si>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</si>
  <si>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</si>
  <si>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</si>
  <si>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</si>
  <si>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</si>
  <si>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DocType</t>
  </si>
  <si>
    <t>Model</t>
  </si>
  <si>
    <t>SubjectCode</t>
  </si>
  <si>
    <t>Description</t>
  </si>
  <si>
    <t>KeepVersions</t>
  </si>
  <si>
    <t>All</t>
  </si>
  <si>
    <t>Rating</t>
  </si>
  <si>
    <t>CurrYearTotalRevenue*</t>
  </si>
  <si>
    <t>CurrYearEPS*</t>
  </si>
  <si>
    <t>NextYearTotalRevenue*</t>
  </si>
  <si>
    <t>NextYearEPS*</t>
  </si>
  <si>
    <t>FollowingYearTotalRevenue*</t>
  </si>
  <si>
    <t>FollowingYearEPS*</t>
  </si>
  <si>
    <t>5YearGrowthRate</t>
  </si>
  <si>
    <t>UpdateReason</t>
  </si>
  <si>
    <t>Authors</t>
  </si>
  <si>
    <t>Tickers</t>
  </si>
  <si>
    <t>CUSIP</t>
  </si>
  <si>
    <t>RIC</t>
  </si>
  <si>
    <t>SEDOL</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</si>
  <si>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</si>
  <si>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</si>
  <si>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</si>
  <si>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</si>
  <si>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</si>
  <si>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</si>
  <si>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</si>
  <si>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</si>
  <si>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</si>
  <si>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</si>
  <si>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</si>
  <si>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</si>
  <si>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</si>
  <si>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</si>
  <si>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</si>
  <si>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</si>
  <si>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</si>
  <si>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</si>
  <si>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</si>
  <si>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</si>
  <si>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</si>
  <si>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</si>
  <si>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</si>
  <si>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Overweight / In-Line</t>
  </si>
  <si>
    <t>Regular Update</t>
  </si>
  <si>
    <t>NorthAmerica</t>
  </si>
  <si>
    <t>carrichr</t>
  </si>
  <si>
    <t>L:\RESTAURANTS\Restaurant\MODELS\SBUX - MS.xlsx</t>
  </si>
  <si>
    <t>[BRO MSA]</t>
  </si>
  <si>
    <t>[PRODUCT MODEL]</t>
  </si>
  <si>
    <t>[EMAIL_ALERT YES]</t>
  </si>
  <si>
    <t>[DISCIPLINE Company]</t>
  </si>
  <si>
    <t>[SUPPRESSED NO]</t>
  </si>
  <si>
    <t>[DOCDAT 2018-04-16]</t>
  </si>
  <si>
    <t>[DOCTIME 10:52]</t>
  </si>
  <si>
    <t>[PSYM SBUX.O(S&amp;P) (None)]</t>
  </si>
  <si>
    <t>[COU 1]</t>
  </si>
  <si>
    <t>[ANA ]</t>
  </si>
  <si>
    <t>[HL SBUX.O Model]</t>
  </si>
  <si>
    <t>[IND RESTLG]</t>
  </si>
  <si>
    <t>[PANA MSA12568]</t>
  </si>
</sst>
</file>

<file path=xl/styles.xml><?xml version="1.0" encoding="utf-8"?>
<styleSheet xmlns="http://schemas.openxmlformats.org/spreadsheetml/2006/main" xmlns:mc="http://schemas.openxmlformats.org/markup-compatibility/2006" xmlns:x14ac="http://schemas.microsoft.com/office/spreadsheetml/2009/9/ac" mc:Ignorable="x14ac">
  <numFmts count="33">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6" formatCode="0.0"/>
    <numFmt numFmtId="167" formatCode="&quot;$&quot;#,##0.0_);\(&quot;$&quot;#,##0.0\)"/>
    <numFmt numFmtId="168" formatCode="0.0%"/>
    <numFmt numFmtId="169" formatCode="0.0\x"/>
    <numFmt numFmtId="171" formatCode="&quot;$&quot;#,##0.0"/>
    <numFmt numFmtId="173" formatCode="&quot;$&quot;#,##0.0_);[Red]\(&quot;$&quot;#,##0.0\)"/>
    <numFmt numFmtId="174" formatCode="0.000_);\(0.000\)"/>
    <numFmt numFmtId="176" formatCode="&quot;$&quot;#,##0.000_);[Red]\(&quot;$&quot;#,##0.000\)"/>
    <numFmt numFmtId="177" formatCode="0.000%"/>
    <numFmt numFmtId="178" formatCode="_(* #,##0_);_(* \(#,##0\);_(* &quot;-&quot;??_);_(@_)"/>
    <numFmt numFmtId="179" formatCode="_(* #,##0.0_);_(* \(#,##0.0\);_(* &quot;-&quot;??_);_(@_)"/>
    <numFmt numFmtId="183" formatCode="#,##0.0_);\(#,##0.0\)"/>
    <numFmt numFmtId="184" formatCode="[$-409]mmm\-yy;@"/>
    <numFmt numFmtId="185" formatCode="0.0_);\(0.0\)"/>
    <numFmt numFmtId="187" formatCode="#,##0.0_);[Red]\(#,##0.0\)"/>
    <numFmt numFmtId="189" formatCode="#,##0.0"/>
    <numFmt numFmtId="190" formatCode="_(* #,##0.0000_);_(* \(#,##0.0000\);_(* &quot;-&quot;??_);_(@_)"/>
    <numFmt numFmtId="192" formatCode="0.00\X"/>
    <numFmt numFmtId="193" formatCode="&quot;$&quot;#,##0.0;[Red]&quot;$&quot;#,##0.0"/>
    <numFmt numFmtId="223" formatCode="mm/dd/yy;@"/>
    <numFmt numFmtId="227" formatCode="0.00\x"/>
    <numFmt numFmtId="231" formatCode="_(* #,##0.000_);_(* \(#,##0.000\);_(* &quot;-&quot;??_);_(@_)"/>
    <numFmt numFmtId="233" formatCode="mmmm\ d\,\ yyyy"/>
    <numFmt numFmtId="234" formatCode="#,##0;\-#,##0;&quot;-&quot;"/>
    <numFmt numFmtId="235" formatCode="&quot;$&quot;#,##0.0000_);\(&quot;$&quot;#,##0.0000\)"/>
    <numFmt numFmtId="237" formatCode="mm/dd/yy"/>
    <numFmt numFmtId="243" formatCode="mm/dd/yy\ hh:mm"/>
  </numFmts>
  <fonts count="78" x14ac:knownFonts="1">
    <font>
      <sz val="10"/>
      <name val="Arial"/>
    </font>
    <font>
      <sz val="11"/>
      <color theme="1"/>
      <name val="Calibri"/>
      <family val="2"/>
      <scheme val="minor"/>
    </font>
    <font>
      <sz val="10"/>
      <name val="Arial"/>
      <family val="2"/>
    </font>
    <font>
      <sz val="8"/>
      <name val="Arial"/>
      <family val="2"/>
    </font>
    <font>
      <b/>
      <sz val="8"/>
      <name val="Arial"/>
      <family val="2"/>
    </font>
    <font>
      <i/>
      <sz val="8"/>
      <name val="Arial"/>
      <family val="2"/>
    </font>
    <font>
      <sz val="8"/>
      <color indexed="81"/>
      <name val="Tahoma"/>
      <family val="2"/>
    </font>
    <font>
      <b/>
      <sz val="8"/>
      <color indexed="81"/>
      <name val="Tahoma"/>
      <family val="2"/>
    </font>
    <font>
      <b/>
      <sz val="8"/>
      <name val="Arial"/>
      <family val="2"/>
    </font>
    <font>
      <sz val="8"/>
      <name val="Arial"/>
      <family val="2"/>
    </font>
    <font>
      <b/>
      <sz val="8"/>
      <color indexed="12"/>
      <name val="Arial"/>
      <family val="2"/>
    </font>
    <font>
      <u/>
      <sz val="8"/>
      <name val="Arial"/>
      <family val="2"/>
    </font>
    <font>
      <b/>
      <i/>
      <sz val="8"/>
      <name val="Arial"/>
      <family val="2"/>
    </font>
    <font>
      <b/>
      <sz val="10"/>
      <name val="Arial"/>
      <family val="2"/>
    </font>
    <font>
      <sz val="8"/>
      <color indexed="12"/>
      <name val="Arial"/>
      <family val="2"/>
    </font>
    <font>
      <b/>
      <sz val="8"/>
      <color indexed="12"/>
      <name val="Arial"/>
      <family val="2"/>
    </font>
    <font>
      <i/>
      <sz val="8"/>
      <color indexed="12"/>
      <name val="Arial"/>
      <family val="2"/>
    </font>
    <font>
      <b/>
      <sz val="12"/>
      <name val="Arial"/>
      <family val="2"/>
    </font>
    <font>
      <sz val="8"/>
      <color indexed="12"/>
      <name val="Arial"/>
      <family val="2"/>
    </font>
    <font>
      <sz val="8"/>
      <color indexed="10"/>
      <name val="Arial"/>
      <family val="2"/>
    </font>
    <font>
      <u/>
      <sz val="8"/>
      <color indexed="12"/>
      <name val="Arial"/>
      <family val="2"/>
    </font>
    <font>
      <sz val="10"/>
      <name val="MS Sans Serif"/>
      <family val="2"/>
    </font>
    <font>
      <b/>
      <sz val="10"/>
      <color indexed="8"/>
      <name val="Times New Roman"/>
      <family val="1"/>
    </font>
    <font>
      <sz val="9"/>
      <name val="Times New Roman"/>
      <family val="1"/>
    </font>
    <font>
      <sz val="10"/>
      <name val="Arial"/>
      <family val="2"/>
    </font>
    <font>
      <sz val="10"/>
      <color indexed="8"/>
      <name val="Times New Roman"/>
      <family val="1"/>
    </font>
    <font>
      <i/>
      <sz val="8"/>
      <name val="Times New Roman"/>
      <family val="1"/>
    </font>
    <font>
      <b/>
      <u/>
      <sz val="8"/>
      <color indexed="12"/>
      <name val="Arial"/>
      <family val="2"/>
    </font>
    <font>
      <b/>
      <sz val="14"/>
      <name val="Arial"/>
      <family val="2"/>
    </font>
    <font>
      <i/>
      <sz val="8"/>
      <color indexed="12"/>
      <name val="Arial"/>
      <family val="2"/>
    </font>
    <font>
      <i/>
      <sz val="8"/>
      <name val="Arial"/>
      <family val="2"/>
    </font>
    <font>
      <i/>
      <sz val="10"/>
      <name val="Arial"/>
      <family val="2"/>
    </font>
    <font>
      <b/>
      <sz val="9"/>
      <name val="Arial"/>
      <family val="2"/>
    </font>
    <font>
      <sz val="10"/>
      <name val="Courier"/>
      <family val="3"/>
    </font>
    <font>
      <b/>
      <sz val="8"/>
      <color indexed="8"/>
      <name val="Arial"/>
      <family val="2"/>
    </font>
    <font>
      <u/>
      <sz val="8"/>
      <name val="Arial"/>
      <family val="2"/>
    </font>
    <font>
      <b/>
      <sz val="9"/>
      <color indexed="81"/>
      <name val="Tahoma"/>
      <family val="2"/>
    </font>
    <font>
      <sz val="9"/>
      <color indexed="81"/>
      <name val="Tahoma"/>
      <family val="2"/>
    </font>
    <font>
      <sz val="11"/>
      <name val="Arial"/>
      <family val="2"/>
    </font>
    <font>
      <b/>
      <u/>
      <sz val="8"/>
      <name val="Arial"/>
      <family val="2"/>
    </font>
    <font>
      <b/>
      <sz val="12"/>
      <name val="Arial"/>
      <family val="2"/>
    </font>
    <font>
      <u/>
      <sz val="8"/>
      <color indexed="81"/>
      <name val="Tahoma"/>
      <family val="2"/>
    </font>
    <font>
      <sz val="10"/>
      <name val="Arial"/>
      <family val="2"/>
    </font>
    <font>
      <u val="singleAccounting"/>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u val="singleAccounting"/>
      <sz val="8"/>
      <name val="Arial"/>
      <family val="2"/>
    </font>
    <font>
      <sz val="10"/>
      <color indexed="8"/>
      <name val="Arial"/>
      <family val="2"/>
    </font>
    <font>
      <sz val="10"/>
      <name val="MS Serif"/>
      <family val="1"/>
    </font>
    <font>
      <sz val="10"/>
      <color indexed="16"/>
      <name val="MS Serif"/>
      <family val="1"/>
    </font>
    <font>
      <sz val="8"/>
      <name val="Helv"/>
    </font>
    <font>
      <b/>
      <sz val="8"/>
      <color indexed="8"/>
      <name val="Helv"/>
    </font>
    <font>
      <b/>
      <sz val="8"/>
      <color theme="1"/>
      <name val="Arial"/>
      <family val="2"/>
    </font>
    <font>
      <sz val="8"/>
      <color theme="1"/>
      <name val="Arial"/>
      <family val="2"/>
    </font>
    <font>
      <u/>
      <sz val="8"/>
      <color theme="1"/>
      <name val="Arial"/>
      <family val="2"/>
    </font>
    <font>
      <i/>
      <sz val="8"/>
      <color theme="1"/>
      <name val="Arial"/>
      <family val="2"/>
    </font>
    <font>
      <sz val="10"/>
      <color theme="1"/>
      <name val="Arial"/>
      <family val="2"/>
    </font>
    <font>
      <u val="singleAccounting"/>
      <sz val="8"/>
      <color theme="1"/>
      <name val="Arial"/>
      <family val="2"/>
    </font>
    <font>
      <sz val="10"/>
      <name val="Arial"/>
      <family val="2"/>
    </font>
    <font>
      <u/>
      <sz val="10"/>
      <color theme="10"/>
      <name val="Arial"/>
      <family val="2"/>
    </font>
    <font>
      <u/>
      <sz val="8"/>
      <color theme="10"/>
      <name val="Arial"/>
      <family val="2"/>
    </font>
    <font>
      <sz val="10"/>
      <color rgb="FF000000"/>
      <name val="Arial"/>
      <family val="2"/>
    </font>
    <font>
      <b/>
      <sz val="12"/>
      <color rgb="FF000080"/>
      <name val="Arial"/>
      <family val="2"/>
    </font>
  </fonts>
  <fills count="22">
    <fill>
      <patternFill patternType="none"/>
    </fill>
    <fill>
      <patternFill patternType="gray125"/>
    </fill>
    <fill>
      <patternFill patternType="solid">
        <fgColor indexed="27"/>
      </patternFill>
    </fill>
    <fill>
      <patternFill patternType="solid">
        <fgColor indexed="47"/>
      </patternFill>
    </fill>
    <fill>
      <patternFill patternType="solid">
        <fgColor indexed="29"/>
      </patternFill>
    </fill>
    <fill>
      <patternFill patternType="solid">
        <fgColor indexed="9"/>
      </patternFill>
    </fill>
    <fill>
      <patternFill patternType="solid">
        <fgColor indexed="28"/>
      </patternFill>
    </fill>
    <fill>
      <patternFill patternType="solid">
        <fgColor indexed="22"/>
      </patternFill>
    </fill>
    <fill>
      <patternFill patternType="solid">
        <fgColor indexed="49"/>
      </patternFill>
    </fill>
    <fill>
      <patternFill patternType="solid">
        <fgColor indexed="26"/>
      </patternFill>
    </fill>
    <fill>
      <patternFill patternType="solid">
        <fgColor indexed="54"/>
      </patternFill>
    </fill>
    <fill>
      <patternFill patternType="solid">
        <fgColor indexed="30"/>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43"/>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indexed="65"/>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49"/>
      </bottom>
      <diagonal/>
    </border>
    <border>
      <left/>
      <right/>
      <top/>
      <bottom style="thick">
        <color indexed="27"/>
      </bottom>
      <diagonal/>
    </border>
    <border>
      <left/>
      <right/>
      <top/>
      <bottom style="medium">
        <color indexed="27"/>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8"/>
      </bottom>
      <diagonal/>
    </border>
    <border>
      <left/>
      <right/>
      <top style="thin">
        <color indexed="49"/>
      </top>
      <bottom style="double">
        <color indexed="49"/>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style="thin">
        <color indexed="8"/>
      </right>
      <top/>
      <bottom/>
      <diagonal/>
    </border>
    <border>
      <left style="thin">
        <color indexed="8"/>
      </left>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116">
    <xf numFmtId="0" fontId="0" fillId="0" borderId="0"/>
    <xf numFmtId="0" fontId="42" fillId="0" borderId="0"/>
    <xf numFmtId="0" fontId="2" fillId="0" borderId="0"/>
    <xf numFmtId="0" fontId="21" fillId="0" borderId="0"/>
    <xf numFmtId="0" fontId="21" fillId="0" borderId="0"/>
    <xf numFmtId="0" fontId="44" fillId="2"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2" borderId="0" applyNumberFormat="0" applyBorder="0" applyAlignment="0" applyProtection="0"/>
    <xf numFmtId="0" fontId="44" fillId="6" borderId="0" applyNumberFormat="0" applyBorder="0" applyAlignment="0" applyProtection="0"/>
    <xf numFmtId="0" fontId="44" fillId="4" borderId="0" applyNumberFormat="0" applyBorder="0" applyAlignment="0" applyProtection="0"/>
    <xf numFmtId="0" fontId="44" fillId="7"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5" fillId="2" borderId="0" applyNumberFormat="0" applyBorder="0" applyAlignment="0" applyProtection="0"/>
    <xf numFmtId="0" fontId="45" fillId="6" borderId="0" applyNumberFormat="0" applyBorder="0" applyAlignment="0" applyProtection="0"/>
    <xf numFmtId="0" fontId="45" fillId="4" borderId="0" applyNumberFormat="0" applyBorder="0" applyAlignment="0" applyProtection="0"/>
    <xf numFmtId="0" fontId="45" fillId="7" borderId="0" applyNumberFormat="0" applyBorder="0" applyAlignment="0" applyProtection="0"/>
    <xf numFmtId="0" fontId="45" fillId="2" borderId="0" applyNumberFormat="0" applyBorder="0" applyAlignment="0" applyProtection="0"/>
    <xf numFmtId="0" fontId="45" fillId="3" borderId="0" applyNumberFormat="0" applyBorder="0" applyAlignment="0" applyProtection="0"/>
    <xf numFmtId="0" fontId="45" fillId="8" borderId="0" applyNumberFormat="0" applyBorder="0" applyAlignment="0" applyProtection="0"/>
    <xf numFmtId="0" fontId="45" fillId="6"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8" borderId="0" applyNumberFormat="0" applyBorder="0" applyAlignment="0" applyProtection="0"/>
    <xf numFmtId="0" fontId="45" fillId="6" borderId="0" applyNumberFormat="0" applyBorder="0" applyAlignment="0" applyProtection="0"/>
    <xf numFmtId="0" fontId="46" fillId="11" borderId="0" applyNumberFormat="0" applyBorder="0" applyAlignment="0" applyProtection="0"/>
    <xf numFmtId="0" fontId="22" fillId="0" borderId="0"/>
    <xf numFmtId="234" fontId="62" fillId="0" borderId="0" applyFill="0" applyBorder="0" applyAlignment="0"/>
    <xf numFmtId="0" fontId="47" fillId="5" borderId="1" applyNumberFormat="0" applyAlignment="0" applyProtection="0"/>
    <xf numFmtId="0" fontId="48" fillId="12" borderId="2" applyNumberFormat="0" applyAlignment="0" applyProtection="0"/>
    <xf numFmtId="43" fontId="2"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0" fontId="63" fillId="0" borderId="0" applyNumberFormat="0" applyAlignment="0">
      <alignment horizontal="left"/>
    </xf>
    <xf numFmtId="44" fontId="2" fillId="0" borderId="0" applyFont="0" applyFill="0" applyBorder="0" applyAlignment="0" applyProtection="0"/>
    <xf numFmtId="44" fontId="24" fillId="0" borderId="0" applyFont="0" applyFill="0" applyBorder="0" applyAlignment="0" applyProtection="0"/>
    <xf numFmtId="0" fontId="64" fillId="0" borderId="0" applyNumberFormat="0" applyAlignment="0">
      <alignment horizontal="left"/>
    </xf>
    <xf numFmtId="0" fontId="49" fillId="0" borderId="0" applyNumberFormat="0" applyFill="0" applyBorder="0" applyAlignment="0" applyProtection="0"/>
    <xf numFmtId="0" fontId="50" fillId="4" borderId="0" applyNumberFormat="0" applyBorder="0" applyAlignment="0" applyProtection="0"/>
    <xf numFmtId="38" fontId="3" fillId="13" borderId="0" applyNumberFormat="0" applyBorder="0" applyAlignment="0" applyProtection="0"/>
    <xf numFmtId="0" fontId="17" fillId="0" borderId="3" applyNumberFormat="0" applyAlignment="0" applyProtection="0">
      <alignment horizontal="left" vertical="center"/>
    </xf>
    <xf numFmtId="0" fontId="17" fillId="0" borderId="4">
      <alignment horizontal="left" vertical="center"/>
    </xf>
    <xf numFmtId="0" fontId="51" fillId="0" borderId="5" applyNumberFormat="0" applyFill="0" applyAlignment="0" applyProtection="0"/>
    <xf numFmtId="0" fontId="52" fillId="0" borderId="6" applyNumberFormat="0" applyFill="0" applyAlignment="0" applyProtection="0"/>
    <xf numFmtId="0" fontId="53" fillId="0" borderId="7" applyNumberFormat="0" applyFill="0" applyAlignment="0" applyProtection="0"/>
    <xf numFmtId="0" fontId="53" fillId="0" borderId="0" applyNumberFormat="0" applyFill="0" applyBorder="0" applyAlignment="0" applyProtection="0"/>
    <xf numFmtId="0" fontId="54" fillId="3" borderId="1" applyNumberFormat="0" applyAlignment="0" applyProtection="0"/>
    <xf numFmtId="10" fontId="3" fillId="14" borderId="8" applyNumberFormat="0" applyBorder="0" applyAlignment="0" applyProtection="0"/>
    <xf numFmtId="0" fontId="55" fillId="0" borderId="9" applyNumberFormat="0" applyFill="0" applyAlignment="0" applyProtection="0"/>
    <xf numFmtId="0" fontId="56" fillId="15" borderId="0" applyNumberFormat="0" applyBorder="0" applyAlignment="0" applyProtection="0"/>
    <xf numFmtId="233"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38"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 fillId="0" borderId="0"/>
    <xf numFmtId="0" fontId="24" fillId="15" borderId="10" applyNumberFormat="0" applyFont="0" applyAlignment="0" applyProtection="0"/>
    <xf numFmtId="0" fontId="57" fillId="5" borderId="11" applyNumberFormat="0" applyAlignment="0" applyProtection="0"/>
    <xf numFmtId="0" fontId="23" fillId="0" borderId="0">
      <alignment vertical="center"/>
    </xf>
    <xf numFmtId="9" fontId="2" fillId="0" borderId="0" applyFont="0" applyFill="0" applyBorder="0" applyAlignment="0" applyProtection="0"/>
    <xf numFmtId="10" fontId="24" fillId="0" borderId="0" applyFont="0" applyFill="0" applyBorder="0" applyAlignment="0" applyProtection="0"/>
    <xf numFmtId="14" fontId="65" fillId="0" borderId="0" applyNumberFormat="0" applyFill="0" applyBorder="0" applyAlignment="0" applyProtection="0">
      <alignment horizontal="left"/>
    </xf>
    <xf numFmtId="0" fontId="24" fillId="16" borderId="0" applyNumberFormat="0" applyFont="0" applyBorder="0" applyAlignment="0" applyProtection="0"/>
    <xf numFmtId="0" fontId="25" fillId="0" borderId="0"/>
    <xf numFmtId="0" fontId="25" fillId="0" borderId="12">
      <alignment horizontal="centerContinuous"/>
    </xf>
    <xf numFmtId="0" fontId="26" fillId="0" borderId="12"/>
    <xf numFmtId="40" fontId="66" fillId="0" borderId="0" applyBorder="0">
      <alignment horizontal="right"/>
    </xf>
    <xf numFmtId="0" fontId="58" fillId="0" borderId="0" applyNumberFormat="0" applyFill="0" applyBorder="0" applyAlignment="0" applyProtection="0"/>
    <xf numFmtId="0" fontId="59" fillId="0" borderId="13" applyNumberFormat="0" applyFill="0" applyAlignment="0" applyProtection="0"/>
    <xf numFmtId="0" fontId="60" fillId="0" borderId="0" applyNumberFormat="0" applyFill="0" applyBorder="0" applyAlignment="0" applyProtection="0"/>
    <xf numFmtId="0" fontId="2" fillId="0" borderId="0"/>
    <xf numFmtId="0" fontId="2" fillId="16" borderId="0" applyNumberFormat="0" applyFont="0" applyBorder="0" applyAlignment="0" applyProtection="0"/>
    <xf numFmtId="44" fontId="73" fillId="0" borderId="0" applyFont="0" applyFill="0" applyBorder="0" applyAlignment="0" applyProtection="0"/>
    <xf numFmtId="0" fontId="1" fillId="0" borderId="0"/>
    <xf numFmtId="9" fontId="1"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233" fontId="2" fillId="0" borderId="0"/>
    <xf numFmtId="0" fontId="2" fillId="0" borderId="0"/>
    <xf numFmtId="10" fontId="2" fillId="0" borderId="0" applyFont="0" applyFill="0" applyBorder="0" applyAlignment="0" applyProtection="0"/>
    <xf numFmtId="237" fontId="65" fillId="0" borderId="0" applyNumberFormat="0" applyFill="0" applyBorder="0" applyAlignment="0" applyProtection="0">
      <alignment horizontal="left"/>
    </xf>
    <xf numFmtId="0" fontId="74" fillId="0" borderId="0" applyNumberFormat="0" applyFill="0" applyBorder="0" applyAlignment="0" applyProtection="0"/>
    <xf numFmtId="0" fontId="33" fillId="0" borderId="0"/>
  </cellStyleXfs>
  <cellXfs count="1026">
    <xf numFmtId="0" fontId="0" fillId="0" borderId="0" xfId="0"/>
    <xf numFmtId="0" fontId="3" fillId="0" borderId="0" xfId="1" applyFont="1"/>
    <xf numFmtId="0" fontId="3" fillId="0" borderId="14" xfId="1" applyFont="1" applyBorder="1"/>
    <xf numFmtId="0" fontId="3" fillId="0" borderId="4" xfId="1" applyFont="1" applyBorder="1"/>
    <xf numFmtId="17" fontId="4" fillId="13" borderId="4" xfId="1" applyNumberFormat="1" applyFont="1" applyFill="1" applyBorder="1"/>
    <xf numFmtId="0" fontId="3" fillId="0" borderId="8" xfId="1" applyFont="1" applyBorder="1"/>
    <xf numFmtId="0" fontId="4" fillId="13" borderId="8" xfId="1" quotePrefix="1" applyFont="1" applyFill="1" applyBorder="1"/>
    <xf numFmtId="0" fontId="5" fillId="0" borderId="0" xfId="1" applyFont="1"/>
    <xf numFmtId="0" fontId="8" fillId="0" borderId="8" xfId="1" applyFont="1" applyBorder="1"/>
    <xf numFmtId="0" fontId="3" fillId="13" borderId="15" xfId="1" applyFont="1" applyFill="1" applyBorder="1"/>
    <xf numFmtId="0" fontId="3" fillId="13" borderId="4" xfId="1" applyFont="1" applyFill="1" applyBorder="1"/>
    <xf numFmtId="0" fontId="3" fillId="13" borderId="16" xfId="1" applyFont="1" applyFill="1" applyBorder="1"/>
    <xf numFmtId="0" fontId="8" fillId="13" borderId="15" xfId="1" applyFont="1" applyFill="1" applyBorder="1"/>
    <xf numFmtId="0" fontId="8" fillId="13" borderId="4" xfId="1" applyFont="1" applyFill="1" applyBorder="1"/>
    <xf numFmtId="0" fontId="8" fillId="13" borderId="16" xfId="1" applyFont="1" applyFill="1" applyBorder="1"/>
    <xf numFmtId="0" fontId="8" fillId="13" borderId="8" xfId="1" applyFont="1" applyFill="1" applyBorder="1"/>
    <xf numFmtId="0" fontId="8" fillId="0" borderId="0" xfId="1" applyFont="1"/>
    <xf numFmtId="0" fontId="8" fillId="0" borderId="14" xfId="1" applyFont="1" applyBorder="1"/>
    <xf numFmtId="0" fontId="3" fillId="0" borderId="17" xfId="1" applyFont="1" applyBorder="1"/>
    <xf numFmtId="0" fontId="3" fillId="0" borderId="18" xfId="1" applyFont="1" applyBorder="1"/>
    <xf numFmtId="0" fontId="3" fillId="0" borderId="19" xfId="1" applyFont="1" applyBorder="1"/>
    <xf numFmtId="0" fontId="3" fillId="0" borderId="0" xfId="1" applyFont="1" applyAlignment="1">
      <alignment horizontal="left" indent="1"/>
    </xf>
    <xf numFmtId="0" fontId="11" fillId="0" borderId="0" xfId="1" applyFont="1"/>
    <xf numFmtId="0" fontId="3" fillId="13" borderId="8" xfId="1" applyFont="1" applyFill="1" applyBorder="1"/>
    <xf numFmtId="0" fontId="3" fillId="0" borderId="20" xfId="1" applyFont="1" applyBorder="1"/>
    <xf numFmtId="0" fontId="3" fillId="0" borderId="21" xfId="1" applyFont="1" applyBorder="1"/>
    <xf numFmtId="0" fontId="3" fillId="0" borderId="22" xfId="1" applyFont="1" applyBorder="1"/>
    <xf numFmtId="0" fontId="3" fillId="0" borderId="23" xfId="1" applyFont="1" applyBorder="1"/>
    <xf numFmtId="0" fontId="3" fillId="0" borderId="0" xfId="1" applyFont="1" applyBorder="1"/>
    <xf numFmtId="0" fontId="3" fillId="0" borderId="24" xfId="1" applyFont="1" applyBorder="1"/>
    <xf numFmtId="0" fontId="3" fillId="0" borderId="25" xfId="1" applyFont="1" applyBorder="1"/>
    <xf numFmtId="0" fontId="3" fillId="0" borderId="26" xfId="1" applyFont="1" applyBorder="1"/>
    <xf numFmtId="0" fontId="11" fillId="0" borderId="19" xfId="1" applyFont="1" applyBorder="1"/>
    <xf numFmtId="0" fontId="8" fillId="0" borderId="15" xfId="1" applyFont="1" applyBorder="1"/>
    <xf numFmtId="0" fontId="12" fillId="0" borderId="0" xfId="1" applyFont="1"/>
    <xf numFmtId="0" fontId="3" fillId="0" borderId="0" xfId="1" applyFont="1" applyAlignment="1">
      <alignment horizontal="left" indent="2"/>
    </xf>
    <xf numFmtId="0" fontId="8" fillId="0" borderId="0" xfId="1" applyFont="1" applyAlignment="1">
      <alignment horizontal="left" indent="1"/>
    </xf>
    <xf numFmtId="0" fontId="8" fillId="13" borderId="14" xfId="1" applyFont="1" applyFill="1" applyBorder="1"/>
    <xf numFmtId="0" fontId="8" fillId="0" borderId="20" xfId="1" applyFont="1" applyBorder="1"/>
    <xf numFmtId="0" fontId="8" fillId="0" borderId="23" xfId="1" applyFont="1" applyBorder="1"/>
    <xf numFmtId="0" fontId="5" fillId="0" borderId="25" xfId="1" applyFont="1" applyBorder="1"/>
    <xf numFmtId="0" fontId="8" fillId="13" borderId="18" xfId="1" applyFont="1" applyFill="1" applyBorder="1"/>
    <xf numFmtId="0" fontId="8" fillId="0" borderId="25" xfId="1" applyFont="1" applyBorder="1"/>
    <xf numFmtId="0" fontId="8" fillId="0" borderId="19" xfId="1" applyFont="1" applyBorder="1"/>
    <xf numFmtId="7" fontId="8" fillId="0" borderId="8" xfId="1" applyNumberFormat="1" applyFont="1" applyBorder="1"/>
    <xf numFmtId="166" fontId="3" fillId="0" borderId="19" xfId="1" applyNumberFormat="1" applyFont="1" applyBorder="1"/>
    <xf numFmtId="9" fontId="8" fillId="0" borderId="19" xfId="1" applyNumberFormat="1" applyFont="1" applyBorder="1"/>
    <xf numFmtId="5" fontId="3" fillId="0" borderId="19" xfId="1" applyNumberFormat="1" applyFont="1" applyBorder="1"/>
    <xf numFmtId="166" fontId="3" fillId="0" borderId="18" xfId="1" applyNumberFormat="1" applyFont="1" applyBorder="1"/>
    <xf numFmtId="166" fontId="3" fillId="0" borderId="0" xfId="1" applyNumberFormat="1" applyFont="1"/>
    <xf numFmtId="7" fontId="8" fillId="0" borderId="4" xfId="1" applyNumberFormat="1" applyFont="1" applyBorder="1"/>
    <xf numFmtId="9" fontId="8" fillId="0" borderId="23" xfId="1" applyNumberFormat="1" applyFont="1" applyBorder="1"/>
    <xf numFmtId="9" fontId="8" fillId="0" borderId="24" xfId="1" applyNumberFormat="1" applyFont="1" applyBorder="1"/>
    <xf numFmtId="9" fontId="8" fillId="0" borderId="0" xfId="1" applyNumberFormat="1" applyFont="1" applyBorder="1"/>
    <xf numFmtId="168" fontId="3" fillId="0" borderId="14" xfId="1" applyNumberFormat="1" applyFont="1" applyBorder="1"/>
    <xf numFmtId="168" fontId="8" fillId="0" borderId="18" xfId="85" applyNumberFormat="1" applyFont="1" applyBorder="1"/>
    <xf numFmtId="168" fontId="8" fillId="0" borderId="19" xfId="1" applyNumberFormat="1" applyFont="1" applyBorder="1"/>
    <xf numFmtId="168" fontId="8" fillId="0" borderId="0" xfId="1" applyNumberFormat="1" applyFont="1"/>
    <xf numFmtId="168" fontId="8" fillId="0" borderId="14" xfId="85" applyNumberFormat="1" applyFont="1" applyBorder="1"/>
    <xf numFmtId="166" fontId="3" fillId="0" borderId="17" xfId="1" applyNumberFormat="1" applyFont="1" applyBorder="1"/>
    <xf numFmtId="9" fontId="3" fillId="0" borderId="19" xfId="85" applyFont="1" applyBorder="1"/>
    <xf numFmtId="168" fontId="3" fillId="0" borderId="19" xfId="85" applyNumberFormat="1" applyFont="1" applyBorder="1"/>
    <xf numFmtId="168" fontId="9" fillId="17" borderId="0" xfId="1" applyNumberFormat="1" applyFont="1" applyFill="1" applyBorder="1"/>
    <xf numFmtId="5" fontId="8" fillId="0" borderId="18" xfId="1" applyNumberFormat="1" applyFont="1" applyBorder="1"/>
    <xf numFmtId="1" fontId="3" fillId="0" borderId="0" xfId="1" applyNumberFormat="1" applyFont="1"/>
    <xf numFmtId="168" fontId="3" fillId="0" borderId="0" xfId="85" applyNumberFormat="1" applyFont="1"/>
    <xf numFmtId="168" fontId="9" fillId="0" borderId="0" xfId="1" applyNumberFormat="1" applyFont="1"/>
    <xf numFmtId="0" fontId="5" fillId="0" borderId="17" xfId="1" applyFont="1" applyBorder="1" applyAlignment="1">
      <alignment horizontal="center"/>
    </xf>
    <xf numFmtId="5" fontId="8" fillId="0" borderId="14" xfId="1" applyNumberFormat="1" applyFont="1" applyBorder="1"/>
    <xf numFmtId="5" fontId="8" fillId="0" borderId="19" xfId="1" applyNumberFormat="1" applyFont="1" applyBorder="1"/>
    <xf numFmtId="0" fontId="3" fillId="0" borderId="17" xfId="1" applyFont="1" applyBorder="1" applyAlignment="1">
      <alignment horizontal="center"/>
    </xf>
    <xf numFmtId="1" fontId="3" fillId="0" borderId="19" xfId="1" applyNumberFormat="1" applyFont="1" applyBorder="1"/>
    <xf numFmtId="7" fontId="8" fillId="0" borderId="19" xfId="1" applyNumberFormat="1" applyFont="1" applyBorder="1"/>
    <xf numFmtId="169" fontId="3" fillId="0" borderId="0" xfId="1" applyNumberFormat="1" applyFont="1"/>
    <xf numFmtId="0" fontId="3" fillId="0" borderId="0" xfId="1" applyFont="1" applyAlignment="1">
      <alignment horizontal="center"/>
    </xf>
    <xf numFmtId="3" fontId="3" fillId="0" borderId="0" xfId="1" applyNumberFormat="1" applyFont="1"/>
    <xf numFmtId="9" fontId="3" fillId="0" borderId="0" xfId="1" applyNumberFormat="1" applyFont="1"/>
    <xf numFmtId="0" fontId="13" fillId="0" borderId="0" xfId="1" applyFont="1"/>
    <xf numFmtId="168" fontId="3" fillId="0" borderId="0" xfId="1" applyNumberFormat="1" applyFont="1"/>
    <xf numFmtId="0" fontId="8" fillId="0" borderId="0" xfId="1" applyFont="1" applyFill="1"/>
    <xf numFmtId="0" fontId="8" fillId="0" borderId="0" xfId="1" applyFont="1" applyBorder="1"/>
    <xf numFmtId="9" fontId="3" fillId="0" borderId="19" xfId="1" applyNumberFormat="1" applyFont="1" applyBorder="1"/>
    <xf numFmtId="0" fontId="9" fillId="0" borderId="0" xfId="1" applyFont="1"/>
    <xf numFmtId="0" fontId="4" fillId="0" borderId="0" xfId="1" applyFont="1"/>
    <xf numFmtId="0" fontId="4" fillId="13" borderId="4" xfId="1" applyFont="1" applyFill="1" applyBorder="1"/>
    <xf numFmtId="0" fontId="4" fillId="13" borderId="15" xfId="1" applyFont="1" applyFill="1" applyBorder="1"/>
    <xf numFmtId="0" fontId="4" fillId="13" borderId="8" xfId="1" quotePrefix="1" applyFont="1" applyFill="1" applyBorder="1" applyAlignment="1">
      <alignment horizontal="center"/>
    </xf>
    <xf numFmtId="168" fontId="5" fillId="0" borderId="0" xfId="85" applyNumberFormat="1" applyFont="1"/>
    <xf numFmtId="0" fontId="9" fillId="13" borderId="4" xfId="1" applyFont="1" applyFill="1" applyBorder="1" applyAlignment="1">
      <alignment horizontal="center"/>
    </xf>
    <xf numFmtId="0" fontId="17" fillId="13" borderId="15" xfId="1" applyFont="1" applyFill="1" applyBorder="1"/>
    <xf numFmtId="0" fontId="8" fillId="0" borderId="8" xfId="1" applyFont="1" applyBorder="1" applyAlignment="1">
      <alignment horizontal="center"/>
    </xf>
    <xf numFmtId="0" fontId="13" fillId="13" borderId="15" xfId="1" applyFont="1" applyFill="1" applyBorder="1"/>
    <xf numFmtId="9" fontId="3" fillId="0" borderId="0" xfId="1" applyNumberFormat="1" applyFont="1" applyBorder="1"/>
    <xf numFmtId="9" fontId="3" fillId="0" borderId="14" xfId="1" applyNumberFormat="1" applyFont="1" applyBorder="1"/>
    <xf numFmtId="9" fontId="8" fillId="0" borderId="0" xfId="1" applyNumberFormat="1" applyFont="1"/>
    <xf numFmtId="0" fontId="3" fillId="0" borderId="19" xfId="1" applyFont="1" applyFill="1" applyBorder="1"/>
    <xf numFmtId="0" fontId="3" fillId="0" borderId="0" xfId="1" applyFont="1" applyFill="1" applyBorder="1"/>
    <xf numFmtId="168" fontId="3" fillId="0" borderId="0" xfId="1" applyNumberFormat="1" applyFont="1" applyBorder="1"/>
    <xf numFmtId="0" fontId="3" fillId="0" borderId="14" xfId="1" applyFont="1" applyFill="1" applyBorder="1"/>
    <xf numFmtId="178" fontId="3" fillId="0" borderId="19" xfId="34" applyNumberFormat="1" applyFont="1" applyBorder="1"/>
    <xf numFmtId="7" fontId="3" fillId="0" borderId="0" xfId="1" applyNumberFormat="1" applyFont="1"/>
    <xf numFmtId="8" fontId="3" fillId="0" borderId="0" xfId="1" applyNumberFormat="1" applyFont="1"/>
    <xf numFmtId="178" fontId="3" fillId="0" borderId="17" xfId="34" applyNumberFormat="1" applyFont="1" applyBorder="1"/>
    <xf numFmtId="167" fontId="8" fillId="0" borderId="0" xfId="1" applyNumberFormat="1" applyFont="1"/>
    <xf numFmtId="167" fontId="3" fillId="0" borderId="0" xfId="1" applyNumberFormat="1" applyFont="1"/>
    <xf numFmtId="7" fontId="8" fillId="0" borderId="0" xfId="1" applyNumberFormat="1" applyFont="1"/>
    <xf numFmtId="168" fontId="3" fillId="0" borderId="19" xfId="1" applyNumberFormat="1" applyFont="1" applyBorder="1"/>
    <xf numFmtId="168" fontId="8" fillId="0" borderId="0" xfId="85" applyNumberFormat="1" applyFont="1"/>
    <xf numFmtId="0" fontId="14" fillId="0" borderId="0" xfId="1" applyFont="1"/>
    <xf numFmtId="168" fontId="3" fillId="13" borderId="4" xfId="85" applyNumberFormat="1" applyFont="1" applyFill="1" applyBorder="1"/>
    <xf numFmtId="183" fontId="3" fillId="0" borderId="0" xfId="1" applyNumberFormat="1" applyFont="1" applyAlignment="1">
      <alignment horizontal="right"/>
    </xf>
    <xf numFmtId="183" fontId="3" fillId="0" borderId="0" xfId="1" applyNumberFormat="1" applyFont="1"/>
    <xf numFmtId="183" fontId="3" fillId="0" borderId="0" xfId="1" applyNumberFormat="1" applyFont="1" applyBorder="1" applyAlignment="1">
      <alignment horizontal="right"/>
    </xf>
    <xf numFmtId="183" fontId="3" fillId="0" borderId="0" xfId="1" applyNumberFormat="1" applyFont="1" applyBorder="1"/>
    <xf numFmtId="183" fontId="9" fillId="0" borderId="0" xfId="1" applyNumberFormat="1" applyFont="1" applyBorder="1"/>
    <xf numFmtId="168" fontId="14" fillId="0" borderId="0" xfId="85" applyNumberFormat="1" applyFont="1"/>
    <xf numFmtId="7" fontId="14" fillId="0" borderId="0" xfId="1" applyNumberFormat="1" applyFont="1"/>
    <xf numFmtId="183" fontId="9" fillId="0" borderId="0" xfId="1" applyNumberFormat="1" applyFont="1"/>
    <xf numFmtId="0" fontId="3" fillId="0" borderId="0" xfId="1" applyFont="1" applyBorder="1" applyAlignment="1">
      <alignment horizontal="left" indent="1"/>
    </xf>
    <xf numFmtId="183" fontId="8" fillId="0" borderId="0" xfId="1" applyNumberFormat="1" applyFont="1"/>
    <xf numFmtId="167" fontId="4" fillId="0" borderId="8" xfId="1" applyNumberFormat="1" applyFont="1" applyBorder="1"/>
    <xf numFmtId="167" fontId="10" fillId="0" borderId="8" xfId="1" applyNumberFormat="1" applyFont="1" applyBorder="1"/>
    <xf numFmtId="167" fontId="10" fillId="0" borderId="4" xfId="1" applyNumberFormat="1" applyFont="1" applyBorder="1"/>
    <xf numFmtId="167" fontId="8" fillId="0" borderId="4" xfId="1" applyNumberFormat="1" applyFont="1" applyBorder="1"/>
    <xf numFmtId="167" fontId="8" fillId="0" borderId="8" xfId="1" applyNumberFormat="1" applyFont="1" applyBorder="1"/>
    <xf numFmtId="183" fontId="3" fillId="0" borderId="19" xfId="1" applyNumberFormat="1" applyFont="1" applyBorder="1"/>
    <xf numFmtId="183" fontId="18" fillId="0" borderId="19" xfId="1" applyNumberFormat="1" applyFont="1" applyBorder="1"/>
    <xf numFmtId="183" fontId="18" fillId="0" borderId="0" xfId="1" applyNumberFormat="1" applyFont="1"/>
    <xf numFmtId="167" fontId="3" fillId="0" borderId="19" xfId="1" applyNumberFormat="1" applyFont="1" applyBorder="1"/>
    <xf numFmtId="167" fontId="18" fillId="0" borderId="19" xfId="1" applyNumberFormat="1" applyFont="1" applyBorder="1"/>
    <xf numFmtId="167" fontId="18" fillId="0" borderId="0" xfId="1" applyNumberFormat="1" applyFont="1"/>
    <xf numFmtId="183" fontId="9" fillId="0" borderId="19" xfId="1" applyNumberFormat="1" applyFont="1" applyBorder="1"/>
    <xf numFmtId="0" fontId="4" fillId="0" borderId="8" xfId="1" quotePrefix="1" applyFont="1" applyBorder="1" applyAlignment="1">
      <alignment horizontal="center"/>
    </xf>
    <xf numFmtId="0" fontId="8" fillId="0" borderId="8" xfId="1" quotePrefix="1" applyFont="1" applyBorder="1" applyAlignment="1">
      <alignment horizontal="center"/>
    </xf>
    <xf numFmtId="184" fontId="8" fillId="0" borderId="4" xfId="1" quotePrefix="1" applyNumberFormat="1" applyFont="1" applyBorder="1" applyAlignment="1">
      <alignment horizontal="center"/>
    </xf>
    <xf numFmtId="184" fontId="8" fillId="0" borderId="4" xfId="1" applyNumberFormat="1" applyFont="1" applyBorder="1" applyAlignment="1">
      <alignment horizontal="center"/>
    </xf>
    <xf numFmtId="167" fontId="15" fillId="0" borderId="8" xfId="1" applyNumberFormat="1" applyFont="1" applyBorder="1"/>
    <xf numFmtId="167" fontId="15" fillId="0" borderId="4" xfId="1" applyNumberFormat="1" applyFont="1" applyBorder="1"/>
    <xf numFmtId="183" fontId="3" fillId="0" borderId="18" xfId="1" applyNumberFormat="1" applyFont="1" applyBorder="1"/>
    <xf numFmtId="183" fontId="14" fillId="0" borderId="18" xfId="1" applyNumberFormat="1" applyFont="1" applyBorder="1"/>
    <xf numFmtId="183" fontId="14" fillId="0" borderId="14" xfId="1" applyNumberFormat="1" applyFont="1" applyBorder="1"/>
    <xf numFmtId="183" fontId="3" fillId="0" borderId="14" xfId="1" applyNumberFormat="1" applyFont="1" applyBorder="1"/>
    <xf numFmtId="183" fontId="14" fillId="0" borderId="19" xfId="1" applyNumberFormat="1" applyFont="1" applyBorder="1"/>
    <xf numFmtId="183" fontId="14" fillId="0" borderId="0" xfId="1" applyNumberFormat="1" applyFont="1"/>
    <xf numFmtId="167" fontId="14" fillId="0" borderId="19" xfId="1" applyNumberFormat="1" applyFont="1" applyBorder="1"/>
    <xf numFmtId="167" fontId="14" fillId="0" borderId="0" xfId="1" applyNumberFormat="1" applyFont="1"/>
    <xf numFmtId="167" fontId="9" fillId="0" borderId="0" xfId="1" applyNumberFormat="1" applyFont="1"/>
    <xf numFmtId="167" fontId="9" fillId="0" borderId="19" xfId="1" applyNumberFormat="1" applyFont="1" applyBorder="1"/>
    <xf numFmtId="183" fontId="4" fillId="0" borderId="19" xfId="1" applyNumberFormat="1" applyFont="1" applyBorder="1"/>
    <xf numFmtId="183" fontId="15" fillId="0" borderId="19" xfId="1" applyNumberFormat="1" applyFont="1" applyBorder="1"/>
    <xf numFmtId="183" fontId="15" fillId="0" borderId="0" xfId="1" applyNumberFormat="1" applyFont="1"/>
    <xf numFmtId="183" fontId="8" fillId="0" borderId="19" xfId="1" applyNumberFormat="1" applyFont="1" applyBorder="1"/>
    <xf numFmtId="14" fontId="3" fillId="0" borderId="0" xfId="1" applyNumberFormat="1" applyFont="1"/>
    <xf numFmtId="0" fontId="5" fillId="0" borderId="19" xfId="1" applyFont="1" applyBorder="1" applyAlignment="1">
      <alignment horizontal="center"/>
    </xf>
    <xf numFmtId="0" fontId="5" fillId="0" borderId="23" xfId="1" applyFont="1" applyBorder="1" applyAlignment="1">
      <alignment horizontal="center"/>
    </xf>
    <xf numFmtId="185" fontId="3" fillId="0" borderId="0" xfId="1" applyNumberFormat="1" applyFont="1"/>
    <xf numFmtId="173" fontId="8" fillId="0" borderId="0" xfId="1" applyNumberFormat="1" applyFont="1"/>
    <xf numFmtId="187" fontId="3" fillId="0" borderId="0" xfId="1" applyNumberFormat="1" applyFont="1"/>
    <xf numFmtId="0" fontId="8" fillId="0" borderId="18" xfId="1" applyFont="1" applyBorder="1"/>
    <xf numFmtId="0" fontId="5" fillId="0" borderId="19" xfId="1" applyFont="1" applyBorder="1"/>
    <xf numFmtId="0" fontId="8" fillId="0" borderId="8" xfId="1" applyFont="1" applyFill="1" applyBorder="1"/>
    <xf numFmtId="0" fontId="8" fillId="0" borderId="19" xfId="1" applyFont="1" applyBorder="1" applyAlignment="1">
      <alignment horizontal="left" indent="1"/>
    </xf>
    <xf numFmtId="9" fontId="3" fillId="0" borderId="0" xfId="85" applyFont="1"/>
    <xf numFmtId="7" fontId="3" fillId="0" borderId="23" xfId="1" applyNumberFormat="1" applyFont="1" applyBorder="1"/>
    <xf numFmtId="7" fontId="3" fillId="0" borderId="0" xfId="1" applyNumberFormat="1" applyFont="1" applyBorder="1"/>
    <xf numFmtId="7" fontId="3" fillId="0" borderId="14" xfId="1" applyNumberFormat="1" applyFont="1" applyBorder="1"/>
    <xf numFmtId="0" fontId="8" fillId="0" borderId="21" xfId="1" applyFont="1" applyBorder="1"/>
    <xf numFmtId="7" fontId="3" fillId="0" borderId="19" xfId="1" applyNumberFormat="1" applyFont="1" applyBorder="1"/>
    <xf numFmtId="0" fontId="3" fillId="0" borderId="0" xfId="1" applyFont="1" applyFill="1"/>
    <xf numFmtId="189" fontId="14" fillId="0" borderId="19" xfId="1" applyNumberFormat="1" applyFont="1" applyFill="1" applyBorder="1"/>
    <xf numFmtId="187" fontId="3" fillId="0" borderId="19" xfId="1" applyNumberFormat="1" applyFont="1" applyBorder="1"/>
    <xf numFmtId="187" fontId="14" fillId="0" borderId="0" xfId="1" applyNumberFormat="1" applyFont="1" applyBorder="1"/>
    <xf numFmtId="187" fontId="14" fillId="0" borderId="0" xfId="1" applyNumberFormat="1" applyFont="1" applyFill="1" applyBorder="1"/>
    <xf numFmtId="187" fontId="14" fillId="0" borderId="19" xfId="1" applyNumberFormat="1" applyFont="1" applyBorder="1"/>
    <xf numFmtId="2" fontId="3" fillId="0" borderId="0" xfId="1" applyNumberFormat="1" applyFont="1"/>
    <xf numFmtId="187" fontId="3" fillId="0" borderId="0" xfId="1" applyNumberFormat="1" applyFont="1" applyBorder="1"/>
    <xf numFmtId="187" fontId="3" fillId="0" borderId="24" xfId="1" applyNumberFormat="1" applyFont="1" applyBorder="1"/>
    <xf numFmtId="187" fontId="11" fillId="17" borderId="0" xfId="1" applyNumberFormat="1" applyFont="1" applyFill="1"/>
    <xf numFmtId="187" fontId="3" fillId="0" borderId="0" xfId="1" applyNumberFormat="1" applyFont="1" applyFill="1" applyBorder="1"/>
    <xf numFmtId="187" fontId="4" fillId="0" borderId="19" xfId="1" applyNumberFormat="1" applyFont="1" applyBorder="1"/>
    <xf numFmtId="187" fontId="3" fillId="17" borderId="0" xfId="1" applyNumberFormat="1" applyFont="1" applyFill="1"/>
    <xf numFmtId="44" fontId="3" fillId="0" borderId="0" xfId="40" applyFont="1"/>
    <xf numFmtId="187" fontId="4" fillId="0" borderId="0" xfId="1" applyNumberFormat="1" applyFont="1" applyBorder="1"/>
    <xf numFmtId="187" fontId="4" fillId="13" borderId="8" xfId="1" applyNumberFormat="1" applyFont="1" applyFill="1" applyBorder="1"/>
    <xf numFmtId="187" fontId="3" fillId="13" borderId="4" xfId="1" applyNumberFormat="1" applyFont="1" applyFill="1" applyBorder="1"/>
    <xf numFmtId="184" fontId="4" fillId="0" borderId="4" xfId="1" applyNumberFormat="1" applyFont="1" applyBorder="1"/>
    <xf numFmtId="2" fontId="4" fillId="0" borderId="0" xfId="1" applyNumberFormat="1" applyFont="1"/>
    <xf numFmtId="187" fontId="4" fillId="0" borderId="19" xfId="40" applyNumberFormat="1" applyFont="1" applyBorder="1"/>
    <xf numFmtId="193" fontId="4" fillId="0" borderId="0" xfId="40" applyNumberFormat="1" applyFont="1"/>
    <xf numFmtId="193" fontId="4" fillId="0" borderId="19" xfId="40" applyNumberFormat="1" applyFont="1" applyBorder="1"/>
    <xf numFmtId="193" fontId="4" fillId="0" borderId="0" xfId="40" applyNumberFormat="1" applyFont="1" applyBorder="1"/>
    <xf numFmtId="187" fontId="3" fillId="17" borderId="0" xfId="1" applyNumberFormat="1" applyFont="1" applyFill="1" applyAlignment="1">
      <alignment horizontal="right"/>
    </xf>
    <xf numFmtId="187" fontId="3" fillId="17" borderId="0" xfId="1" applyNumberFormat="1" applyFont="1" applyFill="1" applyBorder="1"/>
    <xf numFmtId="173" fontId="4" fillId="0" borderId="15" xfId="40" applyNumberFormat="1" applyFont="1" applyBorder="1"/>
    <xf numFmtId="173" fontId="4" fillId="0" borderId="8" xfId="40" applyNumberFormat="1" applyFont="1" applyBorder="1"/>
    <xf numFmtId="173" fontId="4" fillId="0" borderId="4" xfId="40" applyNumberFormat="1" applyFont="1" applyBorder="1"/>
    <xf numFmtId="173" fontId="4" fillId="0" borderId="0" xfId="1" applyNumberFormat="1" applyFont="1"/>
    <xf numFmtId="173" fontId="4" fillId="0" borderId="19" xfId="40" applyNumberFormat="1" applyFont="1" applyBorder="1"/>
    <xf numFmtId="187" fontId="4" fillId="0" borderId="24" xfId="1" applyNumberFormat="1" applyFont="1" applyBorder="1"/>
    <xf numFmtId="167" fontId="4" fillId="0" borderId="0" xfId="1" applyNumberFormat="1" applyFont="1"/>
    <xf numFmtId="167" fontId="4" fillId="0" borderId="19" xfId="1" applyNumberFormat="1" applyFont="1" applyBorder="1"/>
    <xf numFmtId="167" fontId="4" fillId="0" borderId="0" xfId="1" applyNumberFormat="1" applyFont="1" applyBorder="1"/>
    <xf numFmtId="167" fontId="4" fillId="0" borderId="15" xfId="1" applyNumberFormat="1" applyFont="1" applyBorder="1"/>
    <xf numFmtId="167" fontId="4" fillId="0" borderId="4" xfId="1" applyNumberFormat="1" applyFont="1" applyBorder="1"/>
    <xf numFmtId="174" fontId="3" fillId="0" borderId="0" xfId="1" applyNumberFormat="1" applyFont="1" applyFill="1" applyBorder="1"/>
    <xf numFmtId="187" fontId="19" fillId="0" borderId="24" xfId="1" applyNumberFormat="1" applyFont="1" applyFill="1" applyBorder="1"/>
    <xf numFmtId="0" fontId="4" fillId="13" borderId="14" xfId="1" applyFont="1" applyFill="1" applyBorder="1"/>
    <xf numFmtId="187" fontId="4" fillId="13" borderId="18" xfId="1" applyNumberFormat="1" applyFont="1" applyFill="1" applyBorder="1"/>
    <xf numFmtId="187" fontId="3" fillId="13" borderId="14" xfId="1" applyNumberFormat="1" applyFont="1" applyFill="1" applyBorder="1"/>
    <xf numFmtId="187" fontId="3" fillId="13" borderId="18" xfId="1" applyNumberFormat="1" applyFont="1" applyFill="1" applyBorder="1"/>
    <xf numFmtId="187" fontId="4" fillId="0" borderId="18" xfId="1" applyNumberFormat="1" applyFont="1" applyBorder="1"/>
    <xf numFmtId="187" fontId="3" fillId="0" borderId="14" xfId="1" applyNumberFormat="1" applyFont="1" applyBorder="1"/>
    <xf numFmtId="187" fontId="3" fillId="0" borderId="18" xfId="1" applyNumberFormat="1" applyFont="1" applyBorder="1"/>
    <xf numFmtId="187" fontId="3" fillId="0" borderId="26" xfId="1" applyNumberFormat="1" applyFont="1" applyBorder="1"/>
    <xf numFmtId="187" fontId="4" fillId="0" borderId="17" xfId="1" applyNumberFormat="1" applyFont="1" applyBorder="1"/>
    <xf numFmtId="187" fontId="3" fillId="0" borderId="21" xfId="1" applyNumberFormat="1" applyFont="1" applyBorder="1"/>
    <xf numFmtId="187" fontId="3" fillId="0" borderId="17" xfId="1" applyNumberFormat="1" applyFont="1" applyBorder="1"/>
    <xf numFmtId="168" fontId="3" fillId="0" borderId="21" xfId="1" applyNumberFormat="1" applyFont="1" applyBorder="1"/>
    <xf numFmtId="192" fontId="3" fillId="0" borderId="0" xfId="1" applyNumberFormat="1" applyFont="1" applyBorder="1"/>
    <xf numFmtId="167" fontId="3" fillId="0" borderId="0" xfId="1" applyNumberFormat="1" applyFont="1" applyBorder="1"/>
    <xf numFmtId="39" fontId="3" fillId="0" borderId="0" xfId="1" applyNumberFormat="1" applyFont="1"/>
    <xf numFmtId="39" fontId="3" fillId="0" borderId="19" xfId="1" applyNumberFormat="1" applyFont="1" applyBorder="1"/>
    <xf numFmtId="0" fontId="4" fillId="0" borderId="16" xfId="1" applyFont="1" applyBorder="1"/>
    <xf numFmtId="0" fontId="4" fillId="0" borderId="4" xfId="1" applyFont="1" applyBorder="1"/>
    <xf numFmtId="187" fontId="4" fillId="0" borderId="8" xfId="1" applyNumberFormat="1" applyFont="1" applyBorder="1"/>
    <xf numFmtId="187" fontId="3" fillId="0" borderId="4" xfId="1" applyNumberFormat="1" applyFont="1" applyBorder="1"/>
    <xf numFmtId="187" fontId="3" fillId="0" borderId="8" xfId="1" applyNumberFormat="1" applyFont="1" applyBorder="1"/>
    <xf numFmtId="187" fontId="4" fillId="0" borderId="0" xfId="1" applyNumberFormat="1" applyFont="1"/>
    <xf numFmtId="187" fontId="4" fillId="0" borderId="4" xfId="1" applyNumberFormat="1" applyFont="1" applyBorder="1"/>
    <xf numFmtId="0" fontId="20" fillId="0" borderId="0" xfId="1" applyFont="1"/>
    <xf numFmtId="7" fontId="10" fillId="0" borderId="4" xfId="1" applyNumberFormat="1" applyFont="1" applyBorder="1"/>
    <xf numFmtId="7" fontId="10" fillId="0" borderId="8" xfId="1" applyNumberFormat="1" applyFont="1" applyBorder="1"/>
    <xf numFmtId="0" fontId="18" fillId="0" borderId="0" xfId="1" applyFont="1"/>
    <xf numFmtId="0" fontId="18" fillId="0" borderId="19" xfId="1" applyFont="1" applyBorder="1"/>
    <xf numFmtId="7" fontId="10" fillId="0" borderId="0" xfId="1" applyNumberFormat="1" applyFont="1"/>
    <xf numFmtId="7" fontId="10" fillId="0" borderId="19" xfId="1" applyNumberFormat="1" applyFont="1" applyBorder="1"/>
    <xf numFmtId="168" fontId="3" fillId="0" borderId="18" xfId="85" applyNumberFormat="1" applyFont="1" applyBorder="1"/>
    <xf numFmtId="0" fontId="9" fillId="13" borderId="16" xfId="1" applyFont="1" applyFill="1" applyBorder="1" applyAlignment="1">
      <alignment horizontal="center"/>
    </xf>
    <xf numFmtId="168" fontId="3" fillId="0" borderId="0" xfId="85" applyNumberFormat="1" applyFont="1" applyBorder="1"/>
    <xf numFmtId="168" fontId="8" fillId="0" borderId="0" xfId="85" applyNumberFormat="1" applyFont="1" applyBorder="1"/>
    <xf numFmtId="168" fontId="3" fillId="0" borderId="17" xfId="85" applyNumberFormat="1" applyFont="1" applyBorder="1"/>
    <xf numFmtId="0" fontId="3" fillId="0" borderId="19" xfId="1" applyFont="1" applyBorder="1" applyAlignment="1">
      <alignment horizontal="left" indent="1"/>
    </xf>
    <xf numFmtId="0" fontId="8" fillId="0" borderId="17" xfId="1" applyFont="1" applyBorder="1"/>
    <xf numFmtId="0" fontId="3" fillId="0" borderId="19" xfId="1" applyFont="1" applyBorder="1" applyAlignment="1">
      <alignment horizontal="left" indent="2"/>
    </xf>
    <xf numFmtId="0" fontId="8" fillId="0" borderId="18" xfId="1" applyFont="1" applyBorder="1" applyAlignment="1">
      <alignment horizontal="left" indent="1"/>
    </xf>
    <xf numFmtId="0" fontId="3" fillId="0" borderId="17" xfId="1" applyFont="1" applyBorder="1" applyAlignment="1">
      <alignment horizontal="left" indent="1"/>
    </xf>
    <xf numFmtId="0" fontId="8" fillId="0" borderId="24" xfId="1" applyFont="1" applyBorder="1"/>
    <xf numFmtId="0" fontId="9" fillId="0" borderId="0" xfId="1" applyFont="1" applyBorder="1"/>
    <xf numFmtId="7" fontId="8" fillId="0" borderId="0" xfId="1" applyNumberFormat="1" applyFont="1" applyBorder="1"/>
    <xf numFmtId="168" fontId="3" fillId="0" borderId="24" xfId="85" applyNumberFormat="1" applyFont="1" applyBorder="1"/>
    <xf numFmtId="168" fontId="3" fillId="0" borderId="16" xfId="85" applyNumberFormat="1" applyFont="1" applyBorder="1"/>
    <xf numFmtId="168" fontId="8" fillId="0" borderId="24" xfId="85" applyNumberFormat="1" applyFont="1" applyBorder="1"/>
    <xf numFmtId="168" fontId="8" fillId="0" borderId="19" xfId="85" applyNumberFormat="1" applyFont="1" applyBorder="1"/>
    <xf numFmtId="168" fontId="8" fillId="0" borderId="19" xfId="85" applyNumberFormat="1" applyFont="1" applyFill="1" applyBorder="1"/>
    <xf numFmtId="168" fontId="8" fillId="0" borderId="0" xfId="85" applyNumberFormat="1" applyFont="1" applyFill="1"/>
    <xf numFmtId="0" fontId="3" fillId="0" borderId="15" xfId="1" applyFont="1" applyFill="1" applyBorder="1"/>
    <xf numFmtId="0" fontId="3" fillId="0" borderId="4" xfId="1" applyFont="1" applyFill="1" applyBorder="1"/>
    <xf numFmtId="0" fontId="3" fillId="0" borderId="16" xfId="1" applyFont="1" applyFill="1" applyBorder="1"/>
    <xf numFmtId="168" fontId="8" fillId="0" borderId="15" xfId="85" applyNumberFormat="1" applyFont="1" applyFill="1" applyBorder="1"/>
    <xf numFmtId="0" fontId="8" fillId="0" borderId="16" xfId="1" applyFont="1" applyFill="1" applyBorder="1"/>
    <xf numFmtId="0" fontId="3" fillId="0" borderId="27" xfId="1" applyFont="1" applyBorder="1"/>
    <xf numFmtId="0" fontId="3" fillId="0" borderId="28" xfId="1" applyFont="1" applyBorder="1"/>
    <xf numFmtId="0" fontId="3" fillId="0" borderId="29" xfId="1" applyFont="1" applyBorder="1"/>
    <xf numFmtId="0" fontId="3" fillId="0" borderId="30" xfId="1" applyFont="1" applyBorder="1"/>
    <xf numFmtId="0" fontId="3" fillId="0" borderId="31" xfId="1" applyFont="1" applyBorder="1"/>
    <xf numFmtId="0" fontId="3" fillId="0" borderId="32" xfId="1" applyFont="1" applyBorder="1"/>
    <xf numFmtId="0" fontId="5" fillId="0" borderId="29" xfId="1" applyFont="1" applyBorder="1" applyAlignment="1">
      <alignment horizontal="left" indent="1"/>
    </xf>
    <xf numFmtId="0" fontId="5" fillId="0" borderId="31" xfId="1" applyFont="1" applyBorder="1" applyAlignment="1">
      <alignment horizontal="left" indent="1"/>
    </xf>
    <xf numFmtId="178" fontId="3" fillId="0" borderId="0" xfId="34" applyNumberFormat="1" applyFont="1" applyBorder="1"/>
    <xf numFmtId="1" fontId="3" fillId="0" borderId="0" xfId="1" applyNumberFormat="1" applyFont="1" applyBorder="1"/>
    <xf numFmtId="0" fontId="8" fillId="0" borderId="17" xfId="1" applyFont="1" applyBorder="1" applyAlignment="1">
      <alignment horizontal="center"/>
    </xf>
    <xf numFmtId="0" fontId="27" fillId="0" borderId="19" xfId="1" applyFont="1" applyBorder="1" applyAlignment="1">
      <alignment horizontal="center"/>
    </xf>
    <xf numFmtId="0" fontId="28" fillId="0" borderId="0" xfId="1" applyFont="1"/>
    <xf numFmtId="0" fontId="13" fillId="0" borderId="0" xfId="1" applyFont="1" applyAlignment="1">
      <alignment horizontal="left"/>
    </xf>
    <xf numFmtId="168" fontId="5" fillId="0" borderId="19" xfId="85" applyNumberFormat="1" applyFont="1" applyBorder="1"/>
    <xf numFmtId="7" fontId="14" fillId="0" borderId="19" xfId="1" applyNumberFormat="1" applyFont="1" applyBorder="1"/>
    <xf numFmtId="168" fontId="29" fillId="0" borderId="0" xfId="85" applyNumberFormat="1" applyFont="1"/>
    <xf numFmtId="166" fontId="3" fillId="0" borderId="0" xfId="1" applyNumberFormat="1" applyFont="1" applyAlignment="1">
      <alignment horizontal="right"/>
    </xf>
    <xf numFmtId="166" fontId="3" fillId="0" borderId="19" xfId="1" applyNumberFormat="1" applyFont="1" applyBorder="1" applyAlignment="1">
      <alignment horizontal="right"/>
    </xf>
    <xf numFmtId="166" fontId="3" fillId="0" borderId="14" xfId="1" applyNumberFormat="1" applyFont="1" applyBorder="1" applyAlignment="1">
      <alignment horizontal="right"/>
    </xf>
    <xf numFmtId="166" fontId="3" fillId="0" borderId="18" xfId="1" applyNumberFormat="1" applyFont="1" applyBorder="1" applyAlignment="1">
      <alignment horizontal="right"/>
    </xf>
    <xf numFmtId="168" fontId="3" fillId="0" borderId="19" xfId="85" applyNumberFormat="1" applyFont="1" applyBorder="1" applyAlignment="1">
      <alignment horizontal="right"/>
    </xf>
    <xf numFmtId="168" fontId="3" fillId="0" borderId="0" xfId="85" applyNumberFormat="1" applyFont="1" applyAlignment="1">
      <alignment horizontal="right"/>
    </xf>
    <xf numFmtId="168" fontId="3" fillId="0" borderId="18" xfId="85" applyNumberFormat="1" applyFont="1" applyBorder="1" applyAlignment="1">
      <alignment horizontal="right"/>
    </xf>
    <xf numFmtId="168" fontId="3" fillId="0" borderId="14" xfId="85" applyNumberFormat="1" applyFont="1" applyBorder="1" applyAlignment="1">
      <alignment horizontal="right"/>
    </xf>
    <xf numFmtId="168" fontId="3" fillId="0" borderId="17" xfId="85" applyNumberFormat="1" applyFont="1" applyBorder="1" applyAlignment="1">
      <alignment horizontal="right"/>
    </xf>
    <xf numFmtId="168" fontId="3" fillId="0" borderId="23" xfId="85" applyNumberFormat="1" applyFont="1" applyBorder="1"/>
    <xf numFmtId="168" fontId="8" fillId="0" borderId="18" xfId="1" applyNumberFormat="1" applyFont="1" applyBorder="1"/>
    <xf numFmtId="0" fontId="0" fillId="0" borderId="0" xfId="1" applyFont="1" applyBorder="1"/>
    <xf numFmtId="0" fontId="24" fillId="0" borderId="0" xfId="1" applyFont="1"/>
    <xf numFmtId="168" fontId="3" fillId="0" borderId="21" xfId="85" applyNumberFormat="1" applyFont="1" applyBorder="1"/>
    <xf numFmtId="168" fontId="3" fillId="0" borderId="20" xfId="85" applyNumberFormat="1" applyFont="1" applyBorder="1"/>
    <xf numFmtId="0" fontId="0" fillId="0" borderId="4" xfId="1" applyFont="1" applyBorder="1"/>
    <xf numFmtId="168" fontId="9" fillId="0" borderId="0" xfId="85" applyNumberFormat="1" applyFont="1"/>
    <xf numFmtId="168" fontId="14" fillId="0" borderId="14" xfId="85" applyNumberFormat="1" applyFont="1" applyBorder="1"/>
    <xf numFmtId="168" fontId="3" fillId="0" borderId="14" xfId="85" applyNumberFormat="1" applyFont="1" applyBorder="1"/>
    <xf numFmtId="0" fontId="0" fillId="0" borderId="14" xfId="1" applyFont="1" applyBorder="1"/>
    <xf numFmtId="0" fontId="0" fillId="0" borderId="21" xfId="1" applyFont="1" applyBorder="1"/>
    <xf numFmtId="168" fontId="30" fillId="0" borderId="19" xfId="85" applyNumberFormat="1" applyFont="1" applyBorder="1"/>
    <xf numFmtId="168" fontId="14" fillId="0" borderId="0" xfId="85" applyNumberFormat="1" applyFont="1" applyBorder="1"/>
    <xf numFmtId="168" fontId="3" fillId="0" borderId="19" xfId="85" applyNumberFormat="1" applyFont="1" applyFill="1" applyBorder="1"/>
    <xf numFmtId="183" fontId="3" fillId="0" borderId="0" xfId="1" applyNumberFormat="1" applyFont="1" applyFill="1" applyBorder="1"/>
    <xf numFmtId="0" fontId="31" fillId="0" borderId="0" xfId="1" applyFont="1"/>
    <xf numFmtId="183" fontId="11" fillId="0" borderId="19" xfId="1" applyNumberFormat="1" applyFont="1" applyBorder="1"/>
    <xf numFmtId="183" fontId="11" fillId="0" borderId="0" xfId="1" applyNumberFormat="1" applyFont="1" applyBorder="1"/>
    <xf numFmtId="43" fontId="3" fillId="0" borderId="0" xfId="34" applyFont="1" applyBorder="1"/>
    <xf numFmtId="168" fontId="5" fillId="0" borderId="24" xfId="85" applyNumberFormat="1" applyFont="1" applyBorder="1"/>
    <xf numFmtId="183" fontId="3" fillId="0" borderId="19" xfId="1" applyNumberFormat="1" applyFont="1" applyFill="1" applyBorder="1"/>
    <xf numFmtId="183" fontId="3" fillId="0" borderId="23" xfId="1" applyNumberFormat="1" applyFont="1" applyBorder="1"/>
    <xf numFmtId="183" fontId="3" fillId="0" borderId="24" xfId="1" applyNumberFormat="1" applyFont="1" applyBorder="1"/>
    <xf numFmtId="183" fontId="5" fillId="0" borderId="19" xfId="1" applyNumberFormat="1" applyFont="1" applyBorder="1"/>
    <xf numFmtId="183" fontId="3" fillId="0" borderId="21" xfId="1" applyNumberFormat="1" applyFont="1" applyBorder="1"/>
    <xf numFmtId="168" fontId="8" fillId="0" borderId="26" xfId="85" applyNumberFormat="1" applyFont="1" applyBorder="1"/>
    <xf numFmtId="168" fontId="14" fillId="0" borderId="23" xfId="85" applyNumberFormat="1" applyFont="1" applyBorder="1"/>
    <xf numFmtId="0" fontId="4" fillId="0" borderId="8" xfId="1" applyFont="1" applyBorder="1" applyAlignment="1">
      <alignment horizontal="center"/>
    </xf>
    <xf numFmtId="168" fontId="3" fillId="0" borderId="25" xfId="85" applyNumberFormat="1" applyFont="1" applyBorder="1"/>
    <xf numFmtId="168" fontId="3" fillId="0" borderId="26" xfId="85" applyNumberFormat="1" applyFont="1" applyBorder="1"/>
    <xf numFmtId="168" fontId="8" fillId="0" borderId="17" xfId="1" applyNumberFormat="1" applyFont="1" applyBorder="1"/>
    <xf numFmtId="168" fontId="8" fillId="0" borderId="21" xfId="85" applyNumberFormat="1" applyFont="1" applyBorder="1"/>
    <xf numFmtId="168" fontId="8" fillId="0" borderId="17" xfId="85" applyNumberFormat="1" applyFont="1" applyBorder="1"/>
    <xf numFmtId="0" fontId="5" fillId="0" borderId="0" xfId="1" applyFont="1" applyFill="1"/>
    <xf numFmtId="169" fontId="3" fillId="0" borderId="19" xfId="1" applyNumberFormat="1" applyFont="1" applyBorder="1"/>
    <xf numFmtId="173" fontId="8" fillId="0" borderId="0" xfId="1" applyNumberFormat="1" applyFont="1" applyBorder="1"/>
    <xf numFmtId="173" fontId="8" fillId="0" borderId="19" xfId="1" applyNumberFormat="1" applyFont="1" applyBorder="1"/>
    <xf numFmtId="173" fontId="8" fillId="0" borderId="0" xfId="1" applyNumberFormat="1" applyFont="1" applyFill="1" applyBorder="1"/>
    <xf numFmtId="168" fontId="3" fillId="0" borderId="0" xfId="1" applyNumberFormat="1" applyFont="1" applyFill="1" applyBorder="1"/>
    <xf numFmtId="168" fontId="3" fillId="0" borderId="22" xfId="1" applyNumberFormat="1" applyFont="1" applyBorder="1"/>
    <xf numFmtId="168" fontId="3" fillId="0" borderId="24" xfId="1" applyNumberFormat="1" applyFont="1" applyBorder="1"/>
    <xf numFmtId="168" fontId="3" fillId="0" borderId="26" xfId="1" applyNumberFormat="1" applyFont="1" applyBorder="1"/>
    <xf numFmtId="0" fontId="3" fillId="0" borderId="0" xfId="1" applyFont="1" applyBorder="1" applyAlignment="1">
      <alignment horizontal="center"/>
    </xf>
    <xf numFmtId="167" fontId="8" fillId="0" borderId="19" xfId="1" applyNumberFormat="1" applyFont="1" applyBorder="1"/>
    <xf numFmtId="179" fontId="3" fillId="0" borderId="0" xfId="34" applyNumberFormat="1" applyFont="1"/>
    <xf numFmtId="0" fontId="9" fillId="0" borderId="14" xfId="1" applyFont="1" applyBorder="1"/>
    <xf numFmtId="168" fontId="9" fillId="0" borderId="0" xfId="85" applyNumberFormat="1" applyFont="1" applyBorder="1"/>
    <xf numFmtId="37" fontId="3" fillId="0" borderId="19" xfId="1" applyNumberFormat="1" applyFont="1" applyBorder="1"/>
    <xf numFmtId="37" fontId="3" fillId="0" borderId="0" xfId="1" applyNumberFormat="1" applyFont="1"/>
    <xf numFmtId="168" fontId="5" fillId="0" borderId="19" xfId="1" applyNumberFormat="1" applyFont="1" applyBorder="1"/>
    <xf numFmtId="38" fontId="18" fillId="0" borderId="19" xfId="1" applyNumberFormat="1" applyFont="1" applyBorder="1"/>
    <xf numFmtId="38" fontId="18" fillId="0" borderId="0" xfId="1" applyNumberFormat="1" applyFont="1"/>
    <xf numFmtId="176" fontId="3" fillId="0" borderId="0" xfId="1" applyNumberFormat="1" applyFont="1"/>
    <xf numFmtId="38" fontId="3" fillId="0" borderId="19" xfId="1" applyNumberFormat="1" applyFont="1" applyBorder="1"/>
    <xf numFmtId="38" fontId="3" fillId="0" borderId="0" xfId="1" applyNumberFormat="1" applyFont="1"/>
    <xf numFmtId="3" fontId="3" fillId="0" borderId="19" xfId="1" applyNumberFormat="1" applyFont="1" applyBorder="1"/>
    <xf numFmtId="168" fontId="9" fillId="0" borderId="14" xfId="85" applyNumberFormat="1" applyFont="1" applyBorder="1"/>
    <xf numFmtId="168" fontId="9" fillId="0" borderId="26" xfId="85" applyNumberFormat="1" applyFont="1" applyBorder="1"/>
    <xf numFmtId="171" fontId="3" fillId="0" borderId="0" xfId="1" applyNumberFormat="1" applyFont="1"/>
    <xf numFmtId="3" fontId="3" fillId="0" borderId="18" xfId="1" applyNumberFormat="1" applyFont="1" applyBorder="1"/>
    <xf numFmtId="0" fontId="4" fillId="0" borderId="15" xfId="1" applyFont="1" applyBorder="1"/>
    <xf numFmtId="171" fontId="8" fillId="0" borderId="0" xfId="1" applyNumberFormat="1" applyFont="1"/>
    <xf numFmtId="0" fontId="9" fillId="0" borderId="25" xfId="1" applyFont="1" applyBorder="1"/>
    <xf numFmtId="178" fontId="8" fillId="0" borderId="19" xfId="34" applyNumberFormat="1" applyFont="1" applyBorder="1"/>
    <xf numFmtId="178" fontId="8" fillId="0" borderId="24" xfId="34" applyNumberFormat="1" applyFont="1" applyBorder="1"/>
    <xf numFmtId="178" fontId="8" fillId="0" borderId="23" xfId="34" applyNumberFormat="1" applyFont="1" applyBorder="1"/>
    <xf numFmtId="178" fontId="8" fillId="0" borderId="0" xfId="34" applyNumberFormat="1" applyFont="1" applyBorder="1"/>
    <xf numFmtId="178" fontId="8" fillId="0" borderId="14" xfId="34" applyNumberFormat="1" applyFont="1" applyBorder="1"/>
    <xf numFmtId="178" fontId="8" fillId="0" borderId="18" xfId="34" applyNumberFormat="1" applyFont="1" applyBorder="1"/>
    <xf numFmtId="178" fontId="3" fillId="0" borderId="19" xfId="1" applyNumberFormat="1" applyFont="1" applyBorder="1"/>
    <xf numFmtId="178" fontId="8" fillId="0" borderId="19" xfId="1" applyNumberFormat="1" applyFont="1" applyBorder="1"/>
    <xf numFmtId="192" fontId="3" fillId="0" borderId="19" xfId="1" applyNumberFormat="1" applyFont="1" applyBorder="1"/>
    <xf numFmtId="168" fontId="3" fillId="0" borderId="17" xfId="1" applyNumberFormat="1" applyFont="1" applyBorder="1"/>
    <xf numFmtId="178" fontId="3" fillId="0" borderId="17" xfId="1" applyNumberFormat="1" applyFont="1" applyBorder="1"/>
    <xf numFmtId="17" fontId="8" fillId="13" borderId="4" xfId="1" applyNumberFormat="1" applyFont="1" applyFill="1" applyBorder="1" applyAlignment="1">
      <alignment horizontal="center"/>
    </xf>
    <xf numFmtId="183" fontId="11" fillId="0" borderId="0" xfId="1" applyNumberFormat="1" applyFont="1"/>
    <xf numFmtId="183" fontId="20" fillId="0" borderId="0" xfId="1" applyNumberFormat="1" applyFont="1"/>
    <xf numFmtId="167" fontId="8" fillId="0" borderId="0" xfId="1" applyNumberFormat="1" applyFont="1" applyBorder="1"/>
    <xf numFmtId="167" fontId="3" fillId="0" borderId="23" xfId="1" applyNumberFormat="1" applyFont="1" applyBorder="1"/>
    <xf numFmtId="179" fontId="3" fillId="0" borderId="0" xfId="1" applyNumberFormat="1" applyFont="1"/>
    <xf numFmtId="179" fontId="3" fillId="0" borderId="19" xfId="1" applyNumberFormat="1" applyFont="1" applyBorder="1"/>
    <xf numFmtId="183" fontId="5" fillId="0" borderId="0" xfId="1" applyNumberFormat="1" applyFont="1"/>
    <xf numFmtId="183" fontId="16" fillId="0" borderId="0" xfId="1" applyNumberFormat="1" applyFont="1"/>
    <xf numFmtId="7" fontId="4" fillId="0" borderId="8" xfId="1" applyNumberFormat="1" applyFont="1" applyBorder="1"/>
    <xf numFmtId="43" fontId="9" fillId="0" borderId="0" xfId="34" applyFont="1"/>
    <xf numFmtId="0" fontId="9" fillId="0" borderId="24" xfId="1" applyFont="1" applyBorder="1"/>
    <xf numFmtId="0" fontId="5" fillId="0" borderId="23" xfId="1" applyFont="1" applyBorder="1"/>
    <xf numFmtId="168" fontId="5" fillId="0" borderId="0" xfId="1" applyNumberFormat="1" applyFont="1" applyBorder="1"/>
    <xf numFmtId="168" fontId="9" fillId="0" borderId="0" xfId="1" applyNumberFormat="1" applyFont="1" applyBorder="1"/>
    <xf numFmtId="168" fontId="8" fillId="0" borderId="0" xfId="1" applyNumberFormat="1" applyFont="1" applyBorder="1"/>
    <xf numFmtId="168" fontId="8" fillId="0" borderId="24" xfId="1" applyNumberFormat="1" applyFont="1" applyBorder="1"/>
    <xf numFmtId="0" fontId="5" fillId="0" borderId="0" xfId="1" applyFont="1" applyBorder="1"/>
    <xf numFmtId="168" fontId="8" fillId="0" borderId="26" xfId="1" applyNumberFormat="1" applyFont="1" applyBorder="1"/>
    <xf numFmtId="0" fontId="9" fillId="0" borderId="19" xfId="1" applyFont="1" applyBorder="1"/>
    <xf numFmtId="0" fontId="9" fillId="0" borderId="18" xfId="1" applyFont="1" applyBorder="1"/>
    <xf numFmtId="38" fontId="8" fillId="0" borderId="19" xfId="1" applyNumberFormat="1" applyFont="1" applyBorder="1"/>
    <xf numFmtId="38" fontId="8" fillId="0" borderId="0" xfId="1" applyNumberFormat="1" applyFont="1"/>
    <xf numFmtId="38" fontId="4" fillId="0" borderId="19" xfId="1" applyNumberFormat="1" applyFont="1" applyBorder="1"/>
    <xf numFmtId="38" fontId="4" fillId="0" borderId="0" xfId="1" applyNumberFormat="1" applyFont="1"/>
    <xf numFmtId="168" fontId="4" fillId="0" borderId="19" xfId="85" applyNumberFormat="1" applyFont="1" applyBorder="1"/>
    <xf numFmtId="168" fontId="4" fillId="0" borderId="0" xfId="85" applyNumberFormat="1" applyFont="1"/>
    <xf numFmtId="183" fontId="3" fillId="0" borderId="17" xfId="1" applyNumberFormat="1" applyFont="1" applyBorder="1"/>
    <xf numFmtId="183" fontId="18" fillId="0" borderId="0" xfId="1" applyNumberFormat="1" applyFont="1" applyBorder="1"/>
    <xf numFmtId="178" fontId="3" fillId="0" borderId="14" xfId="34" applyNumberFormat="1" applyFont="1" applyBorder="1"/>
    <xf numFmtId="183" fontId="3" fillId="0" borderId="0" xfId="34" applyNumberFormat="1" applyFont="1"/>
    <xf numFmtId="179" fontId="3" fillId="0" borderId="19" xfId="34" applyNumberFormat="1" applyFont="1" applyBorder="1"/>
    <xf numFmtId="1" fontId="3" fillId="0" borderId="0" xfId="1" applyNumberFormat="1" applyFont="1" applyBorder="1" applyAlignment="1">
      <alignment horizontal="center"/>
    </xf>
    <xf numFmtId="1" fontId="3" fillId="0" borderId="30" xfId="1" applyNumberFormat="1" applyFont="1" applyBorder="1" applyAlignment="1">
      <alignment horizontal="center"/>
    </xf>
    <xf numFmtId="178" fontId="8" fillId="0" borderId="25" xfId="34" applyNumberFormat="1" applyFont="1" applyBorder="1"/>
    <xf numFmtId="43" fontId="0" fillId="0" borderId="0" xfId="34" applyFont="1" applyBorder="1"/>
    <xf numFmtId="43" fontId="3" fillId="0" borderId="0" xfId="34" applyFont="1"/>
    <xf numFmtId="183" fontId="11" fillId="0" borderId="0" xfId="1" applyNumberFormat="1" applyFont="1" applyFill="1"/>
    <xf numFmtId="3" fontId="3" fillId="0" borderId="14" xfId="1" applyNumberFormat="1" applyFont="1" applyBorder="1"/>
    <xf numFmtId="168" fontId="14" fillId="0" borderId="24" xfId="85" applyNumberFormat="1" applyFont="1" applyBorder="1"/>
    <xf numFmtId="185" fontId="3" fillId="0" borderId="0" xfId="1" applyNumberFormat="1" applyFont="1" applyBorder="1"/>
    <xf numFmtId="168" fontId="8" fillId="0" borderId="4" xfId="85" applyNumberFormat="1" applyFont="1" applyFill="1" applyBorder="1"/>
    <xf numFmtId="37" fontId="3" fillId="0" borderId="0" xfId="1" applyNumberFormat="1" applyFont="1" applyBorder="1"/>
    <xf numFmtId="37" fontId="8" fillId="0" borderId="0" xfId="1" applyNumberFormat="1" applyFont="1" applyBorder="1"/>
    <xf numFmtId="169" fontId="9" fillId="0" borderId="0" xfId="1" applyNumberFormat="1" applyFont="1" applyBorder="1"/>
    <xf numFmtId="38" fontId="3" fillId="0" borderId="0" xfId="1" applyNumberFormat="1" applyFont="1" applyBorder="1"/>
    <xf numFmtId="38" fontId="8" fillId="0" borderId="0" xfId="1" applyNumberFormat="1" applyFont="1" applyBorder="1"/>
    <xf numFmtId="38" fontId="4" fillId="0" borderId="0" xfId="1" applyNumberFormat="1" applyFont="1" applyBorder="1"/>
    <xf numFmtId="168" fontId="4" fillId="0" borderId="0" xfId="85" applyNumberFormat="1" applyFont="1" applyBorder="1"/>
    <xf numFmtId="187" fontId="3" fillId="13" borderId="8" xfId="1" applyNumberFormat="1" applyFont="1" applyFill="1" applyBorder="1"/>
    <xf numFmtId="43" fontId="0" fillId="0" borderId="0" xfId="34" applyFont="1"/>
    <xf numFmtId="179" fontId="9" fillId="17" borderId="34" xfId="34" applyNumberFormat="1" applyFont="1" applyFill="1" applyBorder="1"/>
    <xf numFmtId="179" fontId="9" fillId="17" borderId="35" xfId="34" applyNumberFormat="1" applyFont="1" applyFill="1" applyBorder="1"/>
    <xf numFmtId="179" fontId="9" fillId="17" borderId="0" xfId="34" applyNumberFormat="1" applyFont="1" applyFill="1" applyBorder="1"/>
    <xf numFmtId="179" fontId="18" fillId="17" borderId="0" xfId="34" applyNumberFormat="1" applyFont="1" applyFill="1" applyBorder="1"/>
    <xf numFmtId="0" fontId="0" fillId="0" borderId="0" xfId="1" applyFont="1" applyFill="1" applyBorder="1"/>
    <xf numFmtId="184" fontId="4" fillId="0" borderId="0" xfId="1" applyNumberFormat="1" applyFont="1" applyFill="1" applyBorder="1"/>
    <xf numFmtId="43" fontId="0" fillId="0" borderId="0" xfId="34" applyFont="1" applyFill="1" applyBorder="1"/>
    <xf numFmtId="190" fontId="0" fillId="0" borderId="0" xfId="34" applyNumberFormat="1" applyFont="1" applyFill="1" applyBorder="1"/>
    <xf numFmtId="179" fontId="19" fillId="17" borderId="35" xfId="34" applyNumberFormat="1" applyFont="1" applyFill="1" applyBorder="1"/>
    <xf numFmtId="179" fontId="19" fillId="17" borderId="0" xfId="34" applyNumberFormat="1" applyFont="1" applyFill="1" applyBorder="1"/>
    <xf numFmtId="179" fontId="19" fillId="17" borderId="34" xfId="34" applyNumberFormat="1" applyFont="1" applyFill="1" applyBorder="1"/>
    <xf numFm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numFmtId="166" fontId="3" fillId="0" borderId="30" xfId="1" applyNumberFormat="1" applyFont="1" applyBorder="1" applyAlignment="1">
      <alignment horizontal="center"/>
    </xf>
    <xf numFmtId="7" fontId="3" fillId="0" borderId="0" xfId="1" applyNumberFormat="1" applyFont="1" applyBorder="1" applyAlignment="1">
      <alignment horizontal="center"/>
    </xf>
    <xf numFmtId="179" fontId="11" fillId="0" borderId="0" xfId="34" applyNumberFormat="1" applyFont="1"/>
    <xf numFmtId="167" fontId="4" fillId="0" borderId="19" xfId="40" applyNumberFormat="1" applyFont="1" applyBorder="1"/>
    <xf numFmtId="167" fontId="3" fillId="0" borderId="0" xfId="40" applyNumberFormat="1" applyFont="1" applyBorder="1"/>
    <xf numFmtId="167" fontId="3" fillId="0" borderId="19" xfId="40" applyNumberFormat="1" applyFont="1" applyBorder="1"/>
    <xf numFmtId="167" fontId="3" fillId="0" borderId="0" xfId="40" applyNumberFormat="1" applyFont="1" applyFill="1" applyBorder="1"/>
    <xf numFmtId="167" fontId="3" fillId="17" borderId="0" xfId="40" applyNumberFormat="1" applyFont="1" applyFill="1" applyAlignment="1">
      <alignment horizontal="right"/>
    </xf>
    <xf numFmtId="187" fontId="8" fillId="0" borderId="19" xfId="1" applyNumberFormat="1" applyFont="1" applyBorder="1"/>
    <xf numFmtId="187" fontId="8" fillId="0" borderId="0" xfId="1" applyNumberFormat="1" applyFont="1"/>
    <xf numFmtId="187" fontId="8" fillId="0" borderId="0" xfId="1" applyNumberFormat="1" applyFont="1" applyBorder="1"/>
    <xf numFmtId="43" fontId="3" fillId="0" borderId="19" xfId="34" applyFont="1" applyBorder="1"/>
    <xf numFmtId="38" fontId="10" fillId="0" borderId="0" xfId="1" applyNumberFormat="1" applyFont="1"/>
    <xf numFmtId="38" fontId="10" fillId="0" borderId="0" xfId="1" applyNumberFormat="1" applyFont="1" applyBorder="1"/>
    <xf numFmtId="38" fontId="10" fillId="0" borderId="19" xfId="1" applyNumberFormat="1" applyFont="1" applyBorder="1"/>
    <xf numFmtId="38" fontId="18" fillId="0" borderId="0" xfId="1" applyNumberFormat="1" applyFont="1" applyBorder="1"/>
    <xf numFmtId="223" fontId="3" fillId="0" borderId="0" xfId="1" applyNumberFormat="1" applyFont="1" applyBorder="1"/>
    <xf numFmtId="223" fontId="3" fillId="0" borderId="19" xfId="1" applyNumberFormat="1" applyFont="1" applyBorder="1"/>
    <xf numFmtId="43" fontId="3" fillId="0" borderId="0" xfId="34" applyFont="1" applyFill="1" applyBorder="1"/>
    <xf numFmtId="0" fontId="8" fillId="0" borderId="29" xfId="1" applyFont="1" applyBorder="1"/>
    <xf numFmtId="0" fontId="8" fillId="0" borderId="31" xfId="1" applyFont="1" applyBorder="1"/>
    <xf numFmtId="184" fontId="4" fillId="0" borderId="8" xfId="1" applyNumberFormat="1" applyFont="1" applyBorder="1" applyAlignment="1">
      <alignment horizontal="center"/>
    </xf>
    <xf numFmtId="184" fontId="4" fillId="0" borderId="4" xfId="1" applyNumberFormat="1" applyFont="1" applyBorder="1" applyAlignment="1">
      <alignment horizontal="center"/>
    </xf>
    <xf numFmtId="0" fontId="4" fillId="13" borderId="8" xfId="1" applyFont="1" applyFill="1" applyBorder="1" applyAlignment="1">
      <alignment horizontal="center"/>
    </xf>
    <xf numFmtId="17" fontId="4" fillId="13" borderId="4" xfId="1" quotePrefix="1" applyNumberFormat="1" applyFont="1" applyFill="1" applyBorder="1" applyAlignment="1">
      <alignment horizontal="center"/>
    </xf>
    <xf numFmtId="5" fontId="3" fillId="0" borderId="0" xfId="1" applyNumberFormat="1" applyFont="1" applyBorder="1" applyAlignment="1">
      <alignment horizontal="center"/>
    </xf>
    <xf numFmtId="5" fontId="3" fillId="0" borderId="30" xfId="1" applyNumberFormat="1" applyFont="1" applyBorder="1" applyAlignment="1">
      <alignment horizontal="center"/>
    </xf>
    <xf numFmtId="168" fontId="5" fillId="0" borderId="0" xfId="85" applyNumberFormat="1" applyFont="1" applyBorder="1" applyAlignment="1">
      <alignment horizontal="center"/>
    </xf>
    <xf numFmtId="168" fontId="5" fillId="0" borderId="30" xfId="85" applyNumberFormat="1" applyFont="1" applyBorder="1" applyAlignment="1">
      <alignment horizontal="center"/>
    </xf>
    <xf numFmtId="178" fontId="3" fillId="17" borderId="0" xfId="34" applyNumberFormat="1" applyFont="1" applyFill="1" applyBorder="1" applyAlignment="1">
      <alignment horizontal="center"/>
    </xf>
    <xf numFmtId="178" fontId="3" fillId="17" borderId="30" xfId="34" applyNumberFormat="1" applyFont="1" applyFill="1" applyBorder="1" applyAlignment="1">
      <alignment horizontal="center"/>
    </xf>
    <xf numFmtId="1" fontId="5" fillId="0" borderId="19" xfId="1" applyNumberFormat="1" applyFont="1" applyBorder="1"/>
    <xf numFmtId="0" fontId="11" fillId="0" borderId="0" xfId="1" applyFont="1" applyBorder="1"/>
    <xf numFmtId="185" fontId="11" fillId="0" borderId="0" xfId="1" applyNumberFormat="1" applyFont="1" applyBorder="1"/>
    <xf numFmtId="185" fontId="5" fillId="0" borderId="0" xfId="1" applyNumberFormat="1" applyFont="1" applyBorder="1"/>
    <xf numFmtId="185" fontId="8" fillId="0" borderId="0" xfId="1" applyNumberFormat="1" applyFont="1" applyBorder="1"/>
    <xf numFmtId="173" fontId="3" fillId="0" borderId="0" xfId="1" applyNumberFormat="1" applyFont="1" applyBorder="1"/>
    <xf numFmtId="3" fontId="3" fillId="0" borderId="19" xfId="34" applyNumberFormat="1" applyFont="1" applyBorder="1"/>
    <xf numFmtId="3" fontId="3" fillId="0" borderId="0" xfId="34" applyNumberFormat="1" applyFont="1"/>
    <xf numFmtId="37" fontId="8" fillId="0" borderId="19" xfId="1" applyNumberFormat="1" applyFont="1" applyBorder="1"/>
    <xf numFmtId="37" fontId="8" fillId="0" borderId="0" xfId="1" applyNumberFormat="1" applyFont="1"/>
    <xf numFmtId="168" fontId="3" fillId="0" borderId="18" xfId="1" applyNumberFormat="1" applyFont="1" applyBorder="1"/>
    <xf numFmtId="178" fontId="3" fillId="0" borderId="23" xfId="34" applyNumberFormat="1" applyFont="1" applyBorder="1"/>
    <xf numFmtId="178" fontId="3" fillId="0" borderId="24" xfId="34" applyNumberFormat="1" applyFont="1" applyBorder="1"/>
    <xf numFmtId="178" fontId="8" fillId="0" borderId="26" xfId="34" applyNumberFormat="1" applyFont="1" applyBorder="1"/>
    <xf numFmtId="178" fontId="3" fillId="0" borderId="21" xfId="34" applyNumberFormat="1" applyFont="1" applyBorder="1"/>
    <xf numFmtId="178" fontId="3" fillId="0" borderId="18" xfId="34" applyNumberFormat="1" applyFont="1" applyBorder="1"/>
    <xf numFmtId="17" fontId="4" fillId="13" borderId="4" xfId="1" applyNumberFormat="1" applyFont="1" applyFill="1" applyBorder="1" applyAlignment="1">
      <alignment horizontal="center"/>
    </xf>
    <xf numFmtId="168" fontId="3" fillId="0" borderId="0" xfId="1" applyNumberFormat="1" applyFont="1" applyAlignment="1">
      <alignment horizontal="right"/>
    </xf>
    <xf numFmtId="184" fontId="4" fillId="0" borderId="18" xfId="1" applyNumberFormat="1" applyFont="1" applyBorder="1" applyAlignment="1">
      <alignment horizontal="center"/>
    </xf>
    <xf numFmtId="184" fontId="4" fillId="0" borderId="4" xfId="1" quotePrefix="1" applyNumberFormat="1" applyFont="1" applyBorder="1" applyAlignment="1">
      <alignment horizontal="center"/>
    </xf>
    <xf numFmtId="187" fontId="11" fillId="0" borderId="19" xfId="1" applyNumberFormat="1" applyFont="1" applyBorder="1"/>
    <xf numFmtId="187" fontId="11" fillId="0" borderId="0" xfId="1" applyNumberFormat="1" applyFont="1" applyBorder="1"/>
    <xf numFmtId="187" fontId="20" fillId="0" borderId="0" xfId="1" applyNumberFormat="1" applyFont="1" applyBorder="1"/>
    <xf numFmtId="187" fontId="20" fillId="0" borderId="19" xfId="1" applyNumberFormat="1" applyFont="1" applyBorder="1"/>
    <xf numFmtId="187" fontId="20" fillId="0" borderId="0" xfId="1" applyNumberFormat="1" applyFont="1" applyFill="1" applyBorder="1"/>
    <xf numFmtId="187" fontId="39" fillId="0" borderId="19" xfId="1" applyNumberFormat="1" applyFont="1" applyBorder="1"/>
    <xf numFmtId="187" fontId="11" fillId="0" borderId="0" xfId="1" applyNumberFormat="1" applyFont="1" applyFill="1" applyBorder="1"/>
    <xf numFmtId="40" fontId="3" fillId="0" borderId="19" xfId="1" applyNumberFormat="1" applyFont="1" applyBorder="1"/>
    <xf numFmtId="40" fontId="3" fillId="0" borderId="0" xfId="1" applyNumberFormat="1" applyFont="1"/>
    <xf numFmtId="40" fontId="3" fillId="0" borderId="0" xfId="1" applyNumberFormat="1" applyFont="1" applyBorder="1"/>
    <xf numFmtId="0" fontId="40" fillId="13" borderId="15" xfId="1" applyFont="1" applyFill="1" applyBorder="1"/>
    <xf numFmtId="184" fontId="15" fillId="0" borderId="4" xfId="1" applyNumberFormat="1" applyFont="1" applyBorder="1" applyAlignment="1">
      <alignment horizontal="center"/>
    </xf>
    <xf numFmtId="184" fontId="15" fillId="0" borderId="8" xfId="1" applyNumberFormat="1" applyFont="1" applyBorder="1" applyAlignment="1">
      <alignment horizontal="center"/>
    </xf>
    <xf numFmtId="17" fontId="15" fillId="13" borderId="4" xfId="1" quotePrefix="1" applyNumberFormat="1" applyFont="1" applyFill="1" applyBorder="1" applyAlignment="1">
      <alignment horizontal="center"/>
    </xf>
    <xf numFmtId="0" fontId="15" fillId="13" borderId="8" xfId="1" applyFont="1" applyFill="1" applyBorder="1" applyAlignment="1">
      <alignment horizontal="center"/>
    </xf>
    <xf numFmtId="184" fontId="10" fillId="0" borderId="4" xfId="1" applyNumberFormat="1" applyFont="1" applyBorder="1" applyAlignment="1">
      <alignment horizontal="center"/>
    </xf>
    <xf numFmtId="184" fontId="10" fillId="0" borderId="4" xfId="1" quotePrefix="1" applyNumberFormat="1" applyFont="1" applyBorder="1" applyAlignment="1">
      <alignment horizontal="center"/>
    </xf>
    <xf numFmtId="0" fontId="10" fillId="0" borderId="8" xfId="1" quotePrefix="1" applyFont="1" applyBorder="1" applyAlignment="1">
      <alignment horizontal="center"/>
    </xf>
    <xf numFmtId="9" fontId="3" fillId="0" borderId="0" xfId="1" applyNumberFormat="1" applyFont="1" applyBorder="1" applyAlignment="1">
      <alignment horizontal="center"/>
    </xf>
    <xf numFmtId="179" fontId="9" fillId="0" borderId="0" xfId="1" applyNumberFormat="1" applyFont="1"/>
    <xf numFmtId="0" fontId="8" fillId="0" borderId="28" xfId="1" applyFont="1" applyBorder="1" applyAlignment="1">
      <alignment horizontal="center"/>
    </xf>
    <xf numFmtId="7" fontId="3" fillId="0" borderId="30" xfId="1" applyNumberFormat="1" applyFont="1" applyBorder="1" applyAlignment="1">
      <alignment horizontal="center"/>
    </xf>
    <xf numFmtId="9" fontId="3" fillId="0" borderId="30" xfId="1" applyNumberFormat="1" applyFont="1" applyBorder="1" applyAlignment="1">
      <alignment horizontal="center"/>
    </xf>
    <xf numFmtId="178" fontId="3" fillId="0" borderId="0" xfId="34" applyNumberFormat="1" applyFont="1" applyBorder="1" applyAlignment="1">
      <alignment horizontal="center"/>
    </xf>
    <xf numFmtId="178" fontId="3" fillId="0" borderId="30" xfId="34" applyNumberFormat="1" applyFont="1" applyBorder="1" applyAlignment="1">
      <alignment horizontal="center"/>
    </xf>
    <xf numFmtId="9" fontId="5" fillId="0" borderId="32" xfId="85" applyNumberFormat="1" applyFont="1" applyBorder="1" applyAlignment="1">
      <alignment horizontal="center"/>
    </xf>
    <xf numFmtId="9" fontId="5" fillId="0" borderId="33" xfId="85" applyNumberFormat="1" applyFont="1" applyBorder="1" applyAlignment="1">
      <alignment horizontal="center"/>
    </xf>
    <xf numFmtId="1" fontId="3" fillId="0" borderId="32" xfId="1" applyNumberFormat="1" applyFont="1" applyBorder="1" applyAlignment="1">
      <alignment horizontal="center"/>
    </xf>
    <xf numFmtId="178" fontId="3" fillId="0" borderId="32" xfId="34" applyNumberFormat="1" applyFont="1" applyBorder="1" applyAlignment="1">
      <alignment horizontal="center"/>
    </xf>
    <xf numFmtId="41" fontId="3" fillId="17" borderId="0" xfId="1" applyNumberFormat="1" applyFont="1" applyFill="1" applyBorder="1" applyAlignment="1">
      <alignment horizontal="center"/>
    </xf>
    <xf numFmtId="169" fontId="3" fillId="0" borderId="0" xfId="1" applyNumberFormat="1" applyFont="1" applyBorder="1" applyAlignment="1">
      <alignment horizontal="center"/>
    </xf>
    <xf numFmtId="169" fontId="3" fillId="0" borderId="30" xfId="1" applyNumberFormat="1" applyFont="1" applyBorder="1" applyAlignment="1">
      <alignment horizontal="center"/>
    </xf>
    <xf numFmtId="169" fontId="8" fillId="0" borderId="0" xfId="1" applyNumberFormat="1" applyFont="1" applyBorder="1" applyAlignment="1">
      <alignment horizontal="center"/>
    </xf>
    <xf numFmtId="169" fontId="8" fillId="0" borderId="30" xfId="1" applyNumberFormat="1" applyFont="1" applyBorder="1" applyAlignment="1">
      <alignment horizontal="center"/>
    </xf>
    <xf numFmtId="168" fontId="8" fillId="0" borderId="0" xfId="85" applyNumberFormat="1" applyFont="1" applyBorder="1" applyAlignment="1">
      <alignment horizontal="center"/>
    </xf>
    <xf numFmtId="168" fontId="8" fillId="0" borderId="30" xfId="85" applyNumberFormat="1" applyFont="1" applyBorder="1" applyAlignment="1">
      <alignment horizontal="center"/>
    </xf>
    <xf numFmtId="0" fontId="3" fillId="0" borderId="32" xfId="1" applyFont="1" applyBorder="1" applyAlignment="1">
      <alignment horizontal="center"/>
    </xf>
    <xf numFmtId="169" fontId="8" fillId="0" borderId="32" xfId="1" applyNumberFormat="1" applyFont="1" applyBorder="1" applyAlignment="1">
      <alignment horizontal="center"/>
    </xf>
    <xf numFmtId="169" fontId="8" fillId="0" borderId="33" xfId="1" applyNumberFormat="1" applyFont="1" applyBorder="1" applyAlignment="1">
      <alignment horizontal="center"/>
    </xf>
    <xf numFmtId="7" fontId="10" fillId="0" borderId="0" xfId="1" applyNumberFormat="1" applyFont="1" applyBorder="1" applyAlignment="1">
      <alignment horizontal="center"/>
    </xf>
    <xf numFmtId="7" fontId="34" fillId="0" borderId="8" xfId="1" applyNumberFormat="1" applyFont="1" applyBorder="1"/>
    <xf numFmtId="7" fontId="34" fillId="0" borderId="4" xfId="1" applyNumberFormat="1" applyFont="1" applyBorder="1"/>
    <xf numFmtId="7" fontId="34" fillId="0" borderId="19" xfId="1" applyNumberFormat="1" applyFont="1" applyBorder="1"/>
    <xf numFmtId="43" fontId="3" fillId="17" borderId="0" xfId="34" applyFont="1" applyFill="1" applyBorder="1"/>
    <xf numFmtId="179" fontId="3" fillId="17" borderId="0" xfId="34" applyNumberFormat="1" applyFont="1" applyFill="1" applyBorder="1"/>
    <xf numFmtId="179" fontId="3" fillId="0" borderId="0" xfId="34" applyNumberFormat="1" applyFont="1" applyBorder="1"/>
    <xf numFmtId="179" fontId="3" fillId="17" borderId="0" xfId="34" applyNumberFormat="1" applyFont="1" applyFill="1"/>
    <xf numFmtId="179" fontId="3" fillId="0" borderId="0" xfId="34" applyNumberFormat="1" applyFont="1" applyFill="1" applyBorder="1"/>
    <xf numFmtId="179" fontId="11" fillId="0" borderId="19" xfId="34" applyNumberFormat="1" applyFont="1" applyBorder="1"/>
    <xf numFmtId="179" fontId="11" fillId="0" borderId="0" xfId="34" applyNumberFormat="1" applyFont="1" applyBorder="1"/>
    <xf numFmtId="179" fontId="20" fillId="0" borderId="0" xfId="34" applyNumberFormat="1" applyFont="1" applyBorder="1"/>
    <xf numFmtId="179" fontId="20" fillId="0" borderId="19" xfId="34" applyNumberFormat="1" applyFont="1" applyBorder="1"/>
    <xf numFmtId="179" fontId="20" fillId="0" borderId="0" xfId="34" applyNumberFormat="1" applyFont="1" applyFill="1" applyBorder="1"/>
    <xf numFmtId="1" fontId="3" fillId="0" borderId="14" xfId="1" applyNumberFormat="1" applyFont="1" applyBorder="1"/>
    <xf numFmtId="179" fontId="0" fillId="0" borderId="0" xfId="1" applyNumberFormat="1" applyFont="1"/>
    <xf numFmtId="168" fontId="3" fillId="13" borderId="16" xfId="1" applyNumberFormat="1" applyFont="1" applyFill="1" applyBorder="1"/>
    <xf numFmtId="9" fontId="8" fillId="0" borderId="0" xfId="85" applyFont="1"/>
    <xf numFmtId="0" fontId="8" fillId="0" borderId="0" xfId="1" quotePrefix="1" applyFont="1" applyFill="1" applyBorder="1" applyAlignment="1">
      <alignment horizontal="center"/>
    </xf>
    <xf numFmtId="184" fontId="10" fillId="0" borderId="0" xfId="1" applyNumberFormat="1" applyFont="1" applyBorder="1" applyAlignment="1">
      <alignment horizontal="center"/>
    </xf>
    <xf numFmtId="184" fontId="10" fillId="0" borderId="0" xfId="1" quotePrefix="1" applyNumberFormat="1" applyFont="1" applyBorder="1" applyAlignment="1">
      <alignment horizontal="center"/>
    </xf>
    <xf numFmtId="0" fontId="10" fillId="0" borderId="0" xfId="1" quotePrefix="1" applyFont="1" applyBorder="1" applyAlignment="1">
      <alignment horizontal="center"/>
    </xf>
    <xf numFmtId="184" fontId="8" fillId="0" borderId="0" xfId="1" quotePrefix="1" applyNumberFormat="1" applyFont="1" applyFill="1" applyBorder="1" applyAlignment="1">
      <alignment horizontal="center"/>
    </xf>
    <xf numFmtId="184" fontId="8" fillId="0" borderId="0" xfId="1" applyNumberFormat="1" applyFont="1" applyFill="1" applyBorder="1" applyAlignment="1">
      <alignment horizontal="center"/>
    </xf>
    <xf numFmtId="0" fontId="4" fillId="0" borderId="0" xfId="1" quotePrefix="1" applyFont="1" applyBorder="1" applyAlignment="1">
      <alignment horizontal="center"/>
    </xf>
    <xf numFmtId="183" fontId="4" fillId="0" borderId="0" xfId="1" applyNumberFormat="1" applyFont="1"/>
    <xf numFmtId="183" fontId="30" fillId="0" borderId="0" xfId="1" applyNumberFormat="1" applyFont="1"/>
    <xf numFmtId="7" fontId="4" fillId="0" borderId="4" xfId="1" applyNumberFormat="1" applyFont="1" applyBorder="1"/>
    <xf numFmtId="49" fontId="0" fillId="0" borderId="0" xfId="1" applyNumberFormat="1" applyFont="1"/>
    <xf numFmtId="168" fontId="10" fillId="0" borderId="0" xfId="1" applyNumberFormat="1" applyFont="1" applyFill="1"/>
    <xf numFmtId="227" fontId="3" fillId="0" borderId="0" xfId="1" applyNumberFormat="1" applyFont="1" applyBorder="1" applyAlignment="1">
      <alignment horizontal="center"/>
    </xf>
    <xf numFmtId="227" fontId="3" fillId="0" borderId="30" xfId="1" applyNumberFormat="1" applyFont="1" applyBorder="1" applyAlignment="1">
      <alignment horizontal="center"/>
    </xf>
    <xf numFmtId="178" fontId="11" fillId="0" borderId="0" xfId="34" applyNumberFormat="1" applyFont="1" applyBorder="1"/>
    <xf numFmtId="179" fontId="8" fillId="0" borderId="0" xfId="34" applyNumberFormat="1" applyFont="1" applyBorder="1"/>
    <xf numFmtId="179" fontId="5" fillId="0" borderId="0" xfId="34" applyNumberFormat="1" applyFont="1" applyBorder="1"/>
    <xf numFmtId="7" fontId="4" fillId="0" borderId="0" xfId="1" applyNumberFormat="1" applyFont="1"/>
    <xf numFmtId="183" fontId="4" fillId="0" borderId="0" xfId="1" applyNumberFormat="1" applyFont="1" applyBorder="1"/>
    <xf numFmtId="179" fontId="9" fillId="0" borderId="0" xfId="34" applyNumberFormat="1" applyFont="1"/>
    <xf numFmtId="166" fontId="8" fillId="0" borderId="18" xfId="1" applyNumberFormat="1" applyFont="1" applyBorder="1"/>
    <xf numFmtId="166" fontId="8" fillId="0" borderId="14" xfId="1" applyNumberFormat="1" applyFont="1" applyBorder="1"/>
    <xf numFmtId="166" fontId="14" fillId="0" borderId="0" xfId="1" applyNumberFormat="1" applyFont="1" applyAlignment="1">
      <alignment horizontal="right"/>
    </xf>
    <xf numFmtId="7" fontId="3" fillId="0" borderId="19" xfId="1" applyNumberFormat="1" applyFont="1" applyBorder="1" applyAlignment="1">
      <alignment horizontal="right"/>
    </xf>
    <xf numFmtId="7" fontId="14" fillId="0" borderId="0" xfId="1" applyNumberFormat="1" applyFont="1" applyAlignment="1">
      <alignment horizontal="right"/>
    </xf>
    <xf numFmtId="166" fontId="8" fillId="0" borderId="18" xfId="1" applyNumberFormat="1" applyFont="1" applyBorder="1" applyAlignment="1">
      <alignment horizontal="right"/>
    </xf>
    <xf numFmtId="166" fontId="8" fillId="0" borderId="14" xfId="1" applyNumberFormat="1" applyFont="1" applyBorder="1" applyAlignment="1">
      <alignment horizontal="right"/>
    </xf>
    <xf numFmtId="166" fontId="14" fillId="0" borderId="14" xfId="1" applyNumberFormat="1" applyFont="1" applyBorder="1" applyAlignment="1">
      <alignment horizontal="right"/>
    </xf>
    <xf numFmtId="227" fontId="3" fillId="0" borderId="18" xfId="1" applyNumberFormat="1" applyFont="1" applyBorder="1"/>
    <xf numFmtId="227" fontId="3" fillId="0" borderId="14" xfId="1" applyNumberFormat="1" applyFont="1" applyBorder="1"/>
    <xf numFmtId="171" fontId="8" fillId="0" borderId="19" xfId="1" applyNumberFormat="1" applyFont="1" applyBorder="1"/>
    <xf numFmtId="171" fontId="8" fillId="0" borderId="0" xfId="34" applyNumberFormat="1" applyFont="1" applyBorder="1"/>
    <xf numFmtId="171" fontId="3" fillId="0" borderId="0" xfId="1" applyNumberFormat="1" applyFont="1" applyBorder="1"/>
    <xf numFmtId="171" fontId="8" fillId="0" borderId="0" xfId="1" applyNumberFormat="1" applyFont="1" applyBorder="1"/>
    <xf numFmtId="171" fontId="3" fillId="0" borderId="24" xfId="85" applyNumberFormat="1" applyFont="1" applyBorder="1"/>
    <xf numFmtId="171" fontId="0" fillId="0" borderId="0" xfId="1" applyNumberFormat="1" applyFont="1"/>
    <xf numFmtId="9" fontId="3" fillId="0" borderId="0" xfId="85" applyNumberFormat="1" applyFont="1" applyBorder="1"/>
    <xf numFmtId="9" fontId="8" fillId="0" borderId="0" xfId="85" applyNumberFormat="1" applyFont="1" applyBorder="1"/>
    <xf numFmtId="9" fontId="3" fillId="0" borderId="24" xfId="85" applyNumberFormat="1" applyFont="1" applyBorder="1"/>
    <xf numFmtId="9" fontId="8" fillId="0" borderId="24" xfId="85" applyNumberFormat="1" applyFont="1" applyBorder="1"/>
    <xf numFmtId="179" fontId="9" fillId="0" borderId="19" xfId="34" applyNumberFormat="1" applyFont="1" applyBorder="1"/>
    <xf numFmtId="168" fontId="9" fillId="0" borderId="19" xfId="85" applyNumberFormat="1" applyFont="1" applyBorder="1"/>
    <xf numFmtId="183" fontId="35" fillId="0" borderId="0" xfId="1" applyNumberFormat="1" applyFont="1"/>
    <xf numFmtId="1" fontId="9" fillId="0" borderId="0" xfId="1" applyNumberFormat="1" applyFont="1"/>
    <xf numFmtId="173" fontId="4" fillId="0" borderId="0" xfId="1" applyNumberFormat="1" applyFont="1" applyBorder="1"/>
    <xf numFmtId="173" fontId="4" fillId="0" borderId="19" xfId="1" applyNumberFormat="1" applyFont="1" applyBorder="1"/>
    <xf numFmtId="183" fontId="4" fillId="0" borderId="4" xfId="1" applyNumberFormat="1" applyFont="1" applyBorder="1"/>
    <xf numFmtId="183" fontId="4" fillId="0" borderId="8" xfId="1" applyNumberFormat="1" applyFont="1" applyBorder="1"/>
    <xf numFmtId="9" fontId="8" fillId="0" borderId="0" xfId="85" applyFont="1" applyBorder="1"/>
    <xf numFmtId="9" fontId="9" fillId="0" borderId="0" xfId="85" applyFont="1" applyBorder="1"/>
    <xf numFmtId="179" fontId="43" fillId="0" borderId="19" xfId="34" applyNumberFormat="1" applyFont="1" applyBorder="1"/>
    <xf numFmtId="168" fontId="4" fillId="0" borderId="0" xfId="1" applyNumberFormat="1" applyFont="1"/>
    <xf numFmtId="0" fontId="13" fillId="17" borderId="0" xfId="81" applyFont="1" applyFill="1" applyBorder="1" applyAlignment="1">
      <alignment horizontal="center"/>
    </xf>
    <xf numFmtId="0" fontId="2" fillId="17" borderId="0" xfId="81" applyFill="1" applyBorder="1"/>
    <xf numFmtId="0" fontId="8" fillId="0" borderId="0" xfId="1" applyFont="1" applyAlignment="1">
      <alignment horizontal="right"/>
    </xf>
    <xf numFmtId="168" fontId="9" fillId="0" borderId="19" xfId="85" applyNumberFormat="1" applyFont="1" applyBorder="1" applyAlignment="1">
      <alignment horizontal="right"/>
    </xf>
    <xf numFmtId="43" fontId="8" fillId="0" borderId="0" xfId="34" applyFont="1"/>
    <xf numFmtId="167" fontId="3" fillId="0" borderId="14" xfId="1" applyNumberFormat="1" applyFont="1" applyBorder="1"/>
    <xf numFmtId="167" fontId="3" fillId="0" borderId="18" xfId="1" applyNumberFormat="1" applyFont="1" applyBorder="1"/>
    <xf numFmtId="167" fontId="3" fillId="0" borderId="21" xfId="1" applyNumberFormat="1" applyFont="1" applyBorder="1"/>
    <xf numFmtId="167" fontId="3" fillId="0" borderId="17" xfId="1" applyNumberFormat="1" applyFont="1" applyBorder="1"/>
    <xf numFmtId="187" fontId="14" fillId="0" borderId="14" xfId="1" applyNumberFormat="1" applyFont="1" applyBorder="1"/>
    <xf numFmtId="179" fontId="3" fillId="0" borderId="14" xfId="34" applyNumberFormat="1" applyFont="1" applyBorder="1"/>
    <xf numFmtId="179" fontId="3" fillId="0" borderId="18" xfId="34" applyNumberFormat="1" applyFont="1" applyBorder="1"/>
    <xf numFmtId="43" fontId="13" fillId="0" borderId="0" xfId="34" applyFont="1" applyFill="1" applyBorder="1"/>
    <xf numFmtId="167" fontId="3" fillId="0" borderId="25" xfId="1" applyNumberFormat="1" applyFont="1" applyBorder="1"/>
    <xf numFmtId="167" fontId="3" fillId="0" borderId="20" xfId="1" applyNumberFormat="1" applyFont="1" applyBorder="1"/>
    <xf numFmtId="187" fontId="3" fillId="0" borderId="23" xfId="1" applyNumberFormat="1" applyFont="1" applyBorder="1"/>
    <xf numFmtId="187" fontId="3" fillId="0" borderId="20" xfId="1" applyNumberFormat="1" applyFont="1" applyBorder="1"/>
    <xf numFmtId="187" fontId="9" fillId="0" borderId="0" xfId="1" applyNumberFormat="1" applyFont="1" applyBorder="1"/>
    <xf numFmtId="187" fontId="9" fillId="0" borderId="19" xfId="1" applyNumberFormat="1" applyFont="1" applyBorder="1"/>
    <xf numFmtId="187" fontId="9" fillId="0" borderId="0" xfId="1" applyNumberFormat="1" applyFont="1"/>
    <xf numFmtId="179" fontId="9" fillId="0" borderId="0" xfId="34" applyNumberFormat="1" applyFont="1" applyBorder="1"/>
    <xf numFmtId="43" fontId="24" fillId="0" borderId="0" xfId="34" applyFont="1" applyFill="1" applyBorder="1"/>
    <xf numFmtId="183" fontId="3" fillId="0" borderId="0" xfId="1" applyNumberFormat="1" applyFont="1" applyFill="1"/>
    <xf numFmtId="179" fontId="11" fillId="0" borderId="0" xfId="34" applyNumberFormat="1" applyFont="1" applyFill="1" applyBorder="1"/>
    <xf numFmtId="231" fontId="3" fillId="0" borderId="0" xfId="34" applyNumberFormat="1" applyFont="1"/>
    <xf numFmtId="177" fontId="3" fillId="0" borderId="0" xfId="85" applyNumberFormat="1" applyFont="1"/>
    <xf numFmtId="177" fontId="3" fillId="0" borderId="0" xfId="85" applyNumberFormat="1" applyFont="1" applyBorder="1"/>
    <xf numFmtId="177" fontId="11" fillId="0" borderId="0" xfId="85" applyNumberFormat="1" applyFont="1"/>
    <xf numFmtId="177" fontId="14" fillId="0" borderId="0" xfId="85" applyNumberFormat="1" applyFont="1"/>
    <xf numFmtId="8" fontId="3" fillId="0" borderId="0" xfId="1" applyNumberFormat="1" applyFont="1" applyBorder="1"/>
    <xf numFmtId="223" fontId="3" fillId="16" borderId="0" xfId="1" applyNumberFormat="1" applyFont="1" applyFill="1" applyBorder="1"/>
    <xf numFmtId="187" fontId="3" fillId="13" borderId="16" xfId="1" applyNumberFormat="1" applyFont="1" applyFill="1" applyBorder="1"/>
    <xf numFmtId="9" fontId="0" fillId="0" borderId="0" xfId="1" applyNumberFormat="1" applyFont="1"/>
    <xf numFmtId="231" fontId="9" fillId="0" borderId="0" xfId="34" applyNumberFormat="1" applyFont="1"/>
    <xf numFmtId="179" fontId="43" fillId="0" borderId="0" xfId="34" applyNumberFormat="1" applyFont="1" applyBorder="1"/>
    <xf numFmtId="0" fontId="5" fillId="0" borderId="20" xfId="1" applyFont="1" applyFill="1" applyBorder="1"/>
    <xf numFmtId="0" fontId="8" fillId="0" borderId="23" xfId="1" applyFont="1" applyFill="1" applyBorder="1"/>
    <xf numFmtId="0" fontId="9" fillId="0" borderId="23" xfId="1" applyFont="1" applyFill="1" applyBorder="1"/>
    <xf numFmtId="0" fontId="9" fillId="0" borderId="25" xfId="1" applyFont="1" applyFill="1" applyBorder="1"/>
    <xf numFmtId="179" fontId="3" fillId="0" borderId="14" xfId="1" applyNumberFormat="1" applyFont="1" applyBorder="1"/>
    <xf numFmtId="179" fontId="3" fillId="0" borderId="18" xfId="1" applyNumberFormat="1" applyFont="1" applyBorder="1"/>
    <xf numFmtId="231" fontId="0" fillId="0" borderId="0" xfId="1" applyNumberFormat="1" applyFont="1"/>
    <xf numFmtId="0" fontId="0" fillId="0" borderId="14" xfId="0" applyBorder="1"/>
    <xf numFmtId="0" fontId="0" fillId="0" borderId="0" xfId="0" applyBorder="1"/>
    <xf numFmtId="0" fontId="8" fillId="0" borderId="0" xfId="0" applyFont="1"/>
    <xf numFmtId="223" fontId="9" fillId="0" borderId="0" xfId="1" applyNumberFormat="1" applyFont="1" applyBorder="1"/>
    <xf numFmtId="167" fontId="9" fillId="0" borderId="0" xfId="40" applyNumberFormat="1" applyFont="1" applyBorder="1"/>
    <xf numFmtId="43" fontId="9" fillId="0" borderId="0" xfId="34" applyFont="1" applyBorder="1"/>
    <xf numFmtId="187" fontId="35" fillId="0" borderId="0" xfId="1" applyNumberFormat="1" applyFont="1" applyBorder="1"/>
    <xf numFmtId="193" fontId="8" fillId="0" borderId="0" xfId="40" applyNumberFormat="1" applyFont="1" applyBorder="1"/>
    <xf numFmtId="173" fontId="8" fillId="0" borderId="4" xfId="40" applyNumberFormat="1" applyFont="1" applyBorder="1"/>
    <xf numFmtId="187" fontId="9" fillId="0" borderId="0" xfId="1" applyNumberFormat="1" applyFont="1" applyFill="1" applyBorder="1"/>
    <xf numFmtId="179" fontId="35" fillId="0" borderId="0" xfId="34" applyNumberFormat="1" applyFont="1" applyFill="1" applyBorder="1"/>
    <xf numFmtId="183" fontId="9" fillId="0" borderId="14" xfId="1" applyNumberFormat="1" applyFont="1" applyBorder="1"/>
    <xf numFmtId="179" fontId="61" fillId="0" borderId="0" xfId="34" applyNumberFormat="1" applyFont="1" applyBorder="1"/>
    <xf numFmtId="177" fontId="9" fillId="0" borderId="0" xfId="85" applyNumberFormat="1" applyFont="1"/>
    <xf numFmtId="177" fontId="35" fillId="0" borderId="0" xfId="85" applyNumberFormat="1" applyFont="1"/>
    <xf numFmtId="17" fontId="15" fillId="18" borderId="4" xfId="1" quotePrefix="1" applyNumberFormat="1" applyFont="1" applyFill="1" applyBorder="1" applyAlignment="1">
      <alignment horizontal="center"/>
    </xf>
    <xf numFmtId="0" fontId="15" fillId="18" borderId="8" xfId="1" applyFont="1" applyFill="1" applyBorder="1" applyAlignment="1">
      <alignment horizontal="center"/>
    </xf>
    <xf numFmtId="0" fontId="4" fillId="0" borderId="36" xfId="1" applyFont="1" applyBorder="1" applyAlignment="1">
      <alignment horizontal="center"/>
    </xf>
    <xf numFmtId="0" fontId="4" fillId="0" borderId="37" xfId="1" applyFont="1" applyBorder="1" applyAlignment="1">
      <alignment horizontal="center"/>
    </xf>
    <xf numFmtId="168" fontId="5" fillId="0" borderId="38" xfId="85" applyNumberFormat="1" applyFont="1" applyBorder="1" applyAlignment="1">
      <alignment horizontal="center"/>
    </xf>
    <xf numFmtId="0" fontId="4" fillId="0" borderId="37" xfId="1" applyFont="1" applyBorder="1" applyAlignment="1">
      <alignment horizontal="center" wrapText="1"/>
    </xf>
    <xf numFmtId="9" fontId="3" fillId="0" borderId="38" xfId="1" applyNumberFormat="1" applyFont="1" applyBorder="1" applyAlignment="1">
      <alignment horizontal="center"/>
    </xf>
    <xf numFmtId="9" fontId="5" fillId="0" borderId="39" xfId="85" applyNumberFormat="1" applyFont="1" applyBorder="1" applyAlignment="1">
      <alignment horizontal="center"/>
    </xf>
    <xf numFmtId="9" fontId="3" fillId="0" borderId="38" xfId="85" applyFont="1" applyBorder="1" applyAlignment="1">
      <alignment horizontal="center"/>
    </xf>
    <xf numFmtId="168" fontId="3" fillId="0" borderId="38" xfId="85" applyNumberFormat="1" applyFont="1" applyBorder="1" applyAlignment="1">
      <alignment horizontal="center"/>
    </xf>
    <xf numFmtId="168" fontId="3" fillId="0" borderId="39" xfId="85" applyNumberFormat="1" applyFont="1" applyBorder="1" applyAlignment="1">
      <alignment horizontal="center"/>
    </xf>
    <xf numFmtId="166" fontId="3" fillId="0" borderId="0" xfId="1" applyNumberFormat="1" applyFont="1" applyBorder="1"/>
    <xf numFmtId="0" fontId="68" fillId="0" borderId="21" xfId="1" applyFont="1" applyBorder="1"/>
    <xf numFmtId="0" fontId="68" fillId="0" borderId="14" xfId="1" applyFont="1" applyBorder="1"/>
    <xf numFmtId="17" fontId="67" fillId="13" borderId="4" xfId="1" quotePrefix="1" applyNumberFormat="1" applyFont="1" applyFill="1" applyBorder="1" applyAlignment="1">
      <alignment horizontal="center"/>
    </xf>
    <xf numFmtId="0" fontId="68" fillId="0" borderId="0" xfId="1" applyFont="1"/>
    <xf numFmtId="167" fontId="68" fillId="0" borderId="0" xfId="1" applyNumberFormat="1" applyFont="1"/>
    <xf numFmtId="183" fontId="68" fillId="0" borderId="0" xfId="1" applyNumberFormat="1" applyFont="1"/>
    <xf numFmtId="183" fontId="69" fillId="0" borderId="0" xfId="1" applyNumberFormat="1" applyFont="1"/>
    <xf numFmtId="1" fontId="68" fillId="0" borderId="0" xfId="1" applyNumberFormat="1" applyFont="1"/>
    <xf numFmtId="167" fontId="67" fillId="0" borderId="0" xfId="1" applyNumberFormat="1" applyFont="1"/>
    <xf numFmtId="183" fontId="70" fillId="0" borderId="0" xfId="1" applyNumberFormat="1" applyFont="1"/>
    <xf numFmtId="183" fontId="67" fillId="0" borderId="0" xfId="1" applyNumberFormat="1" applyFont="1"/>
    <xf numFmtId="183" fontId="68" fillId="0" borderId="0" xfId="1" applyNumberFormat="1" applyFont="1" applyFill="1"/>
    <xf numFmtId="179" fontId="68" fillId="0" borderId="0" xfId="34" applyNumberFormat="1" applyFont="1"/>
    <xf numFmtId="7" fontId="67" fillId="0" borderId="4" xfId="1" applyNumberFormat="1" applyFont="1" applyBorder="1"/>
    <xf numFmtId="7" fontId="67" fillId="0" borderId="0" xfId="1" applyNumberFormat="1" applyFont="1"/>
    <xf numFmtId="0" fontId="71" fillId="0" borderId="0" xfId="0" applyFont="1"/>
    <xf numFmtId="183" fontId="68" fillId="0" borderId="0" xfId="1" applyNumberFormat="1" applyFont="1" applyBorder="1"/>
    <xf numFmtId="0" fontId="71" fillId="0" borderId="4" xfId="1" applyFont="1" applyBorder="1"/>
    <xf numFmtId="168" fontId="68" fillId="0" borderId="21" xfId="85" applyNumberFormat="1" applyFont="1" applyBorder="1"/>
    <xf numFmtId="168" fontId="68" fillId="0" borderId="0" xfId="85" applyNumberFormat="1" applyFont="1" applyBorder="1"/>
    <xf numFmtId="187" fontId="68" fillId="0" borderId="0" xfId="1" applyNumberFormat="1" applyFont="1"/>
    <xf numFmtId="187" fontId="68" fillId="13" borderId="4" xfId="1" applyNumberFormat="1" applyFont="1" applyFill="1" applyBorder="1"/>
    <xf numFmtId="184" fontId="67" fillId="0" borderId="4" xfId="1" applyNumberFormat="1" applyFont="1" applyBorder="1" applyAlignment="1">
      <alignment horizontal="center"/>
    </xf>
    <xf numFmtId="223" fontId="68" fillId="0" borderId="0" xfId="1" applyNumberFormat="1" applyFont="1" applyBorder="1"/>
    <xf numFmtId="187" fontId="68" fillId="0" borderId="0" xfId="1" applyNumberFormat="1" applyFont="1" applyBorder="1"/>
    <xf numFmtId="167" fontId="68" fillId="0" borderId="0" xfId="40" applyNumberFormat="1" applyFont="1" applyBorder="1"/>
    <xf numFmtId="43" fontId="68" fillId="0" borderId="0" xfId="34" applyFont="1" applyFill="1" applyBorder="1"/>
    <xf numFmtId="187" fontId="68" fillId="0" borderId="0" xfId="1" applyNumberFormat="1" applyFont="1" applyFill="1" applyBorder="1"/>
    <xf numFmtId="187" fontId="69" fillId="0" borderId="0" xfId="1" applyNumberFormat="1" applyFont="1" applyFill="1" applyBorder="1"/>
    <xf numFmtId="193" fontId="67" fillId="0" borderId="0" xfId="40" applyNumberFormat="1" applyFont="1" applyBorder="1"/>
    <xf numFmtId="179" fontId="68" fillId="17" borderId="0" xfId="34" applyNumberFormat="1" applyFont="1" applyFill="1" applyBorder="1"/>
    <xf numFmtId="173" fontId="67" fillId="0" borderId="4" xfId="40" applyNumberFormat="1" applyFont="1" applyBorder="1"/>
    <xf numFmtId="43" fontId="68" fillId="0" borderId="0" xfId="34" applyFont="1" applyBorder="1"/>
    <xf numFmtId="179" fontId="68" fillId="0" borderId="0" xfId="34" applyNumberFormat="1" applyFont="1" applyBorder="1"/>
    <xf numFmtId="179" fontId="69" fillId="0" borderId="0" xfId="34" applyNumberFormat="1" applyFont="1" applyBorder="1"/>
    <xf numFmtId="173" fontId="67" fillId="0" borderId="0" xfId="1" applyNumberFormat="1" applyFont="1" applyBorder="1"/>
    <xf numFmtId="187" fontId="67" fillId="0" borderId="0" xfId="1" applyNumberFormat="1" applyFont="1" applyBorder="1"/>
    <xf numFmtId="167" fontId="67" fillId="0" borderId="0" xfId="1" applyNumberFormat="1" applyFont="1" applyBorder="1"/>
    <xf numFmtId="167" fontId="67" fillId="0" borderId="4" xfId="1" applyNumberFormat="1" applyFont="1" applyBorder="1"/>
    <xf numFmtId="187" fontId="68" fillId="13" borderId="14" xfId="1" applyNumberFormat="1" applyFont="1" applyFill="1" applyBorder="1"/>
    <xf numFmtId="40" fontId="68" fillId="0" borderId="0" xfId="1" applyNumberFormat="1" applyFont="1" applyBorder="1"/>
    <xf numFmtId="187" fontId="68" fillId="0" borderId="4" xfId="1" applyNumberFormat="1" applyFont="1" applyBorder="1"/>
    <xf numFmtId="168" fontId="68" fillId="0" borderId="21" xfId="1" applyNumberFormat="1" applyFont="1" applyBorder="1"/>
    <xf numFmtId="227" fontId="68" fillId="0" borderId="14" xfId="1" applyNumberFormat="1" applyFont="1" applyBorder="1"/>
    <xf numFmtId="167" fontId="68" fillId="0" borderId="0" xfId="1" applyNumberFormat="1" applyFont="1" applyBorder="1"/>
    <xf numFmtId="167" fontId="68" fillId="0" borderId="14" xfId="1" applyNumberFormat="1" applyFont="1" applyBorder="1"/>
    <xf numFmtId="167" fontId="68" fillId="0" borderId="21" xfId="1" applyNumberFormat="1" applyFont="1" applyBorder="1"/>
    <xf numFmtId="187" fontId="68" fillId="0" borderId="14" xfId="1" applyNumberFormat="1" applyFont="1" applyBorder="1"/>
    <xf numFmtId="187" fontId="68" fillId="0" borderId="21" xfId="1" applyNumberFormat="1" applyFont="1" applyBorder="1"/>
    <xf numFmtId="179" fontId="72" fillId="0" borderId="0" xfId="34" applyNumberFormat="1" applyFont="1" applyBorder="1"/>
    <xf numFmtId="179" fontId="68" fillId="0" borderId="14" xfId="34" applyNumberFormat="1" applyFont="1" applyBorder="1"/>
    <xf numFmtId="179" fontId="69" fillId="0" borderId="0" xfId="34" applyNumberFormat="1" applyFont="1"/>
    <xf numFmtId="177" fontId="68" fillId="0" borderId="0" xfId="85" applyNumberFormat="1" applyFont="1"/>
    <xf numFmtId="177" fontId="69" fillId="0" borderId="0" xfId="85" applyNumberFormat="1" applyFont="1"/>
    <xf numFmtId="168" fontId="68" fillId="0" borderId="0" xfId="85" applyNumberFormat="1" applyFont="1"/>
    <xf numFmtId="183" fontId="68" fillId="0" borderId="21" xfId="1" applyNumberFormat="1" applyFont="1" applyBorder="1"/>
    <xf numFmtId="183" fontId="68" fillId="0" borderId="14" xfId="1" applyNumberFormat="1" applyFont="1" applyBorder="1"/>
    <xf numFmtId="38" fontId="68" fillId="0" borderId="0" xfId="1" applyNumberFormat="1" applyFont="1" applyBorder="1"/>
    <xf numFmtId="38" fontId="67" fillId="0" borderId="0" xfId="1" applyNumberFormat="1" applyFont="1" applyBorder="1"/>
    <xf numFmtId="187" fontId="67" fillId="0" borderId="4" xfId="1" applyNumberFormat="1" applyFont="1" applyBorder="1"/>
    <xf numFmtId="0" fontId="71" fillId="0" borderId="21" xfId="1" applyFont="1" applyBorder="1"/>
    <xf numFmtId="184" fontId="67" fillId="0" borderId="4" xfId="1" quotePrefix="1" applyNumberFormat="1" applyFont="1" applyBorder="1" applyAlignment="1">
      <alignment horizontal="center"/>
    </xf>
    <xf numFmtId="0" fontId="67" fillId="0" borderId="8" xfId="1" quotePrefix="1" applyFont="1" applyBorder="1" applyAlignment="1">
      <alignment horizontal="center"/>
    </xf>
    <xf numFmtId="0" fontId="68" fillId="0" borderId="19" xfId="1" applyFont="1" applyBorder="1"/>
    <xf numFmtId="167" fontId="68" fillId="0" borderId="19" xfId="1" applyNumberFormat="1" applyFont="1" applyBorder="1"/>
    <xf numFmtId="183" fontId="68" fillId="0" borderId="19" xfId="1" applyNumberFormat="1" applyFont="1" applyBorder="1"/>
    <xf numFmtId="231" fontId="68" fillId="0" borderId="0" xfId="34" applyNumberFormat="1" applyFont="1"/>
    <xf numFmtId="231" fontId="68" fillId="0" borderId="19" xfId="34" applyNumberFormat="1" applyFont="1" applyBorder="1"/>
    <xf numFmtId="179" fontId="68" fillId="0" borderId="0" xfId="1" applyNumberFormat="1" applyFont="1"/>
    <xf numFmtId="179" fontId="68" fillId="0" borderId="19" xfId="1" applyNumberFormat="1" applyFont="1" applyBorder="1"/>
    <xf numFmtId="43" fontId="68" fillId="0" borderId="0" xfId="34" applyFont="1"/>
    <xf numFmtId="43" fontId="68" fillId="0" borderId="19" xfId="34" applyFont="1" applyBorder="1"/>
    <xf numFmtId="179" fontId="68" fillId="0" borderId="19" xfId="34" applyNumberFormat="1" applyFont="1" applyBorder="1"/>
    <xf numFmtId="183" fontId="67" fillId="0" borderId="19" xfId="1" applyNumberFormat="1" applyFont="1" applyBorder="1"/>
    <xf numFmtId="167" fontId="67" fillId="0" borderId="8" xfId="1" applyNumberFormat="1" applyFont="1" applyBorder="1"/>
    <xf numFmtId="0" fontId="68" fillId="13" borderId="4" xfId="1" applyFont="1" applyFill="1" applyBorder="1"/>
    <xf numFmtId="183" fontId="68" fillId="0" borderId="18" xfId="1" applyNumberFormat="1" applyFont="1" applyBorder="1"/>
    <xf numFmtId="183" fontId="68" fillId="0" borderId="17" xfId="1" applyNumberFormat="1" applyFont="1" applyBorder="1"/>
    <xf numFmtId="0" fontId="68" fillId="0" borderId="0" xfId="1" applyFont="1" applyBorder="1"/>
    <xf numFmtId="179" fontId="68" fillId="0" borderId="14" xfId="1" applyNumberFormat="1" applyFont="1" applyBorder="1"/>
    <xf numFmtId="179" fontId="68" fillId="0" borderId="18" xfId="1" applyNumberFormat="1" applyFont="1" applyBorder="1"/>
    <xf numFmtId="168" fontId="68" fillId="0" borderId="17" xfId="85" applyNumberFormat="1" applyFont="1" applyBorder="1"/>
    <xf numFmtId="7" fontId="68" fillId="0" borderId="19" xfId="1" applyNumberFormat="1" applyFont="1" applyBorder="1"/>
    <xf numFmtId="168" fontId="68" fillId="0" borderId="18" xfId="85" applyNumberFormat="1" applyFont="1" applyBorder="1"/>
    <xf numFmtId="0" fontId="71" fillId="0" borderId="14" xfId="1" applyFont="1" applyBorder="1"/>
    <xf numFmtId="0" fontId="67" fillId="13" borderId="8" xfId="1" applyFont="1" applyFill="1" applyBorder="1" applyAlignment="1">
      <alignment horizontal="center"/>
    </xf>
    <xf numFmtId="184" fontId="67" fillId="0" borderId="8" xfId="1" applyNumberFormat="1" applyFont="1" applyBorder="1" applyAlignment="1">
      <alignment horizontal="center"/>
    </xf>
    <xf numFmtId="223" fontId="68" fillId="0" borderId="19" xfId="1" applyNumberFormat="1" applyFont="1" applyBorder="1"/>
    <xf numFmtId="187" fontId="68" fillId="0" borderId="19" xfId="1" applyNumberFormat="1" applyFont="1" applyBorder="1"/>
    <xf numFmtId="167" fontId="68" fillId="0" borderId="19" xfId="40" applyNumberFormat="1" applyFont="1" applyBorder="1"/>
    <xf numFmtId="187" fontId="69" fillId="0" borderId="19" xfId="1" applyNumberFormat="1" applyFont="1" applyBorder="1"/>
    <xf numFmtId="193" fontId="67" fillId="0" borderId="19" xfId="40" applyNumberFormat="1" applyFont="1" applyBorder="1"/>
    <xf numFmtId="173" fontId="67" fillId="0" borderId="8" xfId="40" applyNumberFormat="1" applyFont="1" applyBorder="1"/>
    <xf numFmtId="179" fontId="69" fillId="0" borderId="19" xfId="34" applyNumberFormat="1" applyFont="1" applyBorder="1"/>
    <xf numFmtId="173" fontId="67" fillId="0" borderId="19" xfId="1" applyNumberFormat="1" applyFont="1" applyBorder="1"/>
    <xf numFmtId="187" fontId="67" fillId="0" borderId="19" xfId="1" applyNumberFormat="1" applyFont="1" applyBorder="1"/>
    <xf numFmtId="167" fontId="67" fillId="0" borderId="19" xfId="1" applyNumberFormat="1" applyFont="1" applyBorder="1"/>
    <xf numFmtId="179" fontId="68" fillId="17" borderId="34" xfId="34" applyNumberFormat="1" applyFont="1" applyFill="1" applyBorder="1"/>
    <xf numFmtId="187" fontId="68" fillId="13" borderId="18" xfId="1" applyNumberFormat="1" applyFont="1" applyFill="1" applyBorder="1"/>
    <xf numFmtId="168" fontId="68" fillId="0" borderId="19" xfId="85" applyNumberFormat="1" applyFont="1" applyBorder="1"/>
    <xf numFmtId="40" fontId="68" fillId="0" borderId="19" xfId="1" applyNumberFormat="1" applyFont="1" applyBorder="1"/>
    <xf numFmtId="187" fontId="68" fillId="0" borderId="8" xfId="1" applyNumberFormat="1" applyFont="1" applyBorder="1"/>
    <xf numFmtId="168" fontId="68" fillId="0" borderId="17" xfId="1" applyNumberFormat="1" applyFont="1" applyBorder="1"/>
    <xf numFmtId="227" fontId="68" fillId="0" borderId="18" xfId="1" applyNumberFormat="1" applyFont="1" applyBorder="1"/>
    <xf numFmtId="167" fontId="68" fillId="0" borderId="18" xfId="1" applyNumberFormat="1" applyFont="1" applyBorder="1"/>
    <xf numFmtId="167" fontId="68" fillId="0" borderId="17" xfId="1" applyNumberFormat="1" applyFont="1" applyBorder="1"/>
    <xf numFmtId="187" fontId="68" fillId="0" borderId="18" xfId="1" applyNumberFormat="1" applyFont="1" applyBorder="1"/>
    <xf numFmtId="187" fontId="68" fillId="0" borderId="17" xfId="1" applyNumberFormat="1" applyFont="1" applyBorder="1"/>
    <xf numFmtId="38" fontId="68" fillId="0" borderId="19" xfId="1" applyNumberFormat="1" applyFont="1" applyBorder="1"/>
    <xf numFmtId="38" fontId="67" fillId="0" borderId="19" xfId="1" applyNumberFormat="1" applyFont="1" applyBorder="1"/>
    <xf numFmtId="187" fontId="67" fillId="0" borderId="8" xfId="1" applyNumberFormat="1" applyFont="1" applyBorder="1"/>
    <xf numFmtId="235" fontId="8" fillId="0" borderId="0" xfId="1" applyNumberFormat="1" applyFont="1"/>
    <xf numFmtId="0" fontId="13" fillId="0" borderId="0" xfId="0" applyFont="1"/>
    <xf numFmtId="0" fontId="4" fillId="0" borderId="19" xfId="1" applyFont="1" applyBorder="1"/>
    <xf numFmtId="168" fontId="14" fillId="0" borderId="25" xfId="85" applyNumberFormat="1" applyFont="1" applyBorder="1"/>
    <xf numFmtId="168" fontId="14" fillId="0" borderId="26" xfId="85" applyNumberFormat="1" applyFont="1" applyBorder="1"/>
    <xf numFmtId="0" fontId="24" fillId="0" borderId="0" xfId="0" applyFont="1"/>
    <xf numFmtId="0" fontId="4" fillId="0" borderId="0" xfId="1" applyFont="1" applyBorder="1"/>
    <xf numFmtId="179" fontId="3" fillId="0" borderId="0" xfId="1" applyNumberFormat="1" applyFont="1" applyBorder="1"/>
    <xf numFmtId="0" fontId="2" fillId="0" borderId="0" xfId="0" applyFont="1"/>
    <xf numFmtId="0" fontId="2" fillId="0" borderId="4" xfId="1" applyFont="1" applyBorder="1"/>
    <xf numFmtId="183" fontId="4" fillId="0" borderId="21" xfId="1" applyNumberFormat="1" applyFont="1" applyBorder="1"/>
    <xf numFmtId="0" fontId="0" fillId="0" borderId="4" xfId="0" applyBorder="1"/>
    <xf numFmtId="166" fontId="3" fillId="0" borderId="20" xfId="1" applyNumberFormat="1" applyFont="1" applyBorder="1" applyAlignment="1">
      <alignment horizontal="right"/>
    </xf>
    <xf numFmtId="166" fontId="3" fillId="0" borderId="23" xfId="1" applyNumberFormat="1" applyFont="1" applyBorder="1" applyAlignment="1">
      <alignment horizontal="right"/>
    </xf>
    <xf numFmtId="7" fontId="3" fillId="0" borderId="23" xfId="1" applyNumberFormat="1" applyFont="1" applyBorder="1" applyAlignment="1">
      <alignment horizontal="right"/>
    </xf>
    <xf numFmtId="179" fontId="3" fillId="0" borderId="20" xfId="34" applyNumberFormat="1" applyFont="1" applyBorder="1" applyAlignment="1">
      <alignment horizontal="right"/>
    </xf>
    <xf numFmtId="179" fontId="3" fillId="0" borderId="21" xfId="34" applyNumberFormat="1" applyFont="1" applyBorder="1" applyAlignment="1">
      <alignment horizontal="right"/>
    </xf>
    <xf numFmtId="179" fontId="3" fillId="0" borderId="23" xfId="34" applyNumberFormat="1" applyFont="1" applyBorder="1" applyAlignment="1">
      <alignment horizontal="right"/>
    </xf>
    <xf numFmtId="179" fontId="3" fillId="0" borderId="0" xfId="34" applyNumberFormat="1" applyFont="1" applyBorder="1" applyAlignment="1">
      <alignment horizontal="right"/>
    </xf>
    <xf numFmtId="179" fontId="3" fillId="0" borderId="23" xfId="34" applyNumberFormat="1" applyFont="1" applyBorder="1"/>
    <xf numFmtId="179" fontId="30" fillId="0" borderId="23" xfId="34" applyNumberFormat="1" applyFont="1" applyBorder="1" applyAlignment="1">
      <alignment horizontal="right"/>
    </xf>
    <xf numFmtId="179" fontId="5" fillId="0" borderId="0" xfId="34" applyNumberFormat="1" applyFont="1" applyBorder="1" applyAlignment="1">
      <alignment horizontal="right"/>
    </xf>
    <xf numFmtId="166" fontId="3" fillId="0" borderId="25" xfId="1" applyNumberFormat="1" applyFont="1" applyBorder="1" applyAlignment="1">
      <alignment horizontal="right"/>
    </xf>
    <xf numFmtId="166" fontId="3" fillId="0" borderId="23" xfId="1" applyNumberFormat="1" applyFont="1" applyBorder="1"/>
    <xf numFmtId="166" fontId="30" fillId="0" borderId="23" xfId="85" applyNumberFormat="1" applyFont="1" applyBorder="1" applyAlignment="1">
      <alignment horizontal="right"/>
    </xf>
    <xf numFmtId="168" fontId="5" fillId="0" borderId="23" xfId="85" applyNumberFormat="1" applyFont="1" applyBorder="1" applyAlignment="1">
      <alignment horizontal="right"/>
    </xf>
    <xf numFmtId="8" fontId="3" fillId="13" borderId="4" xfId="1" applyNumberFormat="1" applyFont="1" applyFill="1" applyBorder="1"/>
    <xf numFmtId="179" fontId="3" fillId="17" borderId="35" xfId="34" applyNumberFormat="1" applyFont="1" applyFill="1" applyBorder="1"/>
    <xf numFmtId="0" fontId="2" fillId="0" borderId="21" xfId="1" applyFont="1" applyBorder="1"/>
    <xf numFmtId="0" fontId="2" fillId="0" borderId="14" xfId="1" applyFont="1" applyBorder="1"/>
    <xf numFmtId="166" fontId="3" fillId="0" borderId="8" xfId="34" applyNumberFormat="1" applyFont="1" applyBorder="1"/>
    <xf numFmtId="166" fontId="3" fillId="0" borderId="0" xfId="34" applyNumberFormat="1" applyFont="1"/>
    <xf numFmtId="168" fontId="4" fillId="0" borderId="0" xfId="85" applyNumberFormat="1" applyFont="1" applyFill="1"/>
    <xf numFmtId="37" fontId="4" fillId="0" borderId="0" xfId="1" applyNumberFormat="1" applyFont="1"/>
    <xf numFmtId="9" fontId="4" fillId="0" borderId="0" xfId="85" applyFont="1"/>
    <xf numFmtId="7" fontId="3" fillId="0" borderId="0" xfId="1" applyNumberFormat="1" applyFont="1" applyAlignment="1">
      <alignment horizontal="right"/>
    </xf>
    <xf numFmtId="0" fontId="4" fillId="13" borderId="17" xfId="1" applyFont="1" applyFill="1" applyBorder="1" applyAlignment="1">
      <alignment horizontal="center"/>
    </xf>
    <xf numFmtId="7" fontId="4" fillId="0" borderId="19" xfId="1" applyNumberFormat="1" applyFont="1" applyBorder="1"/>
    <xf numFmtId="168" fontId="4" fillId="0" borderId="19" xfId="1" applyNumberFormat="1" applyFont="1" applyBorder="1"/>
    <xf numFmtId="0" fontId="4" fillId="13" borderId="8" xfId="1" applyFont="1" applyFill="1" applyBorder="1"/>
    <xf numFmtId="168" fontId="4" fillId="0" borderId="19" xfId="85" applyNumberFormat="1" applyFont="1" applyFill="1" applyBorder="1"/>
    <xf numFmtId="37" fontId="4" fillId="0" borderId="19" xfId="1" applyNumberFormat="1" applyFont="1" applyBorder="1"/>
    <xf numFmtId="9" fontId="4" fillId="0" borderId="19" xfId="1" applyNumberFormat="1" applyFont="1" applyBorder="1"/>
    <xf numFmtId="168" fontId="5" fillId="0" borderId="19" xfId="85" applyNumberFormat="1" applyFont="1" applyBorder="1" applyAlignment="1">
      <alignment horizontal="right"/>
    </xf>
    <xf numFmtId="179" fontId="3" fillId="17" borderId="34" xfId="34" applyNumberFormat="1" applyFont="1" applyFill="1" applyBorder="1"/>
    <xf numFmtId="231" fontId="3" fillId="0" borderId="19" xfId="34" applyNumberFormat="1" applyFont="1" applyBorder="1"/>
    <xf numFmtId="0" fontId="3" fillId="18" borderId="0" xfId="1" applyFont="1" applyFill="1"/>
    <xf numFmtId="183" fontId="3" fillId="18" borderId="19" xfId="1" applyNumberFormat="1" applyFont="1" applyFill="1" applyBorder="1"/>
    <xf numFmtId="183" fontId="3" fillId="18" borderId="0" xfId="1" applyNumberFormat="1" applyFont="1" applyFill="1"/>
    <xf numFmtId="179" fontId="3" fillId="18" borderId="19" xfId="1" applyNumberFormat="1" applyFont="1" applyFill="1" applyBorder="1"/>
    <xf numFmtId="179" fontId="3" fillId="18" borderId="0" xfId="1" applyNumberFormat="1" applyFont="1" applyFill="1"/>
    <xf numFmtId="179" fontId="9" fillId="18" borderId="0" xfId="1" applyNumberFormat="1" applyFont="1" applyFill="1"/>
    <xf numFmtId="179" fontId="68" fillId="18" borderId="0" xfId="1" applyNumberFormat="1" applyFont="1" applyFill="1"/>
    <xf numFmtId="179" fontId="68" fillId="18" borderId="19" xfId="1" applyNumberFormat="1" applyFont="1" applyFill="1" applyBorder="1"/>
    <xf numFmtId="183" fontId="14" fillId="18" borderId="0" xfId="1" applyNumberFormat="1" applyFont="1" applyFill="1"/>
    <xf numFmtId="183" fontId="14" fillId="18" borderId="19" xfId="1" applyNumberFormat="1" applyFont="1" applyFill="1" applyBorder="1"/>
    <xf numFmtId="43" fontId="0" fillId="18" borderId="0" xfId="34" applyFont="1" applyFill="1" applyBorder="1"/>
    <xf numFmtId="190" fontId="0" fillId="18" borderId="0" xfId="34" applyNumberFormat="1" applyFont="1" applyFill="1" applyBorder="1"/>
    <xf numFmtId="167" fontId="3" fillId="18" borderId="0" xfId="1" applyNumberFormat="1" applyFont="1" applyFill="1"/>
    <xf numFmtId="231" fontId="3" fillId="18" borderId="0" xfId="34" applyNumberFormat="1" applyFont="1" applyFill="1"/>
    <xf numFmtId="43" fontId="3" fillId="18" borderId="0" xfId="34" applyFont="1" applyFill="1"/>
    <xf numFmtId="183" fontId="4" fillId="18" borderId="0" xfId="1" applyNumberFormat="1" applyFont="1" applyFill="1"/>
    <xf numFmtId="167" fontId="4" fillId="18" borderId="4" xfId="1" applyNumberFormat="1" applyFont="1" applyFill="1" applyBorder="1"/>
    <xf numFmtId="168" fontId="5" fillId="0" borderId="0" xfId="85" applyNumberFormat="1" applyFont="1" applyBorder="1" applyAlignment="1">
      <alignment horizontal="right"/>
    </xf>
    <xf numFmtId="166" fontId="3" fillId="0" borderId="0" xfId="1" applyNumberFormat="1" applyFont="1" applyBorder="1" applyAlignment="1">
      <alignment horizontal="right"/>
    </xf>
    <xf numFmtId="7" fontId="3" fillId="0" borderId="0" xfId="1" applyNumberFormat="1" applyFont="1" applyBorder="1" applyAlignment="1">
      <alignment horizontal="right"/>
    </xf>
    <xf numFmtId="183" fontId="4" fillId="0" borderId="18" xfId="1" applyNumberFormat="1" applyFont="1" applyBorder="1"/>
    <xf numFmtId="171" fontId="4" fillId="0" borderId="0" xfId="1" applyNumberFormat="1" applyFont="1"/>
    <xf numFmtId="187" fontId="4" fillId="0" borderId="0" xfId="1" applyNumberFormat="1" applyFont="1" applyFill="1"/>
    <xf numFmtId="187" fontId="4" fillId="0" borderId="19" xfId="1" applyNumberFormat="1" applyFont="1" applyFill="1" applyBorder="1"/>
    <xf numFmtId="187" fontId="8" fillId="0" borderId="0" xfId="1" applyNumberFormat="1" applyFont="1" applyFill="1"/>
    <xf numFmtId="187" fontId="3" fillId="0" borderId="0" xfId="1" applyNumberFormat="1" applyFont="1" applyFill="1"/>
    <xf numFmtId="187" fontId="3" fillId="0" borderId="19" xfId="1" applyNumberFormat="1" applyFont="1" applyFill="1" applyBorder="1"/>
    <xf numFmtId="179" fontId="3" fillId="0" borderId="0" xfId="34" applyNumberFormat="1" applyFont="1" applyFill="1"/>
    <xf numFmtId="179" fontId="3" fillId="0" borderId="19" xfId="34" applyNumberFormat="1" applyFont="1" applyFill="1" applyBorder="1"/>
    <xf numFmtId="177" fontId="3" fillId="0" borderId="0" xfId="85" applyNumberFormat="1" applyFont="1" applyFill="1"/>
    <xf numFmtId="177" fontId="11" fillId="0" borderId="0" xfId="85" applyNumberFormat="1" applyFont="1" applyFill="1"/>
    <xf numFmtId="168" fontId="3" fillId="19" borderId="0" xfId="85" applyNumberFormat="1" applyFont="1" applyFill="1"/>
    <xf numFmtId="183" fontId="9" fillId="19" borderId="0" xfId="1" applyNumberFormat="1" applyFont="1" applyFill="1" applyBorder="1"/>
    <xf numFmtId="7" fontId="8" fillId="19" borderId="0" xfId="1" applyNumberFormat="1" applyFont="1" applyFill="1"/>
    <xf numFmtId="0" fontId="3" fillId="19" borderId="0" xfId="1" applyFont="1" applyFill="1"/>
    <xf numFmtId="7" fontId="3" fillId="0" borderId="19" xfId="1" applyNumberFormat="1" applyFont="1" applyFill="1" applyBorder="1"/>
    <xf numFmtId="49" fontId="0" fillId="0" borderId="0" xfId="0" applyNumberFormat="1"/>
    <xf numFmtId="171" fontId="4" fillId="0" borderId="0" xfId="34" applyNumberFormat="1" applyFont="1" applyBorder="1"/>
    <xf numFmtId="179" fontId="4" fillId="0" borderId="0" xfId="34" applyNumberFormat="1" applyFont="1" applyBorder="1"/>
    <xf numFmtId="7" fontId="4" fillId="0" borderId="0" xfId="1" applyNumberFormat="1" applyFont="1" applyBorder="1"/>
    <xf numFmtId="168" fontId="4" fillId="0" borderId="0" xfId="1" applyNumberFormat="1" applyFont="1" applyBorder="1"/>
    <xf numFmtId="10" fontId="4" fillId="0" borderId="4" xfId="1" applyNumberFormat="1" applyFont="1" applyFill="1" applyBorder="1"/>
    <xf numFmtId="37" fontId="4" fillId="0" borderId="0" xfId="1" applyNumberFormat="1" applyFont="1" applyBorder="1"/>
    <xf numFmtId="9" fontId="4" fillId="0" borderId="0" xfId="85" applyNumberFormat="1" applyFont="1" applyBorder="1"/>
    <xf numFmtId="169" fontId="3" fillId="0" borderId="0" xfId="1" applyNumberFormat="1" applyFont="1" applyBorder="1"/>
    <xf numFmtId="187" fontId="3" fillId="18" borderId="0" xfId="1" applyNumberFormat="1" applyFont="1" applyFill="1"/>
    <xf numFmtId="9" fontId="3" fillId="18" borderId="0" xfId="85" applyFont="1" applyFill="1"/>
    <xf numFmtId="187" fontId="3" fillId="18" borderId="4" xfId="1" applyNumberFormat="1" applyFont="1" applyFill="1" applyBorder="1"/>
    <xf numFmtId="184" fontId="4" fillId="18" borderId="4" xfId="1" applyNumberFormat="1" applyFont="1" applyFill="1" applyBorder="1" applyAlignment="1">
      <alignment horizontal="center"/>
    </xf>
    <xf numFmtId="223" fontId="3" fillId="18" borderId="0" xfId="1" applyNumberFormat="1" applyFont="1" applyFill="1" applyBorder="1"/>
    <xf numFmtId="187" fontId="3" fillId="18" borderId="0" xfId="1" applyNumberFormat="1" applyFont="1" applyFill="1" applyBorder="1"/>
    <xf numFmtId="167" fontId="3" fillId="18" borderId="0" xfId="40" applyNumberFormat="1" applyFont="1" applyFill="1" applyBorder="1"/>
    <xf numFmtId="43" fontId="3" fillId="18" borderId="0" xfId="34" applyFont="1" applyFill="1" applyBorder="1"/>
    <xf numFmtId="187" fontId="11" fillId="18" borderId="0" xfId="1" applyNumberFormat="1" applyFont="1" applyFill="1" applyBorder="1"/>
    <xf numFmtId="193" fontId="4" fillId="18" borderId="0" xfId="40" applyNumberFormat="1" applyFont="1" applyFill="1" applyBorder="1"/>
    <xf numFmtId="179" fontId="3" fillId="18" borderId="0" xfId="34" applyNumberFormat="1" applyFont="1" applyFill="1" applyBorder="1"/>
    <xf numFmtId="173" fontId="4" fillId="18" borderId="4" xfId="40" applyNumberFormat="1" applyFont="1" applyFill="1" applyBorder="1"/>
    <xf numFmtId="179" fontId="11" fillId="18" borderId="0" xfId="34" applyNumberFormat="1" applyFont="1" applyFill="1" applyBorder="1"/>
    <xf numFmtId="173" fontId="4" fillId="18" borderId="0" xfId="1" applyNumberFormat="1" applyFont="1" applyFill="1" applyBorder="1"/>
    <xf numFmtId="187" fontId="4" fillId="18" borderId="0" xfId="1" applyNumberFormat="1" applyFont="1" applyFill="1" applyBorder="1"/>
    <xf numFmtId="183" fontId="3" fillId="18" borderId="0" xfId="1" applyNumberFormat="1" applyFont="1" applyFill="1" applyBorder="1"/>
    <xf numFmtId="167" fontId="4" fillId="18" borderId="0" xfId="1" applyNumberFormat="1" applyFont="1" applyFill="1" applyBorder="1"/>
    <xf numFmtId="187" fontId="3" fillId="18" borderId="14" xfId="1" applyNumberFormat="1" applyFont="1" applyFill="1" applyBorder="1"/>
    <xf numFmtId="168" fontId="3" fillId="18" borderId="0" xfId="85" applyNumberFormat="1" applyFont="1" applyFill="1" applyBorder="1"/>
    <xf numFmtId="40" fontId="3" fillId="18" borderId="0" xfId="1" applyNumberFormat="1" applyFont="1" applyFill="1" applyBorder="1"/>
    <xf numFmtId="168" fontId="3" fillId="18" borderId="21" xfId="1" applyNumberFormat="1" applyFont="1" applyFill="1" applyBorder="1"/>
    <xf numFmtId="227" fontId="3" fillId="18" borderId="14" xfId="1" applyNumberFormat="1" applyFont="1" applyFill="1" applyBorder="1"/>
    <xf numFmtId="168" fontId="3" fillId="18" borderId="21" xfId="85" applyNumberFormat="1" applyFont="1" applyFill="1" applyBorder="1"/>
    <xf numFmtId="167" fontId="3" fillId="18" borderId="0" xfId="1" applyNumberFormat="1" applyFont="1" applyFill="1" applyBorder="1"/>
    <xf numFmtId="167" fontId="3" fillId="18" borderId="14" xfId="1" applyNumberFormat="1" applyFont="1" applyFill="1" applyBorder="1"/>
    <xf numFmtId="167" fontId="3" fillId="18" borderId="21" xfId="1" applyNumberFormat="1" applyFont="1" applyFill="1" applyBorder="1"/>
    <xf numFmtId="187" fontId="3" fillId="18" borderId="21" xfId="1" applyNumberFormat="1" applyFont="1" applyFill="1" applyBorder="1"/>
    <xf numFmtId="179" fontId="43" fillId="18" borderId="0" xfId="34" applyNumberFormat="1" applyFont="1" applyFill="1" applyBorder="1"/>
    <xf numFmtId="179" fontId="3" fillId="18" borderId="14" xfId="34" applyNumberFormat="1" applyFont="1" applyFill="1" applyBorder="1"/>
    <xf numFmtId="179" fontId="3" fillId="18" borderId="0" xfId="34" applyNumberFormat="1" applyFont="1" applyFill="1"/>
    <xf numFmtId="179" fontId="11" fillId="18" borderId="0" xfId="34" applyNumberFormat="1" applyFont="1" applyFill="1"/>
    <xf numFmtId="177" fontId="3" fillId="18" borderId="0" xfId="85" applyNumberFormat="1" applyFont="1" applyFill="1"/>
    <xf numFmtId="177" fontId="11" fillId="18" borderId="0" xfId="85" applyNumberFormat="1" applyFont="1" applyFill="1"/>
    <xf numFmtId="177" fontId="3" fillId="18" borderId="0" xfId="85" applyNumberFormat="1" applyFont="1" applyFill="1" applyBorder="1"/>
    <xf numFmtId="168" fontId="3" fillId="18" borderId="0" xfId="85" applyNumberFormat="1" applyFont="1" applyFill="1"/>
    <xf numFmtId="183" fontId="3" fillId="18" borderId="21" xfId="1" applyNumberFormat="1" applyFont="1" applyFill="1" applyBorder="1"/>
    <xf numFmtId="183" fontId="3" fillId="18" borderId="14" xfId="1" applyNumberFormat="1" applyFont="1" applyFill="1" applyBorder="1"/>
    <xf numFmtId="38" fontId="3" fillId="18" borderId="0" xfId="1" applyNumberFormat="1" applyFont="1" applyFill="1" applyBorder="1"/>
    <xf numFmtId="38" fontId="4" fillId="18" borderId="0" xfId="1" applyNumberFormat="1" applyFont="1" applyFill="1" applyBorder="1"/>
    <xf numFmtId="187" fontId="4" fillId="18" borderId="4" xfId="1" applyNumberFormat="1" applyFont="1" applyFill="1" applyBorder="1"/>
    <xf numFmtId="0" fontId="2" fillId="18" borderId="21" xfId="1" applyFont="1" applyFill="1" applyBorder="1"/>
    <xf numFmtId="0" fontId="2" fillId="18" borderId="0" xfId="0" applyFont="1" applyFill="1"/>
    <xf numFmtId="187" fontId="3" fillId="20" borderId="4" xfId="1" applyNumberFormat="1" applyFont="1" applyFill="1" applyBorder="1"/>
    <xf numFmtId="187" fontId="3" fillId="20" borderId="14" xfId="1" applyNumberFormat="1" applyFont="1" applyFill="1" applyBorder="1"/>
    <xf numFmtId="17" fontId="8" fillId="13" borderId="15" xfId="1" applyNumberFormat="1" applyFont="1" applyFill="1" applyBorder="1" applyAlignment="1">
      <alignment horizontal="center"/>
    </xf>
    <xf numFmtId="0" fontId="4" fillId="13" borderId="4" xfId="1" applyFont="1" applyFill="1" applyBorder="1" applyAlignment="1">
      <alignment horizontal="center"/>
    </xf>
    <xf numFmtId="183" fontId="5" fillId="18" borderId="0" xfId="1" applyNumberFormat="1" applyFont="1" applyFill="1"/>
    <xf numFmtId="168" fontId="4" fillId="18" borderId="0" xfId="1" applyNumberFormat="1" applyFont="1" applyFill="1"/>
    <xf numFmtId="173" fontId="4" fillId="0" borderId="4" xfId="40" applyNumberFormat="1" applyFont="1" applyFill="1" applyBorder="1"/>
    <xf numFmtId="173" fontId="4" fillId="0" borderId="0" xfId="1" applyNumberFormat="1" applyFont="1" applyFill="1" applyBorder="1"/>
    <xf numFmtId="167" fontId="4" fillId="0" borderId="4" xfId="1" applyNumberFormat="1" applyFont="1" applyFill="1" applyBorder="1"/>
    <xf numFmtId="179" fontId="3" fillId="0" borderId="0" xfId="1" applyNumberFormat="1" applyFont="1" applyFill="1"/>
    <xf numFmtId="43" fontId="3" fillId="0" borderId="0" xfId="34" applyFont="1" applyFill="1"/>
    <xf numFmtId="0" fontId="71" fillId="0" borderId="0" xfId="0" applyFont="1" applyBorder="1"/>
    <xf numFmtId="0" fontId="2" fillId="0" borderId="0" xfId="0" applyFont="1" applyBorder="1"/>
    <xf numFmtId="183" fontId="3" fillId="0" borderId="20" xfId="1" applyNumberFormat="1" applyFont="1" applyBorder="1" applyAlignment="1">
      <alignment horizontal="right"/>
    </xf>
    <xf numFmtId="183" fontId="3" fillId="0" borderId="20" xfId="34" applyNumberFormat="1" applyFont="1" applyBorder="1" applyAlignment="1">
      <alignment horizontal="right"/>
    </xf>
    <xf numFmtId="183" fontId="3" fillId="0" borderId="21" xfId="34" applyNumberFormat="1" applyFont="1" applyBorder="1" applyAlignment="1">
      <alignment horizontal="right"/>
    </xf>
    <xf numFmtId="183" fontId="3" fillId="0" borderId="17" xfId="1" applyNumberFormat="1" applyFont="1" applyBorder="1" applyAlignment="1">
      <alignment horizontal="right"/>
    </xf>
    <xf numFmtId="183" fontId="3" fillId="0" borderId="23" xfId="1" applyNumberFormat="1" applyFont="1" applyBorder="1" applyAlignment="1">
      <alignment horizontal="right"/>
    </xf>
    <xf numFmtId="183" fontId="3" fillId="0" borderId="23" xfId="34" applyNumberFormat="1" applyFont="1" applyBorder="1" applyAlignment="1">
      <alignment horizontal="right"/>
    </xf>
    <xf numFmtId="183" fontId="3" fillId="0" borderId="0" xfId="34" applyNumberFormat="1" applyFont="1" applyBorder="1" applyAlignment="1">
      <alignment horizontal="right"/>
    </xf>
    <xf numFmtId="183" fontId="3" fillId="0" borderId="19" xfId="1" applyNumberFormat="1" applyFont="1" applyBorder="1" applyAlignment="1">
      <alignment horizontal="right"/>
    </xf>
    <xf numFmtId="183" fontId="3" fillId="0" borderId="23" xfId="34" applyNumberFormat="1" applyFont="1" applyBorder="1"/>
    <xf numFmtId="183" fontId="3" fillId="0" borderId="0" xfId="34" applyNumberFormat="1" applyFont="1" applyBorder="1"/>
    <xf numFmtId="183" fontId="8" fillId="0" borderId="18" xfId="1" applyNumberFormat="1" applyFont="1" applyBorder="1" applyAlignment="1">
      <alignment horizontal="right"/>
    </xf>
    <xf numFmtId="183" fontId="8" fillId="0" borderId="14" xfId="1" applyNumberFormat="1" applyFont="1" applyBorder="1" applyAlignment="1">
      <alignment horizontal="right"/>
    </xf>
    <xf numFmtId="183" fontId="8" fillId="0" borderId="25" xfId="1" applyNumberFormat="1" applyFont="1" applyBorder="1" applyAlignment="1">
      <alignment horizontal="right"/>
    </xf>
    <xf numFmtId="183" fontId="8" fillId="0" borderId="15" xfId="1" applyNumberFormat="1" applyFont="1" applyBorder="1" applyAlignment="1">
      <alignment horizontal="right"/>
    </xf>
    <xf numFmtId="183" fontId="8" fillId="0" borderId="4" xfId="1" applyNumberFormat="1" applyFont="1" applyBorder="1" applyAlignment="1">
      <alignment horizontal="right"/>
    </xf>
    <xf numFmtId="183" fontId="4" fillId="0" borderId="8" xfId="1" applyNumberFormat="1" applyFont="1" applyBorder="1" applyAlignment="1">
      <alignment horizontal="right"/>
    </xf>
    <xf numFmtId="171" fontId="4" fillId="0" borderId="19" xfId="1" applyNumberFormat="1" applyFont="1" applyBorder="1"/>
    <xf numFmtId="183" fontId="4" fillId="0" borderId="18" xfId="1" applyNumberFormat="1" applyFont="1" applyBorder="1" applyAlignment="1">
      <alignment horizontal="right"/>
    </xf>
    <xf numFmtId="7" fontId="3" fillId="13" borderId="4" xfId="1" applyNumberFormat="1" applyFont="1" applyFill="1" applyBorder="1"/>
    <xf numFmtId="8" fontId="3" fillId="13" borderId="16" xfId="1" applyNumberFormat="1" applyFont="1" applyFill="1" applyBorder="1"/>
    <xf numFmtId="0" fontId="4" fillId="0" borderId="23" xfId="1" applyFont="1" applyBorder="1"/>
    <xf numFmtId="0" fontId="4" fillId="0" borderId="28" xfId="1" applyFont="1" applyBorder="1" applyAlignment="1">
      <alignment horizontal="center"/>
    </xf>
    <xf numFmtId="7" fontId="3" fillId="0" borderId="0" xfId="1" applyNumberFormat="1" applyFont="1" applyFill="1"/>
    <xf numFmtId="166" fontId="3" fillId="0" borderId="0" xfId="1" applyNumberFormat="1" applyFont="1" applyFill="1"/>
    <xf numFmtId="183" fontId="3" fillId="0" borderId="0" xfId="1" applyNumberFormat="1" applyFont="1" applyFill="1" applyAlignment="1">
      <alignment horizontal="right"/>
    </xf>
    <xf numFmtId="0" fontId="4" fillId="0" borderId="25" xfId="1" applyFont="1" applyBorder="1"/>
    <xf numFmtId="0" fontId="4" fillId="0" borderId="14" xfId="1" applyFont="1" applyBorder="1"/>
    <xf numFmtId="183" fontId="4" fillId="0" borderId="14" xfId="1" applyNumberFormat="1" applyFont="1" applyBorder="1"/>
    <xf numFmtId="168" fontId="3" fillId="13" borderId="8" xfId="1" applyNumberFormat="1" applyFont="1" applyFill="1" applyBorder="1"/>
    <xf numFmtId="9" fontId="4" fillId="0" borderId="0" xfId="1" applyNumberFormat="1" applyFont="1"/>
    <xf numFmtId="168" fontId="3" fillId="18" borderId="19" xfId="85" applyNumberFormat="1" applyFont="1" applyFill="1" applyBorder="1"/>
    <xf numFmtId="9" fontId="3" fillId="13" borderId="4" xfId="85" applyFont="1" applyFill="1" applyBorder="1"/>
    <xf numFmtId="7" fontId="9" fillId="0" borderId="0" xfId="1" applyNumberFormat="1" applyFont="1"/>
    <xf numFmtId="7" fontId="68" fillId="0" borderId="0" xfId="1" applyNumberFormat="1" applyFont="1"/>
    <xf numFmtId="7" fontId="3" fillId="0" borderId="24" xfId="85" applyNumberFormat="1" applyFont="1" applyBorder="1"/>
    <xf numFmtId="7" fontId="0" fillId="0" borderId="0" xfId="0" applyNumberFormat="1"/>
    <xf numFmtId="183" fontId="3" fillId="0" borderId="8" xfId="34" applyNumberFormat="1" applyFont="1" applyBorder="1"/>
    <xf numFmtId="183" fontId="3" fillId="0" borderId="19" xfId="34" applyNumberFormat="1" applyFont="1" applyBorder="1"/>
    <xf numFmtId="0" fontId="2" fillId="0" borderId="0" xfId="111"/>
    <xf numFmtId="183" fontId="4" fillId="0" borderId="14" xfId="1" applyNumberFormat="1" applyFont="1" applyBorder="1" applyAlignment="1">
      <alignment horizontal="right"/>
    </xf>
    <xf numFmtId="7" fontId="3" fillId="13" borderId="8" xfId="1" applyNumberFormat="1" applyFont="1" applyFill="1" applyBorder="1"/>
    <xf numFmtId="168" fontId="3" fillId="0" borderId="0" xfId="85" applyNumberFormat="1" applyFont="1" applyFill="1"/>
    <xf numFmtId="168" fontId="3" fillId="0" borderId="0" xfId="1" applyNumberFormat="1" applyFont="1" applyFill="1"/>
    <xf numFmtId="168" fontId="3" fillId="0" borderId="19" xfId="1" applyNumberFormat="1" applyFont="1" applyFill="1" applyBorder="1"/>
    <xf numFmtId="183" fontId="3" fillId="0" borderId="0" xfId="85" applyNumberFormat="1" applyFont="1" applyBorder="1"/>
    <xf numFmtId="183" fontId="0" fillId="0" borderId="0" xfId="0" applyNumberFormat="1"/>
    <xf numFmtId="183" fontId="3" fillId="0" borderId="20" xfId="1" applyNumberFormat="1" applyFont="1" applyFill="1" applyBorder="1"/>
    <xf numFmtId="183" fontId="3" fillId="0" borderId="21" xfId="85" applyNumberFormat="1" applyFont="1" applyBorder="1"/>
    <xf numFmtId="183" fontId="14" fillId="0" borderId="21" xfId="85" applyNumberFormat="1" applyFont="1" applyBorder="1"/>
    <xf numFmtId="183" fontId="3" fillId="0" borderId="23" xfId="1" applyNumberFormat="1" applyFont="1" applyFill="1" applyBorder="1"/>
    <xf numFmtId="183" fontId="3" fillId="0" borderId="25" xfId="1" applyNumberFormat="1" applyFont="1" applyFill="1" applyBorder="1"/>
    <xf numFmtId="183" fontId="3" fillId="0" borderId="14" xfId="85" applyNumberFormat="1" applyFont="1" applyBorder="1"/>
    <xf numFmtId="183" fontId="3" fillId="0" borderId="17" xfId="85" applyNumberFormat="1" applyFont="1" applyBorder="1"/>
    <xf numFmtId="183" fontId="3" fillId="0" borderId="19" xfId="85" applyNumberFormat="1" applyFont="1" applyBorder="1"/>
    <xf numFmtId="183" fontId="3" fillId="0" borderId="18" xfId="85" applyNumberFormat="1" applyFont="1" applyBorder="1"/>
    <xf numFmtId="227" fontId="3" fillId="0" borderId="19" xfId="1" applyNumberFormat="1" applyFont="1" applyBorder="1"/>
    <xf numFmtId="227" fontId="3" fillId="0" borderId="0" xfId="1" applyNumberFormat="1" applyFont="1" applyBorder="1"/>
    <xf numFmtId="227" fontId="68" fillId="0" borderId="0" xfId="1" applyNumberFormat="1" applyFont="1" applyBorder="1"/>
    <xf numFmtId="227" fontId="68" fillId="0" borderId="19" xfId="1" applyNumberFormat="1" applyFont="1" applyBorder="1"/>
    <xf numFmtId="227" fontId="3" fillId="18" borderId="0" xfId="1" applyNumberFormat="1" applyFont="1" applyFill="1" applyBorder="1"/>
    <xf numFmtId="0" fontId="4" fillId="0" borderId="24" xfId="1" applyFont="1" applyBorder="1"/>
    <xf numFmtId="183" fontId="4" fillId="0" borderId="23" xfId="1" applyNumberFormat="1" applyFont="1" applyBorder="1"/>
    <xf numFmtId="183" fontId="4" fillId="0" borderId="24" xfId="1" applyNumberFormat="1" applyFont="1" applyBorder="1"/>
    <xf numFmtId="0" fontId="4" fillId="0" borderId="17" xfId="1" applyFont="1" applyBorder="1"/>
    <xf numFmtId="0" fontId="4" fillId="0" borderId="20" xfId="1" applyFont="1" applyBorder="1"/>
    <xf numFmtId="0" fontId="4" fillId="0" borderId="21" xfId="1" applyFont="1" applyBorder="1"/>
    <xf numFmtId="0" fontId="4" fillId="0" borderId="22" xfId="1" applyFont="1" applyBorder="1"/>
    <xf numFmtId="183" fontId="4" fillId="0" borderId="20" xfId="1" applyNumberFormat="1" applyFont="1" applyBorder="1"/>
    <xf numFmtId="183" fontId="4" fillId="0" borderId="22" xfId="1" applyNumberFormat="1" applyFont="1" applyBorder="1"/>
    <xf numFmtId="183" fontId="4" fillId="0" borderId="17" xfId="1" applyNumberFormat="1" applyFont="1" applyBorder="1"/>
    <xf numFmtId="183" fontId="5" fillId="0" borderId="0" xfId="1" applyNumberFormat="1" applyFont="1" applyFill="1"/>
    <xf numFmtId="0" fontId="32" fillId="0" borderId="15" xfId="1" applyFont="1" applyBorder="1"/>
    <xf numFmtId="0" fontId="0" fillId="0" borderId="16" xfId="0" applyBorder="1"/>
    <xf numFmtId="0" fontId="0" fillId="0" borderId="24" xfId="0" applyBorder="1"/>
    <xf numFmtId="0" fontId="2" fillId="0" borderId="26" xfId="1" applyFont="1" applyBorder="1"/>
    <xf numFmtId="183" fontId="4" fillId="0" borderId="19" xfId="1" applyNumberFormat="1" applyFont="1" applyFill="1" applyBorder="1"/>
    <xf numFmtId="168" fontId="8" fillId="0" borderId="0" xfId="85" applyNumberFormat="1" applyFont="1" applyFill="1" applyBorder="1"/>
    <xf numFmtId="168" fontId="8" fillId="0" borderId="0" xfId="1" applyNumberFormat="1" applyFont="1" applyFill="1"/>
    <xf numFmtId="168" fontId="9" fillId="0" borderId="0" xfId="1" applyNumberFormat="1" applyFont="1" applyFill="1" applyBorder="1"/>
    <xf numFmtId="183" fontId="5" fillId="18" borderId="19" xfId="1" applyNumberFormat="1" applyFont="1" applyFill="1" applyBorder="1"/>
    <xf numFmtId="5" fontId="3" fillId="0" borderId="21" xfId="1" applyNumberFormat="1" applyFont="1" applyBorder="1" applyAlignment="1">
      <alignment horizontal="center"/>
    </xf>
    <xf numFmtId="178" fontId="3" fillId="0" borderId="21" xfId="34" applyNumberFormat="1" applyFont="1" applyBorder="1" applyAlignment="1">
      <alignment horizontal="center"/>
    </xf>
    <xf numFmtId="178" fontId="3" fillId="0" borderId="33" xfId="34" applyNumberFormat="1" applyFont="1" applyBorder="1" applyAlignment="1">
      <alignment horizontal="center"/>
    </xf>
    <xf numFmtId="5" fontId="13" fillId="17" borderId="0" xfId="81" applyNumberFormat="1" applyFont="1" applyFill="1" applyBorder="1" applyAlignment="1">
      <alignment horizontal="center"/>
    </xf>
    <xf numFmtId="0" fontId="75" fillId="0" borderId="0" xfId="114" applyFont="1"/>
    <xf numFmtId="168" fontId="4" fillId="0" borderId="0" xfId="1" applyNumberFormat="1" applyFont="1" applyFill="1"/>
    <xf numFmtId="168" fontId="4" fillId="0" borderId="0" xfId="85" applyNumberFormat="1" applyFont="1" applyFill="1" applyBorder="1"/>
    <xf numFmtId="168" fontId="4" fillId="0" borderId="0" xfId="1" applyNumberFormat="1" applyFont="1" applyAlignment="1">
      <alignment horizontal="right"/>
    </xf>
    <xf numFmtId="9" fontId="4" fillId="0" borderId="19" xfId="85" applyFont="1" applyBorder="1"/>
    <xf numFmtId="0" fontId="2" fillId="21" borderId="0" xfId="115" applyFont="1" applyFill="1" applyAlignment="1">
      <alignment vertical="top"/>
    </xf>
    <xf numFmtId="0" fontId="2" fillId="21" borderId="0" xfId="111" applyFill="1" applyAlignment="1">
      <alignment vertical="top"/>
    </xf>
    <xf numFmtId="0" fontId="2" fillId="21" borderId="0" xfId="111" applyFill="1"/>
    <xf numFmtId="0" fontId="38" fillId="21" borderId="0" xfId="115" applyFont="1" applyFill="1" applyAlignment="1">
      <alignment horizontal="left" vertical="top"/>
    </xf>
    <xf numFmtId="0" fontId="2" fillId="21" borderId="0" xfId="111" applyFont="1" applyFill="1" applyAlignment="1">
      <alignment vertical="top"/>
    </xf>
    <xf numFmtId="0" fontId="31" fillId="21" borderId="0" xfId="115" applyFont="1" applyFill="1" applyAlignment="1">
      <alignment vertical="top"/>
    </xf>
    <xf numFmtId="0" fontId="0" fillId="21" borderId="0" xfId="0" applyFill="1" applyAlignment="1">
      <alignment vertical="top"/>
    </xf>
    <xf numFmtId="0" fontId="76" fillId="21" borderId="0" xfId="0" applyFont="1" applyFill="1" applyAlignment="1">
      <alignment vertical="top"/>
    </xf>
    <xf numFmtId="0" fontId="77" fillId="21" borderId="0" xfId="0" applyFont="1" applyFill="1" applyAlignment="1">
      <alignment vertical="top"/>
    </xf>
    <xf numFmtId="0" fontId="77" fillId="21" borderId="0" xfId="0" applyFont="1" applyFill="1" applyAlignment="1">
      <alignment vertical="top"/>
    </xf>
    <xf numFmtId="0" fontId="76" fillId="21" borderId="0" xfId="0" applyFont="1" applyFill="1" applyAlignment="1">
      <alignment vertical="top"/>
    </xf>
    <xf numFmtId="0" fontId="0" fillId="21" borderId="0" xfId="0" applyFill="1" applyAlignment="1">
      <alignment vertical="top"/>
    </xf>
    <xf numFmtId="0" fontId="0" fillId="21" borderId="44" xfId="0" applyFill="1" applyBorder="1" applyAlignment="1">
      <alignment vertical="top"/>
    </xf>
    <xf numFmtId="0" fontId="76" fillId="21" borderId="40" xfId="0" applyFont="1" applyFill="1" applyBorder="1" applyAlignment="1">
      <alignment vertical="top"/>
    </xf>
    <xf numFmtId="0" fontId="76" fillId="21" borderId="41" xfId="0" applyFont="1" applyFill="1" applyBorder="1" applyAlignment="1">
      <alignment vertical="top"/>
    </xf>
    <xf numFmtId="0" fontId="76" fillId="21" borderId="42" xfId="0" applyFont="1" applyFill="1" applyBorder="1" applyAlignment="1">
      <alignment vertical="top"/>
    </xf>
    <xf numFmtId="0" fontId="76" fillId="21" borderId="43" xfId="0" applyFont="1" applyFill="1" applyBorder="1" applyAlignment="1">
      <alignment vertical="top"/>
    </xf>
    <xf numFmtId="9" fontId="76" fillId="21" borderId="40" xfId="0" applyNumberFormat="1" applyFont="1" applyFill="1" applyBorder="1" applyAlignment="1">
      <alignment vertical="top"/>
    </xf>
    <xf numFmtId="3" fontId="76" fillId="21" borderId="40" xfId="0" applyNumberFormat="1" applyFont="1" applyFill="1" applyBorder="1" applyAlignment="1">
      <alignment vertical="top"/>
    </xf>
    <xf numFmtId="0" fontId="0" fillId="21" borderId="45" xfId="0" applyFill="1" applyBorder="1" applyAlignment="1">
      <alignment vertical="top"/>
    </xf>
    <xf numFmtId="2" fontId="2" fillId="0" borderId="0" xfId="111" applyNumberFormat="1" applyAlignment="1">
      <alignment horizontal="left"/>
    </xf>
    <xf numFmtId="0" fontId="2" fillId="0" borderId="0" xfId="111" applyNumberFormat="1" applyAlignment="1">
      <alignment horizontal="left"/>
    </xf>
    <xf numFmtId="1" fontId="2" fillId="0" borderId="0" xfId="111" applyNumberFormat="1" applyAlignment="1">
      <alignment horizontal="left"/>
    </xf>
    <xf numFmtId="0" fontId="2" fillId="0" borderId="0" xfId="111" applyFont="1"/>
    <xf numFmtId="243" fontId="2" fillId="0" borderId="0" xfId="111" applyNumberFormat="1" applyAlignment="1">
      <alignment horizontal="left"/>
    </xf>
    <xf numFmtId="49" fontId="2" fillId="0" borderId="0" xfId="111" applyNumberFormat="1"/>
  </cellXfs>
  <cellStyles count="116">
    <cellStyle name="_x000a_386grabber=M" xfId="1"/>
    <cellStyle name="_SUMMARY " xfId="2"/>
    <cellStyle name="0_Capex &amp; Depreciation " xfId="3"/>
    <cellStyle name="0_Valuing BP " xfId="4"/>
    <cellStyle name="20% - Accent1" xfId="5" builtinId="30" customBuiltin="1"/>
    <cellStyle name="20% - Accent2" xfId="6" builtinId="34" customBuiltin="1"/>
    <cellStyle name="20% - Accent3" xfId="7" builtinId="38" customBuiltin="1"/>
    <cellStyle name="20% - Accent4" xfId="8" builtinId="42" customBuiltin="1"/>
    <cellStyle name="20% - Accent5" xfId="9" builtinId="46" customBuiltin="1"/>
    <cellStyle name="20% - Accent6" xfId="10" builtinId="50" customBuiltin="1"/>
    <cellStyle name="40% - Accent1" xfId="11" builtinId="31" customBuiltin="1"/>
    <cellStyle name="40% - Accent2" xfId="12" builtinId="35" customBuiltin="1"/>
    <cellStyle name="40% - Accent3" xfId="13" builtinId="39" customBuiltin="1"/>
    <cellStyle name="40% - Accent4" xfId="14" builtinId="43" customBuiltin="1"/>
    <cellStyle name="40% - Accent5" xfId="15" builtinId="47" customBuiltin="1"/>
    <cellStyle name="40% - Accent6" xfId="16" builtinId="51" customBuiltin="1"/>
    <cellStyle name="60% - Accent1" xfId="17" builtinId="32" customBuiltin="1"/>
    <cellStyle name="60% - Accent2" xfId="18" builtinId="36" customBuiltin="1"/>
    <cellStyle name="60% - Accent3" xfId="19" builtinId="40" customBuiltin="1"/>
    <cellStyle name="60% - Accent4" xfId="20" builtinId="44" customBuiltin="1"/>
    <cellStyle name="60% - Accent5" xfId="21" builtinId="48" customBuiltin="1"/>
    <cellStyle name="60% - Accent6" xfId="22" builtinId="52" customBuiltin="1"/>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_HardInc " xfId="30"/>
    <cellStyle name="Calc Currency (0)" xfId="31"/>
    <cellStyle name="Calculation" xfId="32" builtinId="22" customBuiltin="1"/>
    <cellStyle name="Check Cell" xfId="33" builtinId="23" customBuiltin="1"/>
    <cellStyle name="Comma" xfId="34" builtinId="3"/>
    <cellStyle name="Comma 2" xfId="35"/>
    <cellStyle name="Comma 2 2" xfId="103"/>
    <cellStyle name="Comma 3" xfId="36"/>
    <cellStyle name="Comma 3 2" xfId="37"/>
    <cellStyle name="Comma 4" xfId="38"/>
    <cellStyle name="Comma 4 2" xfId="102"/>
    <cellStyle name="Copied" xfId="39"/>
    <cellStyle name="Currency" xfId="40" builtinId="4"/>
    <cellStyle name="Currency 2" xfId="41"/>
    <cellStyle name="Currency 3" xfId="98"/>
    <cellStyle name="Entered" xfId="42"/>
    <cellStyle name="Explanatory Text" xfId="43" builtinId="53" customBuiltin="1"/>
    <cellStyle name="Good" xfId="44" builtinId="26" customBuiltin="1"/>
    <cellStyle name="Grey" xfId="45"/>
    <cellStyle name="Header1" xfId="46"/>
    <cellStyle name="Header2" xfId="47"/>
    <cellStyle name="Heading 1" xfId="48" builtinId="16" customBuiltin="1"/>
    <cellStyle name="Heading 2" xfId="49" builtinId="17" customBuiltin="1"/>
    <cellStyle name="Heading 3" xfId="50" builtinId="18" customBuiltin="1"/>
    <cellStyle name="Heading 4" xfId="51" builtinId="19" customBuiltin="1"/>
    <cellStyle name="Hyperlink" xfId="114" builtinId="8"/>
    <cellStyle name="Input" xfId="52" builtinId="20" customBuiltin="1"/>
    <cellStyle name="Input [yellow]" xfId="53"/>
    <cellStyle name="Linked Cell" xfId="54" builtinId="24" customBuiltin="1"/>
    <cellStyle name="Neutral" xfId="55" builtinId="28" customBuiltin="1"/>
    <cellStyle name="Normal" xfId="0" builtinId="0"/>
    <cellStyle name="Normal - Style1" xfId="56"/>
    <cellStyle name="Normal - Style1 2" xfId="110"/>
    <cellStyle name="Normal 10" xfId="57"/>
    <cellStyle name="Normal 11" xfId="58"/>
    <cellStyle name="Normal 12" xfId="59"/>
    <cellStyle name="Normal 13" xfId="60"/>
    <cellStyle name="Normal 14" xfId="61"/>
    <cellStyle name="Normal 15" xfId="62"/>
    <cellStyle name="Normal 16" xfId="63"/>
    <cellStyle name="Normal 17" xfId="64"/>
    <cellStyle name="Normal 18" xfId="65"/>
    <cellStyle name="Normal 19" xfId="66"/>
    <cellStyle name="Normal 2" xfId="67"/>
    <cellStyle name="Normal 2 2" xfId="68"/>
    <cellStyle name="Normal 2 3" xfId="111"/>
    <cellStyle name="Normal 20" xfId="69"/>
    <cellStyle name="Normal 21" xfId="70"/>
    <cellStyle name="Normal 22" xfId="71"/>
    <cellStyle name="Normal 23" xfId="72"/>
    <cellStyle name="Normal 24" xfId="73"/>
    <cellStyle name="Normal 25" xfId="96"/>
    <cellStyle name="Normal 26" xfId="99"/>
    <cellStyle name="Normal 27" xfId="101"/>
    <cellStyle name="Normal 28" xfId="104"/>
    <cellStyle name="Normal 29" xfId="105"/>
    <cellStyle name="Normal 3" xfId="74"/>
    <cellStyle name="Normal 30" xfId="106"/>
    <cellStyle name="Normal 31" xfId="107"/>
    <cellStyle name="Normal 32" xfId="108"/>
    <cellStyle name="Normal 33" xfId="109"/>
    <cellStyle name="Normal 4" xfId="75"/>
    <cellStyle name="Normal 5" xfId="76"/>
    <cellStyle name="Normal 6" xfId="77"/>
    <cellStyle name="Normal 7" xfId="78"/>
    <cellStyle name="Normal 8" xfId="79"/>
    <cellStyle name="Normal 9" xfId="80"/>
    <cellStyle name="Normal_DisclaimerSheet Samples" xfId="115"/>
    <cellStyle name="Normal_WEN modelware upgrade" xfId="81"/>
    <cellStyle name="Note" xfId="82" builtinId="10" customBuiltin="1"/>
    <cellStyle name="Output" xfId="83" builtinId="21" customBuiltin="1"/>
    <cellStyle name="p " xfId="84"/>
    <cellStyle name="Percent" xfId="85" builtinId="5"/>
    <cellStyle name="Percent [2]" xfId="86"/>
    <cellStyle name="Percent [2] 2" xfId="112"/>
    <cellStyle name="Percent 2" xfId="100"/>
    <cellStyle name="RevList" xfId="87"/>
    <cellStyle name="RevList 2" xfId="113"/>
    <cellStyle name="RRSInstruction" xfId="88"/>
    <cellStyle name="RRSInstruction 2" xfId="97"/>
    <cellStyle name="s_HardInc " xfId="89"/>
    <cellStyle name="s_Valuation " xfId="90"/>
    <cellStyle name="ssp " xfId="91"/>
    <cellStyle name="Subtotal" xfId="92"/>
    <cellStyle name="Title" xfId="93" builtinId="15" customBuiltin="1"/>
    <cellStyle name="Total" xfId="94" builtinId="25" customBuiltin="1"/>
    <cellStyle name="Warning Text" xfId="95"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3C3"/>
      <rgbColor rgb="00F5C54C"/>
      <rgbColor rgb="0032C464"/>
      <rgbColor rgb="009DDEED"/>
      <rgbColor rgb="00F37B53"/>
      <rgbColor rgb="00B9F391"/>
      <rgbColor rgb="00FF9B9D"/>
      <rgbColor rgb="00993D66"/>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009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styles.xml" Type="http://schemas.openxmlformats.org/officeDocument/2006/relationships/styles"/>
<Relationship Id="rId11" Target="sharedStrings.xml" Type="http://schemas.openxmlformats.org/officeDocument/2006/relationships/sharedStrings"/>
<Relationship Id="rId12" Target="calcChain.xml" Type="http://schemas.openxmlformats.org/officeDocument/2006/relationships/calcChain"/>
<Relationship Id="rId13" Target="../customXml/item1.xml" Type="http://schemas.openxmlformats.org/officeDocument/2006/relationships/customXml"/>
<Relationship Id="rId14" Target="../customXml/item2.xml" Type="http://schemas.openxmlformats.org/officeDocument/2006/relationships/customXml"/>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theme/theme1.xml" Type="http://schemas.openxmlformats.org/officeDocument/2006/relationships/theme"/>
</Relationships>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_rels/drawing2.xml.rels><?xml version="1.0" encoding="UTF-8" standalone="yes"?>
<Relationships xmlns="http://schemas.openxmlformats.org/package/2006/relationships">
<Relationship Id="rId1" Target="../media/image4.png" Type="http://schemas.openxmlformats.org/officeDocument/2006/relationships/image"/>
</Relationships>

</file>

<file path=xl/drawings/_rels/drawing3.xml.rels><?xml version="1.0" encoding="UTF-8" standalone="yes"?>
<Relationships xmlns="http://schemas.openxmlformats.org/package/2006/relationships">
<Relationship Id="rId1" Target="../media/image5.png" Type="http://schemas.openxmlformats.org/officeDocument/2006/relationships/image"/>
</Relationships>

</file>

<file path=xl/drawings/_rels/drawing4.xml.rels><?xml version="1.0" encoding="UTF-8" standalone="yes"?>
<Relationships xmlns="http://schemas.openxmlformats.org/package/2006/relationships">
<Relationship Id="rId1" Target="../media/image6.png" Type="http://schemas.openxmlformats.org/officeDocument/2006/relationships/image"/>
</Relationships>

</file>

<file path=xl/drawings/_rels/drawing5.xml.rels><?xml version="1.0" encoding="UTF-8" standalone="yes"?>
<Relationships xmlns="http://schemas.openxmlformats.org/package/2006/relationships">
<Relationship Id="rId1" Target="../media/image7.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1581150</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1</xdr:col>
      <xdr:colOff>523875</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183</xdr:row>
      <xdr:rowOff>0</xdr:rowOff>
    </xdr:from>
    <xdr:to>
      <xdr:col>7</xdr:col>
      <xdr:colOff>390525</xdr:colOff>
      <xdr:row>206</xdr:row>
      <xdr:rowOff>104775</xdr:rowOff>
    </xdr:to>
    <xdr:pic>
      <xdr:nvPicPr>
        <xdr:cNvPr id="637953" name="Picture 1" descr="C:\Users\carrichr\AppData\Local\Temp\MercuryPriceRatingHistoryChart\SBUX.O_2018_04_15_18_34_02.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8260675"/>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123825</xdr:rowOff>
    </xdr:from>
    <xdr:to>
      <xdr:col>0</xdr:col>
      <xdr:colOff>1647825</xdr:colOff>
      <xdr:row>2</xdr:row>
      <xdr:rowOff>38100</xdr:rowOff>
    </xdr:to>
    <xdr:pic>
      <xdr:nvPicPr>
        <xdr:cNvPr id="16726" name="Picture 4" descr="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2382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22</xdr:row>
      <xdr:rowOff>66675</xdr:rowOff>
    </xdr:from>
    <xdr:to>
      <xdr:col>0</xdr:col>
      <xdr:colOff>2257425</xdr:colOff>
      <xdr:row>38</xdr:row>
      <xdr:rowOff>0</xdr:rowOff>
    </xdr:to>
    <xdr:sp macro="" textlink="">
      <xdr:nvSpPr>
        <xdr:cNvPr id="16386" name="Text Box 5"/>
        <xdr:cNvSpPr txBox="1">
          <a:spLocks noChangeArrowheads="1"/>
        </xdr:cNvSpPr>
      </xdr:nvSpPr>
      <xdr:spPr bwMode="auto">
        <a:xfrm>
          <a:off x="0" y="3886200"/>
          <a:ext cx="2228850" cy="254317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sz="800" b="0" i="0" u="none" strike="noStrike" baseline="0">
              <a:solidFill>
                <a:srgbClr val="000000"/>
              </a:solidFill>
              <a:latin typeface="Arial"/>
              <a:cs typeface="Arial"/>
            </a:rPr>
            <a:t>HOW TO USE THIS MODEL:</a:t>
          </a:r>
        </a:p>
        <a:p>
          <a:pPr algn="l" rtl="0">
            <a:defRPr sz="1000"/>
          </a:pPr>
          <a:r>
            <a:rPr lang="en-US" sz="800" b="0" i="0" u="none" strike="noStrike" baseline="0">
              <a:solidFill>
                <a:srgbClr val="000000"/>
              </a:solidFill>
              <a:latin typeface="Arial"/>
              <a:cs typeface="Arial"/>
            </a:rPr>
            <a:t>The </a:t>
          </a:r>
          <a:r>
            <a:rPr lang="en-US" sz="800" b="1" i="0" u="none" strike="noStrike" baseline="0">
              <a:solidFill>
                <a:srgbClr val="0000FF"/>
              </a:solidFill>
              <a:latin typeface="Arial"/>
              <a:cs typeface="Arial"/>
            </a:rPr>
            <a:t>SBUX</a:t>
          </a:r>
          <a:r>
            <a:rPr lang="en-US" sz="800" b="0" i="0" u="none" strike="noStrike" baseline="0">
              <a:solidFill>
                <a:srgbClr val="000000"/>
              </a:solidFill>
              <a:latin typeface="Arial"/>
              <a:cs typeface="Arial"/>
            </a:rPr>
            <a:t> earnings model is driven by unit growth, system-wide same-store sales (SSS) growth &amp; margin expansion. Hence, the most important inputs to this model are found on the 'Units', 'Revenue Drivers', 'SSS' and 'U.S. and Int'l Segment Detail' tabs.</a:t>
          </a:r>
        </a:p>
        <a:p>
          <a:pPr algn="l" rtl="0">
            <a:defRPr sz="1000"/>
          </a:pPr>
          <a:r>
            <a:rPr lang="en-US" sz="800" b="0" i="0" u="none" strike="noStrike" baseline="0">
              <a:solidFill>
                <a:srgbClr val="000000"/>
              </a:solidFill>
              <a:latin typeface="Arial"/>
              <a:cs typeface="Arial"/>
            </a:rPr>
            <a:t>Specifically, the</a:t>
          </a:r>
          <a:r>
            <a:rPr lang="en-US" sz="800" b="0" i="0" u="none" strike="noStrike" baseline="0">
              <a:solidFill>
                <a:srgbClr val="0000FF"/>
              </a:solidFill>
              <a:latin typeface="Arial"/>
              <a:cs typeface="Arial"/>
            </a:rPr>
            <a:t> numbers in blue are our </a:t>
          </a:r>
          <a:r>
            <a:rPr lang="en-US" sz="800" b="0" i="0" u="none" strike="noStrike" baseline="0">
              <a:solidFill>
                <a:srgbClr val="000000"/>
              </a:solidFill>
              <a:latin typeface="Arial"/>
              <a:cs typeface="Arial"/>
            </a:rPr>
            <a:t>assumptions. Anything not in blue is driven by another part of the model. Therefore, to have this model function properly, </a:t>
          </a:r>
          <a:r>
            <a:rPr lang="en-US" sz="800" b="0" i="0" u="none" strike="noStrike" baseline="0">
              <a:solidFill>
                <a:srgbClr val="0000FF"/>
              </a:solidFill>
              <a:latin typeface="Arial"/>
              <a:cs typeface="Arial"/>
            </a:rPr>
            <a:t>only adjust the numbers coded in blue.</a:t>
          </a:r>
          <a:endParaRPr lang="en-US" sz="8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Should you have any questions, please feel free to call us at any of the numbers above.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0</xdr:row>
      <xdr:rowOff>114300</xdr:rowOff>
    </xdr:from>
    <xdr:to>
      <xdr:col>0</xdr:col>
      <xdr:colOff>1724025</xdr:colOff>
      <xdr:row>0</xdr:row>
      <xdr:rowOff>457200</xdr:rowOff>
    </xdr:to>
    <xdr:pic>
      <xdr:nvPicPr>
        <xdr:cNvPr id="41382" name="Picture 279" descr="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62877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165</xdr:row>
      <xdr:rowOff>19050</xdr:rowOff>
    </xdr:from>
    <xdr:to>
      <xdr:col>1</xdr:col>
      <xdr:colOff>0</xdr:colOff>
      <xdr:row>198</xdr:row>
      <xdr:rowOff>57150</xdr:rowOff>
    </xdr:to>
    <xdr:sp macro="" textlink="">
      <xdr:nvSpPr>
        <xdr:cNvPr id="1412" name="Text Box 388"/>
        <xdr:cNvSpPr txBox="1">
          <a:spLocks noChangeArrowheads="1"/>
        </xdr:cNvSpPr>
      </xdr:nvSpPr>
      <xdr:spPr bwMode="auto">
        <a:xfrm>
          <a:off x="2819400" y="20412075"/>
          <a:ext cx="0" cy="22288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800" b="1" i="0" u="none" strike="noStrike" baseline="0">
              <a:solidFill>
                <a:srgbClr val="000000"/>
              </a:solidFill>
              <a:latin typeface="Arial"/>
              <a:cs typeface="Arial"/>
            </a:rPr>
            <a:t>7.30.08</a:t>
          </a: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The combination of all these actions is estimated to result in a pre-tax benefit of approximately $200 million to $210 million in fiscal 2009, which equates to approximately $0.17 to $0.18 of EPS. The beneficial impact estimated here excludes the related carry over of the lease termination and severance costs from the store closure actions. +150 bp on digital</a:t>
          </a: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132</xdr:col>
      <xdr:colOff>85725</xdr:colOff>
      <xdr:row>29</xdr:row>
      <xdr:rowOff>66676</xdr:rowOff>
    </xdr:from>
    <xdr:to>
      <xdr:col>135</xdr:col>
      <xdr:colOff>533400</xdr:colOff>
      <xdr:row>60</xdr:row>
      <xdr:rowOff>9525</xdr:rowOff>
    </xdr:to>
    <xdr:sp macro="" textlink="">
      <xdr:nvSpPr>
        <xdr:cNvPr id="2" name="TextBox 1"/>
        <xdr:cNvSpPr txBox="1"/>
      </xdr:nvSpPr>
      <xdr:spPr>
        <a:xfrm>
          <a:off x="13449300" y="3800476"/>
          <a:ext cx="2276475" cy="2828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2016 Analyst Day Goals</a:t>
          </a:r>
        </a:p>
        <a:p>
          <a:endParaRPr lang="en-US" sz="1100"/>
        </a:p>
        <a:p>
          <a:r>
            <a:rPr lang="en-US" sz="1100" b="1"/>
            <a:t>FY21 Goals</a:t>
          </a:r>
        </a:p>
        <a:p>
          <a:r>
            <a:rPr lang="en-US" sz="1100"/>
            <a:t>- Rev</a:t>
          </a:r>
          <a:r>
            <a:rPr lang="en-US" sz="1100" baseline="0"/>
            <a:t>enue $35B</a:t>
          </a:r>
        </a:p>
        <a:p>
          <a:r>
            <a:rPr lang="en-US" sz="1100" baseline="0"/>
            <a:t>- Operating Income growth 2x</a:t>
          </a:r>
        </a:p>
        <a:p>
          <a:pPr marL="0" marR="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Core G&amp;A growth 1/2 rate of rev growth</a:t>
          </a:r>
        </a:p>
        <a:p>
          <a:pPr marL="0" marR="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$1.4B in Supply Chain savings over 7 years (by FY21)</a:t>
          </a:r>
          <a:endParaRPr lang="en-US">
            <a:effectLst/>
          </a:endParaRPr>
        </a:p>
        <a:p>
          <a:r>
            <a:rPr lang="en-US" sz="1100" baseline="0"/>
            <a:t> </a:t>
          </a:r>
        </a:p>
        <a:p>
          <a:r>
            <a:rPr lang="en-US" sz="1100" b="1" baseline="0"/>
            <a:t>Long-Term Goals</a:t>
          </a:r>
        </a:p>
        <a:p>
          <a:r>
            <a:rPr lang="en-US" sz="1100" b="0" baseline="0"/>
            <a:t>- Comp growth MSD</a:t>
          </a:r>
        </a:p>
        <a:p>
          <a:r>
            <a:rPr lang="en-US" sz="1100" b="0" baseline="0"/>
            <a:t>- Revenue growth 10%+</a:t>
          </a:r>
        </a:p>
        <a:p>
          <a:r>
            <a:rPr lang="en-US" sz="1100" b="0" baseline="0"/>
            <a:t>- Core G&amp;A growth 1/2 rate of rev growth</a:t>
          </a:r>
        </a:p>
        <a:p>
          <a:r>
            <a:rPr lang="en-US" sz="1100" b="0" baseline="0"/>
            <a:t>- LT EPS growth 15-20%</a:t>
          </a:r>
        </a:p>
        <a:p>
          <a:r>
            <a:rPr lang="en-US" sz="1100" b="0" baseline="0"/>
            <a:t>- ROIC &gt;25%, increasing 50-100 bps/yr</a:t>
          </a:r>
          <a:endParaRPr lang="en-US" sz="1100" b="0"/>
        </a:p>
      </xdr:txBody>
    </xdr:sp>
    <xdr:clientData/>
  </xdr:twoCellAnchor>
  <xdr:twoCellAnchor>
    <xdr:from>
      <xdr:col>132</xdr:col>
      <xdr:colOff>76200</xdr:colOff>
      <xdr:row>7</xdr:row>
      <xdr:rowOff>76200</xdr:rowOff>
    </xdr:from>
    <xdr:to>
      <xdr:col>135</xdr:col>
      <xdr:colOff>523875</xdr:colOff>
      <xdr:row>28</xdr:row>
      <xdr:rowOff>142875</xdr:rowOff>
    </xdr:to>
    <xdr:sp macro="" textlink="">
      <xdr:nvSpPr>
        <xdr:cNvPr id="5" name="TextBox 4"/>
        <xdr:cNvSpPr txBox="1"/>
      </xdr:nvSpPr>
      <xdr:spPr>
        <a:xfrm>
          <a:off x="13439775" y="1323975"/>
          <a:ext cx="2276475" cy="2390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4Q17 Updated LT Goals</a:t>
          </a:r>
        </a:p>
        <a:p>
          <a:endParaRPr lang="en-US" sz="1100"/>
        </a:p>
        <a:p>
          <a:r>
            <a:rPr lang="en-US" sz="1100" b="0" baseline="0"/>
            <a:t>- Comp growth 3-5%</a:t>
          </a:r>
        </a:p>
        <a:p>
          <a:r>
            <a:rPr lang="en-US" sz="1100" b="0" baseline="0"/>
            <a:t>- Revenue growth HSD</a:t>
          </a:r>
        </a:p>
        <a:p>
          <a:r>
            <a:rPr lang="en-US" sz="1100" b="0" baseline="0"/>
            <a:t>- EPS growth 12+%</a:t>
          </a:r>
        </a:p>
        <a:p>
          <a:r>
            <a:rPr lang="en-US" sz="1100" b="0" baseline="0"/>
            <a:t>- ROIC 25+%</a:t>
          </a:r>
        </a:p>
        <a:p>
          <a:r>
            <a:rPr lang="en-US" sz="1100" b="0" baseline="0"/>
            <a:t>- </a:t>
          </a:r>
          <a:r>
            <a:rPr lang="en-US" sz="1100" b="0" i="0" u="none" strike="noStrike" baseline="0" smtClean="0">
              <a:solidFill>
                <a:schemeClr val="dk1"/>
              </a:solidFill>
              <a:latin typeface="+mn-lt"/>
              <a:ea typeface="+mn-ea"/>
              <a:cs typeface="+mn-cs"/>
            </a:rPr>
            <a:t>Ongoing opportunities in COGS savings and core G&amp;A growing at half the rate of revenue growth</a:t>
          </a:r>
        </a:p>
        <a:p>
          <a:r>
            <a:rPr lang="en-US" sz="1100" b="0" i="0" u="none" strike="noStrike" baseline="0" smtClean="0">
              <a:solidFill>
                <a:schemeClr val="dk1"/>
              </a:solidFill>
              <a:latin typeface="+mn-lt"/>
              <a:ea typeface="+mn-ea"/>
              <a:cs typeface="+mn-cs"/>
            </a:rPr>
            <a:t>- Commitment to returning $15 billion to shareholders through dividends and share repurchases over the next 3 years</a:t>
          </a:r>
          <a:endParaRPr lang="en-US"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0</xdr:row>
      <xdr:rowOff>66675</xdr:rowOff>
    </xdr:from>
    <xdr:to>
      <xdr:col>0</xdr:col>
      <xdr:colOff>1857375</xdr:colOff>
      <xdr:row>0</xdr:row>
      <xdr:rowOff>409575</xdr:rowOff>
    </xdr:to>
    <xdr:pic>
      <xdr:nvPicPr>
        <xdr:cNvPr id="14694" name="Picture 12" descr="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18097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62</xdr:col>
      <xdr:colOff>228600</xdr:colOff>
      <xdr:row>88</xdr:row>
      <xdr:rowOff>95250</xdr:rowOff>
    </xdr:from>
    <xdr:to>
      <xdr:col>66</xdr:col>
      <xdr:colOff>381000</xdr:colOff>
      <xdr:row>110</xdr:row>
      <xdr:rowOff>66675</xdr:rowOff>
    </xdr:to>
    <xdr:sp macro="" textlink="">
      <xdr:nvSpPr>
        <xdr:cNvPr id="14340" name="Rectangle 4"/>
        <xdr:cNvSpPr>
          <a:spLocks noChangeArrowheads="1"/>
        </xdr:cNvSpPr>
      </xdr:nvSpPr>
      <xdr:spPr bwMode="auto">
        <a:xfrm>
          <a:off x="2457450" y="13906500"/>
          <a:ext cx="0" cy="25908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800" b="1" i="0" u="none" strike="noStrike" baseline="0">
              <a:solidFill>
                <a:srgbClr val="000000"/>
              </a:solidFill>
              <a:latin typeface="Arial"/>
              <a:cs typeface="Arial"/>
            </a:rPr>
            <a:t>8.1.07</a:t>
          </a: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Management is currently evaluating a range of alternatives for raising long-term financing to enable Starbucks to pay down short-term debt and take advantage of opportunities for repurchasing shares. These include a long-term bond financing and/or an interim credit facility containing terms substantially similar to those contained in the Company's existing revolving credit facility. Any funding would be consistent with the Company's strategy of targeting leverage and coverage levels to be roughly commensurate with a high triple B rating over the medium term.</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123825</xdr:rowOff>
    </xdr:from>
    <xdr:to>
      <xdr:col>0</xdr:col>
      <xdr:colOff>1695450</xdr:colOff>
      <xdr:row>0</xdr:row>
      <xdr:rowOff>361950</xdr:rowOff>
    </xdr:to>
    <xdr:pic>
      <xdr:nvPicPr>
        <xdr:cNvPr id="10498" name="Picture 40" descr="image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23825"/>
          <a:ext cx="1638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mailto:christopher.carril@morganstanley.com" TargetMode="External" Type="http://schemas.openxmlformats.org/officeDocument/2006/relationships/hyperlink"/>
<Relationship Id="rId2" Target="../printerSettings/printerSettings2.bin" Type="http://schemas.openxmlformats.org/officeDocument/2006/relationships/printerSettings"/>
<Relationship Id="rId3" Target="../drawings/drawing2.xml" Type="http://schemas.openxmlformats.org/officeDocument/2006/relationships/drawing"/>
</Relationships>

</file>

<file path=xl/worksheets/_rels/sheet3.xml.rels><?xml version="1.0" encoding="UTF-8" standalone="yes"?>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yes"?>
<Relationships xmlns="http://schemas.openxmlformats.org/package/2006/relationships">
<Relationship Id="rId1" Target="../printerSettings/printerSettings4.bin" Type="http://schemas.openxmlformats.org/officeDocument/2006/relationships/printerSettings"/>
<Relationship Id="rId2" Target="../drawings/drawing3.xml" Type="http://schemas.openxmlformats.org/officeDocument/2006/relationships/drawing"/>
<Relationship Id="rId3" Target="../drawings/vmlDrawing1.vml" Type="http://schemas.openxmlformats.org/officeDocument/2006/relationships/vmlDrawing"/>
<Relationship Id="rId4" Target="../comments1.xml" Type="http://schemas.openxmlformats.org/officeDocument/2006/relationships/comments"/>
</Relationships>

</file>

<file path=xl/worksheets/_rels/sheet5.xml.rels><?xml version="1.0" encoding="UTF-8" standalone="yes"?>
<Relationships xmlns="http://schemas.openxmlformats.org/package/2006/relationships">
<Relationship Id="rId1" Target="../printerSettings/printerSettings5.bin" Type="http://schemas.openxmlformats.org/officeDocument/2006/relationships/printerSettings"/>
<Relationship Id="rId2" Target="../drawings/drawing4.xml" Type="http://schemas.openxmlformats.org/officeDocument/2006/relationships/drawing"/>
<Relationship Id="rId3" Target="../drawings/vmlDrawing2.vml" Type="http://schemas.openxmlformats.org/officeDocument/2006/relationships/vmlDrawing"/>
<Relationship Id="rId4" Target="../comments2.xml" Type="http://schemas.openxmlformats.org/officeDocument/2006/relationships/comments"/>
</Relationships>

</file>

<file path=xl/worksheets/_rels/sheet6.xml.rels><?xml version="1.0" encoding="UTF-8" standalone="yes"?>
<Relationships xmlns="http://schemas.openxmlformats.org/package/2006/relationships">
<Relationship Id="rId1" Target="../printerSettings/printerSettings6.bin" Type="http://schemas.openxmlformats.org/officeDocument/2006/relationships/printerSettings"/>
<Relationship Id="rId2" Target="../drawings/drawing5.xml" Type="http://schemas.openxmlformats.org/officeDocument/2006/relationships/drawing"/>
<Relationship Id="rId3" Target="../drawings/vmlDrawing3.vml" Type="http://schemas.openxmlformats.org/officeDocument/2006/relationships/vmlDrawing"/>
<Relationship Id="rId4" Target="../comments3.xml" Type="http://schemas.openxmlformats.org/officeDocument/2006/relationships/comments"/>
</Relationships>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400"/>
  <sheetViews>
    <sheetView showGridLines="0" tabSelected="1" workbookViewId="0">
      <selection activeCell="Z1" sqref="Z1"/>
    </sheetView>
  </sheetViews>
  <sheetFormatPr defaultRowHeight="12.75" x14ac:dyDescent="0.2"/>
  <cols>
    <col min="1" max="1" width="25.7109375" style="1002" customWidth="1"/>
    <col min="2" max="5" width="9.140625" style="1002"/>
    <col min="6" max="6" width="18.7109375" style="1002" customWidth="1"/>
    <col min="7" max="256" width="9.140625" style="1002"/>
    <col min="257" max="257" width="100.7109375" style="1002" customWidth="1"/>
    <col min="258" max="512" width="9.140625" style="1002"/>
    <col min="513" max="513" width="100.7109375" style="1002" customWidth="1"/>
    <col min="514" max="768" width="9.140625" style="1002"/>
    <col min="769" max="769" width="100.7109375" style="1002" customWidth="1"/>
    <col min="770" max="1024" width="9.140625" style="1002"/>
    <col min="1025" max="1025" width="100.7109375" style="1002" customWidth="1"/>
    <col min="1026" max="1280" width="9.140625" style="1002"/>
    <col min="1281" max="1281" width="100.7109375" style="1002" customWidth="1"/>
    <col min="1282" max="1536" width="9.140625" style="1002"/>
    <col min="1537" max="1537" width="100.7109375" style="1002" customWidth="1"/>
    <col min="1538" max="1792" width="9.140625" style="1002"/>
    <col min="1793" max="1793" width="100.7109375" style="1002" customWidth="1"/>
    <col min="1794" max="2048" width="9.140625" style="1002"/>
    <col min="2049" max="2049" width="100.7109375" style="1002" customWidth="1"/>
    <col min="2050" max="2304" width="9.140625" style="1002"/>
    <col min="2305" max="2305" width="100.7109375" style="1002" customWidth="1"/>
    <col min="2306" max="2560" width="9.140625" style="1002"/>
    <col min="2561" max="2561" width="100.7109375" style="1002" customWidth="1"/>
    <col min="2562" max="2816" width="9.140625" style="1002"/>
    <col min="2817" max="2817" width="100.7109375" style="1002" customWidth="1"/>
    <col min="2818" max="3072" width="9.140625" style="1002"/>
    <col min="3073" max="3073" width="100.7109375" style="1002" customWidth="1"/>
    <col min="3074" max="3328" width="9.140625" style="1002"/>
    <col min="3329" max="3329" width="100.7109375" style="1002" customWidth="1"/>
    <col min="3330" max="3584" width="9.140625" style="1002"/>
    <col min="3585" max="3585" width="100.7109375" style="1002" customWidth="1"/>
    <col min="3586" max="3840" width="9.140625" style="1002"/>
    <col min="3841" max="3841" width="100.7109375" style="1002" customWidth="1"/>
    <col min="3842" max="4096" width="9.140625" style="1002"/>
    <col min="4097" max="4097" width="100.7109375" style="1002" customWidth="1"/>
    <col min="4098" max="4352" width="9.140625" style="1002"/>
    <col min="4353" max="4353" width="100.7109375" style="1002" customWidth="1"/>
    <col min="4354" max="4608" width="9.140625" style="1002"/>
    <col min="4609" max="4609" width="100.7109375" style="1002" customWidth="1"/>
    <col min="4610" max="4864" width="9.140625" style="1002"/>
    <col min="4865" max="4865" width="100.7109375" style="1002" customWidth="1"/>
    <col min="4866" max="5120" width="9.140625" style="1002"/>
    <col min="5121" max="5121" width="100.7109375" style="1002" customWidth="1"/>
    <col min="5122" max="5376" width="9.140625" style="1002"/>
    <col min="5377" max="5377" width="100.7109375" style="1002" customWidth="1"/>
    <col min="5378" max="5632" width="9.140625" style="1002"/>
    <col min="5633" max="5633" width="100.7109375" style="1002" customWidth="1"/>
    <col min="5634" max="5888" width="9.140625" style="1002"/>
    <col min="5889" max="5889" width="100.7109375" style="1002" customWidth="1"/>
    <col min="5890" max="6144" width="9.140625" style="1002"/>
    <col min="6145" max="6145" width="100.7109375" style="1002" customWidth="1"/>
    <col min="6146" max="6400" width="9.140625" style="1002"/>
    <col min="6401" max="6401" width="100.7109375" style="1002" customWidth="1"/>
    <col min="6402" max="6656" width="9.140625" style="1002"/>
    <col min="6657" max="6657" width="100.7109375" style="1002" customWidth="1"/>
    <col min="6658" max="6912" width="9.140625" style="1002"/>
    <col min="6913" max="6913" width="100.7109375" style="1002" customWidth="1"/>
    <col min="6914" max="7168" width="9.140625" style="1002"/>
    <col min="7169" max="7169" width="100.7109375" style="1002" customWidth="1"/>
    <col min="7170" max="7424" width="9.140625" style="1002"/>
    <col min="7425" max="7425" width="100.7109375" style="1002" customWidth="1"/>
    <col min="7426" max="7680" width="9.140625" style="1002"/>
    <col min="7681" max="7681" width="100.7109375" style="1002" customWidth="1"/>
    <col min="7682" max="7936" width="9.140625" style="1002"/>
    <col min="7937" max="7937" width="100.7109375" style="1002" customWidth="1"/>
    <col min="7938" max="8192" width="9.140625" style="1002"/>
    <col min="8193" max="8193" width="100.7109375" style="1002" customWidth="1"/>
    <col min="8194" max="8448" width="9.140625" style="1002"/>
    <col min="8449" max="8449" width="100.7109375" style="1002" customWidth="1"/>
    <col min="8450" max="8704" width="9.140625" style="1002"/>
    <col min="8705" max="8705" width="100.7109375" style="1002" customWidth="1"/>
    <col min="8706" max="8960" width="9.140625" style="1002"/>
    <col min="8961" max="8961" width="100.7109375" style="1002" customWidth="1"/>
    <col min="8962" max="9216" width="9.140625" style="1002"/>
    <col min="9217" max="9217" width="100.7109375" style="1002" customWidth="1"/>
    <col min="9218" max="9472" width="9.140625" style="1002"/>
    <col min="9473" max="9473" width="100.7109375" style="1002" customWidth="1"/>
    <col min="9474" max="9728" width="9.140625" style="1002"/>
    <col min="9729" max="9729" width="100.7109375" style="1002" customWidth="1"/>
    <col min="9730" max="9984" width="9.140625" style="1002"/>
    <col min="9985" max="9985" width="100.7109375" style="1002" customWidth="1"/>
    <col min="9986" max="10240" width="9.140625" style="1002"/>
    <col min="10241" max="10241" width="100.7109375" style="1002" customWidth="1"/>
    <col min="10242" max="10496" width="9.140625" style="1002"/>
    <col min="10497" max="10497" width="100.7109375" style="1002" customWidth="1"/>
    <col min="10498" max="10752" width="9.140625" style="1002"/>
    <col min="10753" max="10753" width="100.7109375" style="1002" customWidth="1"/>
    <col min="10754" max="11008" width="9.140625" style="1002"/>
    <col min="11009" max="11009" width="100.7109375" style="1002" customWidth="1"/>
    <col min="11010" max="11264" width="9.140625" style="1002"/>
    <col min="11265" max="11265" width="100.7109375" style="1002" customWidth="1"/>
    <col min="11266" max="11520" width="9.140625" style="1002"/>
    <col min="11521" max="11521" width="100.7109375" style="1002" customWidth="1"/>
    <col min="11522" max="11776" width="9.140625" style="1002"/>
    <col min="11777" max="11777" width="100.7109375" style="1002" customWidth="1"/>
    <col min="11778" max="12032" width="9.140625" style="1002"/>
    <col min="12033" max="12033" width="100.7109375" style="1002" customWidth="1"/>
    <col min="12034" max="12288" width="9.140625" style="1002"/>
    <col min="12289" max="12289" width="100.7109375" style="1002" customWidth="1"/>
    <col min="12290" max="12544" width="9.140625" style="1002"/>
    <col min="12545" max="12545" width="100.7109375" style="1002" customWidth="1"/>
    <col min="12546" max="12800" width="9.140625" style="1002"/>
    <col min="12801" max="12801" width="100.7109375" style="1002" customWidth="1"/>
    <col min="12802" max="13056" width="9.140625" style="1002"/>
    <col min="13057" max="13057" width="100.7109375" style="1002" customWidth="1"/>
    <col min="13058" max="13312" width="9.140625" style="1002"/>
    <col min="13313" max="13313" width="100.7109375" style="1002" customWidth="1"/>
    <col min="13314" max="13568" width="9.140625" style="1002"/>
    <col min="13569" max="13569" width="100.7109375" style="1002" customWidth="1"/>
    <col min="13570" max="13824" width="9.140625" style="1002"/>
    <col min="13825" max="13825" width="100.7109375" style="1002" customWidth="1"/>
    <col min="13826" max="14080" width="9.140625" style="1002"/>
    <col min="14081" max="14081" width="100.7109375" style="1002" customWidth="1"/>
    <col min="14082" max="14336" width="9.140625" style="1002"/>
    <col min="14337" max="14337" width="100.7109375" style="1002" customWidth="1"/>
    <col min="14338" max="14592" width="9.140625" style="1002"/>
    <col min="14593" max="14593" width="100.7109375" style="1002" customWidth="1"/>
    <col min="14594" max="14848" width="9.140625" style="1002"/>
    <col min="14849" max="14849" width="100.7109375" style="1002" customWidth="1"/>
    <col min="14850" max="15104" width="9.140625" style="1002"/>
    <col min="15105" max="15105" width="100.7109375" style="1002" customWidth="1"/>
    <col min="15106" max="15360" width="9.140625" style="1002"/>
    <col min="15361" max="15361" width="100.7109375" style="1002" customWidth="1"/>
    <col min="15362" max="15616" width="9.140625" style="1002"/>
    <col min="15617" max="15617" width="100.7109375" style="1002" customWidth="1"/>
    <col min="15618" max="15872" width="9.140625" style="1002"/>
    <col min="15873" max="15873" width="100.7109375" style="1002" customWidth="1"/>
    <col min="15874" max="16128" width="9.140625" style="1002"/>
    <col min="16129" max="16129" width="100.7109375" style="1002" customWidth="1"/>
    <col min="16130" max="16384" width="9.140625" style="1002"/>
  </cols>
  <sheetData>
    <row r="1" spans="1:8" ht="30" customHeight="1" x14ac:dyDescent="0.2">
      <c r="A1" s="1000"/>
      <c r="B1" s="1001"/>
      <c r="C1" s="1001"/>
      <c r="D1" s="1001"/>
      <c r="E1" s="1001"/>
      <c r="F1" s="1001"/>
      <c r="G1" s="1001"/>
      <c r="H1" s="1001"/>
    </row>
    <row r="2" spans="1:8" ht="14.25" x14ac:dyDescent="0.2">
      <c r="A2" s="1003" t="s">
        <v>673</v>
      </c>
      <c r="B2" s="1001"/>
      <c r="C2" s="1001"/>
      <c r="D2" s="1001"/>
      <c r="E2" s="1001"/>
      <c r="F2" s="1001"/>
      <c r="G2" s="1001"/>
      <c r="H2" s="1001"/>
    </row>
    <row r="3" spans="1:8" ht="14.25" x14ac:dyDescent="0.2">
      <c r="A3" s="1003" t="s">
        <v>674</v>
      </c>
      <c r="B3" s="1001"/>
      <c r="C3" s="1001"/>
      <c r="D3" s="1001"/>
      <c r="E3" s="1001"/>
      <c r="F3" s="1001"/>
      <c r="G3" s="1001"/>
      <c r="H3" s="1001"/>
    </row>
    <row r="4" spans="1:8" ht="14.25" x14ac:dyDescent="0.2">
      <c r="A4" s="1003" t="s">
        <v>101</v>
      </c>
      <c r="B4" s="1001"/>
      <c r="C4" s="1001"/>
      <c r="D4" s="1001"/>
      <c r="E4" s="1001"/>
      <c r="F4" s="1001"/>
      <c r="G4" s="1001"/>
      <c r="H4" s="1001"/>
    </row>
    <row r="5" spans="1:8" ht="14.25" x14ac:dyDescent="0.2">
      <c r="A5" s="1003" t="s">
        <v>675</v>
      </c>
      <c r="B5" s="1001"/>
      <c r="C5" s="1001"/>
      <c r="D5" s="1001"/>
      <c r="E5" s="1001"/>
      <c r="F5" s="1001"/>
      <c r="G5" s="1001"/>
      <c r="H5" s="1001"/>
    </row>
    <row r="6" spans="1:8" ht="14.25" x14ac:dyDescent="0.2">
      <c r="A6" s="1003"/>
      <c r="B6" s="1001"/>
      <c r="C6" s="1001"/>
      <c r="D6" s="1001"/>
      <c r="E6" s="1001"/>
      <c r="F6" s="1001"/>
      <c r="G6" s="1001"/>
      <c r="H6" s="1001"/>
    </row>
    <row r="7" spans="1:8" x14ac:dyDescent="0.2">
      <c r="A7" s="1000" t="s">
        <v>676</v>
      </c>
      <c r="B7" s="1001"/>
      <c r="C7" s="1001"/>
      <c r="D7" s="1001"/>
      <c r="E7" s="1001"/>
      <c r="F7" s="1001"/>
      <c r="G7" s="1001"/>
      <c r="H7" s="1001"/>
    </row>
    <row r="8" spans="1:8" x14ac:dyDescent="0.2">
      <c r="A8" s="1000" t="s">
        <v>677</v>
      </c>
      <c r="B8" s="1001"/>
      <c r="C8" s="1001"/>
      <c r="D8" s="1001"/>
      <c r="E8" s="1001"/>
      <c r="F8" s="1001"/>
      <c r="G8" s="1001"/>
      <c r="H8" s="1001"/>
    </row>
    <row r="9" spans="1:8" x14ac:dyDescent="0.2">
      <c r="A9" s="1000"/>
      <c r="B9" s="1001"/>
      <c r="C9" s="1001"/>
      <c r="D9" s="1001"/>
      <c r="E9" s="1001"/>
      <c r="F9" s="1001"/>
      <c r="G9" s="1001"/>
      <c r="H9" s="1001"/>
    </row>
    <row r="10" spans="1:8" x14ac:dyDescent="0.2">
      <c r="A10" s="1004" t="s">
        <v>678</v>
      </c>
      <c r="B10" s="1001"/>
      <c r="C10" s="1001"/>
      <c r="D10" s="1001"/>
      <c r="E10" s="1001"/>
      <c r="F10" s="1001"/>
      <c r="G10" s="1001"/>
      <c r="H10" s="1001"/>
    </row>
    <row r="11" spans="1:8" x14ac:dyDescent="0.2">
      <c r="A11" s="1004" t="s">
        <v>679</v>
      </c>
      <c r="B11" s="1001"/>
      <c r="C11" s="1001"/>
      <c r="D11" s="1001"/>
      <c r="E11" s="1001"/>
      <c r="F11" s="1001"/>
      <c r="G11" s="1001"/>
      <c r="H11" s="1001"/>
    </row>
    <row r="12" spans="1:8" x14ac:dyDescent="0.2">
      <c r="A12" s="1004" t="s">
        <v>680</v>
      </c>
      <c r="B12" s="1001"/>
      <c r="C12" s="1001"/>
      <c r="D12" s="1001"/>
      <c r="E12" s="1001"/>
      <c r="F12" s="1001"/>
      <c r="G12" s="1001"/>
      <c r="H12" s="1001"/>
    </row>
    <row r="13" spans="1:8" x14ac:dyDescent="0.2">
      <c r="A13" s="1004" t="s">
        <v>681</v>
      </c>
      <c r="B13" s="1001"/>
      <c r="C13" s="1001"/>
      <c r="D13" s="1001"/>
      <c r="E13" s="1001"/>
      <c r="F13" s="1001"/>
      <c r="G13" s="1001"/>
      <c r="H13" s="1001"/>
    </row>
    <row r="14" spans="1:8" x14ac:dyDescent="0.2">
      <c r="A14" s="1004" t="s">
        <v>682</v>
      </c>
      <c r="B14" s="1001"/>
      <c r="C14" s="1001"/>
      <c r="D14" s="1001"/>
      <c r="E14" s="1001"/>
      <c r="F14" s="1001"/>
      <c r="G14" s="1001"/>
      <c r="H14" s="1001"/>
    </row>
    <row r="15" spans="1:8" x14ac:dyDescent="0.2">
      <c r="A15" s="1004" t="s">
        <v>683</v>
      </c>
      <c r="B15" s="1001"/>
      <c r="C15" s="1001"/>
      <c r="D15" s="1001"/>
      <c r="E15" s="1001"/>
      <c r="F15" s="1001"/>
      <c r="G15" s="1001"/>
      <c r="H15" s="1001"/>
    </row>
    <row r="16" spans="1:8" x14ac:dyDescent="0.2">
      <c r="A16" s="1004"/>
      <c r="B16" s="1001"/>
      <c r="C16" s="1001"/>
      <c r="D16" s="1001"/>
      <c r="E16" s="1001"/>
      <c r="F16" s="1001"/>
      <c r="G16" s="1001"/>
      <c r="H16" s="1001"/>
    </row>
    <row r="17" spans="1:8" x14ac:dyDescent="0.2">
      <c r="A17" s="1004" t="s">
        <v>670</v>
      </c>
      <c r="B17" s="1001"/>
      <c r="C17" s="1001"/>
      <c r="D17" s="1001"/>
      <c r="E17" s="1001"/>
      <c r="F17" s="1001"/>
      <c r="G17" s="1001"/>
      <c r="H17" s="1001"/>
    </row>
    <row r="18" spans="1:8" x14ac:dyDescent="0.2">
      <c r="A18" s="1004"/>
      <c r="B18" s="1001"/>
      <c r="C18" s="1001"/>
      <c r="D18" s="1001"/>
      <c r="E18" s="1001"/>
      <c r="F18" s="1001"/>
      <c r="G18" s="1001"/>
      <c r="H18" s="1001"/>
    </row>
    <row r="19" spans="1:8" x14ac:dyDescent="0.2">
      <c r="A19" s="1004" t="s">
        <v>671</v>
      </c>
      <c r="B19" s="1001"/>
      <c r="C19" s="1001"/>
      <c r="D19" s="1001"/>
      <c r="E19" s="1001"/>
      <c r="F19" s="1001"/>
      <c r="G19" s="1001"/>
      <c r="H19" s="1001"/>
    </row>
    <row r="20" spans="1:8" x14ac:dyDescent="0.2">
      <c r="A20" s="1000"/>
      <c r="B20" s="1001"/>
      <c r="C20" s="1001"/>
      <c r="D20" s="1001"/>
      <c r="E20" s="1001"/>
      <c r="F20" s="1001"/>
      <c r="G20" s="1001"/>
      <c r="H20" s="1001"/>
    </row>
    <row r="21" spans="1:8" x14ac:dyDescent="0.2">
      <c r="A21" s="1005" t="s">
        <v>672</v>
      </c>
      <c r="B21" s="1001"/>
      <c r="C21" s="1001"/>
      <c r="D21" s="1001"/>
      <c r="E21" s="1001"/>
      <c r="F21" s="1001"/>
      <c r="G21" s="1001"/>
      <c r="H21" s="1001"/>
    </row>
    <row r="22" spans="1:8" x14ac:dyDescent="0.2">
      <c r="A22" s="1006"/>
      <c r="B22" s="1006"/>
      <c r="C22" s="1006"/>
      <c r="D22" s="1006"/>
      <c r="E22" s="1006"/>
      <c r="F22" s="1006"/>
      <c r="G22" s="1006"/>
      <c r="H22" s="1006"/>
    </row>
    <row r="23" spans="1:8" x14ac:dyDescent="0.2">
      <c r="A23" s="1007" t="s">
        <v>968</v>
      </c>
      <c r="B23" s="1006"/>
      <c r="C23" s="1006"/>
      <c r="D23" s="1006"/>
      <c r="E23" s="1006"/>
      <c r="F23" s="1006"/>
      <c r="G23" s="1006"/>
      <c r="H23" s="1006"/>
    </row>
    <row r="24" spans="1:8" x14ac:dyDescent="0.2">
      <c r="A24" s="1007" t="s">
        <v>969</v>
      </c>
      <c r="B24" s="1006"/>
      <c r="C24" s="1006"/>
      <c r="D24" s="1006"/>
      <c r="E24" s="1006"/>
      <c r="F24" s="1006"/>
      <c r="G24" s="1006"/>
      <c r="H24" s="1006"/>
    </row>
    <row r="25" spans="1:8" x14ac:dyDescent="0.2">
      <c r="A25" s="1007" t="s">
        <v>970</v>
      </c>
      <c r="B25" s="1006"/>
      <c r="C25" s="1006"/>
      <c r="D25" s="1006"/>
      <c r="E25" s="1006"/>
      <c r="F25" s="1006"/>
      <c r="G25" s="1006"/>
      <c r="H25" s="1006"/>
    </row>
    <row r="26" spans="1:8" x14ac:dyDescent="0.2">
      <c r="A26" s="1007" t="s">
        <v>971</v>
      </c>
      <c r="B26" s="1006"/>
      <c r="C26" s="1006"/>
      <c r="D26" s="1006"/>
      <c r="E26" s="1006"/>
      <c r="F26" s="1006"/>
      <c r="G26" s="1006"/>
      <c r="H26" s="1006"/>
    </row>
    <row r="27" spans="1:8" x14ac:dyDescent="0.2">
      <c r="A27" s="1006"/>
      <c r="B27" s="1006"/>
      <c r="C27" s="1006"/>
      <c r="D27" s="1006"/>
      <c r="E27" s="1006"/>
      <c r="F27" s="1006"/>
      <c r="G27" s="1006"/>
      <c r="H27" s="1006"/>
    </row>
    <row r="28" spans="1:8" x14ac:dyDescent="0.2">
      <c r="A28" s="1006"/>
      <c r="B28" s="1006"/>
      <c r="C28" s="1006"/>
      <c r="D28" s="1006"/>
      <c r="E28" s="1006"/>
      <c r="F28" s="1006"/>
      <c r="G28" s="1006"/>
      <c r="H28" s="1006"/>
    </row>
    <row r="29" spans="1:8" x14ac:dyDescent="0.2">
      <c r="A29" s="1007" t="s">
        <v>963</v>
      </c>
      <c r="B29" s="1006"/>
      <c r="C29" s="1006"/>
      <c r="D29" s="1006"/>
      <c r="E29" s="1006"/>
      <c r="F29" s="1006"/>
      <c r="G29" s="1006"/>
      <c r="H29" s="1006"/>
    </row>
    <row r="30" spans="1:8" x14ac:dyDescent="0.2">
      <c r="A30" s="1007" t="s">
        <v>964</v>
      </c>
      <c r="B30" s="1006"/>
      <c r="C30" s="1006"/>
      <c r="D30" s="1006"/>
      <c r="E30" s="1006"/>
      <c r="F30" s="1006"/>
      <c r="G30" s="1006"/>
      <c r="H30" s="1006"/>
    </row>
    <row r="31" spans="1:8" x14ac:dyDescent="0.2">
      <c r="A31" s="1007" t="s">
        <v>965</v>
      </c>
      <c r="B31" s="1006"/>
      <c r="C31" s="1006"/>
      <c r="D31" s="1006"/>
      <c r="E31" s="1006"/>
      <c r="F31" s="1006"/>
      <c r="G31" s="1006"/>
      <c r="H31" s="1006"/>
    </row>
    <row r="32" spans="1:8" x14ac:dyDescent="0.2">
      <c r="A32" s="1007" t="s">
        <v>966</v>
      </c>
      <c r="B32" s="1006"/>
      <c r="C32" s="1006"/>
      <c r="D32" s="1006"/>
      <c r="E32" s="1006"/>
      <c r="F32" s="1006"/>
      <c r="G32" s="1006"/>
      <c r="H32" s="1006"/>
    </row>
    <row r="33" spans="1:8" x14ac:dyDescent="0.2">
      <c r="A33" s="1007" t="s">
        <v>967</v>
      </c>
      <c r="B33" s="1006"/>
      <c r="C33" s="1006"/>
      <c r="D33" s="1006"/>
      <c r="E33" s="1006"/>
      <c r="F33" s="1006"/>
      <c r="G33" s="1006"/>
      <c r="H33" s="1006"/>
    </row>
    <row r="34" spans="1:8" x14ac:dyDescent="0.2">
      <c r="A34" s="1006"/>
      <c r="B34" s="1006"/>
      <c r="C34" s="1006"/>
      <c r="D34" s="1006"/>
      <c r="E34" s="1006"/>
      <c r="F34" s="1006"/>
      <c r="G34" s="1006"/>
      <c r="H34" s="1006"/>
    </row>
    <row r="35" spans="1:8" x14ac:dyDescent="0.2">
      <c r="A35" s="1007" t="s">
        <v>959</v>
      </c>
      <c r="B35" s="1006"/>
      <c r="C35" s="1006"/>
      <c r="D35" s="1006"/>
      <c r="E35" s="1006"/>
      <c r="F35" s="1006"/>
      <c r="G35" s="1006"/>
      <c r="H35" s="1006"/>
    </row>
    <row r="36" spans="1:8" x14ac:dyDescent="0.2">
      <c r="A36" s="1007" t="s">
        <v>960</v>
      </c>
      <c r="B36" s="1006"/>
      <c r="C36" s="1006"/>
      <c r="D36" s="1006"/>
      <c r="E36" s="1006"/>
      <c r="F36" s="1006"/>
      <c r="G36" s="1006"/>
      <c r="H36" s="1006"/>
    </row>
    <row r="37" spans="1:8" x14ac:dyDescent="0.2">
      <c r="A37" s="1007" t="s">
        <v>961</v>
      </c>
      <c r="B37" s="1006"/>
      <c r="C37" s="1006"/>
      <c r="D37" s="1006"/>
      <c r="E37" s="1006"/>
      <c r="F37" s="1006"/>
      <c r="G37" s="1006"/>
      <c r="H37" s="1006"/>
    </row>
    <row r="38" spans="1:8" x14ac:dyDescent="0.2">
      <c r="A38" s="1007" t="s">
        <v>962</v>
      </c>
      <c r="B38" s="1006"/>
      <c r="C38" s="1006"/>
      <c r="D38" s="1006"/>
      <c r="E38" s="1006"/>
      <c r="F38" s="1006"/>
      <c r="G38" s="1006"/>
      <c r="H38" s="1006"/>
    </row>
    <row r="39" spans="1:8" x14ac:dyDescent="0.2">
      <c r="A39" s="1006"/>
      <c r="B39" s="1006"/>
      <c r="C39" s="1006"/>
      <c r="D39" s="1006"/>
      <c r="E39" s="1006"/>
      <c r="F39" s="1006"/>
      <c r="G39" s="1006"/>
      <c r="H39" s="1006"/>
    </row>
    <row r="40" spans="1:8" x14ac:dyDescent="0.2">
      <c r="A40" s="1007" t="s">
        <v>953</v>
      </c>
      <c r="B40" s="1006"/>
      <c r="C40" s="1006"/>
      <c r="D40" s="1006"/>
      <c r="E40" s="1006"/>
      <c r="F40" s="1006"/>
      <c r="G40" s="1006"/>
      <c r="H40" s="1006"/>
    </row>
    <row r="41" spans="1:8" x14ac:dyDescent="0.2">
      <c r="A41" s="1007" t="s">
        <v>954</v>
      </c>
      <c r="B41" s="1006"/>
      <c r="C41" s="1006"/>
      <c r="D41" s="1006"/>
      <c r="E41" s="1006"/>
      <c r="F41" s="1006"/>
      <c r="G41" s="1006"/>
      <c r="H41" s="1006"/>
    </row>
    <row r="42" spans="1:8" x14ac:dyDescent="0.2">
      <c r="A42" s="1007" t="s">
        <v>955</v>
      </c>
      <c r="B42" s="1006"/>
      <c r="C42" s="1006"/>
      <c r="D42" s="1006"/>
      <c r="E42" s="1006"/>
      <c r="F42" s="1006"/>
      <c r="G42" s="1006"/>
      <c r="H42" s="1006"/>
    </row>
    <row r="43" spans="1:8" x14ac:dyDescent="0.2">
      <c r="A43" s="1007" t="s">
        <v>956</v>
      </c>
      <c r="B43" s="1006"/>
      <c r="C43" s="1006"/>
      <c r="D43" s="1006"/>
      <c r="E43" s="1006"/>
      <c r="F43" s="1006"/>
      <c r="G43" s="1006"/>
      <c r="H43" s="1006"/>
    </row>
    <row r="44" spans="1:8" x14ac:dyDescent="0.2">
      <c r="A44" s="1007" t="s">
        <v>957</v>
      </c>
      <c r="B44" s="1006"/>
      <c r="C44" s="1006"/>
      <c r="D44" s="1006"/>
      <c r="E44" s="1006"/>
      <c r="F44" s="1006"/>
      <c r="G44" s="1006"/>
      <c r="H44" s="1006"/>
    </row>
    <row r="45" spans="1:8" x14ac:dyDescent="0.2">
      <c r="A45" s="1007" t="s">
        <v>958</v>
      </c>
      <c r="B45" s="1006"/>
      <c r="C45" s="1006"/>
      <c r="D45" s="1006"/>
      <c r="E45" s="1006"/>
      <c r="F45" s="1006"/>
      <c r="G45" s="1006"/>
      <c r="H45" s="1006"/>
    </row>
    <row r="46" spans="1:8" x14ac:dyDescent="0.2">
      <c r="A46" s="1006"/>
      <c r="B46" s="1006"/>
      <c r="C46" s="1006"/>
      <c r="D46" s="1006"/>
      <c r="E46" s="1006"/>
      <c r="F46" s="1006"/>
      <c r="G46" s="1006"/>
      <c r="H46" s="1006"/>
    </row>
    <row r="47" spans="1:8" ht="15.75" x14ac:dyDescent="0.2">
      <c r="A47" s="1008" t="s">
        <v>684</v>
      </c>
      <c r="B47" s="1006"/>
      <c r="C47" s="1006"/>
      <c r="D47" s="1006"/>
      <c r="E47" s="1006"/>
      <c r="F47" s="1006"/>
      <c r="G47" s="1006"/>
      <c r="H47" s="1006"/>
    </row>
    <row r="48" spans="1:8" x14ac:dyDescent="0.2">
      <c r="A48" s="1006"/>
      <c r="B48" s="1006"/>
      <c r="C48" s="1006"/>
      <c r="D48" s="1006"/>
      <c r="E48" s="1006"/>
      <c r="F48" s="1006"/>
      <c r="G48" s="1006"/>
      <c r="H48" s="1006"/>
    </row>
    <row r="49" spans="1:8" x14ac:dyDescent="0.2">
      <c r="A49" s="1007" t="s">
        <v>949</v>
      </c>
      <c r="B49" s="1006"/>
      <c r="C49" s="1006"/>
      <c r="D49" s="1006"/>
      <c r="E49" s="1006"/>
      <c r="F49" s="1006"/>
      <c r="G49" s="1006"/>
      <c r="H49" s="1006"/>
    </row>
    <row r="50" spans="1:8" x14ac:dyDescent="0.2">
      <c r="A50" s="1007" t="s">
        <v>950</v>
      </c>
      <c r="B50" s="1006"/>
      <c r="C50" s="1006"/>
      <c r="D50" s="1006"/>
      <c r="E50" s="1006"/>
      <c r="F50" s="1006"/>
      <c r="G50" s="1006"/>
      <c r="H50" s="1006"/>
    </row>
    <row r="51" spans="1:8" x14ac:dyDescent="0.2">
      <c r="A51" s="1007" t="s">
        <v>951</v>
      </c>
      <c r="B51" s="1006"/>
      <c r="C51" s="1006"/>
      <c r="D51" s="1006"/>
      <c r="E51" s="1006"/>
      <c r="F51" s="1006"/>
      <c r="G51" s="1006"/>
      <c r="H51" s="1006"/>
    </row>
    <row r="52" spans="1:8" x14ac:dyDescent="0.2">
      <c r="A52" s="1007" t="s">
        <v>952</v>
      </c>
      <c r="B52" s="1006"/>
      <c r="C52" s="1006"/>
      <c r="D52" s="1006"/>
      <c r="E52" s="1006"/>
      <c r="F52" s="1006"/>
      <c r="G52" s="1006"/>
      <c r="H52" s="1006"/>
    </row>
    <row r="53" spans="1:8" x14ac:dyDescent="0.2">
      <c r="A53" s="1006"/>
      <c r="B53" s="1006"/>
      <c r="C53" s="1006"/>
      <c r="D53" s="1006"/>
      <c r="E53" s="1006"/>
      <c r="F53" s="1006"/>
      <c r="G53" s="1006"/>
      <c r="H53" s="1006"/>
    </row>
    <row r="54" spans="1:8" x14ac:dyDescent="0.2">
      <c r="A54" s="1007" t="s">
        <v>685</v>
      </c>
      <c r="B54" s="1006"/>
      <c r="C54" s="1006"/>
      <c r="D54" s="1006"/>
      <c r="E54" s="1006"/>
      <c r="F54" s="1006"/>
      <c r="G54" s="1006"/>
      <c r="H54" s="1006"/>
    </row>
    <row r="55" spans="1:8" x14ac:dyDescent="0.2">
      <c r="A55" s="1006"/>
      <c r="B55" s="1006"/>
      <c r="C55" s="1006"/>
      <c r="D55" s="1006"/>
      <c r="E55" s="1006"/>
      <c r="F55" s="1006"/>
      <c r="G55" s="1006"/>
      <c r="H55" s="1006"/>
    </row>
    <row r="56" spans="1:8" ht="15.75" x14ac:dyDescent="0.2">
      <c r="A56" s="1008" t="s">
        <v>686</v>
      </c>
      <c r="B56" s="1006"/>
      <c r="C56" s="1006"/>
      <c r="D56" s="1006"/>
      <c r="E56" s="1006"/>
      <c r="F56" s="1006"/>
      <c r="G56" s="1006"/>
      <c r="H56" s="1006"/>
    </row>
    <row r="57" spans="1:8" x14ac:dyDescent="0.2">
      <c r="A57" s="1006"/>
      <c r="B57" s="1006"/>
      <c r="C57" s="1006"/>
      <c r="D57" s="1006"/>
      <c r="E57" s="1006"/>
      <c r="F57" s="1006"/>
      <c r="G57" s="1006"/>
      <c r="H57" s="1006"/>
    </row>
    <row r="58" spans="1:8" x14ac:dyDescent="0.2">
      <c r="A58" s="1007" t="s">
        <v>947</v>
      </c>
      <c r="B58" s="1006"/>
      <c r="C58" s="1006"/>
      <c r="D58" s="1006"/>
      <c r="E58" s="1006"/>
      <c r="F58" s="1006"/>
      <c r="G58" s="1006"/>
      <c r="H58" s="1006"/>
    </row>
    <row r="59" spans="1:8" x14ac:dyDescent="0.2">
      <c r="A59" s="1007" t="s">
        <v>948</v>
      </c>
      <c r="B59" s="1006"/>
      <c r="C59" s="1006"/>
      <c r="D59" s="1006"/>
      <c r="E59" s="1006"/>
      <c r="F59" s="1006"/>
      <c r="G59" s="1006"/>
      <c r="H59" s="1006"/>
    </row>
    <row r="60" spans="1:8" x14ac:dyDescent="0.2">
      <c r="A60" s="1006"/>
      <c r="B60" s="1006"/>
      <c r="C60" s="1006"/>
      <c r="D60" s="1006"/>
      <c r="E60" s="1006"/>
      <c r="F60" s="1006"/>
      <c r="G60" s="1006"/>
      <c r="H60" s="1006"/>
    </row>
    <row r="61" spans="1:8" ht="15.75" x14ac:dyDescent="0.2">
      <c r="A61" s="1008" t="s">
        <v>687</v>
      </c>
      <c r="B61" s="1006"/>
      <c r="C61" s="1006"/>
      <c r="D61" s="1006"/>
      <c r="E61" s="1006"/>
      <c r="F61" s="1006"/>
      <c r="G61" s="1006"/>
      <c r="H61" s="1006"/>
    </row>
    <row r="62" spans="1:8" x14ac:dyDescent="0.2">
      <c r="A62" s="1006"/>
      <c r="B62" s="1006"/>
      <c r="C62" s="1006"/>
      <c r="D62" s="1006"/>
      <c r="E62" s="1006"/>
      <c r="F62" s="1006"/>
      <c r="G62" s="1006"/>
      <c r="H62" s="1006"/>
    </row>
    <row r="63" spans="1:8" x14ac:dyDescent="0.2">
      <c r="A63" s="1007" t="s">
        <v>945</v>
      </c>
      <c r="B63" s="1006"/>
      <c r="C63" s="1006"/>
      <c r="D63" s="1006"/>
      <c r="E63" s="1006"/>
      <c r="F63" s="1006"/>
      <c r="G63" s="1006"/>
      <c r="H63" s="1006"/>
    </row>
    <row r="64" spans="1:8" x14ac:dyDescent="0.2">
      <c r="A64" s="1007" t="s">
        <v>946</v>
      </c>
      <c r="B64" s="1006"/>
      <c r="C64" s="1006"/>
      <c r="D64" s="1006"/>
      <c r="E64" s="1006"/>
      <c r="F64" s="1006"/>
      <c r="G64" s="1006"/>
      <c r="H64" s="1006"/>
    </row>
    <row r="65" spans="1:8" x14ac:dyDescent="0.2">
      <c r="A65" s="1006"/>
      <c r="B65" s="1006"/>
      <c r="C65" s="1006"/>
      <c r="D65" s="1006"/>
      <c r="E65" s="1006"/>
      <c r="F65" s="1006"/>
      <c r="G65" s="1006"/>
      <c r="H65" s="1006"/>
    </row>
    <row r="66" spans="1:8" x14ac:dyDescent="0.2">
      <c r="A66" s="1007" t="s">
        <v>943</v>
      </c>
      <c r="B66" s="1006"/>
      <c r="C66" s="1006"/>
      <c r="D66" s="1006"/>
      <c r="E66" s="1006"/>
      <c r="F66" s="1006"/>
      <c r="G66" s="1006"/>
      <c r="H66" s="1006"/>
    </row>
    <row r="67" spans="1:8" x14ac:dyDescent="0.2">
      <c r="A67" s="1007" t="s">
        <v>944</v>
      </c>
      <c r="B67" s="1006"/>
      <c r="C67" s="1006"/>
      <c r="D67" s="1006"/>
      <c r="E67" s="1006"/>
      <c r="F67" s="1006"/>
      <c r="G67" s="1006"/>
      <c r="H67" s="1006"/>
    </row>
    <row r="68" spans="1:8" x14ac:dyDescent="0.2">
      <c r="A68" s="1006"/>
      <c r="B68" s="1006"/>
      <c r="C68" s="1006"/>
      <c r="D68" s="1006"/>
      <c r="E68" s="1006"/>
      <c r="F68" s="1006"/>
      <c r="G68" s="1006"/>
      <c r="H68" s="1006"/>
    </row>
    <row r="69" spans="1:8" x14ac:dyDescent="0.2">
      <c r="A69" s="1007" t="s">
        <v>941</v>
      </c>
      <c r="B69" s="1006"/>
      <c r="C69" s="1006"/>
      <c r="D69" s="1006"/>
      <c r="E69" s="1006"/>
      <c r="F69" s="1006"/>
      <c r="G69" s="1006"/>
      <c r="H69" s="1006"/>
    </row>
    <row r="70" spans="1:8" x14ac:dyDescent="0.2">
      <c r="A70" s="1007" t="s">
        <v>942</v>
      </c>
      <c r="B70" s="1006"/>
      <c r="C70" s="1006"/>
      <c r="D70" s="1006"/>
      <c r="E70" s="1006"/>
      <c r="F70" s="1006"/>
      <c r="G70" s="1006"/>
      <c r="H70" s="1006"/>
    </row>
    <row r="71" spans="1:8" x14ac:dyDescent="0.2">
      <c r="A71" s="1006"/>
      <c r="B71" s="1006"/>
      <c r="C71" s="1006"/>
      <c r="D71" s="1006"/>
      <c r="E71" s="1006"/>
      <c r="F71" s="1006"/>
      <c r="G71" s="1006"/>
      <c r="H71" s="1006"/>
    </row>
    <row r="72" spans="1:8" x14ac:dyDescent="0.2">
      <c r="A72" s="1007" t="s">
        <v>939</v>
      </c>
      <c r="B72" s="1006"/>
      <c r="C72" s="1006"/>
      <c r="D72" s="1006"/>
      <c r="E72" s="1006"/>
      <c r="F72" s="1006"/>
      <c r="G72" s="1006"/>
      <c r="H72" s="1006"/>
    </row>
    <row r="73" spans="1:8" x14ac:dyDescent="0.2">
      <c r="A73" s="1007" t="s">
        <v>940</v>
      </c>
      <c r="B73" s="1006"/>
      <c r="C73" s="1006"/>
      <c r="D73" s="1006"/>
      <c r="E73" s="1006"/>
      <c r="F73" s="1006"/>
      <c r="G73" s="1006"/>
      <c r="H73" s="1006"/>
    </row>
    <row r="74" spans="1:8" x14ac:dyDescent="0.2">
      <c r="A74" s="1006"/>
      <c r="B74" s="1006"/>
      <c r="C74" s="1006"/>
      <c r="D74" s="1006"/>
      <c r="E74" s="1006"/>
      <c r="F74" s="1006"/>
      <c r="G74" s="1006"/>
      <c r="H74" s="1006"/>
    </row>
    <row r="75" spans="1:8" x14ac:dyDescent="0.2">
      <c r="A75" s="1007" t="s">
        <v>937</v>
      </c>
      <c r="B75" s="1006"/>
      <c r="C75" s="1006"/>
      <c r="D75" s="1006"/>
      <c r="E75" s="1006"/>
      <c r="F75" s="1006"/>
      <c r="G75" s="1006"/>
      <c r="H75" s="1006"/>
    </row>
    <row r="76" spans="1:8" x14ac:dyDescent="0.2">
      <c r="A76" s="1007" t="s">
        <v>938</v>
      </c>
      <c r="B76" s="1006"/>
      <c r="C76" s="1006"/>
      <c r="D76" s="1006"/>
      <c r="E76" s="1006"/>
      <c r="F76" s="1006"/>
      <c r="G76" s="1006"/>
      <c r="H76" s="1006"/>
    </row>
    <row r="77" spans="1:8" x14ac:dyDescent="0.2">
      <c r="A77" s="1006"/>
      <c r="B77" s="1006"/>
      <c r="C77" s="1006"/>
      <c r="D77" s="1006"/>
      <c r="E77" s="1006"/>
      <c r="F77" s="1006"/>
      <c r="G77" s="1006"/>
      <c r="H77" s="1006"/>
    </row>
    <row r="78" spans="1:8" x14ac:dyDescent="0.2">
      <c r="A78" s="1007" t="s">
        <v>935</v>
      </c>
      <c r="B78" s="1006"/>
      <c r="C78" s="1006"/>
      <c r="D78" s="1006"/>
      <c r="E78" s="1006"/>
      <c r="F78" s="1006"/>
      <c r="G78" s="1006"/>
      <c r="H78" s="1006"/>
    </row>
    <row r="79" spans="1:8" x14ac:dyDescent="0.2">
      <c r="A79" s="1007" t="s">
        <v>936</v>
      </c>
      <c r="B79" s="1006"/>
      <c r="C79" s="1006"/>
      <c r="D79" s="1006"/>
      <c r="E79" s="1006"/>
      <c r="F79" s="1006"/>
      <c r="G79" s="1006"/>
      <c r="H79" s="1006"/>
    </row>
    <row r="80" spans="1:8" x14ac:dyDescent="0.2">
      <c r="A80" s="1006"/>
      <c r="B80" s="1006"/>
      <c r="C80" s="1006"/>
      <c r="D80" s="1006"/>
      <c r="E80" s="1006"/>
      <c r="F80" s="1006"/>
      <c r="G80" s="1006"/>
      <c r="H80" s="1006"/>
    </row>
    <row r="81" spans="1:8" x14ac:dyDescent="0.2">
      <c r="A81" s="1007" t="s">
        <v>932</v>
      </c>
      <c r="B81" s="1006"/>
      <c r="C81" s="1006"/>
      <c r="D81" s="1006"/>
      <c r="E81" s="1006"/>
      <c r="F81" s="1006"/>
      <c r="G81" s="1006"/>
      <c r="H81" s="1006"/>
    </row>
    <row r="82" spans="1:8" x14ac:dyDescent="0.2">
      <c r="A82" s="1007" t="s">
        <v>933</v>
      </c>
      <c r="B82" s="1006"/>
      <c r="C82" s="1006"/>
      <c r="D82" s="1006"/>
      <c r="E82" s="1006"/>
      <c r="F82" s="1006"/>
      <c r="G82" s="1006"/>
      <c r="H82" s="1006"/>
    </row>
    <row r="83" spans="1:8" x14ac:dyDescent="0.2">
      <c r="A83" s="1007" t="s">
        <v>934</v>
      </c>
      <c r="B83" s="1006"/>
      <c r="C83" s="1006"/>
      <c r="D83" s="1006"/>
      <c r="E83" s="1006"/>
      <c r="F83" s="1006"/>
      <c r="G83" s="1006"/>
      <c r="H83" s="1006"/>
    </row>
    <row r="84" spans="1:8" x14ac:dyDescent="0.2">
      <c r="A84" s="1006"/>
      <c r="B84" s="1006"/>
      <c r="C84" s="1006"/>
      <c r="D84" s="1006"/>
      <c r="E84" s="1006"/>
      <c r="F84" s="1006"/>
      <c r="G84" s="1006"/>
      <c r="H84" s="1006"/>
    </row>
    <row r="85" spans="1:8" x14ac:dyDescent="0.2">
      <c r="A85" s="1007" t="s">
        <v>688</v>
      </c>
      <c r="B85" s="1006"/>
      <c r="C85" s="1006"/>
      <c r="D85" s="1006"/>
      <c r="E85" s="1006"/>
      <c r="F85" s="1006"/>
      <c r="G85" s="1006"/>
      <c r="H85" s="1006"/>
    </row>
    <row r="86" spans="1:8" x14ac:dyDescent="0.2">
      <c r="A86" s="1006"/>
      <c r="B86" s="1006"/>
      <c r="C86" s="1006"/>
      <c r="D86" s="1006"/>
      <c r="E86" s="1006"/>
      <c r="F86" s="1006"/>
      <c r="G86" s="1006"/>
      <c r="H86" s="1006"/>
    </row>
    <row r="87" spans="1:8" x14ac:dyDescent="0.2">
      <c r="A87" s="1007" t="s">
        <v>927</v>
      </c>
      <c r="B87" s="1006"/>
      <c r="C87" s="1006"/>
      <c r="D87" s="1006"/>
      <c r="E87" s="1006"/>
      <c r="F87" s="1006"/>
      <c r="G87" s="1006"/>
      <c r="H87" s="1006"/>
    </row>
    <row r="88" spans="1:8" x14ac:dyDescent="0.2">
      <c r="A88" s="1007" t="s">
        <v>928</v>
      </c>
      <c r="B88" s="1006"/>
      <c r="C88" s="1006"/>
      <c r="D88" s="1006"/>
      <c r="E88" s="1006"/>
      <c r="F88" s="1006"/>
      <c r="G88" s="1006"/>
      <c r="H88" s="1006"/>
    </row>
    <row r="89" spans="1:8" x14ac:dyDescent="0.2">
      <c r="A89" s="1007" t="s">
        <v>929</v>
      </c>
      <c r="B89" s="1006"/>
      <c r="C89" s="1006"/>
      <c r="D89" s="1006"/>
      <c r="E89" s="1006"/>
      <c r="F89" s="1006"/>
      <c r="G89" s="1006"/>
      <c r="H89" s="1006"/>
    </row>
    <row r="90" spans="1:8" x14ac:dyDescent="0.2">
      <c r="A90" s="1007" t="s">
        <v>930</v>
      </c>
      <c r="B90" s="1006"/>
      <c r="C90" s="1006"/>
      <c r="D90" s="1006"/>
      <c r="E90" s="1006"/>
      <c r="F90" s="1006"/>
      <c r="G90" s="1006"/>
      <c r="H90" s="1006"/>
    </row>
    <row r="91" spans="1:8" x14ac:dyDescent="0.2">
      <c r="A91" s="1007" t="s">
        <v>931</v>
      </c>
      <c r="B91" s="1006"/>
      <c r="C91" s="1006"/>
      <c r="D91" s="1006"/>
      <c r="E91" s="1006"/>
      <c r="F91" s="1006"/>
      <c r="G91" s="1006"/>
      <c r="H91" s="1006"/>
    </row>
    <row r="92" spans="1:8" x14ac:dyDescent="0.2">
      <c r="A92" s="1007" t="s">
        <v>814</v>
      </c>
      <c r="B92" s="1006"/>
      <c r="C92" s="1006"/>
      <c r="D92" s="1006"/>
      <c r="E92" s="1006"/>
      <c r="F92" s="1006"/>
      <c r="G92" s="1006"/>
      <c r="H92" s="1006"/>
    </row>
    <row r="93" spans="1:8" x14ac:dyDescent="0.2">
      <c r="A93" s="1006"/>
      <c r="B93" s="1006"/>
      <c r="C93" s="1006"/>
      <c r="D93" s="1006"/>
      <c r="E93" s="1006"/>
      <c r="F93" s="1006"/>
      <c r="G93" s="1006"/>
      <c r="H93" s="1006"/>
    </row>
    <row r="94" spans="1:8" x14ac:dyDescent="0.2">
      <c r="A94" s="1007" t="s">
        <v>920</v>
      </c>
      <c r="B94" s="1006"/>
      <c r="C94" s="1006"/>
      <c r="D94" s="1006"/>
      <c r="E94" s="1006"/>
      <c r="F94" s="1006"/>
      <c r="G94" s="1006"/>
      <c r="H94" s="1006"/>
    </row>
    <row r="95" spans="1:8" x14ac:dyDescent="0.2">
      <c r="A95" s="1007" t="s">
        <v>921</v>
      </c>
      <c r="B95" s="1006"/>
      <c r="C95" s="1006"/>
      <c r="D95" s="1006"/>
      <c r="E95" s="1006"/>
      <c r="F95" s="1006"/>
      <c r="G95" s="1006"/>
      <c r="H95" s="1006"/>
    </row>
    <row r="96" spans="1:8" x14ac:dyDescent="0.2">
      <c r="A96" s="1007" t="s">
        <v>922</v>
      </c>
      <c r="B96" s="1006"/>
      <c r="C96" s="1006"/>
      <c r="D96" s="1006"/>
      <c r="E96" s="1006"/>
      <c r="F96" s="1006"/>
      <c r="G96" s="1006"/>
      <c r="H96" s="1006"/>
    </row>
    <row r="97" spans="1:8" x14ac:dyDescent="0.2">
      <c r="A97" s="1007" t="s">
        <v>923</v>
      </c>
      <c r="B97" s="1006"/>
      <c r="C97" s="1006"/>
      <c r="D97" s="1006"/>
      <c r="E97" s="1006"/>
      <c r="F97" s="1006"/>
      <c r="G97" s="1006"/>
      <c r="H97" s="1006"/>
    </row>
    <row r="98" spans="1:8" x14ac:dyDescent="0.2">
      <c r="A98" s="1007" t="s">
        <v>924</v>
      </c>
      <c r="B98" s="1006"/>
      <c r="C98" s="1006"/>
      <c r="D98" s="1006"/>
      <c r="E98" s="1006"/>
      <c r="F98" s="1006"/>
      <c r="G98" s="1006"/>
      <c r="H98" s="1006"/>
    </row>
    <row r="99" spans="1:8" x14ac:dyDescent="0.2">
      <c r="A99" s="1007" t="s">
        <v>925</v>
      </c>
      <c r="B99" s="1006"/>
      <c r="C99" s="1006"/>
      <c r="D99" s="1006"/>
      <c r="E99" s="1006"/>
      <c r="F99" s="1006"/>
      <c r="G99" s="1006"/>
      <c r="H99" s="1006"/>
    </row>
    <row r="100" spans="1:8" x14ac:dyDescent="0.2">
      <c r="A100" s="1007" t="s">
        <v>926</v>
      </c>
      <c r="B100" s="1006"/>
      <c r="C100" s="1006"/>
      <c r="D100" s="1006"/>
      <c r="E100" s="1006"/>
      <c r="F100" s="1006"/>
      <c r="G100" s="1006"/>
      <c r="H100" s="1006"/>
    </row>
    <row r="101" spans="1:8" x14ac:dyDescent="0.2">
      <c r="A101" s="1006"/>
      <c r="B101" s="1006"/>
      <c r="C101" s="1006"/>
      <c r="D101" s="1006"/>
      <c r="E101" s="1006"/>
      <c r="F101" s="1006"/>
      <c r="G101" s="1006"/>
      <c r="H101" s="1006"/>
    </row>
    <row r="102" spans="1:8" x14ac:dyDescent="0.2">
      <c r="A102" s="1007" t="s">
        <v>918</v>
      </c>
      <c r="B102" s="1006"/>
      <c r="C102" s="1006"/>
      <c r="D102" s="1006"/>
      <c r="E102" s="1006"/>
      <c r="F102" s="1006"/>
      <c r="G102" s="1006"/>
      <c r="H102" s="1006"/>
    </row>
    <row r="103" spans="1:8" x14ac:dyDescent="0.2">
      <c r="A103" s="1007" t="s">
        <v>919</v>
      </c>
      <c r="B103" s="1006"/>
      <c r="C103" s="1006"/>
      <c r="D103" s="1006"/>
      <c r="E103" s="1006"/>
      <c r="F103" s="1006"/>
      <c r="G103" s="1006"/>
      <c r="H103" s="1006"/>
    </row>
    <row r="104" spans="1:8" x14ac:dyDescent="0.2">
      <c r="A104" s="1006"/>
      <c r="B104" s="1006"/>
      <c r="C104" s="1006"/>
      <c r="D104" s="1006"/>
      <c r="E104" s="1006"/>
      <c r="F104" s="1006"/>
      <c r="G104" s="1006"/>
      <c r="H104" s="1006"/>
    </row>
    <row r="105" spans="1:8" ht="15.75" x14ac:dyDescent="0.2">
      <c r="A105" s="1008" t="s">
        <v>689</v>
      </c>
      <c r="B105" s="1006"/>
      <c r="C105" s="1006"/>
      <c r="D105" s="1006"/>
      <c r="E105" s="1006"/>
      <c r="F105" s="1006"/>
      <c r="G105" s="1006"/>
      <c r="H105" s="1006"/>
    </row>
    <row r="106" spans="1:8" x14ac:dyDescent="0.2">
      <c r="A106" s="1006"/>
      <c r="B106" s="1006"/>
      <c r="C106" s="1006"/>
      <c r="D106" s="1006"/>
      <c r="E106" s="1006"/>
      <c r="F106" s="1006"/>
      <c r="G106" s="1006"/>
      <c r="H106" s="1006"/>
    </row>
    <row r="107" spans="1:8" x14ac:dyDescent="0.2">
      <c r="A107" s="1007" t="s">
        <v>909</v>
      </c>
      <c r="B107" s="1006"/>
      <c r="C107" s="1006"/>
      <c r="D107" s="1006"/>
      <c r="E107" s="1006"/>
      <c r="F107" s="1006"/>
      <c r="G107" s="1006"/>
      <c r="H107" s="1006"/>
    </row>
    <row r="108" spans="1:8" x14ac:dyDescent="0.2">
      <c r="A108" s="1007" t="s">
        <v>910</v>
      </c>
      <c r="B108" s="1006"/>
      <c r="C108" s="1006"/>
      <c r="D108" s="1006"/>
      <c r="E108" s="1006"/>
      <c r="F108" s="1006"/>
      <c r="G108" s="1006"/>
      <c r="H108" s="1006"/>
    </row>
    <row r="109" spans="1:8" x14ac:dyDescent="0.2">
      <c r="A109" s="1007" t="s">
        <v>911</v>
      </c>
      <c r="B109" s="1006"/>
      <c r="C109" s="1006"/>
      <c r="D109" s="1006"/>
      <c r="E109" s="1006"/>
      <c r="F109" s="1006"/>
      <c r="G109" s="1006"/>
      <c r="H109" s="1006"/>
    </row>
    <row r="110" spans="1:8" x14ac:dyDescent="0.2">
      <c r="A110" s="1007" t="s">
        <v>912</v>
      </c>
      <c r="B110" s="1006"/>
      <c r="C110" s="1006"/>
      <c r="D110" s="1006"/>
      <c r="E110" s="1006"/>
      <c r="F110" s="1006"/>
      <c r="G110" s="1006"/>
      <c r="H110" s="1006"/>
    </row>
    <row r="111" spans="1:8" x14ac:dyDescent="0.2">
      <c r="A111" s="1007" t="s">
        <v>913</v>
      </c>
      <c r="B111" s="1006"/>
      <c r="C111" s="1006"/>
      <c r="D111" s="1006"/>
      <c r="E111" s="1006"/>
      <c r="F111" s="1006"/>
      <c r="G111" s="1006"/>
      <c r="H111" s="1006"/>
    </row>
    <row r="112" spans="1:8" x14ac:dyDescent="0.2">
      <c r="A112" s="1007" t="s">
        <v>914</v>
      </c>
      <c r="B112" s="1006"/>
      <c r="C112" s="1006"/>
      <c r="D112" s="1006"/>
      <c r="E112" s="1006"/>
      <c r="F112" s="1006"/>
      <c r="G112" s="1006"/>
      <c r="H112" s="1006"/>
    </row>
    <row r="113" spans="1:8" x14ac:dyDescent="0.2">
      <c r="A113" s="1007" t="s">
        <v>915</v>
      </c>
      <c r="B113" s="1006"/>
      <c r="C113" s="1006"/>
      <c r="D113" s="1006"/>
      <c r="E113" s="1006"/>
      <c r="F113" s="1006"/>
      <c r="G113" s="1006"/>
      <c r="H113" s="1006"/>
    </row>
    <row r="114" spans="1:8" x14ac:dyDescent="0.2">
      <c r="A114" s="1007" t="s">
        <v>916</v>
      </c>
      <c r="B114" s="1006"/>
      <c r="C114" s="1006"/>
      <c r="D114" s="1006"/>
      <c r="E114" s="1006"/>
      <c r="F114" s="1006"/>
      <c r="G114" s="1006"/>
      <c r="H114" s="1006"/>
    </row>
    <row r="115" spans="1:8" x14ac:dyDescent="0.2">
      <c r="A115" s="1007" t="s">
        <v>917</v>
      </c>
      <c r="B115" s="1006"/>
      <c r="C115" s="1006"/>
      <c r="D115" s="1006"/>
      <c r="E115" s="1006"/>
      <c r="F115" s="1006"/>
      <c r="G115" s="1006"/>
      <c r="H115" s="1006"/>
    </row>
    <row r="116" spans="1:8" x14ac:dyDescent="0.2">
      <c r="A116" s="1006"/>
      <c r="B116" s="1006"/>
      <c r="C116" s="1006"/>
      <c r="D116" s="1006"/>
      <c r="E116" s="1006"/>
      <c r="F116" s="1006"/>
      <c r="G116" s="1006"/>
      <c r="H116" s="1006"/>
    </row>
    <row r="117" spans="1:8" ht="15.75" x14ac:dyDescent="0.2">
      <c r="A117" s="1009" t="s">
        <v>690</v>
      </c>
      <c r="B117" s="1009"/>
      <c r="C117" s="1009"/>
      <c r="D117" s="1009"/>
      <c r="E117" s="1009"/>
      <c r="F117" s="1009"/>
      <c r="G117" s="1009"/>
      <c r="H117" s="1009"/>
    </row>
    <row r="118" spans="1:8" x14ac:dyDescent="0.2">
      <c r="A118" s="1010" t="s">
        <v>691</v>
      </c>
      <c r="B118" s="1010"/>
      <c r="C118" s="1010"/>
      <c r="D118" s="1010"/>
      <c r="E118" s="1010"/>
      <c r="F118" s="1010"/>
      <c r="G118" s="1010"/>
      <c r="H118" s="1010"/>
    </row>
    <row r="119" spans="1:8" x14ac:dyDescent="0.2">
      <c r="A119" s="1011"/>
      <c r="B119" s="1011"/>
      <c r="C119" s="1011"/>
      <c r="D119" s="1011"/>
      <c r="E119" s="1011"/>
      <c r="F119" s="1011"/>
      <c r="G119" s="1011"/>
      <c r="H119" s="1011"/>
    </row>
    <row r="120" spans="1:8" x14ac:dyDescent="0.2">
      <c r="A120" s="1010" t="s">
        <v>907</v>
      </c>
      <c r="B120" s="1010"/>
      <c r="C120" s="1010"/>
      <c r="D120" s="1010"/>
      <c r="E120" s="1010"/>
      <c r="F120" s="1010"/>
      <c r="G120" s="1010"/>
      <c r="H120" s="1010"/>
    </row>
    <row r="121" spans="1:8" x14ac:dyDescent="0.2">
      <c r="A121" s="1007" t="s">
        <v>908</v>
      </c>
      <c r="B121" s="1007"/>
      <c r="C121" s="1007"/>
      <c r="D121" s="1007"/>
      <c r="E121" s="1007"/>
      <c r="F121" s="1007"/>
      <c r="G121" s="1007"/>
      <c r="H121" s="1007"/>
    </row>
    <row r="122" spans="1:8" x14ac:dyDescent="0.2">
      <c r="A122" s="1011"/>
      <c r="B122" s="1011"/>
      <c r="C122" s="1011"/>
      <c r="D122" s="1011"/>
      <c r="E122" s="1011"/>
      <c r="F122" s="1011"/>
      <c r="G122" s="1011"/>
      <c r="H122" s="1011"/>
    </row>
    <row r="123" spans="1:8" x14ac:dyDescent="0.2">
      <c r="A123" s="1010" t="s">
        <v>900</v>
      </c>
      <c r="B123" s="1010"/>
      <c r="C123" s="1010"/>
      <c r="D123" s="1010"/>
      <c r="E123" s="1010"/>
      <c r="F123" s="1010"/>
      <c r="G123" s="1010"/>
      <c r="H123" s="1010"/>
    </row>
    <row r="124" spans="1:8" x14ac:dyDescent="0.2">
      <c r="A124" s="1007" t="s">
        <v>901</v>
      </c>
      <c r="B124" s="1007"/>
      <c r="C124" s="1007"/>
      <c r="D124" s="1007"/>
      <c r="E124" s="1007"/>
      <c r="F124" s="1007"/>
      <c r="G124" s="1007"/>
      <c r="H124" s="1007"/>
    </row>
    <row r="125" spans="1:8" x14ac:dyDescent="0.2">
      <c r="A125" s="1007" t="s">
        <v>902</v>
      </c>
      <c r="B125" s="1007"/>
      <c r="C125" s="1007"/>
      <c r="D125" s="1007"/>
      <c r="E125" s="1007"/>
      <c r="F125" s="1007"/>
      <c r="G125" s="1007"/>
      <c r="H125" s="1007"/>
    </row>
    <row r="126" spans="1:8" x14ac:dyDescent="0.2">
      <c r="A126" s="1007" t="s">
        <v>903</v>
      </c>
      <c r="B126" s="1007"/>
      <c r="C126" s="1007"/>
      <c r="D126" s="1007"/>
      <c r="E126" s="1007"/>
      <c r="F126" s="1007"/>
      <c r="G126" s="1007"/>
      <c r="H126" s="1007"/>
    </row>
    <row r="127" spans="1:8" x14ac:dyDescent="0.2">
      <c r="A127" s="1007" t="s">
        <v>904</v>
      </c>
      <c r="B127" s="1007"/>
      <c r="C127" s="1007"/>
      <c r="D127" s="1007"/>
      <c r="E127" s="1007"/>
      <c r="F127" s="1007"/>
      <c r="G127" s="1007"/>
      <c r="H127" s="1007"/>
    </row>
    <row r="128" spans="1:8" x14ac:dyDescent="0.2">
      <c r="A128" s="1007" t="s">
        <v>905</v>
      </c>
      <c r="B128" s="1007"/>
      <c r="C128" s="1007"/>
      <c r="D128" s="1007"/>
      <c r="E128" s="1007"/>
      <c r="F128" s="1007"/>
      <c r="G128" s="1007"/>
      <c r="H128" s="1007"/>
    </row>
    <row r="129" spans="1:8" x14ac:dyDescent="0.2">
      <c r="A129" s="1007" t="s">
        <v>906</v>
      </c>
      <c r="B129" s="1007"/>
      <c r="C129" s="1007"/>
      <c r="D129" s="1007"/>
      <c r="E129" s="1007"/>
      <c r="F129" s="1007"/>
      <c r="G129" s="1007"/>
      <c r="H129" s="1007"/>
    </row>
    <row r="130" spans="1:8" x14ac:dyDescent="0.2">
      <c r="A130" s="1012"/>
      <c r="B130" s="1012"/>
      <c r="C130" s="1012"/>
      <c r="D130" s="1012"/>
      <c r="E130" s="1012"/>
      <c r="F130" s="1012"/>
      <c r="G130" s="1012"/>
      <c r="H130" s="1012"/>
    </row>
    <row r="131" spans="1:8" x14ac:dyDescent="0.2">
      <c r="A131" s="1013"/>
      <c r="B131" s="1014" t="s">
        <v>692</v>
      </c>
      <c r="C131" s="1015"/>
      <c r="D131" s="1014" t="s">
        <v>693</v>
      </c>
      <c r="E131" s="1016"/>
      <c r="F131" s="1015"/>
      <c r="G131" s="1014" t="s">
        <v>694</v>
      </c>
      <c r="H131" s="1015"/>
    </row>
    <row r="132" spans="1:8" x14ac:dyDescent="0.2">
      <c r="A132" s="1013" t="s">
        <v>695</v>
      </c>
      <c r="B132" s="1013" t="s">
        <v>233</v>
      </c>
      <c r="C132" s="1013" t="s">
        <v>696</v>
      </c>
      <c r="D132" s="1013" t="s">
        <v>233</v>
      </c>
      <c r="E132" s="1013" t="s">
        <v>697</v>
      </c>
      <c r="F132" s="1013" t="s">
        <v>698</v>
      </c>
      <c r="G132" s="1013" t="s">
        <v>233</v>
      </c>
      <c r="H132" s="1013" t="s">
        <v>699</v>
      </c>
    </row>
    <row r="133" spans="1:8" x14ac:dyDescent="0.2">
      <c r="A133" s="1013" t="s">
        <v>700</v>
      </c>
      <c r="B133" s="1013">
        <v>1189</v>
      </c>
      <c r="C133" s="1017">
        <v>0.38</v>
      </c>
      <c r="D133" s="1013">
        <v>315</v>
      </c>
      <c r="E133" s="1017">
        <v>0.41</v>
      </c>
      <c r="F133" s="1017">
        <v>0.26</v>
      </c>
      <c r="G133" s="1013">
        <v>555</v>
      </c>
      <c r="H133" s="1017">
        <v>0.39</v>
      </c>
    </row>
    <row r="134" spans="1:8" x14ac:dyDescent="0.2">
      <c r="A134" s="1013" t="s">
        <v>701</v>
      </c>
      <c r="B134" s="1013">
        <v>1355</v>
      </c>
      <c r="C134" s="1017">
        <v>0.43</v>
      </c>
      <c r="D134" s="1013">
        <v>364</v>
      </c>
      <c r="E134" s="1017">
        <v>0.47</v>
      </c>
      <c r="F134" s="1017">
        <v>0.27</v>
      </c>
      <c r="G134" s="1013">
        <v>644</v>
      </c>
      <c r="H134" s="1017">
        <v>0.45</v>
      </c>
    </row>
    <row r="135" spans="1:8" x14ac:dyDescent="0.2">
      <c r="A135" s="1013" t="s">
        <v>702</v>
      </c>
      <c r="B135" s="1013">
        <v>53</v>
      </c>
      <c r="C135" s="1017">
        <v>0.02</v>
      </c>
      <c r="D135" s="1013">
        <v>4</v>
      </c>
      <c r="E135" s="1017">
        <v>0.01</v>
      </c>
      <c r="F135" s="1017">
        <v>0.08</v>
      </c>
      <c r="G135" s="1013">
        <v>7</v>
      </c>
      <c r="H135" s="1017">
        <v>0</v>
      </c>
    </row>
    <row r="136" spans="1:8" x14ac:dyDescent="0.2">
      <c r="A136" s="1013" t="s">
        <v>703</v>
      </c>
      <c r="B136" s="1013">
        <v>545</v>
      </c>
      <c r="C136" s="1017">
        <v>0.17</v>
      </c>
      <c r="D136" s="1013">
        <v>84</v>
      </c>
      <c r="E136" s="1017">
        <v>0.11</v>
      </c>
      <c r="F136" s="1017">
        <v>0.15</v>
      </c>
      <c r="G136" s="1013">
        <v>214</v>
      </c>
      <c r="H136" s="1017">
        <v>0.15</v>
      </c>
    </row>
    <row r="137" spans="1:8" x14ac:dyDescent="0.2">
      <c r="A137" s="1013" t="s">
        <v>540</v>
      </c>
      <c r="B137" s="1018">
        <v>3142</v>
      </c>
      <c r="C137" s="1013"/>
      <c r="D137" s="1013">
        <v>767</v>
      </c>
      <c r="E137" s="1013"/>
      <c r="F137" s="1013"/>
      <c r="G137" s="1013">
        <v>1420</v>
      </c>
      <c r="H137" s="1013"/>
    </row>
    <row r="138" spans="1:8" x14ac:dyDescent="0.2">
      <c r="A138" s="1019"/>
      <c r="B138" s="1019"/>
      <c r="C138" s="1019"/>
      <c r="D138" s="1019"/>
      <c r="E138" s="1019"/>
      <c r="F138" s="1019"/>
      <c r="G138" s="1019"/>
      <c r="H138" s="1019"/>
    </row>
    <row r="139" spans="1:8" x14ac:dyDescent="0.2">
      <c r="A139" s="1010" t="s">
        <v>896</v>
      </c>
      <c r="B139" s="1010"/>
      <c r="C139" s="1010"/>
      <c r="D139" s="1010"/>
      <c r="E139" s="1010"/>
      <c r="F139" s="1010"/>
      <c r="G139" s="1010"/>
      <c r="H139" s="1010"/>
    </row>
    <row r="140" spans="1:8" x14ac:dyDescent="0.2">
      <c r="A140" s="1007" t="s">
        <v>897</v>
      </c>
      <c r="B140" s="1007"/>
      <c r="C140" s="1007"/>
      <c r="D140" s="1007"/>
      <c r="E140" s="1007"/>
      <c r="F140" s="1007"/>
      <c r="G140" s="1007"/>
      <c r="H140" s="1007"/>
    </row>
    <row r="141" spans="1:8" x14ac:dyDescent="0.2">
      <c r="A141" s="1007" t="s">
        <v>898</v>
      </c>
      <c r="B141" s="1007"/>
      <c r="C141" s="1007"/>
      <c r="D141" s="1007"/>
      <c r="E141" s="1007"/>
      <c r="F141" s="1007"/>
      <c r="G141" s="1007"/>
      <c r="H141" s="1007"/>
    </row>
    <row r="142" spans="1:8" x14ac:dyDescent="0.2">
      <c r="A142" s="1007" t="s">
        <v>899</v>
      </c>
      <c r="B142" s="1007"/>
      <c r="C142" s="1007"/>
      <c r="D142" s="1007"/>
      <c r="E142" s="1007"/>
      <c r="F142" s="1007"/>
      <c r="G142" s="1007"/>
      <c r="H142" s="1007"/>
    </row>
    <row r="143" spans="1:8" x14ac:dyDescent="0.2">
      <c r="A143" s="1006"/>
      <c r="B143" s="1006"/>
      <c r="C143" s="1006"/>
      <c r="D143" s="1006"/>
      <c r="E143" s="1006"/>
      <c r="F143" s="1006"/>
      <c r="G143" s="1006"/>
      <c r="H143" s="1006"/>
    </row>
    <row r="144" spans="1:8" ht="15.75" x14ac:dyDescent="0.2">
      <c r="A144" s="1008" t="s">
        <v>704</v>
      </c>
      <c r="B144" s="1006"/>
      <c r="C144" s="1006"/>
      <c r="D144" s="1006"/>
      <c r="E144" s="1006"/>
      <c r="F144" s="1006"/>
      <c r="G144" s="1006"/>
      <c r="H144" s="1006"/>
    </row>
    <row r="145" spans="1:8" x14ac:dyDescent="0.2">
      <c r="A145" s="1006"/>
      <c r="B145" s="1006"/>
      <c r="C145" s="1006"/>
      <c r="D145" s="1006"/>
      <c r="E145" s="1006"/>
      <c r="F145" s="1006"/>
      <c r="G145" s="1006"/>
      <c r="H145" s="1006"/>
    </row>
    <row r="146" spans="1:8" x14ac:dyDescent="0.2">
      <c r="A146" s="1007" t="s">
        <v>894</v>
      </c>
      <c r="B146" s="1006"/>
      <c r="C146" s="1006"/>
      <c r="D146" s="1006"/>
      <c r="E146" s="1006"/>
      <c r="F146" s="1006"/>
      <c r="G146" s="1006"/>
      <c r="H146" s="1006"/>
    </row>
    <row r="147" spans="1:8" x14ac:dyDescent="0.2">
      <c r="A147" s="1007" t="s">
        <v>895</v>
      </c>
      <c r="B147" s="1006"/>
      <c r="C147" s="1006"/>
      <c r="D147" s="1006"/>
      <c r="E147" s="1006"/>
      <c r="F147" s="1006"/>
      <c r="G147" s="1006"/>
      <c r="H147" s="1006"/>
    </row>
    <row r="148" spans="1:8" x14ac:dyDescent="0.2">
      <c r="A148" s="1006"/>
      <c r="B148" s="1006"/>
      <c r="C148" s="1006"/>
      <c r="D148" s="1006"/>
      <c r="E148" s="1006"/>
      <c r="F148" s="1006"/>
      <c r="G148" s="1006"/>
      <c r="H148" s="1006"/>
    </row>
    <row r="149" spans="1:8" x14ac:dyDescent="0.2">
      <c r="A149" s="1007" t="s">
        <v>891</v>
      </c>
      <c r="B149" s="1006"/>
      <c r="C149" s="1006"/>
      <c r="D149" s="1006"/>
      <c r="E149" s="1006"/>
      <c r="F149" s="1006"/>
      <c r="G149" s="1006"/>
      <c r="H149" s="1006"/>
    </row>
    <row r="150" spans="1:8" x14ac:dyDescent="0.2">
      <c r="A150" s="1007" t="s">
        <v>892</v>
      </c>
      <c r="B150" s="1006"/>
      <c r="C150" s="1006"/>
      <c r="D150" s="1006"/>
      <c r="E150" s="1006"/>
      <c r="F150" s="1006"/>
      <c r="G150" s="1006"/>
      <c r="H150" s="1006"/>
    </row>
    <row r="151" spans="1:8" x14ac:dyDescent="0.2">
      <c r="A151" s="1007" t="s">
        <v>893</v>
      </c>
      <c r="B151" s="1006"/>
      <c r="C151" s="1006"/>
      <c r="D151" s="1006"/>
      <c r="E151" s="1006"/>
      <c r="F151" s="1006"/>
      <c r="G151" s="1006"/>
      <c r="H151" s="1006"/>
    </row>
    <row r="152" spans="1:8" x14ac:dyDescent="0.2">
      <c r="A152" s="1006"/>
      <c r="B152" s="1006"/>
      <c r="C152" s="1006"/>
      <c r="D152" s="1006"/>
      <c r="E152" s="1006"/>
      <c r="F152" s="1006"/>
      <c r="G152" s="1006"/>
      <c r="H152" s="1006"/>
    </row>
    <row r="153" spans="1:8" x14ac:dyDescent="0.2">
      <c r="A153" s="1007" t="s">
        <v>888</v>
      </c>
      <c r="B153" s="1006"/>
      <c r="C153" s="1006"/>
      <c r="D153" s="1006"/>
      <c r="E153" s="1006"/>
      <c r="F153" s="1006"/>
      <c r="G153" s="1006"/>
      <c r="H153" s="1006"/>
    </row>
    <row r="154" spans="1:8" x14ac:dyDescent="0.2">
      <c r="A154" s="1007" t="s">
        <v>889</v>
      </c>
      <c r="B154" s="1006"/>
      <c r="C154" s="1006"/>
      <c r="D154" s="1006"/>
      <c r="E154" s="1006"/>
      <c r="F154" s="1006"/>
      <c r="G154" s="1006"/>
      <c r="H154" s="1006"/>
    </row>
    <row r="155" spans="1:8" x14ac:dyDescent="0.2">
      <c r="A155" s="1007" t="s">
        <v>890</v>
      </c>
      <c r="B155" s="1006"/>
      <c r="C155" s="1006"/>
      <c r="D155" s="1006"/>
      <c r="E155" s="1006"/>
      <c r="F155" s="1006"/>
      <c r="G155" s="1006"/>
      <c r="H155" s="1006"/>
    </row>
    <row r="156" spans="1:8" x14ac:dyDescent="0.2">
      <c r="A156" s="1006"/>
      <c r="B156" s="1006"/>
      <c r="C156" s="1006"/>
      <c r="D156" s="1006"/>
      <c r="E156" s="1006"/>
      <c r="F156" s="1006"/>
      <c r="G156" s="1006"/>
      <c r="H156" s="1006"/>
    </row>
    <row r="157" spans="1:8" x14ac:dyDescent="0.2">
      <c r="A157" s="1007" t="s">
        <v>885</v>
      </c>
      <c r="B157" s="1006"/>
      <c r="C157" s="1006"/>
      <c r="D157" s="1006"/>
      <c r="E157" s="1006"/>
      <c r="F157" s="1006"/>
      <c r="G157" s="1006"/>
      <c r="H157" s="1006"/>
    </row>
    <row r="158" spans="1:8" x14ac:dyDescent="0.2">
      <c r="A158" s="1007" t="s">
        <v>886</v>
      </c>
      <c r="B158" s="1006"/>
      <c r="C158" s="1006"/>
      <c r="D158" s="1006"/>
      <c r="E158" s="1006"/>
      <c r="F158" s="1006"/>
      <c r="G158" s="1006"/>
      <c r="H158" s="1006"/>
    </row>
    <row r="159" spans="1:8" x14ac:dyDescent="0.2">
      <c r="A159" s="1007" t="s">
        <v>887</v>
      </c>
      <c r="B159" s="1006"/>
      <c r="C159" s="1006"/>
      <c r="D159" s="1006"/>
      <c r="E159" s="1006"/>
      <c r="F159" s="1006"/>
      <c r="G159" s="1006"/>
      <c r="H159" s="1006"/>
    </row>
    <row r="160" spans="1:8" x14ac:dyDescent="0.2">
      <c r="A160" s="1006"/>
      <c r="B160" s="1006"/>
      <c r="C160" s="1006"/>
      <c r="D160" s="1006"/>
      <c r="E160" s="1006"/>
      <c r="F160" s="1006"/>
      <c r="G160" s="1006"/>
      <c r="H160" s="1006"/>
    </row>
    <row r="161" spans="1:8" x14ac:dyDescent="0.2">
      <c r="A161" s="1007" t="s">
        <v>883</v>
      </c>
      <c r="B161" s="1006"/>
      <c r="C161" s="1006"/>
      <c r="D161" s="1006"/>
      <c r="E161" s="1006"/>
      <c r="F161" s="1006"/>
      <c r="G161" s="1006"/>
      <c r="H161" s="1006"/>
    </row>
    <row r="162" spans="1:8" x14ac:dyDescent="0.2">
      <c r="A162" s="1007" t="s">
        <v>884</v>
      </c>
      <c r="B162" s="1006"/>
      <c r="C162" s="1006"/>
      <c r="D162" s="1006"/>
      <c r="E162" s="1006"/>
      <c r="F162" s="1006"/>
      <c r="G162" s="1006"/>
      <c r="H162" s="1006"/>
    </row>
    <row r="163" spans="1:8" x14ac:dyDescent="0.2">
      <c r="A163" s="1006"/>
      <c r="B163" s="1006"/>
      <c r="C163" s="1006"/>
      <c r="D163" s="1006"/>
      <c r="E163" s="1006"/>
      <c r="F163" s="1006"/>
      <c r="G163" s="1006"/>
      <c r="H163" s="1006"/>
    </row>
    <row r="164" spans="1:8" ht="15.75" x14ac:dyDescent="0.2">
      <c r="A164" s="1008" t="s">
        <v>705</v>
      </c>
      <c r="B164" s="1006"/>
      <c r="C164" s="1006"/>
      <c r="D164" s="1006"/>
      <c r="E164" s="1006"/>
      <c r="F164" s="1006"/>
      <c r="G164" s="1006"/>
      <c r="H164" s="1006"/>
    </row>
    <row r="165" spans="1:8" x14ac:dyDescent="0.2">
      <c r="A165" s="1006"/>
      <c r="B165" s="1006"/>
      <c r="C165" s="1006"/>
      <c r="D165" s="1006"/>
      <c r="E165" s="1006"/>
      <c r="F165" s="1006"/>
      <c r="G165" s="1006"/>
      <c r="H165" s="1006"/>
    </row>
    <row r="166" spans="1:8" x14ac:dyDescent="0.2">
      <c r="A166" s="1007" t="s">
        <v>881</v>
      </c>
      <c r="B166" s="1006"/>
      <c r="C166" s="1006"/>
      <c r="D166" s="1006"/>
      <c r="E166" s="1006"/>
      <c r="F166" s="1006"/>
      <c r="G166" s="1006"/>
      <c r="H166" s="1006"/>
    </row>
    <row r="167" spans="1:8" x14ac:dyDescent="0.2">
      <c r="A167" s="1007" t="s">
        <v>882</v>
      </c>
      <c r="B167" s="1006"/>
      <c r="C167" s="1006"/>
      <c r="D167" s="1006"/>
      <c r="E167" s="1006"/>
      <c r="F167" s="1006"/>
      <c r="G167" s="1006"/>
      <c r="H167" s="1006"/>
    </row>
    <row r="168" spans="1:8" x14ac:dyDescent="0.2">
      <c r="A168" s="1006"/>
      <c r="B168" s="1006"/>
      <c r="C168" s="1006"/>
      <c r="D168" s="1006"/>
      <c r="E168" s="1006"/>
      <c r="F168" s="1006"/>
      <c r="G168" s="1006"/>
      <c r="H168" s="1006"/>
    </row>
    <row r="169" spans="1:8" x14ac:dyDescent="0.2">
      <c r="A169" s="1007" t="s">
        <v>879</v>
      </c>
      <c r="B169" s="1006"/>
      <c r="C169" s="1006"/>
      <c r="D169" s="1006"/>
      <c r="E169" s="1006"/>
      <c r="F169" s="1006"/>
      <c r="G169" s="1006"/>
      <c r="H169" s="1006"/>
    </row>
    <row r="170" spans="1:8" x14ac:dyDescent="0.2">
      <c r="A170" s="1007" t="s">
        <v>880</v>
      </c>
      <c r="B170" s="1006"/>
      <c r="C170" s="1006"/>
      <c r="D170" s="1006"/>
      <c r="E170" s="1006"/>
      <c r="F170" s="1006"/>
      <c r="G170" s="1006"/>
      <c r="H170" s="1006"/>
    </row>
    <row r="171" spans="1:8" x14ac:dyDescent="0.2">
      <c r="A171" s="1006"/>
      <c r="B171" s="1006"/>
      <c r="C171" s="1006"/>
      <c r="D171" s="1006"/>
      <c r="E171" s="1006"/>
      <c r="F171" s="1006"/>
      <c r="G171" s="1006"/>
      <c r="H171" s="1006"/>
    </row>
    <row r="172" spans="1:8" x14ac:dyDescent="0.2">
      <c r="A172" s="1007" t="s">
        <v>877</v>
      </c>
      <c r="B172" s="1006"/>
      <c r="C172" s="1006"/>
      <c r="D172" s="1006"/>
      <c r="E172" s="1006"/>
      <c r="F172" s="1006"/>
      <c r="G172" s="1006"/>
      <c r="H172" s="1006"/>
    </row>
    <row r="173" spans="1:8" x14ac:dyDescent="0.2">
      <c r="A173" s="1007" t="s">
        <v>878</v>
      </c>
      <c r="B173" s="1006"/>
      <c r="C173" s="1006"/>
      <c r="D173" s="1006"/>
      <c r="E173" s="1006"/>
      <c r="F173" s="1006"/>
      <c r="G173" s="1006"/>
      <c r="H173" s="1006"/>
    </row>
    <row r="174" spans="1:8" x14ac:dyDescent="0.2">
      <c r="A174" s="1006"/>
      <c r="B174" s="1006"/>
      <c r="C174" s="1006"/>
      <c r="D174" s="1006"/>
      <c r="E174" s="1006"/>
      <c r="F174" s="1006"/>
      <c r="G174" s="1006"/>
      <c r="H174" s="1006"/>
    </row>
    <row r="175" spans="1:8" x14ac:dyDescent="0.2">
      <c r="A175" s="1007" t="s">
        <v>874</v>
      </c>
      <c r="B175" s="1006"/>
      <c r="C175" s="1006"/>
      <c r="D175" s="1006"/>
      <c r="E175" s="1006"/>
      <c r="F175" s="1006"/>
      <c r="G175" s="1006"/>
      <c r="H175" s="1006"/>
    </row>
    <row r="176" spans="1:8" x14ac:dyDescent="0.2">
      <c r="A176" s="1007" t="s">
        <v>875</v>
      </c>
      <c r="B176" s="1006"/>
      <c r="C176" s="1006"/>
      <c r="D176" s="1006"/>
      <c r="E176" s="1006"/>
      <c r="F176" s="1006"/>
      <c r="G176" s="1006"/>
      <c r="H176" s="1006"/>
    </row>
    <row r="177" spans="1:8" x14ac:dyDescent="0.2">
      <c r="A177" s="1007" t="s">
        <v>876</v>
      </c>
      <c r="B177" s="1006"/>
      <c r="C177" s="1006"/>
      <c r="D177" s="1006"/>
      <c r="E177" s="1006"/>
      <c r="F177" s="1006"/>
      <c r="G177" s="1006"/>
      <c r="H177" s="1006"/>
    </row>
    <row r="178" spans="1:8" x14ac:dyDescent="0.2">
      <c r="A178" s="1006"/>
      <c r="B178" s="1006"/>
      <c r="C178" s="1006"/>
      <c r="D178" s="1006"/>
      <c r="E178" s="1006"/>
      <c r="F178" s="1006"/>
      <c r="G178" s="1006"/>
      <c r="H178" s="1006"/>
    </row>
    <row r="179" spans="1:8" x14ac:dyDescent="0.2">
      <c r="A179" s="1006"/>
      <c r="B179" s="1006"/>
      <c r="C179" s="1006"/>
      <c r="D179" s="1006"/>
      <c r="E179" s="1006"/>
      <c r="F179" s="1006"/>
      <c r="G179" s="1006"/>
      <c r="H179" s="1006"/>
    </row>
    <row r="180" spans="1:8" x14ac:dyDescent="0.2">
      <c r="A180" s="1007" t="s">
        <v>706</v>
      </c>
      <c r="B180" s="1006"/>
      <c r="C180" s="1006"/>
      <c r="D180" s="1006"/>
      <c r="E180" s="1006"/>
      <c r="F180" s="1006"/>
      <c r="G180" s="1006"/>
      <c r="H180" s="1006"/>
    </row>
    <row r="181" spans="1:8" x14ac:dyDescent="0.2">
      <c r="A181" s="1006"/>
      <c r="B181" s="1006"/>
      <c r="C181" s="1006"/>
      <c r="D181" s="1006"/>
      <c r="E181" s="1006"/>
      <c r="F181" s="1006"/>
      <c r="G181" s="1006"/>
      <c r="H181" s="1006"/>
    </row>
    <row r="182" spans="1:8" ht="15.75" x14ac:dyDescent="0.2">
      <c r="A182" s="1008" t="s">
        <v>707</v>
      </c>
      <c r="B182" s="1006"/>
      <c r="C182" s="1006"/>
      <c r="D182" s="1006"/>
      <c r="E182" s="1006"/>
      <c r="F182" s="1006"/>
      <c r="G182" s="1006"/>
      <c r="H182" s="1006"/>
    </row>
    <row r="183" spans="1:8" x14ac:dyDescent="0.2">
      <c r="A183" s="1006"/>
      <c r="B183" s="1006"/>
      <c r="C183" s="1006"/>
      <c r="D183" s="1006"/>
      <c r="E183" s="1006"/>
      <c r="F183" s="1006"/>
      <c r="G183" s="1006"/>
      <c r="H183" s="1006"/>
    </row>
    <row r="184" spans="1:8" x14ac:dyDescent="0.2">
      <c r="A184" s="1006"/>
      <c r="B184" s="1006"/>
      <c r="C184" s="1006"/>
      <c r="D184" s="1006"/>
      <c r="E184" s="1006"/>
      <c r="F184" s="1006"/>
      <c r="G184" s="1006"/>
      <c r="H184" s="1006"/>
    </row>
    <row r="185" spans="1:8" x14ac:dyDescent="0.2">
      <c r="A185" s="1006"/>
      <c r="B185" s="1006"/>
      <c r="C185" s="1006"/>
      <c r="D185" s="1006"/>
      <c r="E185" s="1006"/>
      <c r="F185" s="1006"/>
      <c r="G185" s="1006"/>
      <c r="H185" s="1006"/>
    </row>
    <row r="186" spans="1:8" x14ac:dyDescent="0.2">
      <c r="A186" s="1006"/>
      <c r="B186" s="1006"/>
      <c r="C186" s="1006"/>
      <c r="D186" s="1006"/>
      <c r="E186" s="1006"/>
      <c r="F186" s="1006"/>
      <c r="G186" s="1006"/>
      <c r="H186" s="1006"/>
    </row>
    <row r="187" spans="1:8" x14ac:dyDescent="0.2">
      <c r="A187" s="1006"/>
      <c r="B187" s="1006"/>
      <c r="C187" s="1006"/>
      <c r="D187" s="1006"/>
      <c r="E187" s="1006"/>
      <c r="F187" s="1006"/>
      <c r="G187" s="1006"/>
      <c r="H187" s="1006"/>
    </row>
    <row r="188" spans="1:8" x14ac:dyDescent="0.2">
      <c r="A188" s="1006"/>
      <c r="B188" s="1006"/>
      <c r="C188" s="1006"/>
      <c r="D188" s="1006"/>
      <c r="E188" s="1006"/>
      <c r="F188" s="1006"/>
      <c r="G188" s="1006"/>
      <c r="H188" s="1006"/>
    </row>
    <row r="189" spans="1:8" x14ac:dyDescent="0.2">
      <c r="A189" s="1006"/>
      <c r="B189" s="1006"/>
      <c r="C189" s="1006"/>
      <c r="D189" s="1006"/>
      <c r="E189" s="1006"/>
      <c r="F189" s="1006"/>
      <c r="G189" s="1006"/>
      <c r="H189" s="1006"/>
    </row>
    <row r="190" spans="1:8" x14ac:dyDescent="0.2">
      <c r="A190" s="1006"/>
      <c r="B190" s="1006"/>
      <c r="C190" s="1006"/>
      <c r="D190" s="1006"/>
      <c r="E190" s="1006"/>
      <c r="F190" s="1006"/>
      <c r="G190" s="1006"/>
      <c r="H190" s="1006"/>
    </row>
    <row r="191" spans="1:8" x14ac:dyDescent="0.2">
      <c r="A191" s="1006"/>
      <c r="B191" s="1006"/>
      <c r="C191" s="1006"/>
      <c r="D191" s="1006"/>
      <c r="E191" s="1006"/>
      <c r="F191" s="1006"/>
      <c r="G191" s="1006"/>
      <c r="H191" s="1006"/>
    </row>
    <row r="192" spans="1:8" x14ac:dyDescent="0.2">
      <c r="A192" s="1006"/>
      <c r="B192" s="1006"/>
      <c r="C192" s="1006"/>
      <c r="D192" s="1006"/>
      <c r="E192" s="1006"/>
      <c r="F192" s="1006"/>
      <c r="G192" s="1006"/>
      <c r="H192" s="1006"/>
    </row>
    <row r="193" spans="1:8" x14ac:dyDescent="0.2">
      <c r="A193" s="1006"/>
      <c r="B193" s="1006"/>
      <c r="C193" s="1006"/>
      <c r="D193" s="1006"/>
      <c r="E193" s="1006"/>
      <c r="F193" s="1006"/>
      <c r="G193" s="1006"/>
      <c r="H193" s="1006"/>
    </row>
    <row r="194" spans="1:8" x14ac:dyDescent="0.2">
      <c r="A194" s="1006"/>
      <c r="B194" s="1006"/>
      <c r="C194" s="1006"/>
      <c r="D194" s="1006"/>
      <c r="E194" s="1006"/>
      <c r="F194" s="1006"/>
      <c r="G194" s="1006"/>
      <c r="H194" s="1006"/>
    </row>
    <row r="195" spans="1:8" x14ac:dyDescent="0.2">
      <c r="A195" s="1006"/>
      <c r="B195" s="1006"/>
      <c r="C195" s="1006"/>
      <c r="D195" s="1006"/>
      <c r="E195" s="1006"/>
      <c r="F195" s="1006"/>
      <c r="G195" s="1006"/>
      <c r="H195" s="1006"/>
    </row>
    <row r="196" spans="1:8" x14ac:dyDescent="0.2">
      <c r="A196" s="1006"/>
      <c r="B196" s="1006"/>
      <c r="C196" s="1006"/>
      <c r="D196" s="1006"/>
      <c r="E196" s="1006"/>
      <c r="F196" s="1006"/>
      <c r="G196" s="1006"/>
      <c r="H196" s="1006"/>
    </row>
    <row r="197" spans="1:8" x14ac:dyDescent="0.2">
      <c r="A197" s="1006"/>
      <c r="B197" s="1006"/>
      <c r="C197" s="1006"/>
      <c r="D197" s="1006"/>
      <c r="E197" s="1006"/>
      <c r="F197" s="1006"/>
      <c r="G197" s="1006"/>
      <c r="H197" s="1006"/>
    </row>
    <row r="198" spans="1:8" x14ac:dyDescent="0.2">
      <c r="A198" s="1006"/>
      <c r="B198" s="1006"/>
      <c r="C198" s="1006"/>
      <c r="D198" s="1006"/>
      <c r="E198" s="1006"/>
      <c r="F198" s="1006"/>
      <c r="G198" s="1006"/>
      <c r="H198" s="1006"/>
    </row>
    <row r="199" spans="1:8" x14ac:dyDescent="0.2">
      <c r="A199" s="1006"/>
      <c r="B199" s="1006"/>
      <c r="C199" s="1006"/>
      <c r="D199" s="1006"/>
      <c r="E199" s="1006"/>
      <c r="F199" s="1006"/>
      <c r="G199" s="1006"/>
      <c r="H199" s="1006"/>
    </row>
    <row r="200" spans="1:8" x14ac:dyDescent="0.2">
      <c r="A200" s="1006"/>
      <c r="B200" s="1006"/>
      <c r="C200" s="1006"/>
      <c r="D200" s="1006"/>
      <c r="E200" s="1006"/>
      <c r="F200" s="1006"/>
      <c r="G200" s="1006"/>
      <c r="H200" s="1006"/>
    </row>
    <row r="201" spans="1:8" x14ac:dyDescent="0.2">
      <c r="A201" s="1006"/>
      <c r="B201" s="1006"/>
      <c r="C201" s="1006"/>
      <c r="D201" s="1006"/>
      <c r="E201" s="1006"/>
      <c r="F201" s="1006"/>
      <c r="G201" s="1006"/>
      <c r="H201" s="1006"/>
    </row>
    <row r="202" spans="1:8" x14ac:dyDescent="0.2">
      <c r="A202" s="1006"/>
      <c r="B202" s="1006"/>
      <c r="C202" s="1006"/>
      <c r="D202" s="1006"/>
      <c r="E202" s="1006"/>
      <c r="F202" s="1006"/>
      <c r="G202" s="1006"/>
      <c r="H202" s="1006"/>
    </row>
    <row r="203" spans="1:8" x14ac:dyDescent="0.2">
      <c r="A203" s="1006"/>
      <c r="B203" s="1006"/>
      <c r="C203" s="1006"/>
      <c r="D203" s="1006"/>
      <c r="E203" s="1006"/>
      <c r="F203" s="1006"/>
      <c r="G203" s="1006"/>
      <c r="H203" s="1006"/>
    </row>
    <row r="204" spans="1:8" x14ac:dyDescent="0.2">
      <c r="A204" s="1006"/>
      <c r="B204" s="1006"/>
      <c r="C204" s="1006"/>
      <c r="D204" s="1006"/>
      <c r="E204" s="1006"/>
      <c r="F204" s="1006"/>
      <c r="G204" s="1006"/>
      <c r="H204" s="1006"/>
    </row>
    <row r="205" spans="1:8" x14ac:dyDescent="0.2">
      <c r="A205" s="1006"/>
      <c r="B205" s="1006"/>
      <c r="C205" s="1006"/>
      <c r="D205" s="1006"/>
      <c r="E205" s="1006"/>
      <c r="F205" s="1006"/>
      <c r="G205" s="1006"/>
      <c r="H205" s="1006"/>
    </row>
    <row r="206" spans="1:8" x14ac:dyDescent="0.2">
      <c r="A206" s="1006"/>
      <c r="B206" s="1006"/>
      <c r="C206" s="1006"/>
      <c r="D206" s="1006"/>
      <c r="E206" s="1006"/>
      <c r="F206" s="1006"/>
      <c r="G206" s="1006"/>
      <c r="H206" s="1006"/>
    </row>
    <row r="207" spans="1:8" x14ac:dyDescent="0.2">
      <c r="A207" s="1006"/>
      <c r="B207" s="1006"/>
      <c r="C207" s="1006"/>
      <c r="D207" s="1006"/>
      <c r="E207" s="1006"/>
      <c r="F207" s="1006"/>
      <c r="G207" s="1006"/>
      <c r="H207" s="1006"/>
    </row>
    <row r="208" spans="1:8" x14ac:dyDescent="0.2">
      <c r="A208" s="1006"/>
      <c r="B208" s="1006"/>
      <c r="C208" s="1006"/>
      <c r="D208" s="1006"/>
      <c r="E208" s="1006"/>
      <c r="F208" s="1006"/>
      <c r="G208" s="1006"/>
      <c r="H208" s="1006"/>
    </row>
    <row r="209" spans="1:8" ht="15.75" x14ac:dyDescent="0.2">
      <c r="A209" s="1008" t="s">
        <v>708</v>
      </c>
      <c r="B209" s="1006"/>
      <c r="C209" s="1006"/>
      <c r="D209" s="1006"/>
      <c r="E209" s="1006"/>
      <c r="F209" s="1006"/>
      <c r="G209" s="1006"/>
      <c r="H209" s="1006"/>
    </row>
    <row r="210" spans="1:8" x14ac:dyDescent="0.2">
      <c r="A210" s="1006"/>
      <c r="B210" s="1006"/>
      <c r="C210" s="1006"/>
      <c r="D210" s="1006"/>
      <c r="E210" s="1006"/>
      <c r="F210" s="1006"/>
      <c r="G210" s="1006"/>
      <c r="H210" s="1006"/>
    </row>
    <row r="211" spans="1:8" x14ac:dyDescent="0.2">
      <c r="A211" s="1007" t="s">
        <v>869</v>
      </c>
      <c r="B211" s="1006"/>
      <c r="C211" s="1006"/>
      <c r="D211" s="1006"/>
      <c r="E211" s="1006"/>
      <c r="F211" s="1006"/>
      <c r="G211" s="1006"/>
      <c r="H211" s="1006"/>
    </row>
    <row r="212" spans="1:8" x14ac:dyDescent="0.2">
      <c r="A212" s="1007" t="s">
        <v>870</v>
      </c>
      <c r="B212" s="1006"/>
      <c r="C212" s="1006"/>
      <c r="D212" s="1006"/>
      <c r="E212" s="1006"/>
      <c r="F212" s="1006"/>
      <c r="G212" s="1006"/>
      <c r="H212" s="1006"/>
    </row>
    <row r="213" spans="1:8" x14ac:dyDescent="0.2">
      <c r="A213" s="1007" t="s">
        <v>871</v>
      </c>
      <c r="B213" s="1006"/>
      <c r="C213" s="1006"/>
      <c r="D213" s="1006"/>
      <c r="E213" s="1006"/>
      <c r="F213" s="1006"/>
      <c r="G213" s="1006"/>
      <c r="H213" s="1006"/>
    </row>
    <row r="214" spans="1:8" x14ac:dyDescent="0.2">
      <c r="A214" s="1007" t="s">
        <v>872</v>
      </c>
      <c r="B214" s="1006"/>
      <c r="C214" s="1006"/>
      <c r="D214" s="1006"/>
      <c r="E214" s="1006"/>
      <c r="F214" s="1006"/>
      <c r="G214" s="1006"/>
      <c r="H214" s="1006"/>
    </row>
    <row r="215" spans="1:8" x14ac:dyDescent="0.2">
      <c r="A215" s="1007" t="s">
        <v>873</v>
      </c>
      <c r="B215" s="1006"/>
      <c r="C215" s="1006"/>
      <c r="D215" s="1006"/>
      <c r="E215" s="1006"/>
      <c r="F215" s="1006"/>
      <c r="G215" s="1006"/>
      <c r="H215" s="1006"/>
    </row>
    <row r="216" spans="1:8" x14ac:dyDescent="0.2">
      <c r="A216" s="1006"/>
      <c r="B216" s="1006"/>
      <c r="C216" s="1006"/>
      <c r="D216" s="1006"/>
      <c r="E216" s="1006"/>
      <c r="F216" s="1006"/>
      <c r="G216" s="1006"/>
      <c r="H216" s="1006"/>
    </row>
    <row r="217" spans="1:8" x14ac:dyDescent="0.2">
      <c r="A217" s="1007" t="s">
        <v>866</v>
      </c>
      <c r="B217" s="1006"/>
      <c r="C217" s="1006"/>
      <c r="D217" s="1006"/>
      <c r="E217" s="1006"/>
      <c r="F217" s="1006"/>
      <c r="G217" s="1006"/>
      <c r="H217" s="1006"/>
    </row>
    <row r="218" spans="1:8" x14ac:dyDescent="0.2">
      <c r="A218" s="1007" t="s">
        <v>867</v>
      </c>
      <c r="B218" s="1006"/>
      <c r="C218" s="1006"/>
      <c r="D218" s="1006"/>
      <c r="E218" s="1006"/>
      <c r="F218" s="1006"/>
      <c r="G218" s="1006"/>
      <c r="H218" s="1006"/>
    </row>
    <row r="219" spans="1:8" x14ac:dyDescent="0.2">
      <c r="A219" s="1007" t="s">
        <v>868</v>
      </c>
      <c r="B219" s="1006"/>
      <c r="C219" s="1006"/>
      <c r="D219" s="1006"/>
      <c r="E219" s="1006"/>
      <c r="F219" s="1006"/>
      <c r="G219" s="1006"/>
      <c r="H219" s="1006"/>
    </row>
    <row r="220" spans="1:8" ht="15.75" x14ac:dyDescent="0.2">
      <c r="A220" s="1008" t="s">
        <v>709</v>
      </c>
      <c r="B220" s="1006"/>
      <c r="C220" s="1006"/>
      <c r="D220" s="1006"/>
      <c r="E220" s="1006"/>
      <c r="F220" s="1006"/>
      <c r="G220" s="1006"/>
      <c r="H220" s="1006"/>
    </row>
    <row r="221" spans="1:8" x14ac:dyDescent="0.2">
      <c r="A221" s="1006"/>
      <c r="B221" s="1006"/>
      <c r="C221" s="1006"/>
      <c r="D221" s="1006"/>
      <c r="E221" s="1006"/>
      <c r="F221" s="1006"/>
      <c r="G221" s="1006"/>
      <c r="H221" s="1006"/>
    </row>
    <row r="222" spans="1:8" x14ac:dyDescent="0.2">
      <c r="A222" s="1007" t="s">
        <v>864</v>
      </c>
      <c r="B222" s="1006"/>
      <c r="C222" s="1006"/>
      <c r="D222" s="1006"/>
      <c r="E222" s="1006"/>
      <c r="F222" s="1006"/>
      <c r="G222" s="1006"/>
      <c r="H222" s="1006"/>
    </row>
    <row r="223" spans="1:8" x14ac:dyDescent="0.2">
      <c r="A223" s="1007" t="s">
        <v>865</v>
      </c>
      <c r="B223" s="1006"/>
      <c r="C223" s="1006"/>
      <c r="D223" s="1006"/>
      <c r="E223" s="1006"/>
      <c r="F223" s="1006"/>
      <c r="G223" s="1006"/>
      <c r="H223" s="1006"/>
    </row>
    <row r="224" spans="1:8" x14ac:dyDescent="0.2">
      <c r="A224" s="1006"/>
      <c r="B224" s="1006"/>
      <c r="C224" s="1006"/>
      <c r="D224" s="1006"/>
      <c r="E224" s="1006"/>
      <c r="F224" s="1006"/>
      <c r="G224" s="1006"/>
      <c r="H224" s="1006"/>
    </row>
    <row r="225" spans="1:8" x14ac:dyDescent="0.2">
      <c r="A225" s="1007" t="s">
        <v>857</v>
      </c>
      <c r="B225" s="1006"/>
      <c r="C225" s="1006"/>
      <c r="D225" s="1006"/>
      <c r="E225" s="1006"/>
      <c r="F225" s="1006"/>
      <c r="G225" s="1006"/>
      <c r="H225" s="1006"/>
    </row>
    <row r="226" spans="1:8" x14ac:dyDescent="0.2">
      <c r="A226" s="1007" t="s">
        <v>858</v>
      </c>
      <c r="B226" s="1006"/>
      <c r="C226" s="1006"/>
      <c r="D226" s="1006"/>
      <c r="E226" s="1006"/>
      <c r="F226" s="1006"/>
      <c r="G226" s="1006"/>
      <c r="H226" s="1006"/>
    </row>
    <row r="227" spans="1:8" x14ac:dyDescent="0.2">
      <c r="A227" s="1007" t="s">
        <v>859</v>
      </c>
      <c r="B227" s="1006"/>
      <c r="C227" s="1006"/>
      <c r="D227" s="1006"/>
      <c r="E227" s="1006"/>
      <c r="F227" s="1006"/>
      <c r="G227" s="1006"/>
      <c r="H227" s="1006"/>
    </row>
    <row r="228" spans="1:8" x14ac:dyDescent="0.2">
      <c r="A228" s="1007" t="s">
        <v>860</v>
      </c>
      <c r="B228" s="1006"/>
      <c r="C228" s="1006"/>
      <c r="D228" s="1006"/>
      <c r="E228" s="1006"/>
      <c r="F228" s="1006"/>
      <c r="G228" s="1006"/>
      <c r="H228" s="1006"/>
    </row>
    <row r="229" spans="1:8" x14ac:dyDescent="0.2">
      <c r="A229" s="1007" t="s">
        <v>861</v>
      </c>
      <c r="B229" s="1006"/>
      <c r="C229" s="1006"/>
      <c r="D229" s="1006"/>
      <c r="E229" s="1006"/>
      <c r="F229" s="1006"/>
      <c r="G229" s="1006"/>
      <c r="H229" s="1006"/>
    </row>
    <row r="230" spans="1:8" x14ac:dyDescent="0.2">
      <c r="A230" s="1007" t="s">
        <v>862</v>
      </c>
      <c r="B230" s="1006"/>
      <c r="C230" s="1006"/>
      <c r="D230" s="1006"/>
      <c r="E230" s="1006"/>
      <c r="F230" s="1006"/>
      <c r="G230" s="1006"/>
      <c r="H230" s="1006"/>
    </row>
    <row r="231" spans="1:8" x14ac:dyDescent="0.2">
      <c r="A231" s="1007" t="s">
        <v>863</v>
      </c>
      <c r="B231" s="1006"/>
      <c r="C231" s="1006"/>
      <c r="D231" s="1006"/>
      <c r="E231" s="1006"/>
      <c r="F231" s="1006"/>
      <c r="G231" s="1006"/>
      <c r="H231" s="1006"/>
    </row>
    <row r="232" spans="1:8" x14ac:dyDescent="0.2">
      <c r="A232" s="1006"/>
      <c r="B232" s="1006"/>
      <c r="C232" s="1006"/>
      <c r="D232" s="1006"/>
      <c r="E232" s="1006"/>
      <c r="F232" s="1006"/>
      <c r="G232" s="1006"/>
      <c r="H232" s="1006"/>
    </row>
    <row r="233" spans="1:8" x14ac:dyDescent="0.2">
      <c r="A233" s="1007" t="s">
        <v>854</v>
      </c>
      <c r="B233" s="1006"/>
      <c r="C233" s="1006"/>
      <c r="D233" s="1006"/>
      <c r="E233" s="1006"/>
      <c r="F233" s="1006"/>
      <c r="G233" s="1006"/>
      <c r="H233" s="1006"/>
    </row>
    <row r="234" spans="1:8" x14ac:dyDescent="0.2">
      <c r="A234" s="1007" t="s">
        <v>855</v>
      </c>
      <c r="B234" s="1006"/>
      <c r="C234" s="1006"/>
      <c r="D234" s="1006"/>
      <c r="E234" s="1006"/>
      <c r="F234" s="1006"/>
      <c r="G234" s="1006"/>
      <c r="H234" s="1006"/>
    </row>
    <row r="235" spans="1:8" x14ac:dyDescent="0.2">
      <c r="A235" s="1007" t="s">
        <v>856</v>
      </c>
      <c r="B235" s="1006"/>
      <c r="C235" s="1006"/>
      <c r="D235" s="1006"/>
      <c r="E235" s="1006"/>
      <c r="F235" s="1006"/>
      <c r="G235" s="1006"/>
      <c r="H235" s="1006"/>
    </row>
    <row r="236" spans="1:8" x14ac:dyDescent="0.2">
      <c r="A236" s="1006"/>
      <c r="B236" s="1006"/>
      <c r="C236" s="1006"/>
      <c r="D236" s="1006"/>
      <c r="E236" s="1006"/>
      <c r="F236" s="1006"/>
      <c r="G236" s="1006"/>
      <c r="H236" s="1006"/>
    </row>
    <row r="237" spans="1:8" x14ac:dyDescent="0.2">
      <c r="A237" s="1007" t="s">
        <v>849</v>
      </c>
      <c r="B237" s="1006"/>
      <c r="C237" s="1006"/>
      <c r="D237" s="1006"/>
      <c r="E237" s="1006"/>
      <c r="F237" s="1006"/>
      <c r="G237" s="1006"/>
      <c r="H237" s="1006"/>
    </row>
    <row r="238" spans="1:8" x14ac:dyDescent="0.2">
      <c r="A238" s="1007" t="s">
        <v>850</v>
      </c>
      <c r="B238" s="1006"/>
      <c r="C238" s="1006"/>
      <c r="D238" s="1006"/>
      <c r="E238" s="1006"/>
      <c r="F238" s="1006"/>
      <c r="G238" s="1006"/>
      <c r="H238" s="1006"/>
    </row>
    <row r="239" spans="1:8" x14ac:dyDescent="0.2">
      <c r="A239" s="1007" t="s">
        <v>851</v>
      </c>
      <c r="B239" s="1006"/>
      <c r="C239" s="1006"/>
      <c r="D239" s="1006"/>
      <c r="E239" s="1006"/>
      <c r="F239" s="1006"/>
      <c r="G239" s="1006"/>
      <c r="H239" s="1006"/>
    </row>
    <row r="240" spans="1:8" x14ac:dyDescent="0.2">
      <c r="A240" s="1007" t="s">
        <v>852</v>
      </c>
      <c r="B240" s="1006"/>
      <c r="C240" s="1006"/>
      <c r="D240" s="1006"/>
      <c r="E240" s="1006"/>
      <c r="F240" s="1006"/>
      <c r="G240" s="1006"/>
      <c r="H240" s="1006"/>
    </row>
    <row r="241" spans="1:8" x14ac:dyDescent="0.2">
      <c r="A241" s="1007" t="s">
        <v>853</v>
      </c>
      <c r="B241" s="1006"/>
      <c r="C241" s="1006"/>
      <c r="D241" s="1006"/>
      <c r="E241" s="1006"/>
      <c r="F241" s="1006"/>
      <c r="G241" s="1006"/>
      <c r="H241" s="1006"/>
    </row>
    <row r="242" spans="1:8" x14ac:dyDescent="0.2">
      <c r="A242" s="1006"/>
      <c r="B242" s="1006"/>
      <c r="C242" s="1006"/>
      <c r="D242" s="1006"/>
      <c r="E242" s="1006"/>
      <c r="F242" s="1006"/>
      <c r="G242" s="1006"/>
      <c r="H242" s="1006"/>
    </row>
    <row r="243" spans="1:8" x14ac:dyDescent="0.2">
      <c r="A243" s="1007" t="s">
        <v>843</v>
      </c>
      <c r="B243" s="1006"/>
      <c r="C243" s="1006"/>
      <c r="D243" s="1006"/>
      <c r="E243" s="1006"/>
      <c r="F243" s="1006"/>
      <c r="G243" s="1006"/>
      <c r="H243" s="1006"/>
    </row>
    <row r="244" spans="1:8" x14ac:dyDescent="0.2">
      <c r="A244" s="1007" t="s">
        <v>844</v>
      </c>
      <c r="B244" s="1006"/>
      <c r="C244" s="1006"/>
      <c r="D244" s="1006"/>
      <c r="E244" s="1006"/>
      <c r="F244" s="1006"/>
      <c r="G244" s="1006"/>
      <c r="H244" s="1006"/>
    </row>
    <row r="245" spans="1:8" x14ac:dyDescent="0.2">
      <c r="A245" s="1007" t="s">
        <v>845</v>
      </c>
      <c r="B245" s="1006"/>
      <c r="C245" s="1006"/>
      <c r="D245" s="1006"/>
      <c r="E245" s="1006"/>
      <c r="F245" s="1006"/>
      <c r="G245" s="1006"/>
      <c r="H245" s="1006"/>
    </row>
    <row r="246" spans="1:8" x14ac:dyDescent="0.2">
      <c r="A246" s="1007" t="s">
        <v>846</v>
      </c>
      <c r="B246" s="1006"/>
      <c r="C246" s="1006"/>
      <c r="D246" s="1006"/>
      <c r="E246" s="1006"/>
      <c r="F246" s="1006"/>
      <c r="G246" s="1006"/>
      <c r="H246" s="1006"/>
    </row>
    <row r="247" spans="1:8" x14ac:dyDescent="0.2">
      <c r="A247" s="1007" t="s">
        <v>847</v>
      </c>
      <c r="B247" s="1006"/>
      <c r="C247" s="1006"/>
      <c r="D247" s="1006"/>
      <c r="E247" s="1006"/>
      <c r="F247" s="1006"/>
      <c r="G247" s="1006"/>
      <c r="H247" s="1006"/>
    </row>
    <row r="248" spans="1:8" x14ac:dyDescent="0.2">
      <c r="A248" s="1007" t="s">
        <v>848</v>
      </c>
      <c r="B248" s="1006"/>
      <c r="C248" s="1006"/>
      <c r="D248" s="1006"/>
      <c r="E248" s="1006"/>
      <c r="F248" s="1006"/>
      <c r="G248" s="1006"/>
      <c r="H248" s="1006"/>
    </row>
    <row r="249" spans="1:8" x14ac:dyDescent="0.2">
      <c r="A249" s="1006"/>
      <c r="B249" s="1006"/>
      <c r="C249" s="1006"/>
      <c r="D249" s="1006"/>
      <c r="E249" s="1006"/>
      <c r="F249" s="1006"/>
      <c r="G249" s="1006"/>
      <c r="H249" s="1006"/>
    </row>
    <row r="250" spans="1:8" x14ac:dyDescent="0.2">
      <c r="A250" s="1007" t="s">
        <v>833</v>
      </c>
      <c r="B250" s="1006"/>
      <c r="C250" s="1006"/>
      <c r="D250" s="1006"/>
      <c r="E250" s="1006"/>
      <c r="F250" s="1006"/>
      <c r="G250" s="1006"/>
      <c r="H250" s="1006"/>
    </row>
    <row r="251" spans="1:8" x14ac:dyDescent="0.2">
      <c r="A251" s="1007" t="s">
        <v>834</v>
      </c>
      <c r="B251" s="1006"/>
      <c r="C251" s="1006"/>
      <c r="D251" s="1006"/>
      <c r="E251" s="1006"/>
      <c r="F251" s="1006"/>
      <c r="G251" s="1006"/>
      <c r="H251" s="1006"/>
    </row>
    <row r="252" spans="1:8" x14ac:dyDescent="0.2">
      <c r="A252" s="1007" t="s">
        <v>835</v>
      </c>
      <c r="B252" s="1006"/>
      <c r="C252" s="1006"/>
      <c r="D252" s="1006"/>
      <c r="E252" s="1006"/>
      <c r="F252" s="1006"/>
      <c r="G252" s="1006"/>
      <c r="H252" s="1006"/>
    </row>
    <row r="253" spans="1:8" x14ac:dyDescent="0.2">
      <c r="A253" s="1007" t="s">
        <v>836</v>
      </c>
      <c r="B253" s="1006"/>
      <c r="C253" s="1006"/>
      <c r="D253" s="1006"/>
      <c r="E253" s="1006"/>
      <c r="F253" s="1006"/>
      <c r="G253" s="1006"/>
      <c r="H253" s="1006"/>
    </row>
    <row r="254" spans="1:8" x14ac:dyDescent="0.2">
      <c r="A254" s="1007" t="s">
        <v>837</v>
      </c>
      <c r="B254" s="1006"/>
      <c r="C254" s="1006"/>
      <c r="D254" s="1006"/>
      <c r="E254" s="1006"/>
      <c r="F254" s="1006"/>
      <c r="G254" s="1006"/>
      <c r="H254" s="1006"/>
    </row>
    <row r="255" spans="1:8" x14ac:dyDescent="0.2">
      <c r="A255" s="1007" t="s">
        <v>838</v>
      </c>
      <c r="B255" s="1006"/>
      <c r="C255" s="1006"/>
      <c r="D255" s="1006"/>
      <c r="E255" s="1006"/>
      <c r="F255" s="1006"/>
      <c r="G255" s="1006"/>
      <c r="H255" s="1006"/>
    </row>
    <row r="256" spans="1:8" x14ac:dyDescent="0.2">
      <c r="A256" s="1007" t="s">
        <v>839</v>
      </c>
      <c r="B256" s="1006"/>
      <c r="C256" s="1006"/>
      <c r="D256" s="1006"/>
      <c r="E256" s="1006"/>
      <c r="F256" s="1006"/>
      <c r="G256" s="1006"/>
      <c r="H256" s="1006"/>
    </row>
    <row r="257" spans="1:8" x14ac:dyDescent="0.2">
      <c r="A257" s="1007" t="s">
        <v>840</v>
      </c>
      <c r="B257" s="1006"/>
      <c r="C257" s="1006"/>
      <c r="D257" s="1006"/>
      <c r="E257" s="1006"/>
      <c r="F257" s="1006"/>
      <c r="G257" s="1006"/>
      <c r="H257" s="1006"/>
    </row>
    <row r="258" spans="1:8" x14ac:dyDescent="0.2">
      <c r="A258" s="1007" t="s">
        <v>841</v>
      </c>
      <c r="B258" s="1006"/>
      <c r="C258" s="1006"/>
      <c r="D258" s="1006"/>
      <c r="E258" s="1006"/>
      <c r="F258" s="1006"/>
      <c r="G258" s="1006"/>
      <c r="H258" s="1006"/>
    </row>
    <row r="259" spans="1:8" x14ac:dyDescent="0.2">
      <c r="A259" s="1007" t="s">
        <v>842</v>
      </c>
      <c r="B259" s="1006"/>
      <c r="C259" s="1006"/>
      <c r="D259" s="1006"/>
      <c r="E259" s="1006"/>
      <c r="F259" s="1006"/>
      <c r="G259" s="1006"/>
      <c r="H259" s="1006"/>
    </row>
    <row r="260" spans="1:8" x14ac:dyDescent="0.2">
      <c r="A260" s="1006"/>
      <c r="B260" s="1006"/>
      <c r="C260" s="1006"/>
      <c r="D260" s="1006"/>
      <c r="E260" s="1006"/>
      <c r="F260" s="1006"/>
      <c r="G260" s="1006"/>
      <c r="H260" s="1006"/>
    </row>
    <row r="261" spans="1:8" x14ac:dyDescent="0.2">
      <c r="A261" s="1007" t="s">
        <v>831</v>
      </c>
      <c r="B261" s="1006"/>
      <c r="C261" s="1006"/>
      <c r="D261" s="1006"/>
      <c r="E261" s="1006"/>
      <c r="F261" s="1006"/>
      <c r="G261" s="1006"/>
      <c r="H261" s="1006"/>
    </row>
    <row r="262" spans="1:8" x14ac:dyDescent="0.2">
      <c r="A262" s="1007" t="s">
        <v>832</v>
      </c>
      <c r="B262" s="1006"/>
      <c r="C262" s="1006"/>
      <c r="D262" s="1006"/>
      <c r="E262" s="1006"/>
      <c r="F262" s="1006"/>
      <c r="G262" s="1006"/>
      <c r="H262" s="1006"/>
    </row>
    <row r="263" spans="1:8" x14ac:dyDescent="0.2">
      <c r="A263" s="1006"/>
      <c r="B263" s="1006"/>
      <c r="C263" s="1006"/>
      <c r="D263" s="1006"/>
      <c r="E263" s="1006"/>
      <c r="F263" s="1006"/>
      <c r="G263" s="1006"/>
      <c r="H263" s="1006"/>
    </row>
    <row r="264" spans="1:8" x14ac:dyDescent="0.2">
      <c r="A264" s="1007" t="s">
        <v>815</v>
      </c>
      <c r="B264" s="1006"/>
      <c r="C264" s="1006"/>
      <c r="D264" s="1006"/>
      <c r="E264" s="1006"/>
      <c r="F264" s="1006"/>
      <c r="G264" s="1006"/>
      <c r="H264" s="1006"/>
    </row>
    <row r="265" spans="1:8" x14ac:dyDescent="0.2">
      <c r="A265" s="1007" t="s">
        <v>816</v>
      </c>
      <c r="B265" s="1006"/>
      <c r="C265" s="1006"/>
      <c r="D265" s="1006"/>
      <c r="E265" s="1006"/>
      <c r="F265" s="1006"/>
      <c r="G265" s="1006"/>
      <c r="H265" s="1006"/>
    </row>
    <row r="266" spans="1:8" x14ac:dyDescent="0.2">
      <c r="A266" s="1007" t="s">
        <v>817</v>
      </c>
      <c r="B266" s="1006"/>
      <c r="C266" s="1006"/>
      <c r="D266" s="1006"/>
      <c r="E266" s="1006"/>
      <c r="F266" s="1006"/>
      <c r="G266" s="1006"/>
      <c r="H266" s="1006"/>
    </row>
    <row r="267" spans="1:8" x14ac:dyDescent="0.2">
      <c r="A267" s="1007" t="s">
        <v>818</v>
      </c>
      <c r="B267" s="1006"/>
      <c r="C267" s="1006"/>
      <c r="D267" s="1006"/>
      <c r="E267" s="1006"/>
      <c r="F267" s="1006"/>
      <c r="G267" s="1006"/>
      <c r="H267" s="1006"/>
    </row>
    <row r="268" spans="1:8" x14ac:dyDescent="0.2">
      <c r="A268" s="1007" t="s">
        <v>819</v>
      </c>
      <c r="B268" s="1006"/>
      <c r="C268" s="1006"/>
      <c r="D268" s="1006"/>
      <c r="E268" s="1006"/>
      <c r="F268" s="1006"/>
      <c r="G268" s="1006"/>
      <c r="H268" s="1006"/>
    </row>
    <row r="269" spans="1:8" x14ac:dyDescent="0.2">
      <c r="A269" s="1007" t="s">
        <v>820</v>
      </c>
      <c r="B269" s="1006"/>
      <c r="C269" s="1006"/>
      <c r="D269" s="1006"/>
      <c r="E269" s="1006"/>
      <c r="F269" s="1006"/>
      <c r="G269" s="1006"/>
      <c r="H269" s="1006"/>
    </row>
    <row r="270" spans="1:8" x14ac:dyDescent="0.2">
      <c r="A270" s="1007" t="s">
        <v>821</v>
      </c>
      <c r="B270" s="1006"/>
      <c r="C270" s="1006"/>
      <c r="D270" s="1006"/>
      <c r="E270" s="1006"/>
      <c r="F270" s="1006"/>
      <c r="G270" s="1006"/>
      <c r="H270" s="1006"/>
    </row>
    <row r="271" spans="1:8" x14ac:dyDescent="0.2">
      <c r="A271" s="1007" t="s">
        <v>822</v>
      </c>
      <c r="B271" s="1006"/>
      <c r="C271" s="1006"/>
      <c r="D271" s="1006"/>
      <c r="E271" s="1006"/>
      <c r="F271" s="1006"/>
      <c r="G271" s="1006"/>
      <c r="H271" s="1006"/>
    </row>
    <row r="272" spans="1:8" x14ac:dyDescent="0.2">
      <c r="A272" s="1007" t="s">
        <v>823</v>
      </c>
      <c r="B272" s="1006"/>
      <c r="C272" s="1006"/>
      <c r="D272" s="1006"/>
      <c r="E272" s="1006"/>
      <c r="F272" s="1006"/>
      <c r="G272" s="1006"/>
      <c r="H272" s="1006"/>
    </row>
    <row r="273" spans="1:8" x14ac:dyDescent="0.2">
      <c r="A273" s="1007" t="s">
        <v>824</v>
      </c>
      <c r="B273" s="1006"/>
      <c r="C273" s="1006"/>
      <c r="D273" s="1006"/>
      <c r="E273" s="1006"/>
      <c r="F273" s="1006"/>
      <c r="G273" s="1006"/>
      <c r="H273" s="1006"/>
    </row>
    <row r="274" spans="1:8" x14ac:dyDescent="0.2">
      <c r="A274" s="1007" t="s">
        <v>825</v>
      </c>
      <c r="B274" s="1006"/>
      <c r="C274" s="1006"/>
      <c r="D274" s="1006"/>
      <c r="E274" s="1006"/>
      <c r="F274" s="1006"/>
      <c r="G274" s="1006"/>
      <c r="H274" s="1006"/>
    </row>
    <row r="275" spans="1:8" x14ac:dyDescent="0.2">
      <c r="A275" s="1007" t="s">
        <v>826</v>
      </c>
      <c r="B275" s="1006"/>
      <c r="C275" s="1006"/>
      <c r="D275" s="1006"/>
      <c r="E275" s="1006"/>
      <c r="F275" s="1006"/>
      <c r="G275" s="1006"/>
      <c r="H275" s="1006"/>
    </row>
    <row r="276" spans="1:8" x14ac:dyDescent="0.2">
      <c r="A276" s="1007" t="s">
        <v>827</v>
      </c>
      <c r="B276" s="1006"/>
      <c r="C276" s="1006"/>
      <c r="D276" s="1006"/>
      <c r="E276" s="1006"/>
      <c r="F276" s="1006"/>
      <c r="G276" s="1006"/>
      <c r="H276" s="1006"/>
    </row>
    <row r="277" spans="1:8" x14ac:dyDescent="0.2">
      <c r="A277" s="1007" t="s">
        <v>828</v>
      </c>
      <c r="B277" s="1006"/>
      <c r="C277" s="1006"/>
      <c r="D277" s="1006"/>
      <c r="E277" s="1006"/>
      <c r="F277" s="1006"/>
      <c r="G277" s="1006"/>
      <c r="H277" s="1006"/>
    </row>
    <row r="278" spans="1:8" x14ac:dyDescent="0.2">
      <c r="A278" s="1007" t="s">
        <v>829</v>
      </c>
      <c r="B278" s="1006"/>
      <c r="C278" s="1006"/>
      <c r="D278" s="1006"/>
      <c r="E278" s="1006"/>
      <c r="F278" s="1006"/>
      <c r="G278" s="1006"/>
      <c r="H278" s="1006"/>
    </row>
    <row r="279" spans="1:8" x14ac:dyDescent="0.2">
      <c r="A279" s="1007" t="s">
        <v>830</v>
      </c>
      <c r="B279" s="1006"/>
      <c r="C279" s="1006"/>
      <c r="D279" s="1006"/>
      <c r="E279" s="1006"/>
      <c r="F279" s="1006"/>
      <c r="G279" s="1006"/>
      <c r="H279" s="1006"/>
    </row>
    <row r="280" spans="1:8" x14ac:dyDescent="0.2">
      <c r="A280" s="1006"/>
      <c r="B280" s="1006"/>
      <c r="C280" s="1006"/>
      <c r="D280" s="1006"/>
      <c r="E280" s="1006"/>
      <c r="F280" s="1006"/>
      <c r="G280" s="1006"/>
      <c r="H280" s="1006"/>
    </row>
    <row r="281" spans="1:8" x14ac:dyDescent="0.2">
      <c r="A281" s="1007" t="s">
        <v>808</v>
      </c>
      <c r="B281" s="1006"/>
      <c r="C281" s="1006"/>
      <c r="D281" s="1006"/>
      <c r="E281" s="1006"/>
      <c r="F281" s="1006"/>
      <c r="G281" s="1006"/>
      <c r="H281" s="1006"/>
    </row>
    <row r="282" spans="1:8" x14ac:dyDescent="0.2">
      <c r="A282" s="1007" t="s">
        <v>809</v>
      </c>
      <c r="B282" s="1006"/>
      <c r="C282" s="1006"/>
      <c r="D282" s="1006"/>
      <c r="E282" s="1006"/>
      <c r="F282" s="1006"/>
      <c r="G282" s="1006"/>
      <c r="H282" s="1006"/>
    </row>
    <row r="283" spans="1:8" x14ac:dyDescent="0.2">
      <c r="A283" s="1007" t="s">
        <v>810</v>
      </c>
      <c r="B283" s="1006"/>
      <c r="C283" s="1006"/>
      <c r="D283" s="1006"/>
      <c r="E283" s="1006"/>
      <c r="F283" s="1006"/>
      <c r="G283" s="1006"/>
      <c r="H283" s="1006"/>
    </row>
    <row r="284" spans="1:8" x14ac:dyDescent="0.2">
      <c r="A284" s="1007" t="s">
        <v>811</v>
      </c>
      <c r="B284" s="1006"/>
      <c r="C284" s="1006"/>
      <c r="D284" s="1006"/>
      <c r="E284" s="1006"/>
      <c r="F284" s="1006"/>
      <c r="G284" s="1006"/>
      <c r="H284" s="1006"/>
    </row>
    <row r="285" spans="1:8" x14ac:dyDescent="0.2">
      <c r="A285" s="1007" t="s">
        <v>812</v>
      </c>
      <c r="B285" s="1006"/>
      <c r="C285" s="1006"/>
      <c r="D285" s="1006"/>
      <c r="E285" s="1006"/>
      <c r="F285" s="1006"/>
      <c r="G285" s="1006"/>
      <c r="H285" s="1006"/>
    </row>
    <row r="286" spans="1:8" x14ac:dyDescent="0.2">
      <c r="A286" s="1007" t="s">
        <v>813</v>
      </c>
      <c r="B286" s="1006"/>
      <c r="C286" s="1006"/>
      <c r="D286" s="1006"/>
      <c r="E286" s="1006"/>
      <c r="F286" s="1006"/>
      <c r="G286" s="1006"/>
      <c r="H286" s="1006"/>
    </row>
    <row r="287" spans="1:8" x14ac:dyDescent="0.2">
      <c r="A287" s="1007" t="s">
        <v>814</v>
      </c>
      <c r="B287" s="1006"/>
      <c r="C287" s="1006"/>
      <c r="D287" s="1006"/>
      <c r="E287" s="1006"/>
      <c r="F287" s="1006"/>
      <c r="G287" s="1006"/>
      <c r="H287" s="1006"/>
    </row>
    <row r="288" spans="1:8" x14ac:dyDescent="0.2">
      <c r="A288" s="1006"/>
      <c r="B288" s="1006"/>
      <c r="C288" s="1006"/>
      <c r="D288" s="1006"/>
      <c r="E288" s="1006"/>
      <c r="F288" s="1006"/>
      <c r="G288" s="1006"/>
      <c r="H288" s="1006"/>
    </row>
    <row r="289" spans="1:8" x14ac:dyDescent="0.2">
      <c r="A289" s="1007" t="s">
        <v>799</v>
      </c>
      <c r="B289" s="1006"/>
      <c r="C289" s="1006"/>
      <c r="D289" s="1006"/>
      <c r="E289" s="1006"/>
      <c r="F289" s="1006"/>
      <c r="G289" s="1006"/>
      <c r="H289" s="1006"/>
    </row>
    <row r="290" spans="1:8" x14ac:dyDescent="0.2">
      <c r="A290" s="1007" t="s">
        <v>800</v>
      </c>
      <c r="B290" s="1006"/>
      <c r="C290" s="1006"/>
      <c r="D290" s="1006"/>
      <c r="E290" s="1006"/>
      <c r="F290" s="1006"/>
      <c r="G290" s="1006"/>
      <c r="H290" s="1006"/>
    </row>
    <row r="291" spans="1:8" x14ac:dyDescent="0.2">
      <c r="A291" s="1007" t="s">
        <v>801</v>
      </c>
      <c r="B291" s="1006"/>
      <c r="C291" s="1006"/>
      <c r="D291" s="1006"/>
      <c r="E291" s="1006"/>
      <c r="F291" s="1006"/>
      <c r="G291" s="1006"/>
      <c r="H291" s="1006"/>
    </row>
    <row r="292" spans="1:8" x14ac:dyDescent="0.2">
      <c r="A292" s="1007" t="s">
        <v>802</v>
      </c>
      <c r="B292" s="1006"/>
      <c r="C292" s="1006"/>
      <c r="D292" s="1006"/>
      <c r="E292" s="1006"/>
      <c r="F292" s="1006"/>
      <c r="G292" s="1006"/>
      <c r="H292" s="1006"/>
    </row>
    <row r="293" spans="1:8" x14ac:dyDescent="0.2">
      <c r="A293" s="1007" t="s">
        <v>803</v>
      </c>
      <c r="B293" s="1006"/>
      <c r="C293" s="1006"/>
      <c r="D293" s="1006"/>
      <c r="E293" s="1006"/>
      <c r="F293" s="1006"/>
      <c r="G293" s="1006"/>
      <c r="H293" s="1006"/>
    </row>
    <row r="294" spans="1:8" x14ac:dyDescent="0.2">
      <c r="A294" s="1007" t="s">
        <v>804</v>
      </c>
      <c r="B294" s="1006"/>
      <c r="C294" s="1006"/>
      <c r="D294" s="1006"/>
      <c r="E294" s="1006"/>
      <c r="F294" s="1006"/>
      <c r="G294" s="1006"/>
      <c r="H294" s="1006"/>
    </row>
    <row r="295" spans="1:8" x14ac:dyDescent="0.2">
      <c r="A295" s="1007" t="s">
        <v>805</v>
      </c>
      <c r="B295" s="1006"/>
      <c r="C295" s="1006"/>
      <c r="D295" s="1006"/>
      <c r="E295" s="1006"/>
      <c r="F295" s="1006"/>
      <c r="G295" s="1006"/>
      <c r="H295" s="1006"/>
    </row>
    <row r="296" spans="1:8" x14ac:dyDescent="0.2">
      <c r="A296" s="1007" t="s">
        <v>806</v>
      </c>
      <c r="B296" s="1006"/>
      <c r="C296" s="1006"/>
      <c r="D296" s="1006"/>
      <c r="E296" s="1006"/>
      <c r="F296" s="1006"/>
      <c r="G296" s="1006"/>
      <c r="H296" s="1006"/>
    </row>
    <row r="297" spans="1:8" x14ac:dyDescent="0.2">
      <c r="A297" s="1007" t="s">
        <v>807</v>
      </c>
      <c r="B297" s="1006"/>
      <c r="C297" s="1006"/>
      <c r="D297" s="1006"/>
      <c r="E297" s="1006"/>
      <c r="F297" s="1006"/>
      <c r="G297" s="1006"/>
      <c r="H297" s="1006"/>
    </row>
    <row r="298" spans="1:8" x14ac:dyDescent="0.2">
      <c r="A298" s="1006"/>
      <c r="B298" s="1006"/>
      <c r="C298" s="1006"/>
      <c r="D298" s="1006"/>
      <c r="E298" s="1006"/>
      <c r="F298" s="1006"/>
      <c r="G298" s="1006"/>
      <c r="H298" s="1006"/>
    </row>
    <row r="299" spans="1:8" x14ac:dyDescent="0.2">
      <c r="A299" s="1007" t="s">
        <v>792</v>
      </c>
      <c r="B299" s="1006"/>
      <c r="C299" s="1006"/>
      <c r="D299" s="1006"/>
      <c r="E299" s="1006"/>
      <c r="F299" s="1006"/>
      <c r="G299" s="1006"/>
      <c r="H299" s="1006"/>
    </row>
    <row r="300" spans="1:8" x14ac:dyDescent="0.2">
      <c r="A300" s="1007" t="s">
        <v>793</v>
      </c>
      <c r="B300" s="1006"/>
      <c r="C300" s="1006"/>
      <c r="D300" s="1006"/>
      <c r="E300" s="1006"/>
      <c r="F300" s="1006"/>
      <c r="G300" s="1006"/>
      <c r="H300" s="1006"/>
    </row>
    <row r="301" spans="1:8" x14ac:dyDescent="0.2">
      <c r="A301" s="1007" t="s">
        <v>794</v>
      </c>
      <c r="B301" s="1006"/>
      <c r="C301" s="1006"/>
      <c r="D301" s="1006"/>
      <c r="E301" s="1006"/>
      <c r="F301" s="1006"/>
      <c r="G301" s="1006"/>
      <c r="H301" s="1006"/>
    </row>
    <row r="302" spans="1:8" x14ac:dyDescent="0.2">
      <c r="A302" s="1007" t="s">
        <v>795</v>
      </c>
      <c r="B302" s="1006"/>
      <c r="C302" s="1006"/>
      <c r="D302" s="1006"/>
      <c r="E302" s="1006"/>
      <c r="F302" s="1006"/>
      <c r="G302" s="1006"/>
      <c r="H302" s="1006"/>
    </row>
    <row r="303" spans="1:8" x14ac:dyDescent="0.2">
      <c r="A303" s="1007" t="s">
        <v>796</v>
      </c>
      <c r="B303" s="1006"/>
      <c r="C303" s="1006"/>
      <c r="D303" s="1006"/>
      <c r="E303" s="1006"/>
      <c r="F303" s="1006"/>
      <c r="G303" s="1006"/>
      <c r="H303" s="1006"/>
    </row>
    <row r="304" spans="1:8" x14ac:dyDescent="0.2">
      <c r="A304" s="1007" t="s">
        <v>797</v>
      </c>
      <c r="B304" s="1006"/>
      <c r="C304" s="1006"/>
      <c r="D304" s="1006"/>
      <c r="E304" s="1006"/>
      <c r="F304" s="1006"/>
      <c r="G304" s="1006"/>
      <c r="H304" s="1006"/>
    </row>
    <row r="305" spans="1:8" x14ac:dyDescent="0.2">
      <c r="A305" s="1007" t="s">
        <v>798</v>
      </c>
      <c r="B305" s="1006"/>
      <c r="C305" s="1006"/>
      <c r="D305" s="1006"/>
      <c r="E305" s="1006"/>
      <c r="F305" s="1006"/>
      <c r="G305" s="1006"/>
      <c r="H305" s="1006"/>
    </row>
    <row r="306" spans="1:8" x14ac:dyDescent="0.2">
      <c r="A306" s="1006"/>
      <c r="B306" s="1006"/>
      <c r="C306" s="1006"/>
      <c r="D306" s="1006"/>
      <c r="E306" s="1006"/>
      <c r="F306" s="1006"/>
      <c r="G306" s="1006"/>
      <c r="H306" s="1006"/>
    </row>
    <row r="307" spans="1:8" x14ac:dyDescent="0.2">
      <c r="A307" s="1007" t="s">
        <v>789</v>
      </c>
      <c r="B307" s="1006"/>
      <c r="C307" s="1006"/>
      <c r="D307" s="1006"/>
      <c r="E307" s="1006"/>
      <c r="F307" s="1006"/>
      <c r="G307" s="1006"/>
      <c r="H307" s="1006"/>
    </row>
    <row r="308" spans="1:8" x14ac:dyDescent="0.2">
      <c r="A308" s="1007" t="s">
        <v>790</v>
      </c>
      <c r="B308" s="1006"/>
      <c r="C308" s="1006"/>
      <c r="D308" s="1006"/>
      <c r="E308" s="1006"/>
      <c r="F308" s="1006"/>
      <c r="G308" s="1006"/>
      <c r="H308" s="1006"/>
    </row>
    <row r="309" spans="1:8" x14ac:dyDescent="0.2">
      <c r="A309" s="1007" t="s">
        <v>791</v>
      </c>
      <c r="B309" s="1006"/>
      <c r="C309" s="1006"/>
      <c r="D309" s="1006"/>
      <c r="E309" s="1006"/>
      <c r="F309" s="1006"/>
      <c r="G309" s="1006"/>
      <c r="H309" s="1006"/>
    </row>
    <row r="310" spans="1:8" x14ac:dyDescent="0.2">
      <c r="A310" s="1006"/>
      <c r="B310" s="1006"/>
      <c r="C310" s="1006"/>
      <c r="D310" s="1006"/>
      <c r="E310" s="1006"/>
      <c r="F310" s="1006"/>
      <c r="G310" s="1006"/>
      <c r="H310" s="1006"/>
    </row>
    <row r="311" spans="1:8" x14ac:dyDescent="0.2">
      <c r="A311" s="1007" t="s">
        <v>787</v>
      </c>
      <c r="B311" s="1006"/>
      <c r="C311" s="1006"/>
      <c r="D311" s="1006"/>
      <c r="E311" s="1006"/>
      <c r="F311" s="1006"/>
      <c r="G311" s="1006"/>
      <c r="H311" s="1006"/>
    </row>
    <row r="312" spans="1:8" x14ac:dyDescent="0.2">
      <c r="A312" s="1007" t="s">
        <v>788</v>
      </c>
      <c r="B312" s="1006"/>
      <c r="C312" s="1006"/>
      <c r="D312" s="1006"/>
      <c r="E312" s="1006"/>
      <c r="F312" s="1006"/>
      <c r="G312" s="1006"/>
      <c r="H312" s="1006"/>
    </row>
    <row r="313" spans="1:8" x14ac:dyDescent="0.2">
      <c r="A313" s="1006"/>
      <c r="B313" s="1006"/>
      <c r="C313" s="1006"/>
      <c r="D313" s="1006"/>
      <c r="E313" s="1006"/>
      <c r="F313" s="1006"/>
      <c r="G313" s="1006"/>
      <c r="H313" s="1006"/>
    </row>
    <row r="314" spans="1:8" x14ac:dyDescent="0.2">
      <c r="A314" s="1007" t="s">
        <v>774</v>
      </c>
      <c r="B314" s="1006"/>
      <c r="C314" s="1006"/>
      <c r="D314" s="1006"/>
      <c r="E314" s="1006"/>
      <c r="F314" s="1006"/>
      <c r="G314" s="1006"/>
      <c r="H314" s="1006"/>
    </row>
    <row r="315" spans="1:8" x14ac:dyDescent="0.2">
      <c r="A315" s="1007" t="s">
        <v>775</v>
      </c>
      <c r="B315" s="1006"/>
      <c r="C315" s="1006"/>
      <c r="D315" s="1006"/>
      <c r="E315" s="1006"/>
      <c r="F315" s="1006"/>
      <c r="G315" s="1006"/>
      <c r="H315" s="1006"/>
    </row>
    <row r="316" spans="1:8" x14ac:dyDescent="0.2">
      <c r="A316" s="1007" t="s">
        <v>776</v>
      </c>
      <c r="B316" s="1006"/>
      <c r="C316" s="1006"/>
      <c r="D316" s="1006"/>
      <c r="E316" s="1006"/>
      <c r="F316" s="1006"/>
      <c r="G316" s="1006"/>
      <c r="H316" s="1006"/>
    </row>
    <row r="317" spans="1:8" x14ac:dyDescent="0.2">
      <c r="A317" s="1007" t="s">
        <v>777</v>
      </c>
      <c r="B317" s="1006"/>
      <c r="C317" s="1006"/>
      <c r="D317" s="1006"/>
      <c r="E317" s="1006"/>
      <c r="F317" s="1006"/>
      <c r="G317" s="1006"/>
      <c r="H317" s="1006"/>
    </row>
    <row r="318" spans="1:8" x14ac:dyDescent="0.2">
      <c r="A318" s="1007" t="s">
        <v>778</v>
      </c>
      <c r="B318" s="1006"/>
      <c r="C318" s="1006"/>
      <c r="D318" s="1006"/>
      <c r="E318" s="1006"/>
      <c r="F318" s="1006"/>
      <c r="G318" s="1006"/>
      <c r="H318" s="1006"/>
    </row>
    <row r="319" spans="1:8" x14ac:dyDescent="0.2">
      <c r="A319" s="1007" t="s">
        <v>779</v>
      </c>
      <c r="B319" s="1006"/>
      <c r="C319" s="1006"/>
      <c r="D319" s="1006"/>
      <c r="E319" s="1006"/>
      <c r="F319" s="1006"/>
      <c r="G319" s="1006"/>
      <c r="H319" s="1006"/>
    </row>
    <row r="320" spans="1:8" x14ac:dyDescent="0.2">
      <c r="A320" s="1007" t="s">
        <v>780</v>
      </c>
      <c r="B320" s="1006"/>
      <c r="C320" s="1006"/>
      <c r="D320" s="1006"/>
      <c r="E320" s="1006"/>
      <c r="F320" s="1006"/>
      <c r="G320" s="1006"/>
      <c r="H320" s="1006"/>
    </row>
    <row r="321" spans="1:8" x14ac:dyDescent="0.2">
      <c r="A321" s="1007" t="s">
        <v>781</v>
      </c>
      <c r="B321" s="1006"/>
      <c r="C321" s="1006"/>
      <c r="D321" s="1006"/>
      <c r="E321" s="1006"/>
      <c r="F321" s="1006"/>
      <c r="G321" s="1006"/>
      <c r="H321" s="1006"/>
    </row>
    <row r="322" spans="1:8" x14ac:dyDescent="0.2">
      <c r="A322" s="1007" t="s">
        <v>782</v>
      </c>
      <c r="B322" s="1006"/>
      <c r="C322" s="1006"/>
      <c r="D322" s="1006"/>
      <c r="E322" s="1006"/>
      <c r="F322" s="1006"/>
      <c r="G322" s="1006"/>
      <c r="H322" s="1006"/>
    </row>
    <row r="323" spans="1:8" x14ac:dyDescent="0.2">
      <c r="A323" s="1007" t="s">
        <v>783</v>
      </c>
      <c r="B323" s="1006"/>
      <c r="C323" s="1006"/>
      <c r="D323" s="1006"/>
      <c r="E323" s="1006"/>
      <c r="F323" s="1006"/>
      <c r="G323" s="1006"/>
      <c r="H323" s="1006"/>
    </row>
    <row r="324" spans="1:8" x14ac:dyDescent="0.2">
      <c r="A324" s="1007" t="s">
        <v>784</v>
      </c>
      <c r="B324" s="1006"/>
      <c r="C324" s="1006"/>
      <c r="D324" s="1006"/>
      <c r="E324" s="1006"/>
      <c r="F324" s="1006"/>
      <c r="G324" s="1006"/>
      <c r="H324" s="1006"/>
    </row>
    <row r="325" spans="1:8" x14ac:dyDescent="0.2">
      <c r="A325" s="1007" t="s">
        <v>785</v>
      </c>
      <c r="B325" s="1006"/>
      <c r="C325" s="1006"/>
      <c r="D325" s="1006"/>
      <c r="E325" s="1006"/>
      <c r="F325" s="1006"/>
      <c r="G325" s="1006"/>
      <c r="H325" s="1006"/>
    </row>
    <row r="326" spans="1:8" x14ac:dyDescent="0.2">
      <c r="A326" s="1007" t="s">
        <v>786</v>
      </c>
      <c r="B326" s="1006"/>
      <c r="C326" s="1006"/>
      <c r="D326" s="1006"/>
      <c r="E326" s="1006"/>
      <c r="F326" s="1006"/>
      <c r="G326" s="1006"/>
      <c r="H326" s="1006"/>
    </row>
    <row r="327" spans="1:8" x14ac:dyDescent="0.2">
      <c r="A327" s="1006"/>
      <c r="B327" s="1006"/>
      <c r="C327" s="1006"/>
      <c r="D327" s="1006"/>
      <c r="E327" s="1006"/>
      <c r="F327" s="1006"/>
      <c r="G327" s="1006"/>
      <c r="H327" s="1006"/>
    </row>
    <row r="328" spans="1:8" x14ac:dyDescent="0.2">
      <c r="A328" s="1007" t="s">
        <v>766</v>
      </c>
      <c r="B328" s="1006"/>
      <c r="C328" s="1006"/>
      <c r="D328" s="1006"/>
      <c r="E328" s="1006"/>
      <c r="F328" s="1006"/>
      <c r="G328" s="1006"/>
      <c r="H328" s="1006"/>
    </row>
    <row r="329" spans="1:8" x14ac:dyDescent="0.2">
      <c r="A329" s="1007" t="s">
        <v>767</v>
      </c>
      <c r="B329" s="1006"/>
      <c r="C329" s="1006"/>
      <c r="D329" s="1006"/>
      <c r="E329" s="1006"/>
      <c r="F329" s="1006"/>
      <c r="G329" s="1006"/>
      <c r="H329" s="1006"/>
    </row>
    <row r="330" spans="1:8" x14ac:dyDescent="0.2">
      <c r="A330" s="1007" t="s">
        <v>768</v>
      </c>
      <c r="B330" s="1006"/>
      <c r="C330" s="1006"/>
      <c r="D330" s="1006"/>
      <c r="E330" s="1006"/>
      <c r="F330" s="1006"/>
      <c r="G330" s="1006"/>
      <c r="H330" s="1006"/>
    </row>
    <row r="331" spans="1:8" x14ac:dyDescent="0.2">
      <c r="A331" s="1007" t="s">
        <v>769</v>
      </c>
      <c r="B331" s="1006"/>
      <c r="C331" s="1006"/>
      <c r="D331" s="1006"/>
      <c r="E331" s="1006"/>
      <c r="F331" s="1006"/>
      <c r="G331" s="1006"/>
      <c r="H331" s="1006"/>
    </row>
    <row r="332" spans="1:8" x14ac:dyDescent="0.2">
      <c r="A332" s="1007" t="s">
        <v>770</v>
      </c>
      <c r="B332" s="1006"/>
      <c r="C332" s="1006"/>
      <c r="D332" s="1006"/>
      <c r="E332" s="1006"/>
      <c r="F332" s="1006"/>
      <c r="G332" s="1006"/>
      <c r="H332" s="1006"/>
    </row>
    <row r="333" spans="1:8" x14ac:dyDescent="0.2">
      <c r="A333" s="1007" t="s">
        <v>771</v>
      </c>
      <c r="B333" s="1006"/>
      <c r="C333" s="1006"/>
      <c r="D333" s="1006"/>
      <c r="E333" s="1006"/>
      <c r="F333" s="1006"/>
      <c r="G333" s="1006"/>
      <c r="H333" s="1006"/>
    </row>
    <row r="334" spans="1:8" x14ac:dyDescent="0.2">
      <c r="A334" s="1007" t="s">
        <v>772</v>
      </c>
      <c r="B334" s="1006"/>
      <c r="C334" s="1006"/>
      <c r="D334" s="1006"/>
      <c r="E334" s="1006"/>
      <c r="F334" s="1006"/>
      <c r="G334" s="1006"/>
      <c r="H334" s="1006"/>
    </row>
    <row r="335" spans="1:8" x14ac:dyDescent="0.2">
      <c r="A335" s="1007" t="s">
        <v>773</v>
      </c>
      <c r="B335" s="1006"/>
      <c r="C335" s="1006"/>
      <c r="D335" s="1006"/>
      <c r="E335" s="1006"/>
      <c r="F335" s="1006"/>
      <c r="G335" s="1006"/>
      <c r="H335" s="1006"/>
    </row>
    <row r="336" spans="1:8" x14ac:dyDescent="0.2">
      <c r="A336" s="1006"/>
      <c r="B336" s="1006"/>
      <c r="C336" s="1006"/>
      <c r="D336" s="1006"/>
      <c r="E336" s="1006"/>
      <c r="F336" s="1006"/>
      <c r="G336" s="1006"/>
      <c r="H336" s="1006"/>
    </row>
    <row r="337" spans="1:8" x14ac:dyDescent="0.2">
      <c r="A337" s="1007" t="s">
        <v>731</v>
      </c>
      <c r="B337" s="1006"/>
      <c r="C337" s="1006"/>
      <c r="D337" s="1006"/>
      <c r="E337" s="1006"/>
      <c r="F337" s="1006"/>
      <c r="G337" s="1006"/>
      <c r="H337" s="1006"/>
    </row>
    <row r="338" spans="1:8" x14ac:dyDescent="0.2">
      <c r="A338" s="1007" t="s">
        <v>732</v>
      </c>
      <c r="B338" s="1006"/>
      <c r="C338" s="1006"/>
      <c r="D338" s="1006"/>
      <c r="E338" s="1006"/>
      <c r="F338" s="1006"/>
      <c r="G338" s="1006"/>
      <c r="H338" s="1006"/>
    </row>
    <row r="339" spans="1:8" x14ac:dyDescent="0.2">
      <c r="A339" s="1007" t="s">
        <v>733</v>
      </c>
      <c r="B339" s="1006"/>
      <c r="C339" s="1006"/>
      <c r="D339" s="1006"/>
      <c r="E339" s="1006"/>
      <c r="F339" s="1006"/>
      <c r="G339" s="1006"/>
      <c r="H339" s="1006"/>
    </row>
    <row r="340" spans="1:8" x14ac:dyDescent="0.2">
      <c r="A340" s="1007" t="s">
        <v>734</v>
      </c>
      <c r="B340" s="1006"/>
      <c r="C340" s="1006"/>
      <c r="D340" s="1006"/>
      <c r="E340" s="1006"/>
      <c r="F340" s="1006"/>
      <c r="G340" s="1006"/>
      <c r="H340" s="1006"/>
    </row>
    <row r="341" spans="1:8" x14ac:dyDescent="0.2">
      <c r="A341" s="1007" t="s">
        <v>735</v>
      </c>
      <c r="B341" s="1006"/>
      <c r="C341" s="1006"/>
      <c r="D341" s="1006"/>
      <c r="E341" s="1006"/>
      <c r="F341" s="1006"/>
      <c r="G341" s="1006"/>
      <c r="H341" s="1006"/>
    </row>
    <row r="342" spans="1:8" x14ac:dyDescent="0.2">
      <c r="A342" s="1007" t="s">
        <v>736</v>
      </c>
      <c r="B342" s="1006"/>
      <c r="C342" s="1006"/>
      <c r="D342" s="1006"/>
      <c r="E342" s="1006"/>
      <c r="F342" s="1006"/>
      <c r="G342" s="1006"/>
      <c r="H342" s="1006"/>
    </row>
    <row r="343" spans="1:8" x14ac:dyDescent="0.2">
      <c r="A343" s="1007" t="s">
        <v>737</v>
      </c>
      <c r="B343" s="1006"/>
      <c r="C343" s="1006"/>
      <c r="D343" s="1006"/>
      <c r="E343" s="1006"/>
      <c r="F343" s="1006"/>
      <c r="G343" s="1006"/>
      <c r="H343" s="1006"/>
    </row>
    <row r="344" spans="1:8" x14ac:dyDescent="0.2">
      <c r="A344" s="1007" t="s">
        <v>738</v>
      </c>
      <c r="B344" s="1006"/>
      <c r="C344" s="1006"/>
      <c r="D344" s="1006"/>
      <c r="E344" s="1006"/>
      <c r="F344" s="1006"/>
      <c r="G344" s="1006"/>
      <c r="H344" s="1006"/>
    </row>
    <row r="345" spans="1:8" x14ac:dyDescent="0.2">
      <c r="A345" s="1007" t="s">
        <v>739</v>
      </c>
      <c r="B345" s="1006"/>
      <c r="C345" s="1006"/>
      <c r="D345" s="1006"/>
      <c r="E345" s="1006"/>
      <c r="F345" s="1006"/>
      <c r="G345" s="1006"/>
      <c r="H345" s="1006"/>
    </row>
    <row r="346" spans="1:8" x14ac:dyDescent="0.2">
      <c r="A346" s="1007" t="s">
        <v>740</v>
      </c>
      <c r="B346" s="1006"/>
      <c r="C346" s="1006"/>
      <c r="D346" s="1006"/>
      <c r="E346" s="1006"/>
      <c r="F346" s="1006"/>
      <c r="G346" s="1006"/>
      <c r="H346" s="1006"/>
    </row>
    <row r="347" spans="1:8" x14ac:dyDescent="0.2">
      <c r="A347" s="1007" t="s">
        <v>741</v>
      </c>
      <c r="B347" s="1006"/>
      <c r="C347" s="1006"/>
      <c r="D347" s="1006"/>
      <c r="E347" s="1006"/>
      <c r="F347" s="1006"/>
      <c r="G347" s="1006"/>
      <c r="H347" s="1006"/>
    </row>
    <row r="348" spans="1:8" x14ac:dyDescent="0.2">
      <c r="A348" s="1007" t="s">
        <v>742</v>
      </c>
      <c r="B348" s="1006"/>
      <c r="C348" s="1006"/>
      <c r="D348" s="1006"/>
      <c r="E348" s="1006"/>
      <c r="F348" s="1006"/>
      <c r="G348" s="1006"/>
      <c r="H348" s="1006"/>
    </row>
    <row r="349" spans="1:8" x14ac:dyDescent="0.2">
      <c r="A349" s="1007" t="s">
        <v>743</v>
      </c>
      <c r="B349" s="1006"/>
      <c r="C349" s="1006"/>
      <c r="D349" s="1006"/>
      <c r="E349" s="1006"/>
      <c r="F349" s="1006"/>
      <c r="G349" s="1006"/>
      <c r="H349" s="1006"/>
    </row>
    <row r="350" spans="1:8" x14ac:dyDescent="0.2">
      <c r="A350" s="1007" t="s">
        <v>744</v>
      </c>
      <c r="B350" s="1006"/>
      <c r="C350" s="1006"/>
      <c r="D350" s="1006"/>
      <c r="E350" s="1006"/>
      <c r="F350" s="1006"/>
      <c r="G350" s="1006"/>
      <c r="H350" s="1006"/>
    </row>
    <row r="351" spans="1:8" x14ac:dyDescent="0.2">
      <c r="A351" s="1007" t="s">
        <v>745</v>
      </c>
      <c r="B351" s="1006"/>
      <c r="C351" s="1006"/>
      <c r="D351" s="1006"/>
      <c r="E351" s="1006"/>
      <c r="F351" s="1006"/>
      <c r="G351" s="1006"/>
      <c r="H351" s="1006"/>
    </row>
    <row r="352" spans="1:8" x14ac:dyDescent="0.2">
      <c r="A352" s="1007" t="s">
        <v>746</v>
      </c>
      <c r="B352" s="1006"/>
      <c r="C352" s="1006"/>
      <c r="D352" s="1006"/>
      <c r="E352" s="1006"/>
      <c r="F352" s="1006"/>
      <c r="G352" s="1006"/>
      <c r="H352" s="1006"/>
    </row>
    <row r="353" spans="1:8" x14ac:dyDescent="0.2">
      <c r="A353" s="1007" t="s">
        <v>747</v>
      </c>
      <c r="B353" s="1006"/>
      <c r="C353" s="1006"/>
      <c r="D353" s="1006"/>
      <c r="E353" s="1006"/>
      <c r="F353" s="1006"/>
      <c r="G353" s="1006"/>
      <c r="H353" s="1006"/>
    </row>
    <row r="354" spans="1:8" x14ac:dyDescent="0.2">
      <c r="A354" s="1007" t="s">
        <v>748</v>
      </c>
      <c r="B354" s="1006"/>
      <c r="C354" s="1006"/>
      <c r="D354" s="1006"/>
      <c r="E354" s="1006"/>
      <c r="F354" s="1006"/>
      <c r="G354" s="1006"/>
      <c r="H354" s="1006"/>
    </row>
    <row r="355" spans="1:8" x14ac:dyDescent="0.2">
      <c r="A355" s="1007" t="s">
        <v>749</v>
      </c>
      <c r="B355" s="1006"/>
      <c r="C355" s="1006"/>
      <c r="D355" s="1006"/>
      <c r="E355" s="1006"/>
      <c r="F355" s="1006"/>
      <c r="G355" s="1006"/>
      <c r="H355" s="1006"/>
    </row>
    <row r="356" spans="1:8" x14ac:dyDescent="0.2">
      <c r="A356" s="1007" t="s">
        <v>750</v>
      </c>
      <c r="B356" s="1006"/>
      <c r="C356" s="1006"/>
      <c r="D356" s="1006"/>
      <c r="E356" s="1006"/>
      <c r="F356" s="1006"/>
      <c r="G356" s="1006"/>
      <c r="H356" s="1006"/>
    </row>
    <row r="357" spans="1:8" x14ac:dyDescent="0.2">
      <c r="A357" s="1007" t="s">
        <v>751</v>
      </c>
      <c r="B357" s="1006"/>
      <c r="C357" s="1006"/>
      <c r="D357" s="1006"/>
      <c r="E357" s="1006"/>
      <c r="F357" s="1006"/>
      <c r="G357" s="1006"/>
      <c r="H357" s="1006"/>
    </row>
    <row r="358" spans="1:8" x14ac:dyDescent="0.2">
      <c r="A358" s="1007" t="s">
        <v>752</v>
      </c>
      <c r="B358" s="1006"/>
      <c r="C358" s="1006"/>
      <c r="D358" s="1006"/>
      <c r="E358" s="1006"/>
      <c r="F358" s="1006"/>
      <c r="G358" s="1006"/>
      <c r="H358" s="1006"/>
    </row>
    <row r="359" spans="1:8" x14ac:dyDescent="0.2">
      <c r="A359" s="1007" t="s">
        <v>753</v>
      </c>
      <c r="B359" s="1006"/>
      <c r="C359" s="1006"/>
      <c r="D359" s="1006"/>
      <c r="E359" s="1006"/>
      <c r="F359" s="1006"/>
      <c r="G359" s="1006"/>
      <c r="H359" s="1006"/>
    </row>
    <row r="360" spans="1:8" x14ac:dyDescent="0.2">
      <c r="A360" s="1007" t="s">
        <v>754</v>
      </c>
      <c r="B360" s="1006"/>
      <c r="C360" s="1006"/>
      <c r="D360" s="1006"/>
      <c r="E360" s="1006"/>
      <c r="F360" s="1006"/>
      <c r="G360" s="1006"/>
      <c r="H360" s="1006"/>
    </row>
    <row r="361" spans="1:8" x14ac:dyDescent="0.2">
      <c r="A361" s="1007" t="s">
        <v>755</v>
      </c>
      <c r="B361" s="1006"/>
      <c r="C361" s="1006"/>
      <c r="D361" s="1006"/>
      <c r="E361" s="1006"/>
      <c r="F361" s="1006"/>
      <c r="G361" s="1006"/>
      <c r="H361" s="1006"/>
    </row>
    <row r="362" spans="1:8" x14ac:dyDescent="0.2">
      <c r="A362" s="1007" t="s">
        <v>756</v>
      </c>
      <c r="B362" s="1006"/>
      <c r="C362" s="1006"/>
      <c r="D362" s="1006"/>
      <c r="E362" s="1006"/>
      <c r="F362" s="1006"/>
      <c r="G362" s="1006"/>
      <c r="H362" s="1006"/>
    </row>
    <row r="363" spans="1:8" x14ac:dyDescent="0.2">
      <c r="A363" s="1007" t="s">
        <v>757</v>
      </c>
      <c r="B363" s="1006"/>
      <c r="C363" s="1006"/>
      <c r="D363" s="1006"/>
      <c r="E363" s="1006"/>
      <c r="F363" s="1006"/>
      <c r="G363" s="1006"/>
      <c r="H363" s="1006"/>
    </row>
    <row r="364" spans="1:8" x14ac:dyDescent="0.2">
      <c r="A364" s="1007" t="s">
        <v>758</v>
      </c>
      <c r="B364" s="1006"/>
      <c r="C364" s="1006"/>
      <c r="D364" s="1006"/>
      <c r="E364" s="1006"/>
      <c r="F364" s="1006"/>
      <c r="G364" s="1006"/>
      <c r="H364" s="1006"/>
    </row>
    <row r="365" spans="1:8" x14ac:dyDescent="0.2">
      <c r="A365" s="1007" t="s">
        <v>759</v>
      </c>
      <c r="B365" s="1006"/>
      <c r="C365" s="1006"/>
      <c r="D365" s="1006"/>
      <c r="E365" s="1006"/>
      <c r="F365" s="1006"/>
      <c r="G365" s="1006"/>
      <c r="H365" s="1006"/>
    </row>
    <row r="366" spans="1:8" x14ac:dyDescent="0.2">
      <c r="A366" s="1007" t="s">
        <v>760</v>
      </c>
      <c r="B366" s="1006"/>
      <c r="C366" s="1006"/>
      <c r="D366" s="1006"/>
      <c r="E366" s="1006"/>
      <c r="F366" s="1006"/>
      <c r="G366" s="1006"/>
      <c r="H366" s="1006"/>
    </row>
    <row r="367" spans="1:8" x14ac:dyDescent="0.2">
      <c r="A367" s="1007" t="s">
        <v>761</v>
      </c>
      <c r="B367" s="1006"/>
      <c r="C367" s="1006"/>
      <c r="D367" s="1006"/>
      <c r="E367" s="1006"/>
      <c r="F367" s="1006"/>
      <c r="G367" s="1006"/>
      <c r="H367" s="1006"/>
    </row>
    <row r="368" spans="1:8" x14ac:dyDescent="0.2">
      <c r="A368" s="1007" t="s">
        <v>762</v>
      </c>
      <c r="B368" s="1006"/>
      <c r="C368" s="1006"/>
      <c r="D368" s="1006"/>
      <c r="E368" s="1006"/>
      <c r="F368" s="1006"/>
      <c r="G368" s="1006"/>
      <c r="H368" s="1006"/>
    </row>
    <row r="369" spans="1:8" x14ac:dyDescent="0.2">
      <c r="A369" s="1007" t="s">
        <v>763</v>
      </c>
      <c r="B369" s="1006"/>
      <c r="C369" s="1006"/>
      <c r="D369" s="1006"/>
      <c r="E369" s="1006"/>
      <c r="F369" s="1006"/>
      <c r="G369" s="1006"/>
      <c r="H369" s="1006"/>
    </row>
    <row r="370" spans="1:8" x14ac:dyDescent="0.2">
      <c r="A370" s="1007" t="s">
        <v>764</v>
      </c>
      <c r="B370" s="1006"/>
      <c r="C370" s="1006"/>
      <c r="D370" s="1006"/>
      <c r="E370" s="1006"/>
      <c r="F370" s="1006"/>
      <c r="G370" s="1006"/>
      <c r="H370" s="1006"/>
    </row>
    <row r="371" spans="1:8" x14ac:dyDescent="0.2">
      <c r="A371" s="1007" t="s">
        <v>765</v>
      </c>
      <c r="B371" s="1006"/>
      <c r="C371" s="1006"/>
      <c r="D371" s="1006"/>
      <c r="E371" s="1006"/>
      <c r="F371" s="1006"/>
      <c r="G371" s="1006"/>
      <c r="H371" s="1006"/>
    </row>
    <row r="372" spans="1:8" x14ac:dyDescent="0.2">
      <c r="A372" s="1006"/>
      <c r="B372" s="1006"/>
      <c r="C372" s="1006"/>
      <c r="D372" s="1006"/>
      <c r="E372" s="1006"/>
      <c r="F372" s="1006"/>
      <c r="G372" s="1006"/>
      <c r="H372" s="1006"/>
    </row>
    <row r="373" spans="1:8" x14ac:dyDescent="0.2">
      <c r="A373" s="1007" t="s">
        <v>723</v>
      </c>
      <c r="B373" s="1006"/>
      <c r="C373" s="1006"/>
      <c r="D373" s="1006"/>
      <c r="E373" s="1006"/>
      <c r="F373" s="1006"/>
      <c r="G373" s="1006"/>
      <c r="H373" s="1006"/>
    </row>
    <row r="374" spans="1:8" x14ac:dyDescent="0.2">
      <c r="A374" s="1007" t="s">
        <v>727</v>
      </c>
      <c r="B374" s="1006"/>
      <c r="C374" s="1006"/>
      <c r="D374" s="1006"/>
      <c r="E374" s="1006"/>
      <c r="F374" s="1006"/>
      <c r="G374" s="1006"/>
      <c r="H374" s="1006"/>
    </row>
    <row r="375" spans="1:8" x14ac:dyDescent="0.2">
      <c r="A375" s="1007" t="s">
        <v>728</v>
      </c>
      <c r="B375" s="1006"/>
      <c r="C375" s="1006"/>
      <c r="D375" s="1006"/>
      <c r="E375" s="1006"/>
      <c r="F375" s="1006"/>
      <c r="G375" s="1006"/>
      <c r="H375" s="1006"/>
    </row>
    <row r="376" spans="1:8" x14ac:dyDescent="0.2">
      <c r="A376" s="1007" t="s">
        <v>729</v>
      </c>
      <c r="B376" s="1006"/>
      <c r="C376" s="1006"/>
      <c r="D376" s="1006"/>
      <c r="E376" s="1006"/>
      <c r="F376" s="1006"/>
      <c r="G376" s="1006"/>
      <c r="H376" s="1006"/>
    </row>
    <row r="377" spans="1:8" x14ac:dyDescent="0.2">
      <c r="A377" s="1007" t="s">
        <v>730</v>
      </c>
      <c r="B377" s="1006"/>
      <c r="C377" s="1006"/>
      <c r="D377" s="1006"/>
      <c r="E377" s="1006"/>
      <c r="F377" s="1006"/>
      <c r="G377" s="1006"/>
      <c r="H377" s="1006"/>
    </row>
    <row r="378" spans="1:8" x14ac:dyDescent="0.2">
      <c r="A378" s="1006"/>
      <c r="B378" s="1006"/>
      <c r="C378" s="1006"/>
      <c r="D378" s="1006"/>
      <c r="E378" s="1006"/>
      <c r="F378" s="1006"/>
      <c r="G378" s="1006"/>
      <c r="H378" s="1006"/>
    </row>
    <row r="379" spans="1:8" x14ac:dyDescent="0.2">
      <c r="A379" s="1007" t="s">
        <v>723</v>
      </c>
      <c r="B379" s="1006"/>
      <c r="C379" s="1006"/>
      <c r="D379" s="1006"/>
      <c r="E379" s="1006"/>
      <c r="F379" s="1006"/>
      <c r="G379" s="1006"/>
      <c r="H379" s="1006"/>
    </row>
    <row r="380" spans="1:8" x14ac:dyDescent="0.2">
      <c r="A380" s="1007" t="s">
        <v>724</v>
      </c>
      <c r="B380" s="1006"/>
      <c r="C380" s="1006"/>
      <c r="D380" s="1006"/>
      <c r="E380" s="1006"/>
      <c r="F380" s="1006"/>
      <c r="G380" s="1006"/>
      <c r="H380" s="1006"/>
    </row>
    <row r="381" spans="1:8" x14ac:dyDescent="0.2">
      <c r="A381" s="1007" t="s">
        <v>725</v>
      </c>
      <c r="B381" s="1006"/>
      <c r="C381" s="1006"/>
      <c r="D381" s="1006"/>
      <c r="E381" s="1006"/>
      <c r="F381" s="1006"/>
      <c r="G381" s="1006"/>
      <c r="H381" s="1006"/>
    </row>
    <row r="382" spans="1:8" x14ac:dyDescent="0.2">
      <c r="A382" s="1007" t="s">
        <v>726</v>
      </c>
      <c r="B382" s="1006"/>
      <c r="C382" s="1006"/>
      <c r="D382" s="1006"/>
      <c r="E382" s="1006"/>
      <c r="F382" s="1006"/>
      <c r="G382" s="1006"/>
      <c r="H382" s="1006"/>
    </row>
    <row r="383" spans="1:8" x14ac:dyDescent="0.2">
      <c r="A383" s="1006"/>
      <c r="B383" s="1006"/>
      <c r="C383" s="1006"/>
      <c r="D383" s="1006"/>
      <c r="E383" s="1006"/>
      <c r="F383" s="1006"/>
      <c r="G383" s="1006"/>
      <c r="H383" s="1006"/>
    </row>
    <row r="384" spans="1:8" x14ac:dyDescent="0.2">
      <c r="A384" s="1007" t="s">
        <v>717</v>
      </c>
      <c r="B384" s="1006"/>
      <c r="C384" s="1006"/>
      <c r="D384" s="1006"/>
      <c r="E384" s="1006"/>
      <c r="F384" s="1006"/>
      <c r="G384" s="1006"/>
      <c r="H384" s="1006"/>
    </row>
    <row r="385" spans="1:8" x14ac:dyDescent="0.2">
      <c r="A385" s="1007" t="s">
        <v>718</v>
      </c>
      <c r="B385" s="1006"/>
      <c r="C385" s="1006"/>
      <c r="D385" s="1006"/>
      <c r="E385" s="1006"/>
      <c r="F385" s="1006"/>
      <c r="G385" s="1006"/>
      <c r="H385" s="1006"/>
    </row>
    <row r="386" spans="1:8" x14ac:dyDescent="0.2">
      <c r="A386" s="1007" t="s">
        <v>719</v>
      </c>
      <c r="B386" s="1006"/>
      <c r="C386" s="1006"/>
      <c r="D386" s="1006"/>
      <c r="E386" s="1006"/>
      <c r="F386" s="1006"/>
      <c r="G386" s="1006"/>
      <c r="H386" s="1006"/>
    </row>
    <row r="387" spans="1:8" x14ac:dyDescent="0.2">
      <c r="A387" s="1007" t="s">
        <v>720</v>
      </c>
      <c r="B387" s="1006"/>
      <c r="C387" s="1006"/>
      <c r="D387" s="1006"/>
      <c r="E387" s="1006"/>
      <c r="F387" s="1006"/>
      <c r="G387" s="1006"/>
      <c r="H387" s="1006"/>
    </row>
    <row r="388" spans="1:8" x14ac:dyDescent="0.2">
      <c r="A388" s="1007" t="s">
        <v>721</v>
      </c>
      <c r="B388" s="1006"/>
      <c r="C388" s="1006"/>
      <c r="D388" s="1006"/>
      <c r="E388" s="1006"/>
      <c r="F388" s="1006"/>
      <c r="G388" s="1006"/>
      <c r="H388" s="1006"/>
    </row>
    <row r="389" spans="1:8" x14ac:dyDescent="0.2">
      <c r="A389" s="1007" t="s">
        <v>722</v>
      </c>
      <c r="B389" s="1006"/>
      <c r="C389" s="1006"/>
      <c r="D389" s="1006"/>
      <c r="E389" s="1006"/>
      <c r="F389" s="1006"/>
      <c r="G389" s="1006"/>
      <c r="H389" s="1006"/>
    </row>
    <row r="390" spans="1:8" x14ac:dyDescent="0.2">
      <c r="A390" s="1006"/>
      <c r="B390" s="1006"/>
      <c r="C390" s="1006"/>
      <c r="D390" s="1006"/>
      <c r="E390" s="1006"/>
      <c r="F390" s="1006"/>
      <c r="G390" s="1006"/>
      <c r="H390" s="1006"/>
    </row>
    <row r="391" spans="1:8" x14ac:dyDescent="0.2">
      <c r="A391" s="1007" t="s">
        <v>712</v>
      </c>
      <c r="B391" s="1006"/>
      <c r="C391" s="1006"/>
      <c r="D391" s="1006"/>
      <c r="E391" s="1006"/>
      <c r="F391" s="1006"/>
      <c r="G391" s="1006"/>
      <c r="H391" s="1006"/>
    </row>
    <row r="392" spans="1:8" x14ac:dyDescent="0.2">
      <c r="A392" s="1007" t="s">
        <v>713</v>
      </c>
      <c r="B392" s="1006"/>
      <c r="C392" s="1006"/>
      <c r="D392" s="1006"/>
      <c r="E392" s="1006"/>
      <c r="F392" s="1006"/>
      <c r="G392" s="1006"/>
      <c r="H392" s="1006"/>
    </row>
    <row r="393" spans="1:8" x14ac:dyDescent="0.2">
      <c r="A393" s="1007" t="s">
        <v>714</v>
      </c>
      <c r="B393" s="1006"/>
      <c r="C393" s="1006"/>
      <c r="D393" s="1006"/>
      <c r="E393" s="1006"/>
      <c r="F393" s="1006"/>
      <c r="G393" s="1006"/>
      <c r="H393" s="1006"/>
    </row>
    <row r="394" spans="1:8" x14ac:dyDescent="0.2">
      <c r="A394" s="1007" t="s">
        <v>715</v>
      </c>
      <c r="B394" s="1006"/>
      <c r="C394" s="1006"/>
      <c r="D394" s="1006"/>
      <c r="E394" s="1006"/>
      <c r="F394" s="1006"/>
      <c r="G394" s="1006"/>
      <c r="H394" s="1006"/>
    </row>
    <row r="395" spans="1:8" x14ac:dyDescent="0.2">
      <c r="A395" s="1007" t="s">
        <v>716</v>
      </c>
      <c r="B395" s="1006"/>
      <c r="C395" s="1006"/>
      <c r="D395" s="1006"/>
      <c r="E395" s="1006"/>
      <c r="F395" s="1006"/>
      <c r="G395" s="1006"/>
      <c r="H395" s="1006"/>
    </row>
    <row r="396" spans="1:8" x14ac:dyDescent="0.2">
      <c r="A396" s="1006"/>
      <c r="B396" s="1006"/>
      <c r="C396" s="1006"/>
      <c r="D396" s="1006"/>
      <c r="E396" s="1006"/>
      <c r="F396" s="1006"/>
      <c r="G396" s="1006"/>
      <c r="H396" s="1006"/>
    </row>
    <row r="397" spans="1:8" x14ac:dyDescent="0.2">
      <c r="A397" s="1007" t="s">
        <v>710</v>
      </c>
      <c r="B397" s="1006"/>
      <c r="C397" s="1006"/>
      <c r="D397" s="1006"/>
      <c r="E397" s="1006"/>
      <c r="F397" s="1006"/>
      <c r="G397" s="1006"/>
      <c r="H397" s="1006"/>
    </row>
    <row r="398" spans="1:8" x14ac:dyDescent="0.2">
      <c r="A398" s="1007" t="s">
        <v>711</v>
      </c>
      <c r="B398" s="1006"/>
      <c r="C398" s="1006"/>
      <c r="D398" s="1006"/>
      <c r="E398" s="1006"/>
      <c r="F398" s="1006"/>
      <c r="G398" s="1006"/>
      <c r="H398" s="1006"/>
    </row>
    <row r="400" spans="1:8" x14ac:dyDescent="0.2">
      <c r="A400" s="1002" t="s">
        <v>972</v>
      </c>
    </row>
  </sheetData>
  <mergeCells count="12">
    <mergeCell ref="A138:H138"/>
    <mergeCell ref="A139:H139"/>
    <mergeCell ref="B131:C131"/>
    <mergeCell ref="D131:F131"/>
    <mergeCell ref="G131:H131"/>
    <mergeCell ref="A117:H117"/>
    <mergeCell ref="A118:H118"/>
    <mergeCell ref="A119:H119"/>
    <mergeCell ref="A120:H120"/>
    <mergeCell ref="A122:H122"/>
    <mergeCell ref="A123:H123"/>
    <mergeCell ref="A130:H130"/>
  </mergeCells>
  <pageMargins left="0.5" right="0.5" top="0.5" bottom="0.5" header="0.5" footer="0.5"/>
  <pageSetup orientation="portrait" horizontalDpi="300"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K38"/>
  <sheetViews>
    <sheetView showGridLines="0" workbookViewId="0">
      <selection activeCell="A13" sqref="A13"/>
    </sheetView>
  </sheetViews>
  <sheetFormatPr defaultRowHeight="12.75" x14ac:dyDescent="0.2"/>
  <cols>
    <col min="1" max="1" width="33.42578125" customWidth="1"/>
    <col min="2" max="2" width="1.42578125" customWidth="1"/>
    <col min="3" max="3" width="28.85546875" customWidth="1"/>
    <col min="4" max="20" width="8.140625" customWidth="1"/>
    <col min="21" max="21" width="2.85546875" customWidth="1"/>
  </cols>
  <sheetData>
    <row r="1" spans="1:37" ht="16.5" customHeight="1" x14ac:dyDescent="0.2">
      <c r="A1" s="1"/>
      <c r="B1" s="1"/>
      <c r="C1" s="273" t="s">
        <v>74</v>
      </c>
      <c r="D1" s="1"/>
      <c r="E1" s="1"/>
      <c r="F1" s="585" t="s">
        <v>130</v>
      </c>
      <c r="G1" s="586"/>
      <c r="H1" s="289"/>
      <c r="I1" s="994">
        <v>72</v>
      </c>
      <c r="J1" s="1"/>
      <c r="K1" s="1"/>
      <c r="L1" s="1"/>
      <c r="M1" s="1"/>
      <c r="N1" s="1"/>
      <c r="O1" s="1"/>
      <c r="P1" s="1"/>
      <c r="Q1" s="1"/>
      <c r="R1" s="1"/>
      <c r="S1" s="1"/>
      <c r="T1" s="1"/>
    </row>
    <row r="2" spans="1:37" ht="13.5" thickBot="1" x14ac:dyDescent="0.25">
      <c r="A2" s="1"/>
      <c r="B2" s="1"/>
      <c r="C2" s="16" t="s">
        <v>73</v>
      </c>
      <c r="D2" s="1"/>
      <c r="E2" s="1"/>
      <c r="F2" s="1"/>
      <c r="G2" s="1"/>
      <c r="H2" s="1"/>
      <c r="I2" s="1"/>
      <c r="J2" s="1"/>
      <c r="K2" s="1"/>
      <c r="L2" s="1"/>
      <c r="M2" s="1"/>
      <c r="N2" s="1"/>
      <c r="O2" s="1"/>
      <c r="P2" s="1"/>
      <c r="Q2" s="1"/>
      <c r="R2" s="1"/>
      <c r="S2" s="1"/>
      <c r="T2" s="1"/>
    </row>
    <row r="3" spans="1:37" ht="23.25" customHeight="1" x14ac:dyDescent="0.2">
      <c r="A3" s="1"/>
      <c r="B3" s="1"/>
      <c r="C3" s="260" t="s">
        <v>30</v>
      </c>
      <c r="D3" s="496" t="s">
        <v>55</v>
      </c>
      <c r="E3" s="496" t="s">
        <v>82</v>
      </c>
      <c r="F3" s="496" t="s">
        <v>81</v>
      </c>
      <c r="G3" s="496" t="s">
        <v>588</v>
      </c>
      <c r="H3" s="496" t="s">
        <v>587</v>
      </c>
      <c r="I3" s="496" t="s">
        <v>586</v>
      </c>
      <c r="J3" s="496" t="s">
        <v>585</v>
      </c>
      <c r="K3" s="496" t="s">
        <v>31</v>
      </c>
      <c r="L3" s="496" t="s">
        <v>0</v>
      </c>
      <c r="M3" s="496" t="s">
        <v>148</v>
      </c>
      <c r="N3" s="496" t="s">
        <v>80</v>
      </c>
      <c r="O3" s="932" t="s">
        <v>79</v>
      </c>
      <c r="P3" s="932" t="s">
        <v>99</v>
      </c>
      <c r="Q3" s="932" t="s">
        <v>100</v>
      </c>
      <c r="R3" s="932" t="s">
        <v>662</v>
      </c>
      <c r="S3" s="496" t="s">
        <v>32</v>
      </c>
      <c r="T3" s="644" t="s">
        <v>656</v>
      </c>
      <c r="V3" s="647" t="s">
        <v>661</v>
      </c>
    </row>
    <row r="4" spans="1:37" ht="15.75" customHeight="1" x14ac:dyDescent="0.25">
      <c r="A4" s="272" t="s">
        <v>19</v>
      </c>
      <c r="B4" s="1"/>
      <c r="C4" s="262" t="s">
        <v>33</v>
      </c>
      <c r="D4" s="450">
        <f>IS!AU17</f>
        <v>4075.5209999999997</v>
      </c>
      <c r="E4" s="450">
        <f>IS!AZ17</f>
        <v>5294.2469999999994</v>
      </c>
      <c r="F4" s="450">
        <f>IS!BE17</f>
        <v>6369.2999999999993</v>
      </c>
      <c r="G4" s="450">
        <f>IS!BJ17</f>
        <v>7786.942</v>
      </c>
      <c r="H4" s="450">
        <f>IS!BO17</f>
        <v>9411.4969999999994</v>
      </c>
      <c r="I4" s="450">
        <f>IS!BT17</f>
        <v>10383</v>
      </c>
      <c r="J4" s="450">
        <f>IS!BY17</f>
        <v>9774.6</v>
      </c>
      <c r="K4" s="450">
        <f>IS!CD17</f>
        <v>10707.4</v>
      </c>
      <c r="L4" s="450">
        <f>IS!CI17</f>
        <v>11700.6</v>
      </c>
      <c r="M4" s="450">
        <f>IS!CN17</f>
        <v>13276.9</v>
      </c>
      <c r="N4" s="450">
        <f>IS!CS17</f>
        <v>14866.899999999998</v>
      </c>
      <c r="O4" s="450">
        <f>IS!CX17</f>
        <v>16447.900000000001</v>
      </c>
      <c r="P4" s="450">
        <f>IS!DC17</f>
        <v>19162.7</v>
      </c>
      <c r="Q4" s="450">
        <f>IS!DH17</f>
        <v>21315.9</v>
      </c>
      <c r="R4" s="450">
        <f>IS!DM17</f>
        <v>22386.7</v>
      </c>
      <c r="S4" s="991">
        <f>IS!DR17</f>
        <v>24765.707133002339</v>
      </c>
      <c r="T4" s="451">
        <f>IS!DW17</f>
        <v>27224.617378936447</v>
      </c>
      <c r="V4" s="650">
        <f>(R4/O4)^(1/3)-1</f>
        <v>0.1082214219644535</v>
      </c>
      <c r="W4" s="411"/>
      <c r="X4" s="411"/>
      <c r="Y4" s="411"/>
      <c r="Z4" s="411"/>
      <c r="AA4" s="411"/>
      <c r="AB4" s="411"/>
      <c r="AC4" s="411"/>
      <c r="AD4" s="411"/>
      <c r="AE4" s="411"/>
      <c r="AF4" s="411"/>
      <c r="AG4" s="411"/>
      <c r="AH4" s="411"/>
      <c r="AI4" s="411"/>
      <c r="AJ4" s="411"/>
      <c r="AK4" s="411"/>
    </row>
    <row r="5" spans="1:37" x14ac:dyDescent="0.2">
      <c r="A5" s="1" t="s">
        <v>20</v>
      </c>
      <c r="B5" s="1"/>
      <c r="C5" s="266" t="s">
        <v>34</v>
      </c>
      <c r="D5" s="452">
        <f>IS!AU73</f>
        <v>0.23917148184138926</v>
      </c>
      <c r="E5" s="452">
        <f>IS!AZ73</f>
        <v>0.29903563249950116</v>
      </c>
      <c r="F5" s="452">
        <f>IS!BE73</f>
        <v>0.20306060521921254</v>
      </c>
      <c r="G5" s="452">
        <f>IS!BJ73</f>
        <v>0.22257422322704246</v>
      </c>
      <c r="H5" s="452">
        <f>IS!BO73</f>
        <v>0.20862554260709776</v>
      </c>
      <c r="I5" s="452">
        <f>IS!BT73</f>
        <v>0.10322512985978749</v>
      </c>
      <c r="J5" s="452">
        <f t="shared" ref="J5:S5" si="0">J4/I4-1</f>
        <v>-5.8595781566021299E-2</v>
      </c>
      <c r="K5" s="452">
        <f t="shared" si="0"/>
        <v>9.5431015079900927E-2</v>
      </c>
      <c r="L5" s="452">
        <f t="shared" si="0"/>
        <v>9.2758279320843684E-2</v>
      </c>
      <c r="M5" s="452">
        <f t="shared" si="0"/>
        <v>0.13471958702972486</v>
      </c>
      <c r="N5" s="452">
        <f t="shared" si="0"/>
        <v>0.11975687095632259</v>
      </c>
      <c r="O5" s="452">
        <f t="shared" si="0"/>
        <v>0.106343622409514</v>
      </c>
      <c r="P5" s="452">
        <f t="shared" si="0"/>
        <v>0.16505450543838407</v>
      </c>
      <c r="Q5" s="452">
        <f t="shared" si="0"/>
        <v>0.11236412405349983</v>
      </c>
      <c r="R5" s="452">
        <f t="shared" si="0"/>
        <v>5.0234801251647809E-2</v>
      </c>
      <c r="S5" s="452">
        <f t="shared" si="0"/>
        <v>0.10626877266423085</v>
      </c>
      <c r="T5" s="453">
        <f>T4/S4-1</f>
        <v>9.9286898319871142E-2</v>
      </c>
      <c r="V5" s="646"/>
      <c r="W5" s="411"/>
      <c r="X5" s="411"/>
      <c r="Y5" s="411"/>
      <c r="Z5" s="411"/>
      <c r="AA5" s="411"/>
      <c r="AB5" s="411"/>
      <c r="AC5" s="411"/>
      <c r="AD5" s="411"/>
      <c r="AE5" s="411"/>
      <c r="AF5" s="411"/>
      <c r="AG5" s="411"/>
      <c r="AH5" s="411"/>
      <c r="AI5" s="411"/>
      <c r="AJ5" s="411"/>
      <c r="AK5" s="411"/>
    </row>
    <row r="6" spans="1:37" x14ac:dyDescent="0.2">
      <c r="A6" s="1" t="s">
        <v>21</v>
      </c>
      <c r="B6" s="1"/>
      <c r="C6" s="262" t="s">
        <v>215</v>
      </c>
      <c r="D6" s="424">
        <f>IS!AU30</f>
        <v>424.71199999999976</v>
      </c>
      <c r="E6" s="424">
        <f>IS!AZ30</f>
        <v>606.81699999999989</v>
      </c>
      <c r="F6" s="424">
        <f>IS!BE30</f>
        <v>780.61499999999944</v>
      </c>
      <c r="G6" s="424">
        <f>IS!BJ30</f>
        <v>893.98600000000022</v>
      </c>
      <c r="H6" s="424">
        <f>IS!BO30</f>
        <v>1053.9449999999999</v>
      </c>
      <c r="I6" s="424">
        <f>IS!BT30</f>
        <v>805.85999999999967</v>
      </c>
      <c r="J6" s="424">
        <f>IS!BY30</f>
        <v>894.4</v>
      </c>
      <c r="K6" s="424">
        <f>IS!CD30</f>
        <v>1472.3999999999992</v>
      </c>
      <c r="L6" s="424">
        <f>IS!CI30</f>
        <v>1698.3000000000002</v>
      </c>
      <c r="M6" s="424">
        <f>IS!CN30</f>
        <v>1997.5999999999995</v>
      </c>
      <c r="N6" s="424">
        <f>IS!CS30</f>
        <v>2458.7999999999965</v>
      </c>
      <c r="O6" s="424">
        <f>IS!CX30</f>
        <v>3060.8000000000025</v>
      </c>
      <c r="P6" s="424">
        <f>IS!DC30</f>
        <v>3655.5999999999995</v>
      </c>
      <c r="Q6" s="424">
        <f>IS!DH30</f>
        <v>4197.8122022180014</v>
      </c>
      <c r="R6" s="424">
        <f>IS!DM30</f>
        <v>4412.5</v>
      </c>
      <c r="S6" s="424">
        <f>IS!DR30</f>
        <v>4685.1725039205812</v>
      </c>
      <c r="T6" s="425">
        <f>IS!DW30</f>
        <v>5280.6140339442691</v>
      </c>
      <c r="V6" s="650">
        <f>(R6/O6)^(1/3)-1</f>
        <v>0.12966564645956846</v>
      </c>
      <c r="W6" s="411"/>
      <c r="X6" s="411"/>
      <c r="Y6" s="411"/>
      <c r="Z6" s="411"/>
      <c r="AA6" s="411"/>
      <c r="AB6" s="411"/>
      <c r="AC6" s="411"/>
      <c r="AD6" s="411"/>
      <c r="AE6" s="411"/>
      <c r="AF6" s="411"/>
      <c r="AG6" s="411"/>
      <c r="AH6" s="411"/>
      <c r="AI6" s="411"/>
      <c r="AJ6" s="411"/>
      <c r="AK6" s="411"/>
    </row>
    <row r="7" spans="1:37" x14ac:dyDescent="0.2">
      <c r="A7" s="229" t="s">
        <v>22</v>
      </c>
      <c r="B7" s="1"/>
      <c r="C7" s="266" t="s">
        <v>35</v>
      </c>
      <c r="D7" s="452">
        <f>IS!AU77</f>
        <v>0.34258925579601529</v>
      </c>
      <c r="E7" s="452">
        <f>IS!AZ77</f>
        <v>0.42877290964229942</v>
      </c>
      <c r="F7" s="452">
        <f>IS!BE77</f>
        <v>0.28640924693935665</v>
      </c>
      <c r="G7" s="452">
        <f>IS!BJ77</f>
        <v>0.14523292532170262</v>
      </c>
      <c r="H7" s="452">
        <f>IS!BO77</f>
        <v>0.17892785793066079</v>
      </c>
      <c r="I7" s="452">
        <f>IS!BT77</f>
        <v>-0.52192951245083985</v>
      </c>
      <c r="J7" s="452">
        <f t="shared" ref="J7:S7" si="1">J6/I6-1</f>
        <v>0.10987020077929222</v>
      </c>
      <c r="K7" s="452">
        <f t="shared" si="1"/>
        <v>0.6462432915921279</v>
      </c>
      <c r="L7" s="452">
        <f t="shared" si="1"/>
        <v>0.15342298288508638</v>
      </c>
      <c r="M7" s="452">
        <f t="shared" si="1"/>
        <v>0.17623505858799926</v>
      </c>
      <c r="N7" s="452">
        <f t="shared" si="1"/>
        <v>0.2308770524629542</v>
      </c>
      <c r="O7" s="452">
        <f t="shared" si="1"/>
        <v>0.24483487880267063</v>
      </c>
      <c r="P7" s="452">
        <f t="shared" si="1"/>
        <v>0.19432828018818493</v>
      </c>
      <c r="Q7" s="452">
        <f t="shared" si="1"/>
        <v>0.1483237231146739</v>
      </c>
      <c r="R7" s="452">
        <f t="shared" si="1"/>
        <v>5.1142782821147703E-2</v>
      </c>
      <c r="S7" s="452">
        <f t="shared" si="1"/>
        <v>6.1795468310613222E-2</v>
      </c>
      <c r="T7" s="453">
        <f>T6/S6-1</f>
        <v>0.12709063103341856</v>
      </c>
      <c r="V7" s="646"/>
      <c r="W7" s="411"/>
      <c r="X7" s="411"/>
      <c r="Y7" s="411"/>
      <c r="Z7" s="411"/>
      <c r="AA7" s="411"/>
      <c r="AB7" s="411"/>
      <c r="AC7" s="411"/>
      <c r="AD7" s="411"/>
      <c r="AE7" s="411"/>
      <c r="AF7" s="411"/>
      <c r="AG7" s="411"/>
      <c r="AH7" s="411"/>
      <c r="AI7" s="411"/>
      <c r="AJ7" s="411"/>
      <c r="AK7" s="411"/>
    </row>
    <row r="8" spans="1:37" x14ac:dyDescent="0.2">
      <c r="A8" s="1"/>
      <c r="B8" s="1"/>
      <c r="C8" s="262" t="s">
        <v>36</v>
      </c>
      <c r="D8" s="426">
        <f>IS!AU50</f>
        <v>0.16702711926301125</v>
      </c>
      <c r="E8" s="426">
        <f>IS!AZ50</f>
        <v>0.23647394067539151</v>
      </c>
      <c r="F8" s="426">
        <f>IS!BE50</f>
        <v>0.30319885408324782</v>
      </c>
      <c r="G8" s="426">
        <f>IS!BJ53</f>
        <v>0.35601891093959459</v>
      </c>
      <c r="H8" s="426">
        <f>IS!BO50</f>
        <v>0.43688973275128906</v>
      </c>
      <c r="I8" s="426">
        <f>IS!BT50</f>
        <v>0.35543985394549982</v>
      </c>
      <c r="J8" s="426">
        <f>IS!BY50</f>
        <v>0.39916878938195471</v>
      </c>
      <c r="K8" s="426">
        <f>IS!CD50</f>
        <v>0.64447783462643493</v>
      </c>
      <c r="L8" s="426">
        <f>IS!CI50</f>
        <v>0.75935429388073306</v>
      </c>
      <c r="M8" s="426">
        <f>IS!CN50</f>
        <v>0.89527813712807225</v>
      </c>
      <c r="N8" s="426">
        <f>IS!CS50</f>
        <v>1.0966155057064126</v>
      </c>
      <c r="O8" s="426">
        <f>IS!CX50</f>
        <v>1.316153057454627</v>
      </c>
      <c r="P8" s="426">
        <f>IS!DC50</f>
        <v>1.5831265713742171</v>
      </c>
      <c r="Q8" s="426">
        <f>IS!DH50</f>
        <v>1.9067390331756877</v>
      </c>
      <c r="R8" s="426">
        <f>IS!DM50</f>
        <v>2.069859234960703</v>
      </c>
      <c r="S8" s="426">
        <f>IS!DR50</f>
        <v>2.481269260034515</v>
      </c>
      <c r="T8" s="497">
        <f>IS!DW50</f>
        <v>2.7963084727638958</v>
      </c>
      <c r="V8" s="650">
        <f>(R8/O8)^(1/3)-1</f>
        <v>0.16290651822125413</v>
      </c>
      <c r="W8" s="411"/>
      <c r="X8" s="411"/>
      <c r="Y8" s="411"/>
      <c r="Z8" s="411"/>
      <c r="AA8" s="411"/>
      <c r="AB8" s="411"/>
      <c r="AC8" s="411"/>
      <c r="AD8" s="411"/>
      <c r="AE8" s="411"/>
      <c r="AF8" s="411"/>
      <c r="AG8" s="411"/>
      <c r="AH8" s="411"/>
      <c r="AI8" s="411"/>
      <c r="AJ8" s="411"/>
      <c r="AK8" s="411"/>
    </row>
    <row r="9" spans="1:37" x14ac:dyDescent="0.2">
      <c r="A9" s="1" t="s">
        <v>663</v>
      </c>
      <c r="B9" s="1"/>
      <c r="C9" s="266" t="s">
        <v>240</v>
      </c>
      <c r="D9" s="452">
        <f>IS!AU81</f>
        <v>0.24866349686644962</v>
      </c>
      <c r="E9" s="452">
        <f>IS!AZ81</f>
        <v>0.41578171089106197</v>
      </c>
      <c r="F9" s="452">
        <f>IS!BE81</f>
        <v>0.28216603156053366</v>
      </c>
      <c r="G9" s="452">
        <f>IS!BJ81</f>
        <v>0.33250959803376823</v>
      </c>
      <c r="H9" s="452">
        <f>IS!BO81</f>
        <v>0.19082649043523325</v>
      </c>
      <c r="I9" s="452">
        <f>IS!BT81</f>
        <v>-0.18643120380253186</v>
      </c>
      <c r="J9" s="452">
        <f t="shared" ref="J9:S9" si="2">J8/I8-1</f>
        <v>0.1230276654433915</v>
      </c>
      <c r="K9" s="452">
        <f t="shared" si="2"/>
        <v>0.61454966362550478</v>
      </c>
      <c r="L9" s="452">
        <f t="shared" si="2"/>
        <v>0.17824733929117231</v>
      </c>
      <c r="M9" s="452">
        <f t="shared" si="2"/>
        <v>0.17899924230715936</v>
      </c>
      <c r="N9" s="452">
        <f t="shared" si="2"/>
        <v>0.22488806576267195</v>
      </c>
      <c r="O9" s="452">
        <f t="shared" si="2"/>
        <v>0.20019555678887979</v>
      </c>
      <c r="P9" s="452">
        <f t="shared" si="2"/>
        <v>0.20284382003101009</v>
      </c>
      <c r="Q9" s="452">
        <f t="shared" si="2"/>
        <v>0.20441351162501298</v>
      </c>
      <c r="R9" s="452">
        <f t="shared" si="2"/>
        <v>8.5549306405783954E-2</v>
      </c>
      <c r="S9" s="452">
        <f t="shared" si="2"/>
        <v>0.19876232070516764</v>
      </c>
      <c r="T9" s="453">
        <f>T8/S8-1</f>
        <v>0.12696695913002154</v>
      </c>
      <c r="V9" s="646"/>
      <c r="W9" s="411"/>
      <c r="X9" s="411"/>
      <c r="Y9" s="411"/>
      <c r="Z9" s="411"/>
      <c r="AA9" s="411"/>
      <c r="AB9" s="411"/>
      <c r="AC9" s="411"/>
      <c r="AD9" s="411"/>
      <c r="AE9" s="411"/>
      <c r="AF9" s="411"/>
      <c r="AG9" s="411"/>
      <c r="AH9" s="411"/>
      <c r="AI9" s="411"/>
      <c r="AJ9" s="411"/>
      <c r="AK9" s="411"/>
    </row>
    <row r="10" spans="1:37" x14ac:dyDescent="0.2">
      <c r="A10" s="1" t="s">
        <v>664</v>
      </c>
      <c r="B10" s="1"/>
      <c r="C10" s="262" t="s">
        <v>241</v>
      </c>
      <c r="D10" s="329"/>
      <c r="E10" s="329"/>
      <c r="F10" s="329"/>
      <c r="G10" s="329"/>
      <c r="H10" s="329"/>
      <c r="I10" s="329"/>
      <c r="J10" s="494">
        <f>IS!BY100</f>
        <v>-0.06</v>
      </c>
      <c r="K10" s="494">
        <f>IS!CD100</f>
        <v>7.0000000000000007E-2</v>
      </c>
      <c r="L10" s="494">
        <f>IS!CI100</f>
        <v>0.08</v>
      </c>
      <c r="M10" s="494">
        <f>IS!CN100</f>
        <v>7.0000000000000007E-2</v>
      </c>
      <c r="N10" s="494">
        <f>IS!CS100</f>
        <v>7.0000000000000007E-2</v>
      </c>
      <c r="O10" s="494">
        <f>IS!CX100</f>
        <v>0.06</v>
      </c>
      <c r="P10" s="494">
        <f>IS!DC100</f>
        <v>7.0000000000000007E-2</v>
      </c>
      <c r="Q10" s="494">
        <f>IS!DH100</f>
        <v>0.05</v>
      </c>
      <c r="R10" s="494">
        <f>IS!DM100</f>
        <v>3.0000000000000002E-2</v>
      </c>
      <c r="S10" s="494">
        <f>IS!DR100</f>
        <v>2.2274722584922108E-2</v>
      </c>
      <c r="T10" s="498">
        <f>IS!DW100</f>
        <v>3.7320363963351796E-2</v>
      </c>
      <c r="V10" s="648">
        <f>AVERAGE(P10:R10)</f>
        <v>5.000000000000001E-2</v>
      </c>
      <c r="W10" s="411"/>
      <c r="X10" s="411"/>
      <c r="Y10" s="411"/>
      <c r="Z10" s="411"/>
      <c r="AA10" s="411"/>
      <c r="AB10" s="411"/>
      <c r="AC10" s="411"/>
      <c r="AD10" s="411"/>
      <c r="AE10" s="411"/>
      <c r="AF10" s="411"/>
      <c r="AG10" s="411"/>
      <c r="AH10" s="411"/>
      <c r="AI10" s="411"/>
      <c r="AJ10" s="411"/>
      <c r="AK10" s="411"/>
    </row>
    <row r="11" spans="1:37" x14ac:dyDescent="0.2">
      <c r="A11" s="995" t="s">
        <v>665</v>
      </c>
      <c r="B11" s="1"/>
      <c r="C11" s="262" t="s">
        <v>242</v>
      </c>
      <c r="D11" s="499">
        <v>7225</v>
      </c>
      <c r="E11" s="499">
        <v>8569</v>
      </c>
      <c r="F11" s="499">
        <v>10241</v>
      </c>
      <c r="G11" s="499">
        <v>12440</v>
      </c>
      <c r="H11" s="499">
        <v>15011</v>
      </c>
      <c r="I11" s="499">
        <v>16680</v>
      </c>
      <c r="J11" s="499">
        <f>IS!BY90</f>
        <v>16635</v>
      </c>
      <c r="K11" s="499">
        <f>IS!CD90</f>
        <v>16858</v>
      </c>
      <c r="L11" s="499">
        <f>IS!CI90</f>
        <v>17003</v>
      </c>
      <c r="M11" s="499">
        <f>IS!CN90</f>
        <v>18066</v>
      </c>
      <c r="N11" s="499">
        <f>IS!CS90</f>
        <v>19767</v>
      </c>
      <c r="O11" s="499">
        <f>IS!CX90</f>
        <v>21366</v>
      </c>
      <c r="P11" s="499">
        <f>IS!DC90</f>
        <v>23043</v>
      </c>
      <c r="Q11" s="499">
        <f>IS!DH90</f>
        <v>25085</v>
      </c>
      <c r="R11" s="499">
        <f>IS!DM90</f>
        <v>27339</v>
      </c>
      <c r="S11" s="499">
        <f>IS!DR90</f>
        <v>29357</v>
      </c>
      <c r="T11" s="500">
        <f>IS!DW90</f>
        <v>31711</v>
      </c>
      <c r="V11" s="650">
        <f>(R11/O11)^(1/3)-1</f>
        <v>8.5641576396695562E-2</v>
      </c>
      <c r="W11" s="411"/>
      <c r="X11" s="411"/>
      <c r="Y11" s="411"/>
      <c r="Z11" s="411"/>
      <c r="AA11" s="411"/>
      <c r="AB11" s="411"/>
      <c r="AC11" s="411"/>
      <c r="AD11" s="411"/>
      <c r="AE11" s="411"/>
      <c r="AF11" s="411"/>
      <c r="AG11" s="411"/>
      <c r="AH11" s="411"/>
      <c r="AI11" s="411"/>
      <c r="AJ11" s="411"/>
      <c r="AK11" s="411"/>
    </row>
    <row r="12" spans="1:37" ht="13.5" thickBot="1" x14ac:dyDescent="0.25">
      <c r="A12" s="1"/>
      <c r="B12" s="1"/>
      <c r="C12" s="267" t="s">
        <v>243</v>
      </c>
      <c r="D12" s="501">
        <v>0.22748895684675507</v>
      </c>
      <c r="E12" s="501">
        <v>0.18602076124567479</v>
      </c>
      <c r="F12" s="501">
        <v>0.19512195121951215</v>
      </c>
      <c r="G12" s="501">
        <v>0.21472512449956049</v>
      </c>
      <c r="H12" s="501">
        <v>0.20667202572347265</v>
      </c>
      <c r="I12" s="501">
        <v>8.9124044679600223E-2</v>
      </c>
      <c r="J12" s="501">
        <f>J11/I11-1</f>
        <v>-2.6978417266186883E-3</v>
      </c>
      <c r="K12" s="501">
        <f t="shared" ref="K12:S12" si="3">K11/J11-1</f>
        <v>1.3405470393748065E-2</v>
      </c>
      <c r="L12" s="501">
        <f t="shared" si="3"/>
        <v>8.6012575631746468E-3</v>
      </c>
      <c r="M12" s="501">
        <f t="shared" si="3"/>
        <v>6.2518379109568922E-2</v>
      </c>
      <c r="N12" s="501">
        <f t="shared" si="3"/>
        <v>9.4154765858518674E-2</v>
      </c>
      <c r="O12" s="501">
        <f t="shared" si="3"/>
        <v>8.0892396418272838E-2</v>
      </c>
      <c r="P12" s="501">
        <f t="shared" si="3"/>
        <v>7.8489188430216128E-2</v>
      </c>
      <c r="Q12" s="501">
        <f t="shared" si="3"/>
        <v>8.8616933558998356E-2</v>
      </c>
      <c r="R12" s="501">
        <f t="shared" si="3"/>
        <v>8.9854494717958922E-2</v>
      </c>
      <c r="S12" s="501">
        <f t="shared" si="3"/>
        <v>7.3813965397417691E-2</v>
      </c>
      <c r="T12" s="502">
        <f>T11/S11-1</f>
        <v>8.0185305037980825E-2</v>
      </c>
      <c r="V12" s="649"/>
    </row>
    <row r="13" spans="1:37" ht="13.5" thickBot="1" x14ac:dyDescent="0.25">
      <c r="A13" s="1"/>
      <c r="B13" s="1"/>
      <c r="C13" s="16" t="s">
        <v>246</v>
      </c>
      <c r="D13" s="1"/>
      <c r="E13" s="1"/>
      <c r="F13" s="16"/>
      <c r="G13" s="16"/>
      <c r="H13" s="1"/>
      <c r="I13" s="1"/>
      <c r="J13" s="1"/>
      <c r="K13" s="1"/>
      <c r="L13" s="1"/>
      <c r="M13" s="1"/>
      <c r="N13" s="1"/>
      <c r="O13" s="1"/>
      <c r="P13" s="1"/>
      <c r="Q13" s="1"/>
      <c r="R13" s="1"/>
      <c r="S13" s="1"/>
      <c r="T13" s="1"/>
      <c r="V13" s="1"/>
    </row>
    <row r="14" spans="1:37" x14ac:dyDescent="0.2">
      <c r="A14" s="270" t="s">
        <v>23</v>
      </c>
      <c r="B14" s="1"/>
      <c r="C14" s="260" t="s">
        <v>30</v>
      </c>
      <c r="D14" s="261"/>
      <c r="E14" s="261"/>
      <c r="F14" s="496" t="s">
        <v>469</v>
      </c>
      <c r="G14" s="496" t="s">
        <v>406</v>
      </c>
      <c r="H14" s="496" t="s">
        <v>405</v>
      </c>
      <c r="I14" s="496" t="s">
        <v>404</v>
      </c>
      <c r="J14" s="496" t="s">
        <v>403</v>
      </c>
      <c r="K14" s="496" t="s">
        <v>402</v>
      </c>
      <c r="L14" s="496" t="s">
        <v>401</v>
      </c>
      <c r="M14" s="496" t="s">
        <v>400</v>
      </c>
      <c r="N14" s="496" t="s">
        <v>399</v>
      </c>
      <c r="O14" s="932" t="s">
        <v>398</v>
      </c>
      <c r="P14" s="932" t="s">
        <v>397</v>
      </c>
      <c r="Q14" s="932" t="s">
        <v>396</v>
      </c>
      <c r="R14" s="496" t="s">
        <v>72</v>
      </c>
      <c r="S14" s="932" t="s">
        <v>600</v>
      </c>
      <c r="T14" s="644" t="s">
        <v>657</v>
      </c>
      <c r="V14" s="645" t="s">
        <v>85</v>
      </c>
    </row>
    <row r="15" spans="1:37" x14ac:dyDescent="0.2">
      <c r="A15" s="271" t="s">
        <v>24</v>
      </c>
      <c r="B15" s="1"/>
      <c r="C15" s="262" t="s">
        <v>468</v>
      </c>
      <c r="D15" s="28"/>
      <c r="E15" s="28"/>
      <c r="F15" s="499">
        <f>IS!EN17</f>
        <v>6713.848</v>
      </c>
      <c r="G15" s="499">
        <f>IS!EO17</f>
        <v>8208.5730000000003</v>
      </c>
      <c r="H15" s="499">
        <f>IS!EP17</f>
        <v>9823.3739999999998</v>
      </c>
      <c r="I15" s="499">
        <f>IS!EQ17</f>
        <v>10230.599999999999</v>
      </c>
      <c r="J15" s="499">
        <f>IS!ER17</f>
        <v>9882.1000000000022</v>
      </c>
      <c r="K15" s="499">
        <f>IS!ES17</f>
        <v>10935.5</v>
      </c>
      <c r="L15" s="499">
        <f>IS!ET17</f>
        <v>12179.8</v>
      </c>
      <c r="M15" s="499">
        <f>IS!EU17</f>
        <v>13640.099999999999</v>
      </c>
      <c r="N15" s="499">
        <f>IS!EV17</f>
        <v>15313.300000000001</v>
      </c>
      <c r="O15" s="499">
        <f>IS!EW17</f>
        <v>17011.5</v>
      </c>
      <c r="P15" s="499">
        <f>IS!EX17</f>
        <v>19733</v>
      </c>
      <c r="Q15" s="499">
        <f>IS!EY17</f>
        <v>21675.300000000003</v>
      </c>
      <c r="R15" s="499">
        <f>IS!EZ17</f>
        <v>22727.5</v>
      </c>
      <c r="S15" s="992">
        <f>IS!FA17</f>
        <v>25428.132686953104</v>
      </c>
      <c r="T15" s="500">
        <f>IS!FB17</f>
        <v>27861.786887248716</v>
      </c>
      <c r="V15" s="651">
        <f>(R15/O15)^(1/3)-1</f>
        <v>0.10137788614164078</v>
      </c>
      <c r="W15" s="411"/>
      <c r="X15" s="411"/>
      <c r="Y15" s="411"/>
      <c r="Z15" s="411"/>
      <c r="AA15" s="411"/>
      <c r="AB15" s="411"/>
      <c r="AC15" s="411"/>
      <c r="AD15" s="411"/>
      <c r="AE15" s="411"/>
      <c r="AF15" s="411"/>
      <c r="AG15" s="411"/>
      <c r="AH15" s="411"/>
      <c r="AI15" s="411"/>
      <c r="AJ15" s="411"/>
      <c r="AK15" s="411"/>
    </row>
    <row r="16" spans="1:37" x14ac:dyDescent="0.2">
      <c r="A16" s="271" t="s">
        <v>25</v>
      </c>
      <c r="B16" s="1"/>
      <c r="C16" s="266" t="s">
        <v>34</v>
      </c>
      <c r="D16" s="28"/>
      <c r="E16" s="28"/>
      <c r="F16" s="393"/>
      <c r="G16" s="452">
        <f t="shared" ref="G16:S16" si="4">G15/F15-1</f>
        <v>0.22263313080665514</v>
      </c>
      <c r="H16" s="452">
        <f t="shared" si="4"/>
        <v>0.19672128151872426</v>
      </c>
      <c r="I16" s="452">
        <f t="shared" si="4"/>
        <v>4.1454799542397502E-2</v>
      </c>
      <c r="J16" s="452">
        <f t="shared" si="4"/>
        <v>-3.406447324692552E-2</v>
      </c>
      <c r="K16" s="452">
        <f t="shared" si="4"/>
        <v>0.10659677598890904</v>
      </c>
      <c r="L16" s="452">
        <f t="shared" si="4"/>
        <v>0.11378537789767273</v>
      </c>
      <c r="M16" s="452">
        <f t="shared" si="4"/>
        <v>0.11989523637498145</v>
      </c>
      <c r="N16" s="452">
        <f t="shared" si="4"/>
        <v>0.1226677223774022</v>
      </c>
      <c r="O16" s="452">
        <f t="shared" si="4"/>
        <v>0.11089706333709914</v>
      </c>
      <c r="P16" s="452">
        <f t="shared" si="4"/>
        <v>0.15998001352026581</v>
      </c>
      <c r="Q16" s="452">
        <f t="shared" si="4"/>
        <v>9.8429027517356937E-2</v>
      </c>
      <c r="R16" s="452">
        <f t="shared" si="4"/>
        <v>4.8543734112099779E-2</v>
      </c>
      <c r="S16" s="452">
        <f t="shared" si="4"/>
        <v>0.11882664995943704</v>
      </c>
      <c r="T16" s="453">
        <f>T15/S15-1</f>
        <v>9.5707153578929338E-2</v>
      </c>
      <c r="V16" s="646"/>
      <c r="W16" s="411"/>
      <c r="X16" s="411"/>
      <c r="Y16" s="411"/>
      <c r="Z16" s="411"/>
      <c r="AA16" s="411"/>
      <c r="AB16" s="411"/>
      <c r="AC16" s="411"/>
      <c r="AD16" s="411"/>
      <c r="AE16" s="411"/>
      <c r="AF16" s="411"/>
      <c r="AG16" s="411"/>
      <c r="AH16" s="411"/>
      <c r="AI16" s="411"/>
      <c r="AJ16" s="411"/>
      <c r="AK16" s="411"/>
    </row>
    <row r="17" spans="1:37" x14ac:dyDescent="0.2">
      <c r="A17" s="271" t="s">
        <v>26</v>
      </c>
      <c r="B17" s="1"/>
      <c r="C17" s="262" t="s">
        <v>244</v>
      </c>
      <c r="D17" s="28"/>
      <c r="E17" s="28"/>
      <c r="F17" s="499">
        <f>IS!EN31</f>
        <v>1212.8629999999998</v>
      </c>
      <c r="G17" s="499">
        <f>IS!EO31</f>
        <v>1364.8320000000003</v>
      </c>
      <c r="H17" s="499">
        <f>IS!EP31</f>
        <v>1582.337</v>
      </c>
      <c r="I17" s="499">
        <f>IS!EQ31+IS!EQ26</f>
        <v>1558.7599999999998</v>
      </c>
      <c r="J17" s="499">
        <f>IS!ER31+IS!ER26</f>
        <v>1603.1000000000006</v>
      </c>
      <c r="K17" s="499">
        <f>IS!ES32</f>
        <v>2111.0000000000009</v>
      </c>
      <c r="L17" s="499">
        <f>IS!ET31</f>
        <v>2282.7999999999993</v>
      </c>
      <c r="M17" s="499">
        <f>IS!EU31</f>
        <v>2636.599999999999</v>
      </c>
      <c r="N17" s="499">
        <f>IS!EV31</f>
        <v>3263.7000000000021</v>
      </c>
      <c r="O17" s="499">
        <f>IS!EW31</f>
        <v>3928.9000000000015</v>
      </c>
      <c r="P17" s="499">
        <f>IS!EX31</f>
        <v>4666.8999999999996</v>
      </c>
      <c r="Q17" s="499">
        <f>IS!EY31</f>
        <v>5241.6000000000031</v>
      </c>
      <c r="R17" s="499">
        <f>IS!EZ31</f>
        <v>5138.6000000000022</v>
      </c>
      <c r="S17" s="499">
        <f>IS!FA31</f>
        <v>5886.6204271015395</v>
      </c>
      <c r="T17" s="500">
        <f>IS!FB31</f>
        <v>6591.595738973163</v>
      </c>
      <c r="V17" s="651">
        <f>(R17/O17)^(1/3)-1</f>
        <v>9.3598600579110069E-2</v>
      </c>
      <c r="W17" s="411"/>
      <c r="X17" s="411"/>
      <c r="Y17" s="411"/>
      <c r="Z17" s="411"/>
      <c r="AA17" s="411"/>
      <c r="AB17" s="411"/>
      <c r="AC17" s="411"/>
      <c r="AD17" s="411"/>
      <c r="AE17" s="411"/>
      <c r="AF17" s="411"/>
      <c r="AG17" s="411"/>
      <c r="AH17" s="411"/>
      <c r="AI17" s="411"/>
      <c r="AJ17" s="411"/>
      <c r="AK17" s="411"/>
    </row>
    <row r="18" spans="1:37" x14ac:dyDescent="0.2">
      <c r="A18" s="271" t="s">
        <v>27</v>
      </c>
      <c r="B18" s="1"/>
      <c r="C18" s="266" t="s">
        <v>532</v>
      </c>
      <c r="D18" s="28"/>
      <c r="E18" s="28"/>
      <c r="F18" s="393"/>
      <c r="G18" s="452">
        <f t="shared" ref="G18:S18" si="5">G17/F17-1</f>
        <v>0.12529774591194598</v>
      </c>
      <c r="H18" s="452">
        <f t="shared" si="5"/>
        <v>0.15936393636725965</v>
      </c>
      <c r="I18" s="452">
        <f t="shared" si="5"/>
        <v>-1.4900112934223331E-2</v>
      </c>
      <c r="J18" s="452">
        <f t="shared" si="5"/>
        <v>2.8445687597834723E-2</v>
      </c>
      <c r="K18" s="452">
        <f t="shared" si="5"/>
        <v>0.31682365417004554</v>
      </c>
      <c r="L18" s="452">
        <f t="shared" si="5"/>
        <v>8.1383230696351561E-2</v>
      </c>
      <c r="M18" s="452">
        <f t="shared" si="5"/>
        <v>0.1549851060101628</v>
      </c>
      <c r="N18" s="452">
        <f t="shared" si="5"/>
        <v>0.23784419327922457</v>
      </c>
      <c r="O18" s="452">
        <f t="shared" si="5"/>
        <v>0.20381775285718629</v>
      </c>
      <c r="P18" s="452">
        <f t="shared" si="5"/>
        <v>0.18783883529741097</v>
      </c>
      <c r="Q18" s="452">
        <f t="shared" si="5"/>
        <v>0.12314384280786039</v>
      </c>
      <c r="R18" s="452">
        <f t="shared" si="5"/>
        <v>-1.9650488400488553E-2</v>
      </c>
      <c r="S18" s="452">
        <f t="shared" si="5"/>
        <v>0.14556891509390435</v>
      </c>
      <c r="T18" s="453">
        <f>T17/S17-1</f>
        <v>0.11975892120136922</v>
      </c>
      <c r="V18" s="646"/>
      <c r="W18" s="411"/>
      <c r="X18" s="411"/>
      <c r="Y18" s="411"/>
      <c r="Z18" s="411"/>
      <c r="AA18" s="411"/>
      <c r="AB18" s="411"/>
      <c r="AC18" s="411"/>
      <c r="AD18" s="411"/>
      <c r="AE18" s="411"/>
      <c r="AF18" s="411"/>
      <c r="AG18" s="411"/>
      <c r="AH18" s="411"/>
      <c r="AI18" s="411"/>
      <c r="AJ18" s="411"/>
      <c r="AK18" s="411"/>
    </row>
    <row r="19" spans="1:37" x14ac:dyDescent="0.2">
      <c r="A19" s="271" t="s">
        <v>28</v>
      </c>
      <c r="B19" s="1"/>
      <c r="C19" s="262" t="s">
        <v>36</v>
      </c>
      <c r="D19" s="28"/>
      <c r="E19" s="28"/>
      <c r="F19" s="426">
        <f>IS!EN50</f>
        <v>0.32499222237282921</v>
      </c>
      <c r="G19" s="426">
        <f>IS!EO50</f>
        <v>0.38757123796455012</v>
      </c>
      <c r="H19" s="426">
        <f>IS!EP50</f>
        <v>0.44435823327449409</v>
      </c>
      <c r="I19" s="426">
        <f>IS!EQ50</f>
        <v>0.28940379403794014</v>
      </c>
      <c r="J19" s="426">
        <f>IS!ER50</f>
        <v>0.4920396355656052</v>
      </c>
      <c r="K19" s="426">
        <f>IS!ES50</f>
        <v>0.70209063272118433</v>
      </c>
      <c r="L19" s="426">
        <f>IS!ET50</f>
        <v>0.76232674392183575</v>
      </c>
      <c r="M19" s="426">
        <f>IS!EU50</f>
        <v>0.92981944309377895</v>
      </c>
      <c r="N19" s="426">
        <f>IS!EV50</f>
        <v>1.1567633315321963</v>
      </c>
      <c r="O19" s="426">
        <f>IS!EW50</f>
        <v>1.1149181555438787</v>
      </c>
      <c r="P19" s="426">
        <f>IS!EX50</f>
        <v>1.6861084498863941</v>
      </c>
      <c r="Q19" s="426">
        <f>IS!EY50</f>
        <v>1.9615595253790745</v>
      </c>
      <c r="R19" s="426">
        <f>IS!EZ50</f>
        <v>0.94101806491572215</v>
      </c>
      <c r="S19" s="426">
        <f>IS!FA50</f>
        <v>2.5041882212528956</v>
      </c>
      <c r="T19" s="497">
        <f>IS!FB50</f>
        <v>2.8883687148518602</v>
      </c>
      <c r="V19" s="651">
        <f>(R19/O19)^(1/3)-1</f>
        <v>-5.4956808311394378E-2</v>
      </c>
      <c r="W19" s="411"/>
      <c r="X19" s="411"/>
      <c r="Y19" s="411"/>
      <c r="Z19" s="411"/>
      <c r="AA19" s="411"/>
      <c r="AB19" s="411"/>
      <c r="AC19" s="411"/>
      <c r="AD19" s="411"/>
      <c r="AE19" s="411"/>
      <c r="AF19" s="411"/>
      <c r="AG19" s="411"/>
      <c r="AH19" s="411"/>
      <c r="AI19" s="411"/>
      <c r="AJ19" s="411"/>
      <c r="AK19" s="411"/>
    </row>
    <row r="20" spans="1:37" x14ac:dyDescent="0.2">
      <c r="A20" s="271" t="s">
        <v>29</v>
      </c>
      <c r="B20" s="1"/>
      <c r="C20" s="266" t="s">
        <v>240</v>
      </c>
      <c r="D20" s="28"/>
      <c r="E20" s="28"/>
      <c r="F20" s="393"/>
      <c r="G20" s="452">
        <f t="shared" ref="G20:S20" si="6">G19/F19-1</f>
        <v>0.19255542528008762</v>
      </c>
      <c r="H20" s="452">
        <f t="shared" si="6"/>
        <v>0.14652014842014172</v>
      </c>
      <c r="I20" s="452">
        <f t="shared" si="6"/>
        <v>-0.34871513034582102</v>
      </c>
      <c r="J20" s="452">
        <f t="shared" si="6"/>
        <v>0.70018377679285027</v>
      </c>
      <c r="K20" s="452">
        <f t="shared" si="6"/>
        <v>0.42689853006277256</v>
      </c>
      <c r="L20" s="452">
        <f t="shared" si="6"/>
        <v>8.5795349479577121E-2</v>
      </c>
      <c r="M20" s="452">
        <f t="shared" si="6"/>
        <v>0.21971247959932105</v>
      </c>
      <c r="N20" s="452">
        <f t="shared" si="6"/>
        <v>0.24407307259924482</v>
      </c>
      <c r="O20" s="452">
        <f t="shared" si="6"/>
        <v>-3.617436241939942E-2</v>
      </c>
      <c r="P20" s="452">
        <f t="shared" si="6"/>
        <v>0.51231589646495412</v>
      </c>
      <c r="Q20" s="452">
        <f t="shared" si="6"/>
        <v>0.1633649813635889</v>
      </c>
      <c r="R20" s="452">
        <f t="shared" si="6"/>
        <v>-0.52027045178051945</v>
      </c>
      <c r="S20" s="452">
        <f t="shared" si="6"/>
        <v>1.6611478723069695</v>
      </c>
      <c r="T20" s="453">
        <f>T19/S19-1</f>
        <v>0.15341518274802501</v>
      </c>
      <c r="V20" s="646"/>
      <c r="W20" s="411"/>
      <c r="X20" s="411"/>
      <c r="Y20" s="411"/>
      <c r="Z20" s="411"/>
      <c r="AA20" s="411"/>
      <c r="AB20" s="411"/>
      <c r="AC20" s="411"/>
      <c r="AD20" s="411"/>
      <c r="AE20" s="411"/>
      <c r="AF20" s="411"/>
      <c r="AG20" s="411"/>
      <c r="AH20" s="411"/>
      <c r="AI20" s="411"/>
      <c r="AJ20" s="411"/>
      <c r="AK20" s="411"/>
    </row>
    <row r="21" spans="1:37" ht="13.5" thickBot="1" x14ac:dyDescent="0.25">
      <c r="A21" s="19"/>
      <c r="B21" s="1"/>
      <c r="C21" s="264" t="s">
        <v>245</v>
      </c>
      <c r="D21" s="265"/>
      <c r="E21" s="265"/>
      <c r="F21" s="503"/>
      <c r="G21" s="504">
        <f>CF!EE85</f>
        <v>306.726</v>
      </c>
      <c r="H21" s="504">
        <f>CF!EF85</f>
        <v>387.01100000000019</v>
      </c>
      <c r="I21" s="504">
        <f>CF!EG85</f>
        <v>251.10000000000036</v>
      </c>
      <c r="J21" s="504">
        <f>CF!EH85</f>
        <v>1091.4999999999998</v>
      </c>
      <c r="K21" s="504">
        <f>CF!EI85</f>
        <v>1139.9000000000001</v>
      </c>
      <c r="L21" s="504">
        <f>CF!EJ85</f>
        <v>848.59999999999968</v>
      </c>
      <c r="M21" s="504">
        <f>CF!EK85</f>
        <v>1375.5000000000005</v>
      </c>
      <c r="N21" s="504">
        <f>CF!EL85</f>
        <v>-725.9000000000035</v>
      </c>
      <c r="O21" s="504">
        <f>CF!EM85</f>
        <v>2238.300000000002</v>
      </c>
      <c r="P21" s="504">
        <f>CF!EN85</f>
        <v>2616.1999999999998</v>
      </c>
      <c r="Q21" s="504">
        <f>CF!EO85</f>
        <v>3018.8999999999996</v>
      </c>
      <c r="R21" s="504">
        <f>CF!EP85</f>
        <v>3731.7602831135673</v>
      </c>
      <c r="S21" s="504">
        <f>CF!EQ85</f>
        <v>2669.6610200133059</v>
      </c>
      <c r="T21" s="993">
        <f>CF!ER85</f>
        <v>3183.1280023250515</v>
      </c>
      <c r="V21" s="652">
        <f>(R21/O21)^(1/3)-1</f>
        <v>0.18576460126180061</v>
      </c>
      <c r="W21" s="411"/>
      <c r="X21" s="411"/>
      <c r="Y21" s="411"/>
      <c r="Z21" s="411"/>
      <c r="AA21" s="411"/>
      <c r="AB21" s="411"/>
      <c r="AC21" s="411"/>
      <c r="AD21" s="411"/>
      <c r="AE21" s="411"/>
      <c r="AF21" s="411"/>
      <c r="AG21" s="411"/>
      <c r="AH21" s="411"/>
      <c r="AI21" s="411"/>
      <c r="AJ21" s="411"/>
      <c r="AK21" s="411"/>
    </row>
    <row r="22" spans="1:37" x14ac:dyDescent="0.2">
      <c r="A22" s="1"/>
      <c r="B22" s="1"/>
      <c r="C22" s="1"/>
      <c r="D22" s="1"/>
      <c r="E22" s="1"/>
      <c r="F22" s="1"/>
      <c r="G22" s="1"/>
      <c r="H22" s="1"/>
      <c r="I22" s="1"/>
      <c r="J22" s="1"/>
      <c r="K22" s="1"/>
      <c r="L22" s="1"/>
      <c r="M22" s="1"/>
      <c r="N22" s="1"/>
      <c r="O22" s="1"/>
      <c r="P22" s="1"/>
      <c r="Q22" s="1"/>
      <c r="R22" s="1"/>
      <c r="S22" s="1"/>
      <c r="T22" s="1"/>
    </row>
    <row r="23" spans="1:37" ht="13.5" thickBot="1" x14ac:dyDescent="0.25">
      <c r="A23" s="1"/>
      <c r="B23" s="1"/>
      <c r="C23" s="16" t="s">
        <v>136</v>
      </c>
      <c r="D23" s="1"/>
      <c r="E23" s="1"/>
      <c r="F23" s="1"/>
      <c r="G23" s="1"/>
      <c r="H23" s="1"/>
      <c r="I23" s="1"/>
      <c r="J23" s="1"/>
      <c r="K23" s="1"/>
      <c r="L23" s="1"/>
      <c r="M23" s="1"/>
      <c r="N23" s="1"/>
      <c r="O23" s="1"/>
      <c r="P23" s="1"/>
      <c r="Q23" s="1"/>
      <c r="R23" s="1"/>
      <c r="S23" s="1"/>
      <c r="T23" s="1"/>
    </row>
    <row r="24" spans="1:37" x14ac:dyDescent="0.2">
      <c r="A24" s="1"/>
      <c r="B24" s="1"/>
      <c r="C24" s="260"/>
      <c r="D24" s="261"/>
      <c r="E24" s="261"/>
      <c r="F24" s="261"/>
      <c r="G24" s="261"/>
      <c r="H24" s="261"/>
      <c r="I24" s="261"/>
      <c r="J24" s="261"/>
      <c r="K24" s="261"/>
      <c r="L24" s="261"/>
      <c r="M24" s="261"/>
      <c r="N24" s="496" t="str">
        <f>N14</f>
        <v>CY13</v>
      </c>
      <c r="O24" s="496" t="str">
        <f t="shared" ref="O24:Q24" si="7">O14</f>
        <v>CY14</v>
      </c>
      <c r="P24" s="496" t="str">
        <f t="shared" si="7"/>
        <v>CY15</v>
      </c>
      <c r="Q24" s="496" t="str">
        <f t="shared" si="7"/>
        <v>CY16</v>
      </c>
      <c r="R24" s="496" t="str">
        <f>R14</f>
        <v>CY17E</v>
      </c>
      <c r="S24" s="932" t="s">
        <v>600</v>
      </c>
      <c r="T24" s="644" t="s">
        <v>657</v>
      </c>
    </row>
    <row r="25" spans="1:37" x14ac:dyDescent="0.2">
      <c r="A25" s="1"/>
      <c r="B25" s="1"/>
      <c r="C25" s="262" t="s">
        <v>71</v>
      </c>
      <c r="D25" s="515">
        <v>60.61</v>
      </c>
      <c r="E25" s="28"/>
      <c r="F25" s="28"/>
      <c r="G25" s="28"/>
      <c r="H25" s="28"/>
      <c r="I25" s="28"/>
      <c r="J25" s="28"/>
      <c r="K25" s="28"/>
      <c r="L25" s="28"/>
      <c r="M25" s="28"/>
      <c r="N25" s="28"/>
      <c r="O25" s="28"/>
      <c r="P25" s="28"/>
      <c r="Q25" s="28"/>
      <c r="R25" s="28"/>
      <c r="S25" s="25"/>
      <c r="T25" s="263"/>
      <c r="V25" s="411"/>
      <c r="W25" s="411"/>
      <c r="X25" s="411"/>
      <c r="Y25" s="411"/>
      <c r="Z25" s="411"/>
      <c r="AA25" s="411"/>
      <c r="AB25" s="411"/>
      <c r="AC25" s="411"/>
      <c r="AD25" s="411"/>
      <c r="AE25" s="411"/>
      <c r="AF25" s="411"/>
      <c r="AG25" s="411"/>
      <c r="AH25" s="411"/>
      <c r="AI25" s="411"/>
      <c r="AJ25" s="411"/>
      <c r="AK25" s="411"/>
    </row>
    <row r="26" spans="1:37" x14ac:dyDescent="0.2">
      <c r="A26" s="1"/>
      <c r="B26" s="1"/>
      <c r="C26" s="262" t="s">
        <v>70</v>
      </c>
      <c r="D26" s="499">
        <f>IS!DL54</f>
        <v>1451.2</v>
      </c>
      <c r="E26" s="28"/>
      <c r="F26" s="28"/>
      <c r="G26" s="28"/>
      <c r="H26" s="28"/>
      <c r="I26" s="28"/>
      <c r="J26" s="28"/>
      <c r="K26" s="28"/>
      <c r="L26" s="28"/>
      <c r="M26" s="28"/>
      <c r="N26" s="28"/>
      <c r="O26" s="28"/>
      <c r="P26" s="28"/>
      <c r="Q26" s="28"/>
      <c r="R26" s="28"/>
      <c r="S26" s="28"/>
      <c r="T26" s="263"/>
      <c r="V26" s="411"/>
      <c r="W26" s="411"/>
      <c r="X26" s="411"/>
      <c r="Y26" s="411"/>
      <c r="Z26" s="411"/>
      <c r="AA26" s="411"/>
      <c r="AB26" s="411"/>
      <c r="AC26" s="411"/>
      <c r="AD26" s="411"/>
      <c r="AE26" s="411"/>
      <c r="AF26" s="411"/>
      <c r="AG26" s="411"/>
      <c r="AH26" s="411"/>
      <c r="AI26" s="411"/>
      <c r="AJ26" s="411"/>
      <c r="AK26" s="411"/>
    </row>
    <row r="27" spans="1:37" x14ac:dyDescent="0.2">
      <c r="A27" s="1"/>
      <c r="B27" s="1"/>
      <c r="C27" s="262" t="s">
        <v>69</v>
      </c>
      <c r="D27" s="499">
        <f>D26*D25</f>
        <v>87957.232000000004</v>
      </c>
      <c r="E27" s="28"/>
      <c r="F27" s="28"/>
      <c r="G27" s="28"/>
      <c r="H27" s="28"/>
      <c r="I27" s="28"/>
      <c r="J27" s="28"/>
      <c r="K27" s="28"/>
      <c r="L27" s="28"/>
      <c r="M27" s="28"/>
      <c r="N27" s="28"/>
      <c r="O27" s="28"/>
      <c r="P27" s="28"/>
      <c r="Q27" s="28"/>
      <c r="R27" s="28"/>
      <c r="S27" s="28"/>
      <c r="T27" s="263"/>
      <c r="V27" s="411"/>
      <c r="W27" s="411"/>
      <c r="X27" s="411"/>
      <c r="Y27" s="411"/>
      <c r="Z27" s="411"/>
      <c r="AA27" s="411"/>
      <c r="AB27" s="411"/>
      <c r="AC27" s="411"/>
      <c r="AD27" s="411"/>
      <c r="AE27" s="411"/>
      <c r="AF27" s="411"/>
      <c r="AG27" s="411"/>
      <c r="AH27" s="411"/>
      <c r="AI27" s="411"/>
      <c r="AJ27" s="411"/>
      <c r="AK27" s="411"/>
    </row>
    <row r="28" spans="1:37" x14ac:dyDescent="0.2">
      <c r="A28" s="1"/>
      <c r="B28" s="1"/>
      <c r="C28" s="262" t="s">
        <v>68</v>
      </c>
      <c r="D28" s="499">
        <f>BS!DL45-BS!DL9+BS!DL35</f>
        <v>1470.2999999999997</v>
      </c>
      <c r="E28" s="28"/>
      <c r="F28" s="28"/>
      <c r="G28" s="28"/>
      <c r="H28" s="28"/>
      <c r="I28" s="28"/>
      <c r="J28" s="28"/>
      <c r="K28" s="28"/>
      <c r="L28" s="28"/>
      <c r="M28" s="28"/>
      <c r="N28" s="28"/>
      <c r="O28" s="28"/>
      <c r="P28" s="28"/>
      <c r="Q28" s="28"/>
      <c r="R28" s="28"/>
      <c r="S28" s="28"/>
      <c r="T28" s="263"/>
      <c r="V28" s="411"/>
      <c r="W28" s="411"/>
      <c r="X28" s="411"/>
      <c r="Y28" s="411"/>
      <c r="Z28" s="411"/>
      <c r="AA28" s="411"/>
      <c r="AB28" s="411"/>
      <c r="AC28" s="411"/>
      <c r="AD28" s="411"/>
      <c r="AE28" s="411"/>
      <c r="AF28" s="411"/>
      <c r="AG28" s="411"/>
      <c r="AH28" s="411"/>
      <c r="AI28" s="411"/>
      <c r="AJ28" s="411"/>
      <c r="AK28" s="411"/>
    </row>
    <row r="29" spans="1:37" x14ac:dyDescent="0.2">
      <c r="A29" s="1"/>
      <c r="B29" s="1"/>
      <c r="C29" s="262" t="s">
        <v>67</v>
      </c>
      <c r="D29" s="499">
        <f>D28+D27</f>
        <v>89427.532000000007</v>
      </c>
      <c r="E29" s="28"/>
      <c r="F29" s="28"/>
      <c r="G29" s="28"/>
      <c r="H29" s="28"/>
      <c r="I29" s="28"/>
      <c r="J29" s="28"/>
      <c r="K29" s="28"/>
      <c r="L29" s="28"/>
      <c r="M29" s="28"/>
      <c r="N29" s="28"/>
      <c r="O29" s="28"/>
      <c r="P29" s="28"/>
      <c r="Q29" s="28"/>
      <c r="R29" s="28"/>
      <c r="S29" s="28"/>
      <c r="T29" s="263"/>
      <c r="V29" s="411"/>
      <c r="W29" s="411"/>
      <c r="X29" s="411"/>
      <c r="Y29" s="411"/>
      <c r="Z29" s="411"/>
      <c r="AA29" s="411"/>
      <c r="AB29" s="411"/>
      <c r="AC29" s="411"/>
      <c r="AD29" s="411"/>
      <c r="AE29" s="411"/>
      <c r="AF29" s="411"/>
      <c r="AG29" s="411"/>
      <c r="AH29" s="411"/>
      <c r="AI29" s="411"/>
      <c r="AJ29" s="411"/>
      <c r="AK29" s="411"/>
    </row>
    <row r="30" spans="1:37" x14ac:dyDescent="0.2">
      <c r="A30" s="1"/>
      <c r="B30" s="1"/>
      <c r="C30" s="262" t="s">
        <v>66</v>
      </c>
      <c r="D30" s="329"/>
      <c r="E30" s="28"/>
      <c r="F30" s="393">
        <v>416.916</v>
      </c>
      <c r="G30" s="393">
        <v>498.8</v>
      </c>
      <c r="H30" s="393">
        <v>638.1</v>
      </c>
      <c r="I30" s="393">
        <v>741.1</v>
      </c>
      <c r="J30" s="393">
        <v>714.7</v>
      </c>
      <c r="K30" s="393">
        <v>714.6</v>
      </c>
      <c r="L30" s="393">
        <v>749.9</v>
      </c>
      <c r="M30" s="393">
        <v>803.7</v>
      </c>
      <c r="N30" s="393">
        <v>894.7</v>
      </c>
      <c r="O30" s="393">
        <v>974.2</v>
      </c>
      <c r="P30" s="393">
        <v>1137.8</v>
      </c>
      <c r="Q30" s="393">
        <v>1223.2</v>
      </c>
      <c r="R30" s="393">
        <v>1239.8738088910154</v>
      </c>
      <c r="S30" s="393">
        <v>1322.1022625543844</v>
      </c>
      <c r="T30" s="394">
        <v>1398.9204607072199</v>
      </c>
      <c r="V30" s="411"/>
      <c r="W30" s="411"/>
      <c r="X30" s="411"/>
      <c r="Y30" s="411"/>
      <c r="Z30" s="411"/>
      <c r="AA30" s="411"/>
      <c r="AB30" s="411"/>
      <c r="AC30" s="411"/>
      <c r="AD30" s="411"/>
      <c r="AE30" s="411"/>
      <c r="AF30" s="411"/>
      <c r="AG30" s="411"/>
      <c r="AH30" s="411"/>
      <c r="AI30" s="411"/>
      <c r="AJ30" s="411"/>
      <c r="AK30" s="411"/>
    </row>
    <row r="31" spans="1:37" x14ac:dyDescent="0.2">
      <c r="A31" s="1"/>
      <c r="B31" s="1"/>
      <c r="C31" s="262" t="s">
        <v>65</v>
      </c>
      <c r="D31" s="28"/>
      <c r="E31" s="28"/>
      <c r="F31" s="505"/>
      <c r="G31" s="505"/>
      <c r="H31" s="505"/>
      <c r="I31" s="505"/>
      <c r="J31" s="505"/>
      <c r="K31" s="505"/>
      <c r="L31" s="505"/>
      <c r="M31" s="505"/>
      <c r="N31" s="454">
        <f t="shared" ref="N31:S31" si="8">N30*8</f>
        <v>7157.6</v>
      </c>
      <c r="O31" s="454">
        <f t="shared" si="8"/>
        <v>7793.6</v>
      </c>
      <c r="P31" s="454">
        <f t="shared" si="8"/>
        <v>9102.4</v>
      </c>
      <c r="Q31" s="454">
        <f>Q30*8</f>
        <v>9785.6</v>
      </c>
      <c r="R31" s="454">
        <f t="shared" si="8"/>
        <v>9918.9904711281233</v>
      </c>
      <c r="S31" s="454">
        <f t="shared" si="8"/>
        <v>10576.818100435075</v>
      </c>
      <c r="T31" s="455">
        <f>T30*8</f>
        <v>11191.36368565776</v>
      </c>
      <c r="V31" s="411"/>
      <c r="W31" s="411"/>
      <c r="X31" s="411"/>
      <c r="Y31" s="411"/>
      <c r="Z31" s="411"/>
      <c r="AA31" s="411"/>
      <c r="AB31" s="411"/>
      <c r="AC31" s="411"/>
      <c r="AD31" s="411"/>
      <c r="AE31" s="411"/>
      <c r="AF31" s="411"/>
      <c r="AG31" s="411"/>
      <c r="AH31" s="411"/>
      <c r="AI31" s="411"/>
      <c r="AJ31" s="411"/>
      <c r="AK31" s="411"/>
    </row>
    <row r="32" spans="1:37" x14ac:dyDescent="0.2">
      <c r="A32" s="1"/>
      <c r="B32" s="1"/>
      <c r="C32" s="262" t="s">
        <v>64</v>
      </c>
      <c r="D32" s="28"/>
      <c r="E32" s="28"/>
      <c r="F32" s="329"/>
      <c r="G32" s="329"/>
      <c r="H32" s="329"/>
      <c r="I32" s="329"/>
      <c r="J32" s="329"/>
      <c r="K32" s="329"/>
      <c r="L32" s="329"/>
      <c r="M32" s="329"/>
      <c r="N32" s="506">
        <f t="shared" ref="N32:S32" si="9">-$D$28/N17</f>
        <v>-0.45050096516223881</v>
      </c>
      <c r="O32" s="506">
        <f t="shared" si="9"/>
        <v>-0.3742268828425257</v>
      </c>
      <c r="P32" s="506">
        <f t="shared" si="9"/>
        <v>-0.31504853328762128</v>
      </c>
      <c r="Q32" s="506">
        <f t="shared" si="9"/>
        <v>-0.28050595238095216</v>
      </c>
      <c r="R32" s="506">
        <f t="shared" si="9"/>
        <v>-0.28612851749503737</v>
      </c>
      <c r="S32" s="506">
        <f t="shared" si="9"/>
        <v>-0.24976979885281098</v>
      </c>
      <c r="T32" s="507">
        <f>-$D$28/T17</f>
        <v>-0.22305676170441888</v>
      </c>
      <c r="V32" s="411"/>
      <c r="W32" s="411"/>
      <c r="X32" s="411"/>
      <c r="Y32" s="411"/>
      <c r="Z32" s="411"/>
      <c r="AA32" s="411"/>
      <c r="AB32" s="411"/>
      <c r="AC32" s="411"/>
      <c r="AD32" s="411"/>
      <c r="AE32" s="411"/>
      <c r="AF32" s="411"/>
      <c r="AG32" s="411"/>
      <c r="AH32" s="411"/>
      <c r="AI32" s="411"/>
      <c r="AJ32" s="411"/>
      <c r="AK32" s="411"/>
    </row>
    <row r="33" spans="1:37" x14ac:dyDescent="0.2">
      <c r="A33" s="1"/>
      <c r="B33" s="1"/>
      <c r="C33" s="262" t="s">
        <v>63</v>
      </c>
      <c r="D33" s="28"/>
      <c r="E33" s="28"/>
      <c r="F33" s="329"/>
      <c r="G33" s="329"/>
      <c r="H33" s="329"/>
      <c r="I33" s="329"/>
      <c r="J33" s="329"/>
      <c r="K33" s="329"/>
      <c r="L33" s="329"/>
      <c r="M33" s="329"/>
      <c r="N33" s="506">
        <f t="shared" ref="N33:S33" si="10">(N31+$D$28)/(N17+N30)</f>
        <v>2.0748124278568669</v>
      </c>
      <c r="O33" s="506">
        <f t="shared" si="10"/>
        <v>1.8893965042524112</v>
      </c>
      <c r="P33" s="506">
        <f t="shared" si="10"/>
        <v>1.8214033455648009</v>
      </c>
      <c r="Q33" s="506">
        <f t="shared" si="10"/>
        <v>1.7411056799900995</v>
      </c>
      <c r="R33" s="506">
        <f t="shared" si="10"/>
        <v>1.7855823841829495</v>
      </c>
      <c r="S33" s="506">
        <f t="shared" si="10"/>
        <v>1.6711862307759393</v>
      </c>
      <c r="T33" s="507">
        <f>(T31+$D$28)/(T17+T30)</f>
        <v>1.5845864483904331</v>
      </c>
      <c r="V33" s="411"/>
      <c r="W33" s="411"/>
      <c r="X33" s="411"/>
      <c r="Y33" s="411"/>
      <c r="Z33" s="411"/>
      <c r="AA33" s="411"/>
      <c r="AB33" s="411"/>
      <c r="AC33" s="411"/>
      <c r="AD33" s="411"/>
      <c r="AE33" s="411"/>
      <c r="AF33" s="411"/>
      <c r="AG33" s="411"/>
      <c r="AH33" s="411"/>
      <c r="AI33" s="411"/>
      <c r="AJ33" s="411"/>
      <c r="AK33" s="411"/>
    </row>
    <row r="34" spans="1:37" x14ac:dyDescent="0.2">
      <c r="A34" s="1"/>
      <c r="B34" s="1"/>
      <c r="C34" s="262" t="s">
        <v>62</v>
      </c>
      <c r="D34" s="28"/>
      <c r="E34" s="28"/>
      <c r="F34" s="329"/>
      <c r="G34" s="329"/>
      <c r="H34" s="329"/>
      <c r="I34" s="329"/>
      <c r="J34" s="329"/>
      <c r="K34" s="329"/>
      <c r="L34" s="329"/>
      <c r="M34" s="329"/>
      <c r="N34" s="506">
        <f t="shared" ref="N34:S34" si="11">$D$29/N17</f>
        <v>27.400659374329734</v>
      </c>
      <c r="O34" s="506">
        <f t="shared" si="11"/>
        <v>22.761468095395649</v>
      </c>
      <c r="P34" s="506">
        <f t="shared" si="11"/>
        <v>19.162084467205215</v>
      </c>
      <c r="Q34" s="506">
        <f t="shared" si="11"/>
        <v>17.061113400488392</v>
      </c>
      <c r="R34" s="506">
        <f t="shared" si="11"/>
        <v>17.403092671155562</v>
      </c>
      <c r="S34" s="506">
        <f t="shared" si="11"/>
        <v>15.191659307313692</v>
      </c>
      <c r="T34" s="507">
        <f>$D$29/T17</f>
        <v>13.56690178544399</v>
      </c>
      <c r="V34" s="411"/>
      <c r="W34" s="411"/>
      <c r="X34" s="411"/>
      <c r="Y34" s="411"/>
      <c r="Z34" s="411"/>
      <c r="AA34" s="411"/>
      <c r="AB34" s="411"/>
      <c r="AC34" s="411"/>
      <c r="AD34" s="411"/>
      <c r="AE34" s="411"/>
      <c r="AF34" s="411"/>
      <c r="AG34" s="411"/>
      <c r="AH34" s="411"/>
      <c r="AI34" s="411"/>
      <c r="AJ34" s="411"/>
      <c r="AK34" s="411"/>
    </row>
    <row r="35" spans="1:37" x14ac:dyDescent="0.2">
      <c r="A35" s="1"/>
      <c r="B35" s="1"/>
      <c r="C35" s="444" t="s">
        <v>61</v>
      </c>
      <c r="D35" s="28"/>
      <c r="E35" s="28"/>
      <c r="F35" s="329"/>
      <c r="G35" s="329"/>
      <c r="H35" s="329"/>
      <c r="I35" s="329"/>
      <c r="J35" s="329"/>
      <c r="K35" s="329"/>
      <c r="L35" s="329"/>
      <c r="M35" s="329"/>
      <c r="N35" s="508">
        <f t="shared" ref="N35:S35" si="12">($D$29+N31)/(N17+N30)</f>
        <v>23.226513081954586</v>
      </c>
      <c r="O35" s="508">
        <f t="shared" si="12"/>
        <v>19.828502783953006</v>
      </c>
      <c r="P35" s="508">
        <f t="shared" si="12"/>
        <v>16.974164384033628</v>
      </c>
      <c r="Q35" s="508">
        <f t="shared" si="12"/>
        <v>15.346666872911763</v>
      </c>
      <c r="R35" s="508">
        <f t="shared" si="12"/>
        <v>15.575281085680407</v>
      </c>
      <c r="S35" s="508">
        <f t="shared" si="12"/>
        <v>13.872686522389772</v>
      </c>
      <c r="T35" s="509">
        <f>($D$29+T31)/(T17+T30)</f>
        <v>12.59228980596804</v>
      </c>
      <c r="V35" s="411"/>
      <c r="W35" s="411"/>
      <c r="X35" s="411"/>
      <c r="Y35" s="411"/>
      <c r="Z35" s="411"/>
      <c r="AA35" s="411"/>
      <c r="AB35" s="411"/>
      <c r="AC35" s="411"/>
      <c r="AD35" s="411"/>
      <c r="AE35" s="411"/>
      <c r="AF35" s="411"/>
      <c r="AG35" s="411"/>
      <c r="AH35" s="411"/>
      <c r="AI35" s="411"/>
      <c r="AJ35" s="411"/>
      <c r="AK35" s="411"/>
    </row>
    <row r="36" spans="1:37" x14ac:dyDescent="0.2">
      <c r="A36" s="1"/>
      <c r="B36" s="1"/>
      <c r="C36" s="444" t="s">
        <v>60</v>
      </c>
      <c r="D36" s="28"/>
      <c r="E36" s="28"/>
      <c r="F36" s="329"/>
      <c r="G36" s="329"/>
      <c r="H36" s="329"/>
      <c r="I36" s="329"/>
      <c r="J36" s="329"/>
      <c r="K36" s="329"/>
      <c r="L36" s="329"/>
      <c r="M36" s="329"/>
      <c r="N36" s="510">
        <f t="shared" ref="N36:S36" si="13">N21/$D$27</f>
        <v>-8.2528745333869027E-3</v>
      </c>
      <c r="O36" s="510">
        <f t="shared" si="13"/>
        <v>2.5447594803801942E-2</v>
      </c>
      <c r="P36" s="510">
        <f t="shared" si="13"/>
        <v>2.9744001039050429E-2</v>
      </c>
      <c r="Q36" s="510">
        <f t="shared" si="13"/>
        <v>3.4322362486350178E-2</v>
      </c>
      <c r="R36" s="510">
        <f t="shared" si="13"/>
        <v>4.2426986368938567E-2</v>
      </c>
      <c r="S36" s="510">
        <f t="shared" si="13"/>
        <v>3.0351808024305562E-2</v>
      </c>
      <c r="T36" s="511">
        <f>T21/$D$27</f>
        <v>3.6189497212975638E-2</v>
      </c>
      <c r="V36" s="411"/>
      <c r="W36" s="411"/>
      <c r="X36" s="411"/>
      <c r="Y36" s="411"/>
      <c r="Z36" s="411"/>
      <c r="AA36" s="411"/>
      <c r="AB36" s="411"/>
      <c r="AC36" s="411"/>
      <c r="AD36" s="411"/>
      <c r="AE36" s="411"/>
      <c r="AF36" s="411"/>
      <c r="AG36" s="411"/>
      <c r="AH36" s="411"/>
      <c r="AI36" s="411"/>
      <c r="AJ36" s="411"/>
      <c r="AK36" s="411"/>
    </row>
    <row r="37" spans="1:37" x14ac:dyDescent="0.2">
      <c r="A37" s="1"/>
      <c r="B37" s="1"/>
      <c r="C37" s="262" t="s">
        <v>59</v>
      </c>
      <c r="D37" s="28"/>
      <c r="E37" s="28"/>
      <c r="F37" s="329"/>
      <c r="G37" s="329"/>
      <c r="H37" s="329"/>
      <c r="I37" s="329"/>
      <c r="J37" s="329"/>
      <c r="K37" s="329"/>
      <c r="L37" s="329"/>
      <c r="M37" s="329"/>
      <c r="N37" s="545">
        <f t="shared" ref="N37:S37" si="14">$D$27/N15</f>
        <v>5.7438456766340371</v>
      </c>
      <c r="O37" s="545">
        <f t="shared" si="14"/>
        <v>5.17045716133204</v>
      </c>
      <c r="P37" s="545">
        <f t="shared" si="14"/>
        <v>4.4573674555313438</v>
      </c>
      <c r="Q37" s="545">
        <f t="shared" si="14"/>
        <v>4.0579476177953708</v>
      </c>
      <c r="R37" s="545">
        <f t="shared" si="14"/>
        <v>3.8700795072049283</v>
      </c>
      <c r="S37" s="545">
        <f t="shared" si="14"/>
        <v>3.4590519517435858</v>
      </c>
      <c r="T37" s="546">
        <f>$D$27/T15</f>
        <v>3.1569128123743813</v>
      </c>
      <c r="V37" s="411"/>
      <c r="W37" s="411"/>
      <c r="X37" s="411"/>
      <c r="Y37" s="411"/>
      <c r="Z37" s="411"/>
      <c r="AA37" s="411"/>
      <c r="AB37" s="411"/>
      <c r="AC37" s="411"/>
      <c r="AD37" s="411"/>
      <c r="AE37" s="411"/>
      <c r="AF37" s="411"/>
      <c r="AG37" s="411"/>
      <c r="AH37" s="411"/>
      <c r="AI37" s="411"/>
      <c r="AJ37" s="411"/>
      <c r="AK37" s="411"/>
    </row>
    <row r="38" spans="1:37" ht="13.5" thickBot="1" x14ac:dyDescent="0.25">
      <c r="A38" s="1"/>
      <c r="B38" s="1"/>
      <c r="C38" s="445" t="s">
        <v>58</v>
      </c>
      <c r="D38" s="265"/>
      <c r="E38" s="265"/>
      <c r="F38" s="512"/>
      <c r="G38" s="512"/>
      <c r="H38" s="512"/>
      <c r="I38" s="512"/>
      <c r="J38" s="512"/>
      <c r="K38" s="512"/>
      <c r="L38" s="512"/>
      <c r="M38" s="512"/>
      <c r="N38" s="513">
        <f t="shared" ref="N38:S38" si="15">$D$25/N19</f>
        <v>52.396197517532592</v>
      </c>
      <c r="O38" s="513">
        <f t="shared" si="15"/>
        <v>54.362734787858273</v>
      </c>
      <c r="P38" s="513">
        <f t="shared" si="15"/>
        <v>35.94667947016324</v>
      </c>
      <c r="Q38" s="513">
        <f t="shared" si="15"/>
        <v>30.898883880817749</v>
      </c>
      <c r="R38" s="513">
        <f t="shared" si="15"/>
        <v>64.408965417075436</v>
      </c>
      <c r="S38" s="513">
        <f t="shared" si="15"/>
        <v>24.203452234782734</v>
      </c>
      <c r="T38" s="514">
        <f>$D$25/T19</f>
        <v>20.984163028891064</v>
      </c>
      <c r="V38" s="411"/>
      <c r="W38" s="411"/>
      <c r="X38" s="411"/>
      <c r="Y38" s="411"/>
      <c r="Z38" s="411"/>
      <c r="AA38" s="411"/>
      <c r="AB38" s="411"/>
      <c r="AC38" s="411"/>
      <c r="AD38" s="411"/>
      <c r="AE38" s="411"/>
      <c r="AF38" s="411"/>
      <c r="AG38" s="411"/>
      <c r="AH38" s="411"/>
      <c r="AI38" s="411"/>
      <c r="AJ38" s="411"/>
      <c r="AK38" s="411"/>
    </row>
  </sheetData>
  <phoneticPr fontId="3" type="noConversion"/>
  <hyperlinks>
    <hyperlink ref="A11" r:id="rId1"/>
  </hyperlinks>
  <pageMargins left="0.75" right="0.75" top="1" bottom="1" header="0.5" footer="0.5"/>
  <pageSetup orientation="portrait" horizontalDpi="300" verticalDpi="300" r:id="rId2"/>
  <headerFooter alignWithMargins="0"/>
  <ignoredErrors>
    <ignoredError sqref="S7:S9 J7:R9 G17:H21 J17:R21 I17:I21" formula="1"/>
  </ignoredError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H2"/>
  <sheetViews>
    <sheetView workbookViewId="0"/>
  </sheetViews>
  <sheetFormatPr defaultRowHeight="12.75" x14ac:dyDescent="0.2"/>
  <sheetData>
    <row r="1" spans="1:8" x14ac:dyDescent="0.2">
      <c r="A1" t="s">
        <v>619</v>
      </c>
    </row>
    <row r="2" spans="1:8" x14ac:dyDescent="0.2">
      <c r="A2" s="543" t="s">
        <v>230</v>
      </c>
      <c r="B2" s="543" t="s">
        <v>658</v>
      </c>
      <c r="C2" s="543" t="s">
        <v>618</v>
      </c>
      <c r="D2" s="543" t="s">
        <v>658</v>
      </c>
      <c r="E2" s="543" t="s">
        <v>231</v>
      </c>
      <c r="F2" s="543" t="s">
        <v>40</v>
      </c>
      <c r="G2" s="847" t="s">
        <v>229</v>
      </c>
      <c r="H2" s="847" t="s">
        <v>232</v>
      </c>
    </row>
  </sheetData>
  <phoneticPr fontId="3"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FR218"/>
  <sheetViews>
    <sheetView showGridLines="0" zoomScaleNormal="100" workbookViewId="0">
      <pane xSplit="1" ySplit="7" topLeftCell="B8" activePane="bottomRight" state="frozen"/>
      <selection pane="topRight"/>
      <selection pane="bottomLeft"/>
      <selection pane="bottomRight" activeCell="A7" sqref="A7:DW109"/>
    </sheetView>
  </sheetViews>
  <sheetFormatPr defaultRowHeight="12.75" outlineLevelRow="2" outlineLevelCol="2" x14ac:dyDescent="0.2"/>
  <cols>
    <col min="1" max="1" width="42.5703125" customWidth="1"/>
    <col min="2" max="91" width="9.28515625" hidden="1" customWidth="1" outlineLevel="1"/>
    <col min="92" max="92" width="9.28515625" customWidth="1" collapsed="1"/>
    <col min="93" max="96" width="9.28515625" hidden="1" customWidth="1" outlineLevel="1"/>
    <col min="97" max="97" width="9.28515625" customWidth="1" collapsed="1"/>
    <col min="98" max="98" width="9.28515625" hidden="1" customWidth="1" outlineLevel="1"/>
    <col min="99" max="99" width="9.5703125" hidden="1" customWidth="1" outlineLevel="1"/>
    <col min="100" max="101" width="9.28515625" hidden="1" customWidth="1" outlineLevel="1"/>
    <col min="102" max="102" width="9.28515625" customWidth="1" collapsed="1"/>
    <col min="103" max="104" width="9.28515625" hidden="1" customWidth="1" outlineLevel="1"/>
    <col min="105" max="106" width="9.28515625" style="773" hidden="1" customWidth="1" outlineLevel="1"/>
    <col min="107" max="107" width="9.28515625" style="773" customWidth="1" collapsed="1"/>
    <col min="108" max="110" width="9.28515625" hidden="1" customWidth="1" outlineLevel="1"/>
    <col min="111" max="111" width="9.28515625" style="773" hidden="1" customWidth="1" outlineLevel="1"/>
    <col min="112" max="112" width="9.28515625" style="773" customWidth="1" collapsed="1"/>
    <col min="113" max="116" width="9.28515625" style="773" customWidth="1" outlineLevel="1"/>
    <col min="117" max="117" width="9.28515625" style="773" customWidth="1"/>
    <col min="118" max="118" width="9.28515625" style="773" customWidth="1" outlineLevel="2"/>
    <col min="119" max="121" width="9.28515625" customWidth="1" outlineLevel="2"/>
    <col min="122" max="122" width="9.28515625" customWidth="1" outlineLevel="1"/>
    <col min="123" max="126" width="9.28515625" hidden="1" customWidth="1" outlineLevel="2"/>
    <col min="127" max="127" width="9.28515625" customWidth="1" outlineLevel="1" collapsed="1"/>
    <col min="128" max="131" width="9.28515625" hidden="1" customWidth="1" outlineLevel="2"/>
    <col min="132" max="132" width="9.28515625" customWidth="1" outlineLevel="1" collapsed="1"/>
    <col min="134" max="135" width="9.140625" style="628"/>
    <col min="137" max="158" width="9.28515625" customWidth="1" outlineLevel="1"/>
    <col min="159" max="159" width="9.140625" customWidth="1" outlineLevel="1"/>
    <col min="160" max="160" width="36.42578125" customWidth="1"/>
    <col min="161" max="165" width="9.28515625" customWidth="1"/>
    <col min="168" max="168" width="16" customWidth="1"/>
    <col min="169" max="169" width="13.42578125" customWidth="1"/>
    <col min="170" max="170" width="12.85546875" customWidth="1"/>
  </cols>
  <sheetData>
    <row r="1" spans="1:174" s="1" customFormat="1" ht="37.5" customHeight="1" x14ac:dyDescent="0.2">
      <c r="CO1" s="397"/>
      <c r="CP1" s="397"/>
      <c r="CQ1" s="589"/>
      <c r="CR1" s="589"/>
      <c r="CS1" s="589"/>
      <c r="CT1" s="105"/>
      <c r="CU1" s="765"/>
      <c r="CV1" s="101"/>
      <c r="CW1" s="105"/>
      <c r="CX1" s="105"/>
      <c r="CY1" s="105"/>
      <c r="CZ1" s="105"/>
      <c r="DA1" s="550"/>
      <c r="DB1" s="550"/>
      <c r="DC1" s="550"/>
      <c r="DD1" s="105"/>
      <c r="DE1" s="105"/>
      <c r="DF1" s="105"/>
      <c r="DG1" s="550"/>
      <c r="DH1" s="550"/>
      <c r="DI1" s="550"/>
      <c r="DJ1" s="550"/>
      <c r="DK1" s="550"/>
      <c r="DL1" s="550"/>
      <c r="DM1" s="550"/>
      <c r="DN1" s="550">
        <f t="shared" ref="DN1:EB1" si="0">DN50</f>
        <v>0.64852084204656446</v>
      </c>
      <c r="DO1" s="105">
        <f t="shared" si="0"/>
        <v>0.52698175515870294</v>
      </c>
      <c r="DP1" s="105">
        <f t="shared" si="0"/>
        <v>0.64379562057023676</v>
      </c>
      <c r="DQ1" s="105">
        <f t="shared" si="0"/>
        <v>0.66246771030077878</v>
      </c>
      <c r="DR1" s="105">
        <f t="shared" si="0"/>
        <v>2.481269260034515</v>
      </c>
      <c r="DS1" s="105">
        <f t="shared" si="0"/>
        <v>0.67247901444345459</v>
      </c>
      <c r="DT1" s="105">
        <f t="shared" si="0"/>
        <v>0.61722871789910627</v>
      </c>
      <c r="DU1" s="105">
        <f t="shared" si="0"/>
        <v>0.74597877760668219</v>
      </c>
      <c r="DV1" s="105">
        <f t="shared" si="0"/>
        <v>0.76177190314305288</v>
      </c>
      <c r="DW1" s="105">
        <f t="shared" si="0"/>
        <v>2.7963084727638958</v>
      </c>
      <c r="DX1" s="105">
        <f t="shared" si="0"/>
        <v>0.76464951561192995</v>
      </c>
      <c r="DY1" s="105">
        <f t="shared" si="0"/>
        <v>0.70589833674069646</v>
      </c>
      <c r="DZ1" s="105">
        <f t="shared" si="0"/>
        <v>0.85009728618604774</v>
      </c>
      <c r="EA1" s="105">
        <f t="shared" si="0"/>
        <v>0.86795247009401399</v>
      </c>
      <c r="EB1" s="105">
        <f t="shared" si="0"/>
        <v>3.1873225707283406</v>
      </c>
      <c r="ED1" s="28"/>
      <c r="EE1" s="28"/>
      <c r="FJ1"/>
      <c r="FK1"/>
      <c r="FL1"/>
      <c r="FM1"/>
      <c r="FN1"/>
      <c r="FO1"/>
      <c r="FP1"/>
      <c r="FQ1"/>
      <c r="FR1"/>
    </row>
    <row r="2" spans="1:174" s="1" customFormat="1" ht="12.75" customHeight="1" x14ac:dyDescent="0.2">
      <c r="A2" s="1" t="s">
        <v>247</v>
      </c>
      <c r="CO2" s="397"/>
      <c r="CP2" s="397"/>
      <c r="CQ2" s="397"/>
      <c r="CR2" s="397"/>
      <c r="CS2" s="65"/>
      <c r="CT2" s="339"/>
      <c r="CU2" s="339"/>
      <c r="CV2" s="101"/>
      <c r="CW2" s="101"/>
      <c r="CX2" s="101"/>
      <c r="CY2" s="101"/>
      <c r="CZ2" s="101"/>
      <c r="DA2" s="101"/>
      <c r="DB2" s="101"/>
      <c r="DC2" s="101"/>
      <c r="DD2" s="101"/>
      <c r="DE2" s="101"/>
      <c r="DF2" s="101"/>
      <c r="DG2" s="101"/>
      <c r="DH2" s="101"/>
      <c r="DI2" s="101"/>
      <c r="DJ2" s="101"/>
      <c r="DK2" s="101"/>
      <c r="DL2" s="101"/>
      <c r="DM2" s="101"/>
      <c r="DN2" s="101">
        <v>0.64852084204656446</v>
      </c>
      <c r="DO2" s="101">
        <v>0.52016468504703872</v>
      </c>
      <c r="DP2" s="101">
        <v>0.651570865213558</v>
      </c>
      <c r="DQ2" s="101">
        <v>0.6634123602354659</v>
      </c>
      <c r="DR2" s="101">
        <v>2.4831099224472095</v>
      </c>
      <c r="DS2" s="101">
        <v>0.68881118365132799</v>
      </c>
      <c r="DT2" s="101">
        <v>0.60692768689568066</v>
      </c>
      <c r="DU2" s="101">
        <v>0.75202038008171179</v>
      </c>
      <c r="DV2" s="101">
        <v>0.76120858045933382</v>
      </c>
      <c r="DW2" s="101">
        <v>2.8079115278646523</v>
      </c>
      <c r="DX2" s="101">
        <v>0.78196693255532523</v>
      </c>
      <c r="DY2" s="101">
        <v>0.69287111107887178</v>
      </c>
      <c r="DZ2" s="101">
        <v>0.85548958021353461</v>
      </c>
      <c r="EA2" s="101">
        <v>0.86543689446395411</v>
      </c>
      <c r="EB2" s="101">
        <v>3.1945655704891913</v>
      </c>
      <c r="EC2" s="101"/>
      <c r="ED2" s="614"/>
      <c r="EE2" s="614"/>
      <c r="EF2" s="101"/>
      <c r="FJ2"/>
      <c r="FK2"/>
      <c r="FL2"/>
      <c r="FM2"/>
      <c r="FN2"/>
      <c r="FO2"/>
      <c r="FP2"/>
      <c r="FQ2"/>
      <c r="FR2"/>
    </row>
    <row r="3" spans="1:174" s="1" customFormat="1" x14ac:dyDescent="0.2">
      <c r="A3" s="1" t="s">
        <v>655</v>
      </c>
      <c r="CC3" s="65"/>
      <c r="CN3" s="397"/>
      <c r="CO3" s="397"/>
      <c r="CP3" s="397"/>
      <c r="CQ3" s="65"/>
      <c r="CR3" s="397"/>
      <c r="CS3" s="397"/>
      <c r="CT3" s="100"/>
      <c r="CU3" s="100"/>
      <c r="CV3" s="100"/>
      <c r="CW3" s="100"/>
      <c r="CX3" s="100"/>
      <c r="CY3" s="100"/>
      <c r="CZ3" s="100"/>
      <c r="DA3" s="100"/>
      <c r="DB3" s="100"/>
      <c r="DC3" s="100"/>
      <c r="DD3" s="100"/>
      <c r="DE3" s="100"/>
      <c r="DF3" s="65"/>
      <c r="DG3" s="100"/>
      <c r="DH3" s="100"/>
      <c r="DI3" s="100"/>
      <c r="DJ3" s="100"/>
      <c r="DK3" s="100"/>
      <c r="DL3" s="100"/>
      <c r="DM3" s="100"/>
      <c r="DN3" s="100">
        <f t="shared" ref="DN3:DR3" si="1">+DN1-DN2</f>
        <v>0</v>
      </c>
      <c r="DO3" s="100">
        <f t="shared" si="1"/>
        <v>6.8170701116642141E-3</v>
      </c>
      <c r="DP3" s="100">
        <f t="shared" si="1"/>
        <v>-7.7752446433212441E-3</v>
      </c>
      <c r="DQ3" s="100">
        <f t="shared" si="1"/>
        <v>-9.446499346871251E-4</v>
      </c>
      <c r="DR3" s="100">
        <f t="shared" si="1"/>
        <v>-1.8406624126945381E-3</v>
      </c>
      <c r="DS3" s="100">
        <f t="shared" ref="DS3:EB3" si="2">+DS1-DS2</f>
        <v>-1.6332169207873393E-2</v>
      </c>
      <c r="DT3" s="100">
        <f t="shared" si="2"/>
        <v>1.0301031003425609E-2</v>
      </c>
      <c r="DU3" s="100">
        <f t="shared" si="2"/>
        <v>-6.041602475029606E-3</v>
      </c>
      <c r="DV3" s="100">
        <f t="shared" si="2"/>
        <v>5.6332268371905858E-4</v>
      </c>
      <c r="DW3" s="100">
        <f t="shared" si="2"/>
        <v>-1.1603055100756432E-2</v>
      </c>
      <c r="DX3" s="100">
        <f t="shared" si="2"/>
        <v>-1.7317416943395281E-2</v>
      </c>
      <c r="DY3" s="100">
        <f t="shared" si="2"/>
        <v>1.3027225661824682E-2</v>
      </c>
      <c r="DZ3" s="100">
        <f t="shared" si="2"/>
        <v>-5.3922940274868658E-3</v>
      </c>
      <c r="EA3" s="100">
        <f t="shared" si="2"/>
        <v>2.5155756300598853E-3</v>
      </c>
      <c r="EB3" s="100">
        <f t="shared" si="2"/>
        <v>-7.2429997608507435E-3</v>
      </c>
      <c r="ED3" s="28"/>
      <c r="EE3" s="28"/>
      <c r="FJ3"/>
      <c r="FK3"/>
      <c r="FL3"/>
      <c r="FM3"/>
      <c r="FN3"/>
      <c r="FO3"/>
      <c r="FP3"/>
      <c r="FQ3"/>
      <c r="FR3"/>
    </row>
    <row r="4" spans="1:174" hidden="1" outlineLevel="1" x14ac:dyDescent="0.2">
      <c r="DA4"/>
      <c r="DB4"/>
      <c r="DC4"/>
      <c r="DG4"/>
      <c r="DH4"/>
      <c r="DI4"/>
      <c r="DJ4"/>
      <c r="DK4"/>
      <c r="DL4"/>
      <c r="DM4"/>
      <c r="DN4"/>
      <c r="ED4"/>
      <c r="EE4"/>
    </row>
    <row r="5" spans="1:174" s="1" customFormat="1" ht="15.75" customHeight="1" collapsed="1" x14ac:dyDescent="0.2">
      <c r="A5" s="85" t="s">
        <v>248</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9">
        <f>CC5/BX17-1</f>
        <v>8.7971973530556413E-2</v>
      </c>
      <c r="CC5" s="929">
        <f>CC17*13/14</f>
        <v>2635.2857142857142</v>
      </c>
      <c r="CD5" s="10"/>
      <c r="CE5" s="10"/>
      <c r="CF5" s="10"/>
      <c r="CG5" s="10"/>
      <c r="CH5" s="10"/>
      <c r="CI5" s="10"/>
      <c r="CJ5" s="10"/>
      <c r="CK5" s="10"/>
      <c r="CL5" s="10"/>
      <c r="CM5" s="10"/>
      <c r="CN5" s="10"/>
      <c r="CO5" s="10"/>
      <c r="CP5" s="10"/>
      <c r="CQ5" s="10"/>
      <c r="CR5" s="10"/>
      <c r="CS5" s="10"/>
      <c r="CT5" s="10"/>
      <c r="CU5" s="10"/>
      <c r="CV5" s="10"/>
      <c r="CW5" s="10"/>
      <c r="CX5" s="10"/>
      <c r="CY5" s="791"/>
      <c r="CZ5" s="791"/>
      <c r="DA5" s="791"/>
      <c r="DB5" s="791"/>
      <c r="DC5" s="109"/>
      <c r="DD5" s="791"/>
      <c r="DE5" s="791"/>
      <c r="DF5" s="791"/>
      <c r="DG5" s="791"/>
      <c r="DH5" s="942"/>
      <c r="DI5" s="791"/>
      <c r="DJ5" s="791"/>
      <c r="DK5" s="791"/>
      <c r="DL5" s="791"/>
      <c r="DM5" s="791"/>
      <c r="DN5" s="791"/>
      <c r="DO5" s="791">
        <f>1040*0.07/4</f>
        <v>18.200000000000003</v>
      </c>
      <c r="DP5" s="791"/>
      <c r="DQ5" s="791"/>
      <c r="DR5" s="791"/>
      <c r="DS5" s="942"/>
      <c r="DT5" s="791"/>
      <c r="DU5" s="791"/>
      <c r="DV5" s="791"/>
      <c r="DW5" s="791"/>
      <c r="DX5" s="791"/>
      <c r="DY5" s="791"/>
      <c r="DZ5" s="791"/>
      <c r="EA5" s="791"/>
      <c r="EB5" s="930"/>
      <c r="ED5" s="28"/>
      <c r="EE5" s="28"/>
      <c r="EG5" s="9"/>
      <c r="EH5" s="10"/>
      <c r="EI5" s="10"/>
      <c r="EJ5" s="10"/>
      <c r="EK5" s="10"/>
      <c r="EL5" s="10"/>
      <c r="EM5" s="10"/>
      <c r="EN5" s="10"/>
      <c r="EO5" s="10"/>
      <c r="EP5" s="10"/>
      <c r="EQ5" s="10"/>
      <c r="ER5" s="10"/>
      <c r="ES5" s="10"/>
      <c r="ET5" s="9"/>
      <c r="EU5" s="10"/>
      <c r="EV5" s="10"/>
      <c r="EW5" s="10"/>
      <c r="EX5" s="10"/>
      <c r="EY5" s="10"/>
      <c r="EZ5" s="10"/>
      <c r="FA5" s="10"/>
      <c r="FB5" s="11"/>
      <c r="FD5" s="12" t="s">
        <v>248</v>
      </c>
      <c r="FE5" s="13"/>
      <c r="FF5" s="13"/>
      <c r="FG5" s="13"/>
      <c r="FH5" s="13"/>
      <c r="FI5" s="14"/>
      <c r="FJ5"/>
      <c r="FK5"/>
      <c r="FL5"/>
      <c r="FM5"/>
      <c r="FN5"/>
      <c r="FO5"/>
      <c r="FP5"/>
      <c r="FQ5"/>
      <c r="FR5"/>
    </row>
    <row r="6" spans="1:174" s="1" customFormat="1" ht="6" customHeight="1" x14ac:dyDescent="0.2">
      <c r="ED6" s="28"/>
      <c r="EE6" s="28"/>
      <c r="FJ6"/>
      <c r="FK6"/>
      <c r="FL6"/>
      <c r="FM6"/>
      <c r="FN6"/>
      <c r="FO6"/>
      <c r="FP6"/>
      <c r="FQ6"/>
      <c r="FR6"/>
    </row>
    <row r="7" spans="1:174" s="1" customFormat="1" ht="13.5" customHeight="1" x14ac:dyDescent="0.2">
      <c r="A7" s="12" t="s">
        <v>249</v>
      </c>
      <c r="B7" s="448" t="s">
        <v>250</v>
      </c>
      <c r="C7" s="472">
        <v>34669</v>
      </c>
      <c r="D7" s="472">
        <v>34759</v>
      </c>
      <c r="E7" s="472">
        <v>34851</v>
      </c>
      <c r="F7" s="472">
        <v>34943</v>
      </c>
      <c r="G7" s="448" t="s">
        <v>251</v>
      </c>
      <c r="H7" s="472">
        <v>35034</v>
      </c>
      <c r="I7" s="472">
        <v>35125</v>
      </c>
      <c r="J7" s="472">
        <v>35217</v>
      </c>
      <c r="K7" s="472">
        <v>35309</v>
      </c>
      <c r="L7" s="86" t="s">
        <v>252</v>
      </c>
      <c r="M7" s="472" t="s">
        <v>11</v>
      </c>
      <c r="N7" s="472" t="s">
        <v>12</v>
      </c>
      <c r="O7" s="472" t="s">
        <v>13</v>
      </c>
      <c r="P7" s="472" t="s">
        <v>152</v>
      </c>
      <c r="Q7" s="86" t="s">
        <v>153</v>
      </c>
      <c r="R7" s="472" t="s">
        <v>155</v>
      </c>
      <c r="S7" s="472" t="s">
        <v>156</v>
      </c>
      <c r="T7" s="472" t="s">
        <v>154</v>
      </c>
      <c r="U7" s="472" t="s">
        <v>157</v>
      </c>
      <c r="V7" s="86" t="s">
        <v>158</v>
      </c>
      <c r="W7" s="449" t="s">
        <v>161</v>
      </c>
      <c r="X7" s="449" t="s">
        <v>162</v>
      </c>
      <c r="Y7" s="449" t="s">
        <v>253</v>
      </c>
      <c r="Z7" s="449" t="s">
        <v>254</v>
      </c>
      <c r="AA7" s="86" t="s">
        <v>255</v>
      </c>
      <c r="AB7" s="449" t="s">
        <v>256</v>
      </c>
      <c r="AC7" s="449" t="s">
        <v>257</v>
      </c>
      <c r="AD7" s="449" t="s">
        <v>258</v>
      </c>
      <c r="AE7" s="449" t="s">
        <v>259</v>
      </c>
      <c r="AF7" s="86" t="s">
        <v>260</v>
      </c>
      <c r="AG7" s="449" t="s">
        <v>261</v>
      </c>
      <c r="AH7" s="449" t="s">
        <v>262</v>
      </c>
      <c r="AI7" s="449" t="s">
        <v>264</v>
      </c>
      <c r="AJ7" s="449" t="s">
        <v>263</v>
      </c>
      <c r="AK7" s="86" t="s">
        <v>265</v>
      </c>
      <c r="AL7" s="449" t="s">
        <v>266</v>
      </c>
      <c r="AM7" s="449" t="s">
        <v>267</v>
      </c>
      <c r="AN7" s="449" t="s">
        <v>268</v>
      </c>
      <c r="AO7" s="449" t="s">
        <v>269</v>
      </c>
      <c r="AP7" s="86" t="s">
        <v>270</v>
      </c>
      <c r="AQ7" s="449" t="s">
        <v>271</v>
      </c>
      <c r="AR7" s="449" t="s">
        <v>272</v>
      </c>
      <c r="AS7" s="449" t="s">
        <v>273</v>
      </c>
      <c r="AT7" s="449" t="s">
        <v>274</v>
      </c>
      <c r="AU7" s="86" t="s">
        <v>275</v>
      </c>
      <c r="AV7" s="449" t="s">
        <v>276</v>
      </c>
      <c r="AW7" s="449" t="s">
        <v>277</v>
      </c>
      <c r="AX7" s="449" t="s">
        <v>278</v>
      </c>
      <c r="AY7" s="449" t="s">
        <v>279</v>
      </c>
      <c r="AZ7" s="448" t="s">
        <v>280</v>
      </c>
      <c r="BA7" s="449" t="s">
        <v>281</v>
      </c>
      <c r="BB7" s="449" t="s">
        <v>282</v>
      </c>
      <c r="BC7" s="449" t="s">
        <v>283</v>
      </c>
      <c r="BD7" s="449" t="s">
        <v>284</v>
      </c>
      <c r="BE7" s="448" t="s">
        <v>285</v>
      </c>
      <c r="BF7" s="449" t="s">
        <v>286</v>
      </c>
      <c r="BG7" s="449" t="s">
        <v>287</v>
      </c>
      <c r="BH7" s="449" t="s">
        <v>288</v>
      </c>
      <c r="BI7" s="449" t="s">
        <v>289</v>
      </c>
      <c r="BJ7" s="448" t="s">
        <v>290</v>
      </c>
      <c r="BK7" s="449" t="s">
        <v>291</v>
      </c>
      <c r="BL7" s="449" t="s">
        <v>292</v>
      </c>
      <c r="BM7" s="449" t="s">
        <v>293</v>
      </c>
      <c r="BN7" s="449" t="s">
        <v>294</v>
      </c>
      <c r="BO7" s="448" t="s">
        <v>295</v>
      </c>
      <c r="BP7" s="449" t="s">
        <v>296</v>
      </c>
      <c r="BQ7" s="449" t="s">
        <v>297</v>
      </c>
      <c r="BR7" s="449" t="s">
        <v>298</v>
      </c>
      <c r="BS7" s="449" t="s">
        <v>299</v>
      </c>
      <c r="BT7" s="448" t="s">
        <v>300</v>
      </c>
      <c r="BU7" s="449" t="s">
        <v>301</v>
      </c>
      <c r="BV7" s="449" t="s">
        <v>302</v>
      </c>
      <c r="BW7" s="449" t="s">
        <v>303</v>
      </c>
      <c r="BX7" s="449" t="s">
        <v>304</v>
      </c>
      <c r="BY7" s="448" t="s">
        <v>305</v>
      </c>
      <c r="BZ7" s="449" t="s">
        <v>306</v>
      </c>
      <c r="CA7" s="449" t="s">
        <v>307</v>
      </c>
      <c r="CB7" s="449" t="s">
        <v>308</v>
      </c>
      <c r="CC7" s="449" t="s">
        <v>309</v>
      </c>
      <c r="CD7" s="448" t="s">
        <v>310</v>
      </c>
      <c r="CE7" s="449" t="s">
        <v>311</v>
      </c>
      <c r="CF7" s="449" t="s">
        <v>312</v>
      </c>
      <c r="CG7" s="449" t="s">
        <v>313</v>
      </c>
      <c r="CH7" s="449" t="s">
        <v>314</v>
      </c>
      <c r="CI7" s="448" t="s">
        <v>315</v>
      </c>
      <c r="CJ7" s="449" t="s">
        <v>316</v>
      </c>
      <c r="CK7" s="449" t="s">
        <v>317</v>
      </c>
      <c r="CL7" s="449" t="s">
        <v>318</v>
      </c>
      <c r="CM7" s="449" t="s">
        <v>319</v>
      </c>
      <c r="CN7" s="448" t="s">
        <v>320</v>
      </c>
      <c r="CO7" s="449" t="s">
        <v>321</v>
      </c>
      <c r="CP7" s="449" t="s">
        <v>322</v>
      </c>
      <c r="CQ7" s="449" t="s">
        <v>57</v>
      </c>
      <c r="CR7" s="449" t="s">
        <v>518</v>
      </c>
      <c r="CS7" s="448" t="s">
        <v>517</v>
      </c>
      <c r="CT7" s="449" t="s">
        <v>520</v>
      </c>
      <c r="CU7" s="449" t="s">
        <v>465</v>
      </c>
      <c r="CV7" s="449" t="s">
        <v>223</v>
      </c>
      <c r="CW7" s="656" t="s">
        <v>603</v>
      </c>
      <c r="CX7" s="739" t="s">
        <v>605</v>
      </c>
      <c r="CY7" s="449" t="s">
        <v>606</v>
      </c>
      <c r="CZ7" s="449" t="s">
        <v>607</v>
      </c>
      <c r="DA7" s="449" t="s">
        <v>608</v>
      </c>
      <c r="DB7" s="449" t="s">
        <v>612</v>
      </c>
      <c r="DC7" s="801" t="s">
        <v>613</v>
      </c>
      <c r="DD7" s="449" t="s">
        <v>617</v>
      </c>
      <c r="DE7" s="449" t="s">
        <v>620</v>
      </c>
      <c r="DF7" s="449" t="s">
        <v>622</v>
      </c>
      <c r="DG7" s="449" t="s">
        <v>627</v>
      </c>
      <c r="DH7" s="448" t="s">
        <v>628</v>
      </c>
      <c r="DI7" s="449" t="s">
        <v>640</v>
      </c>
      <c r="DJ7" s="449" t="s">
        <v>643</v>
      </c>
      <c r="DK7" s="449" t="s">
        <v>645</v>
      </c>
      <c r="DL7" s="449" t="s">
        <v>653</v>
      </c>
      <c r="DM7" s="448" t="s">
        <v>654</v>
      </c>
      <c r="DN7" s="449" t="s">
        <v>666</v>
      </c>
      <c r="DO7" s="489" t="s">
        <v>327</v>
      </c>
      <c r="DP7" s="489" t="s">
        <v>328</v>
      </c>
      <c r="DQ7" s="489" t="s">
        <v>329</v>
      </c>
      <c r="DR7" s="490" t="s">
        <v>330</v>
      </c>
      <c r="DS7" s="489" t="s">
        <v>594</v>
      </c>
      <c r="DT7" s="489" t="s">
        <v>590</v>
      </c>
      <c r="DU7" s="489" t="s">
        <v>591</v>
      </c>
      <c r="DV7" s="489" t="s">
        <v>592</v>
      </c>
      <c r="DW7" s="490" t="s">
        <v>593</v>
      </c>
      <c r="DX7" s="489" t="s">
        <v>599</v>
      </c>
      <c r="DY7" s="489" t="s">
        <v>595</v>
      </c>
      <c r="DZ7" s="489" t="s">
        <v>596</v>
      </c>
      <c r="EA7" s="489" t="s">
        <v>597</v>
      </c>
      <c r="EB7" s="490" t="s">
        <v>598</v>
      </c>
      <c r="ED7" s="28"/>
      <c r="EE7" s="28"/>
      <c r="EG7" s="133" t="s">
        <v>331</v>
      </c>
      <c r="EH7" s="133" t="s">
        <v>332</v>
      </c>
      <c r="EI7" s="133" t="s">
        <v>333</v>
      </c>
      <c r="EJ7" s="133" t="s">
        <v>334</v>
      </c>
      <c r="EK7" s="133" t="s">
        <v>335</v>
      </c>
      <c r="EL7" s="133" t="s">
        <v>336</v>
      </c>
      <c r="EM7" s="133" t="s">
        <v>337</v>
      </c>
      <c r="EN7" s="133" t="s">
        <v>338</v>
      </c>
      <c r="EO7" s="133" t="s">
        <v>339</v>
      </c>
      <c r="EP7" s="133" t="s">
        <v>340</v>
      </c>
      <c r="EQ7" s="133" t="s">
        <v>341</v>
      </c>
      <c r="ER7" s="133" t="s">
        <v>342</v>
      </c>
      <c r="ES7" s="90" t="s">
        <v>343</v>
      </c>
      <c r="ET7" s="90" t="s">
        <v>344</v>
      </c>
      <c r="EU7" s="90" t="s">
        <v>345</v>
      </c>
      <c r="EV7" s="90" t="s">
        <v>346</v>
      </c>
      <c r="EW7" s="90" t="s">
        <v>347</v>
      </c>
      <c r="EX7" s="90" t="s">
        <v>348</v>
      </c>
      <c r="EY7" s="90" t="s">
        <v>349</v>
      </c>
      <c r="EZ7" s="90" t="s">
        <v>350</v>
      </c>
      <c r="FA7" s="314" t="s">
        <v>601</v>
      </c>
      <c r="FB7" s="314" t="s">
        <v>602</v>
      </c>
      <c r="FD7" s="15" t="s">
        <v>249</v>
      </c>
      <c r="FE7" s="900" t="str">
        <f>DN7</f>
        <v>Dec-17A</v>
      </c>
      <c r="FF7" s="901" t="s">
        <v>326</v>
      </c>
      <c r="FG7" s="88" t="s">
        <v>351</v>
      </c>
      <c r="FH7" s="361" t="str">
        <f>DI7</f>
        <v>Dec-16A</v>
      </c>
      <c r="FI7" s="237" t="s">
        <v>352</v>
      </c>
      <c r="FJ7"/>
      <c r="FK7"/>
      <c r="FL7"/>
      <c r="FM7"/>
      <c r="FN7"/>
      <c r="FO7"/>
      <c r="FP7"/>
      <c r="FQ7"/>
      <c r="FR7"/>
    </row>
    <row r="8" spans="1:174" s="1" customFormat="1" ht="12" customHeight="1" x14ac:dyDescent="0.2">
      <c r="A8" s="7" t="s">
        <v>159</v>
      </c>
      <c r="B8" s="18"/>
      <c r="G8" s="18"/>
      <c r="L8" s="18"/>
      <c r="Q8" s="18"/>
      <c r="V8" s="18"/>
      <c r="AA8" s="67" t="s">
        <v>582</v>
      </c>
      <c r="AF8" s="18"/>
      <c r="AK8" s="67" t="s">
        <v>583</v>
      </c>
      <c r="AP8" s="70" t="s">
        <v>583</v>
      </c>
      <c r="AQ8" s="74" t="s">
        <v>583</v>
      </c>
      <c r="AR8" s="74" t="s">
        <v>583</v>
      </c>
      <c r="AU8" s="70" t="s">
        <v>583</v>
      </c>
      <c r="AV8" s="1" t="s">
        <v>583</v>
      </c>
      <c r="AW8" s="1" t="s">
        <v>583</v>
      </c>
      <c r="AX8" s="1" t="s">
        <v>583</v>
      </c>
      <c r="AY8" s="1" t="s">
        <v>583</v>
      </c>
      <c r="AZ8" s="18" t="s">
        <v>582</v>
      </c>
      <c r="BA8" s="1" t="s">
        <v>583</v>
      </c>
      <c r="BB8" s="1" t="s">
        <v>583</v>
      </c>
      <c r="BC8" s="1" t="s">
        <v>583</v>
      </c>
      <c r="BD8" s="1" t="s">
        <v>583</v>
      </c>
      <c r="BE8" s="18" t="s">
        <v>149</v>
      </c>
      <c r="BJ8" s="18"/>
      <c r="BO8" s="18"/>
      <c r="BP8" s="168"/>
      <c r="BQ8" s="168"/>
      <c r="BR8" s="168"/>
      <c r="BS8" s="168"/>
      <c r="BT8" s="18"/>
      <c r="BY8" s="18"/>
      <c r="CD8" s="18" t="s">
        <v>582</v>
      </c>
      <c r="CE8" s="1" t="s">
        <v>583</v>
      </c>
      <c r="CF8" s="1" t="s">
        <v>583</v>
      </c>
      <c r="CG8" s="1" t="s">
        <v>583</v>
      </c>
      <c r="CH8" s="1" t="s">
        <v>583</v>
      </c>
      <c r="CI8" s="18"/>
      <c r="CN8" s="18"/>
      <c r="CS8" s="18"/>
      <c r="CW8" s="657"/>
      <c r="CX8" s="18"/>
      <c r="DC8" s="18"/>
      <c r="DH8" s="18"/>
      <c r="DM8" s="18"/>
      <c r="DR8" s="18"/>
      <c r="DW8" s="18"/>
      <c r="EB8" s="18"/>
      <c r="ED8" s="28"/>
      <c r="EE8" s="28"/>
      <c r="EG8" s="18"/>
      <c r="EH8" s="18"/>
      <c r="EI8" s="18"/>
      <c r="EJ8" s="18"/>
      <c r="EK8" s="18"/>
      <c r="EL8" s="18"/>
      <c r="EM8" s="18"/>
      <c r="EN8" s="18"/>
      <c r="EO8" s="18"/>
      <c r="EP8" s="18"/>
      <c r="EQ8" s="18"/>
      <c r="ER8" s="18"/>
      <c r="ES8" s="18"/>
      <c r="ET8" s="18"/>
      <c r="EU8" s="18"/>
      <c r="EV8" s="18"/>
      <c r="EW8" s="18"/>
      <c r="EX8" s="18"/>
      <c r="EY8" s="18"/>
      <c r="EZ8" s="18"/>
      <c r="FA8" s="18"/>
      <c r="FB8" s="18"/>
      <c r="FD8" s="18" t="s">
        <v>353</v>
      </c>
      <c r="FE8" s="25"/>
      <c r="FF8" s="25"/>
      <c r="FG8" s="25"/>
      <c r="FH8" s="25"/>
      <c r="FI8" s="26"/>
      <c r="FJ8"/>
      <c r="FK8"/>
      <c r="FL8"/>
      <c r="FM8"/>
      <c r="FN8"/>
      <c r="FO8"/>
      <c r="FP8"/>
      <c r="FQ8"/>
      <c r="FR8"/>
    </row>
    <row r="9" spans="1:174" s="1" customFormat="1" ht="15" hidden="1" customHeight="1" outlineLevel="1" x14ac:dyDescent="0.2">
      <c r="A9" s="17" t="s">
        <v>160</v>
      </c>
      <c r="B9" s="19"/>
      <c r="C9" s="2"/>
      <c r="D9" s="2"/>
      <c r="E9" s="2"/>
      <c r="F9" s="2"/>
      <c r="G9" s="19"/>
      <c r="H9" s="2"/>
      <c r="I9" s="2"/>
      <c r="J9" s="2"/>
      <c r="K9" s="2"/>
      <c r="L9" s="19"/>
      <c r="M9" s="2"/>
      <c r="N9" s="2"/>
      <c r="O9" s="2"/>
      <c r="P9" s="2"/>
      <c r="Q9" s="19"/>
      <c r="R9" s="2"/>
      <c r="S9" s="2"/>
      <c r="T9" s="2"/>
      <c r="U9" s="2"/>
      <c r="V9" s="63">
        <v>1190</v>
      </c>
      <c r="W9" s="68">
        <v>382</v>
      </c>
      <c r="X9" s="68">
        <v>365</v>
      </c>
      <c r="Y9" s="68">
        <v>410</v>
      </c>
      <c r="Z9" s="68">
        <v>476</v>
      </c>
      <c r="AA9" s="63">
        <v>1633</v>
      </c>
      <c r="AB9" s="68">
        <v>520</v>
      </c>
      <c r="AC9" s="68">
        <v>521</v>
      </c>
      <c r="AD9" s="68">
        <v>584</v>
      </c>
      <c r="AE9" s="68">
        <v>625</v>
      </c>
      <c r="AF9" s="63">
        <v>2250</v>
      </c>
      <c r="AG9" s="68">
        <v>722</v>
      </c>
      <c r="AH9" s="68">
        <v>679</v>
      </c>
      <c r="AI9" s="68">
        <v>755</v>
      </c>
      <c r="AJ9" s="68">
        <v>795</v>
      </c>
      <c r="AK9" s="63">
        <f>SUM(AG9:AJ9)</f>
        <v>2951</v>
      </c>
      <c r="AL9" s="68">
        <v>910</v>
      </c>
      <c r="AM9" s="68">
        <v>895</v>
      </c>
      <c r="AN9" s="68">
        <v>972</v>
      </c>
      <c r="AO9" s="68">
        <v>1019</v>
      </c>
      <c r="AP9" s="63">
        <v>3796</v>
      </c>
      <c r="AQ9" s="68">
        <v>1144</v>
      </c>
      <c r="AR9" s="2"/>
      <c r="AS9" s="2"/>
      <c r="AT9" s="2"/>
      <c r="AU9" s="19"/>
      <c r="AV9" s="2"/>
      <c r="AW9" s="2"/>
      <c r="AX9" s="2"/>
      <c r="AY9" s="2"/>
      <c r="AZ9" s="19"/>
      <c r="BA9" s="2"/>
      <c r="BB9" s="2"/>
      <c r="BC9" s="2"/>
      <c r="BD9" s="2"/>
      <c r="BE9" s="19"/>
      <c r="BF9" s="2"/>
      <c r="BG9" s="2"/>
      <c r="BH9" s="2"/>
      <c r="BI9" s="2"/>
      <c r="BJ9" s="19"/>
      <c r="BK9" s="2"/>
      <c r="BL9" s="2"/>
      <c r="BM9" s="2"/>
      <c r="BN9" s="2"/>
      <c r="BO9" s="19"/>
      <c r="BP9" s="98"/>
      <c r="BQ9" s="98"/>
      <c r="BR9" s="98"/>
      <c r="BS9" s="98"/>
      <c r="BT9" s="19"/>
      <c r="BU9" s="2"/>
      <c r="BV9" s="2"/>
      <c r="BW9" s="2"/>
      <c r="BX9" s="2"/>
      <c r="BY9" s="19"/>
      <c r="BZ9" s="2"/>
      <c r="CA9" s="2"/>
      <c r="CB9" s="2"/>
      <c r="CC9" s="2"/>
      <c r="CD9" s="19"/>
      <c r="CE9" s="2"/>
      <c r="CF9" s="2"/>
      <c r="CG9" s="2"/>
      <c r="CH9" s="2"/>
      <c r="CI9" s="19"/>
      <c r="CJ9" s="2"/>
      <c r="CK9" s="2"/>
      <c r="CL9" s="2"/>
      <c r="CM9" s="2"/>
      <c r="CN9" s="19"/>
      <c r="CO9" s="2"/>
      <c r="CP9" s="2"/>
      <c r="CQ9" s="2"/>
      <c r="CR9" s="2"/>
      <c r="CS9" s="19"/>
      <c r="CT9" s="2"/>
      <c r="CU9" s="2"/>
      <c r="CV9" s="2"/>
      <c r="CW9" s="655"/>
      <c r="CX9" s="19"/>
      <c r="CY9" s="2"/>
      <c r="CZ9" s="2"/>
      <c r="DA9" s="2"/>
      <c r="DB9" s="2"/>
      <c r="DC9" s="19"/>
      <c r="DD9" s="2"/>
      <c r="DE9" s="2"/>
      <c r="DF9" s="2"/>
      <c r="DG9" s="2"/>
      <c r="DH9" s="19"/>
      <c r="DI9" s="2"/>
      <c r="DJ9" s="2"/>
      <c r="DK9" s="2"/>
      <c r="DL9" s="2"/>
      <c r="DM9" s="19"/>
      <c r="DN9" s="2"/>
      <c r="DO9" s="2"/>
      <c r="DP9" s="2"/>
      <c r="DQ9" s="2"/>
      <c r="DR9" s="19"/>
      <c r="DS9" s="2"/>
      <c r="DT9" s="2"/>
      <c r="DU9" s="2"/>
      <c r="DV9" s="2"/>
      <c r="DW9" s="19"/>
      <c r="DX9" s="2"/>
      <c r="DY9" s="2"/>
      <c r="DZ9" s="2"/>
      <c r="EA9" s="2"/>
      <c r="EB9" s="19"/>
      <c r="ED9" s="28"/>
      <c r="EE9" s="28"/>
      <c r="EG9" s="20"/>
      <c r="EH9" s="20"/>
      <c r="EI9" s="20"/>
      <c r="EJ9" s="20"/>
      <c r="EK9" s="20"/>
      <c r="EL9" s="20"/>
      <c r="EM9" s="20"/>
      <c r="EN9" s="20"/>
      <c r="EO9" s="20"/>
      <c r="EP9" s="20"/>
      <c r="EQ9" s="20"/>
      <c r="ER9" s="20"/>
      <c r="ES9" s="20"/>
      <c r="ET9" s="20"/>
      <c r="EU9" s="20"/>
      <c r="EV9" s="20"/>
      <c r="EW9" s="20"/>
      <c r="EX9" s="20"/>
      <c r="EY9" s="20"/>
      <c r="EZ9" s="20"/>
      <c r="FA9" s="20"/>
      <c r="FB9" s="20"/>
      <c r="FD9" s="19"/>
      <c r="FE9" s="2"/>
      <c r="FF9" s="2"/>
      <c r="FG9" s="2"/>
      <c r="FH9" s="2"/>
      <c r="FI9" s="31"/>
      <c r="FJ9"/>
      <c r="FK9"/>
      <c r="FL9"/>
      <c r="FM9"/>
      <c r="FN9"/>
      <c r="FO9"/>
      <c r="FP9"/>
      <c r="FQ9"/>
      <c r="FR9"/>
    </row>
    <row r="10" spans="1:174" s="1" customFormat="1" collapsed="1" x14ac:dyDescent="0.2">
      <c r="A10" s="1" t="s">
        <v>354</v>
      </c>
      <c r="B10" s="128">
        <v>248.495</v>
      </c>
      <c r="C10" s="104">
        <v>98.113</v>
      </c>
      <c r="D10" s="104">
        <v>86.894000000000005</v>
      </c>
      <c r="E10" s="104">
        <v>103.71899999999999</v>
      </c>
      <c r="F10" s="104">
        <v>113.929</v>
      </c>
      <c r="G10" s="128">
        <f>SUM(C10:F10)</f>
        <v>402.65499999999997</v>
      </c>
      <c r="H10" s="104">
        <v>145.732</v>
      </c>
      <c r="I10" s="104">
        <f>132.301</f>
        <v>132.30099999999999</v>
      </c>
      <c r="J10" s="104">
        <v>153.21199999999999</v>
      </c>
      <c r="K10" s="104">
        <v>168.82400000000001</v>
      </c>
      <c r="L10" s="128">
        <f>SUM(H10:K10)</f>
        <v>600.06899999999996</v>
      </c>
      <c r="M10" s="104">
        <f>205.338+1.012</f>
        <v>206.35</v>
      </c>
      <c r="N10" s="104">
        <f>185.061+1.355</f>
        <v>186.416</v>
      </c>
      <c r="O10" s="104">
        <f>209.993+2.051</f>
        <v>212.04399999999998</v>
      </c>
      <c r="P10" s="104">
        <v>231.482</v>
      </c>
      <c r="Q10" s="128">
        <f>SUM(M10:P10)</f>
        <v>836.29199999999992</v>
      </c>
      <c r="R10" s="104">
        <v>274.97300000000001</v>
      </c>
      <c r="S10" s="104">
        <f>247.8+5.637</f>
        <v>253.43700000000001</v>
      </c>
      <c r="T10" s="104">
        <v>283.47000000000003</v>
      </c>
      <c r="U10" s="104">
        <v>290.92200000000003</v>
      </c>
      <c r="V10" s="128">
        <v>1102.5740000000001</v>
      </c>
      <c r="W10" s="104">
        <v>342.78800000000001</v>
      </c>
      <c r="X10" s="104">
        <v>318.72800000000001</v>
      </c>
      <c r="Y10" s="104">
        <v>355.95100000000002</v>
      </c>
      <c r="Z10" s="104">
        <v>405.9</v>
      </c>
      <c r="AA10" s="128">
        <f>SUM(W10:Z10)</f>
        <v>1423.3670000000002</v>
      </c>
      <c r="AB10" s="104">
        <v>440.78500000000003</v>
      </c>
      <c r="AC10" s="104">
        <v>429.03100000000001</v>
      </c>
      <c r="AD10" s="104">
        <v>466.7</v>
      </c>
      <c r="AE10" s="104">
        <v>487.07400000000001</v>
      </c>
      <c r="AF10" s="128">
        <f>SUM(AB10:AE10)</f>
        <v>1823.5900000000001</v>
      </c>
      <c r="AG10" s="104">
        <v>562.40700000000004</v>
      </c>
      <c r="AH10" s="104">
        <v>523.27700000000004</v>
      </c>
      <c r="AI10" s="104">
        <v>558.91999999999996</v>
      </c>
      <c r="AJ10" s="104">
        <v>584.99</v>
      </c>
      <c r="AK10" s="128">
        <f>SUM(AG10:AJ10)</f>
        <v>2229.5940000000001</v>
      </c>
      <c r="AL10" s="104">
        <v>682.26499999999999</v>
      </c>
      <c r="AM10" s="104">
        <v>664.26199999999994</v>
      </c>
      <c r="AN10" s="104">
        <v>711.83399999999995</v>
      </c>
      <c r="AO10" s="104">
        <v>734.54300000000001</v>
      </c>
      <c r="AP10" s="128">
        <f>SUM(AL10:AO10)</f>
        <v>2792.904</v>
      </c>
      <c r="AQ10" s="104">
        <v>849.48599999999999</v>
      </c>
      <c r="AR10" s="104">
        <v>809.31700000000001</v>
      </c>
      <c r="AS10" s="104">
        <v>877.75400000000002</v>
      </c>
      <c r="AT10" s="104">
        <v>913.06600000000003</v>
      </c>
      <c r="AU10" s="128">
        <f>SUM(AQ10:AT10)</f>
        <v>3449.6229999999996</v>
      </c>
      <c r="AV10" s="104">
        <v>1080.4949999999999</v>
      </c>
      <c r="AW10" s="104">
        <v>1050.481</v>
      </c>
      <c r="AX10" s="104">
        <v>1108.0550000000001</v>
      </c>
      <c r="AY10" s="104">
        <v>1218.347</v>
      </c>
      <c r="AZ10" s="128">
        <f>SUM(AV10:AY10)</f>
        <v>4457.3779999999997</v>
      </c>
      <c r="BA10" s="104">
        <v>1358.6610000000001</v>
      </c>
      <c r="BB10" s="104">
        <v>1283.9469999999999</v>
      </c>
      <c r="BC10" s="104">
        <v>1356.605</v>
      </c>
      <c r="BD10" s="104">
        <v>1392.7139999999999</v>
      </c>
      <c r="BE10" s="128">
        <f>SUM(BA10:BD10)</f>
        <v>5391.9269999999997</v>
      </c>
      <c r="BF10" s="104">
        <v>1627.9829999999999</v>
      </c>
      <c r="BG10" s="104">
        <v>1599.8440000000001</v>
      </c>
      <c r="BH10" s="104">
        <v>1660.9770000000001</v>
      </c>
      <c r="BI10" s="104">
        <v>1694.2940000000001</v>
      </c>
      <c r="BJ10" s="128">
        <f>SUM(BF10:BI10)</f>
        <v>6583.098</v>
      </c>
      <c r="BK10" s="104">
        <v>2006.8109999999999</v>
      </c>
      <c r="BL10" s="104">
        <v>1922.7049999999999</v>
      </c>
      <c r="BM10" s="104">
        <v>2010.7719999999999</v>
      </c>
      <c r="BN10" s="104">
        <v>2057.9769999999999</v>
      </c>
      <c r="BO10" s="128">
        <f>SUM(BK10:BN10)</f>
        <v>7998.2649999999994</v>
      </c>
      <c r="BP10" s="104">
        <v>2351.5</v>
      </c>
      <c r="BQ10" s="104">
        <v>2142.9</v>
      </c>
      <c r="BR10" s="104">
        <v>2180.1999999999998</v>
      </c>
      <c r="BS10" s="104">
        <v>2097.3000000000002</v>
      </c>
      <c r="BT10" s="128">
        <f>SUM(BP10:BS10)</f>
        <v>8771.9</v>
      </c>
      <c r="BU10" s="104">
        <v>2176.1999999999998</v>
      </c>
      <c r="BV10" s="104">
        <v>1961.8</v>
      </c>
      <c r="BW10" s="104">
        <v>2013.8</v>
      </c>
      <c r="BX10" s="104">
        <v>2028.4</v>
      </c>
      <c r="BY10" s="128">
        <f>SUM(BU10:BX10)</f>
        <v>8180.2000000000007</v>
      </c>
      <c r="BZ10" s="104">
        <v>2292.9</v>
      </c>
      <c r="CA10" s="104">
        <v>2128.9</v>
      </c>
      <c r="CB10" s="104">
        <v>2186.6999999999998</v>
      </c>
      <c r="CC10" s="104">
        <v>2355</v>
      </c>
      <c r="CD10" s="128">
        <f>SUM(BZ10:CC10)</f>
        <v>8963.5</v>
      </c>
      <c r="CE10" s="104">
        <v>2451.3000000000002</v>
      </c>
      <c r="CF10" s="104">
        <v>2293.5</v>
      </c>
      <c r="CG10" s="104">
        <v>2417.3000000000002</v>
      </c>
      <c r="CH10" s="104">
        <v>2470.4</v>
      </c>
      <c r="CI10" s="128">
        <f>SUM(CE10:CH10)</f>
        <v>9632.5</v>
      </c>
      <c r="CJ10" s="104">
        <v>2731.8</v>
      </c>
      <c r="CK10" s="104">
        <v>2521.1999999999998</v>
      </c>
      <c r="CL10" s="104">
        <v>2615.6</v>
      </c>
      <c r="CM10" s="104">
        <v>2665.9</v>
      </c>
      <c r="CN10" s="128">
        <f>SUM(CJ10:CM10)</f>
        <v>10534.5</v>
      </c>
      <c r="CO10" s="104">
        <v>2989.6</v>
      </c>
      <c r="CP10" s="104">
        <v>2807.7</v>
      </c>
      <c r="CQ10" s="104">
        <v>2986.3</v>
      </c>
      <c r="CR10" s="104">
        <v>3009.6</v>
      </c>
      <c r="CS10" s="128">
        <f>SUM(CO10:CR10)</f>
        <v>11793.199999999999</v>
      </c>
      <c r="CT10" s="104">
        <v>3343.8</v>
      </c>
      <c r="CU10" s="104">
        <v>3068</v>
      </c>
      <c r="CV10" s="104">
        <v>3290.5</v>
      </c>
      <c r="CW10" s="658">
        <v>3275.7</v>
      </c>
      <c r="CX10" s="128">
        <f>SUM(CT10:CW10)</f>
        <v>12978</v>
      </c>
      <c r="CY10" s="104">
        <v>3772.8</v>
      </c>
      <c r="CZ10" s="104">
        <v>3622.9</v>
      </c>
      <c r="DA10" s="104">
        <v>3915</v>
      </c>
      <c r="DB10" s="104">
        <v>3886.6</v>
      </c>
      <c r="DC10" s="128">
        <f>SUM(CY10:DB10)</f>
        <v>15197.300000000001</v>
      </c>
      <c r="DD10" s="104">
        <v>4210.6000000000004</v>
      </c>
      <c r="DE10" s="104">
        <v>3944.2</v>
      </c>
      <c r="DF10" s="104">
        <v>4181.6000000000004</v>
      </c>
      <c r="DG10" s="104">
        <v>4507.8</v>
      </c>
      <c r="DH10" s="128">
        <f>SUM(DD10:DG10)</f>
        <v>16844.2</v>
      </c>
      <c r="DI10" s="104">
        <v>4469.3</v>
      </c>
      <c r="DJ10" s="104">
        <v>4195.3999999999996</v>
      </c>
      <c r="DK10" s="104">
        <v>4509</v>
      </c>
      <c r="DL10" s="104">
        <v>4477</v>
      </c>
      <c r="DM10" s="128">
        <f>SUM(DI10:DL10)</f>
        <v>17650.7</v>
      </c>
      <c r="DN10" s="104">
        <v>4741.8</v>
      </c>
      <c r="DO10" s="130">
        <v>4804.0163820791431</v>
      </c>
      <c r="DP10" s="130">
        <v>5143.8377428799076</v>
      </c>
      <c r="DQ10" s="130">
        <v>5129.7439602214081</v>
      </c>
      <c r="DR10" s="147">
        <f>SUM(DN10:DQ10)</f>
        <v>19819.398085180459</v>
      </c>
      <c r="DS10" s="130">
        <v>5287.1457863819605</v>
      </c>
      <c r="DT10" s="130">
        <v>5254.1083265416637</v>
      </c>
      <c r="DU10" s="130">
        <v>5635.8365977351514</v>
      </c>
      <c r="DV10" s="130">
        <v>5622.9825587082078</v>
      </c>
      <c r="DW10" s="147">
        <f>SUM(DS10:DV10)</f>
        <v>21800.073269366982</v>
      </c>
      <c r="DX10" s="130">
        <v>5778.282993174289</v>
      </c>
      <c r="DY10" s="130">
        <v>5753.303852921521</v>
      </c>
      <c r="DZ10" s="130">
        <v>6164.7196133420994</v>
      </c>
      <c r="EA10" s="130">
        <v>6142.8338671448937</v>
      </c>
      <c r="EB10" s="147">
        <f>SUM(DX10:EA10)</f>
        <v>23839.140326582805</v>
      </c>
      <c r="ED10" s="28"/>
      <c r="EE10" s="28"/>
      <c r="EG10" s="20"/>
      <c r="EH10" s="20"/>
      <c r="EI10" s="20"/>
      <c r="EJ10" s="20"/>
      <c r="EK10" s="20"/>
      <c r="EL10" s="128">
        <f>AZ10+BA10+BB10+BD10</f>
        <v>8492.7000000000007</v>
      </c>
      <c r="EM10" s="128">
        <f>SUM(BE10:BG10,BI10)</f>
        <v>10314.048000000001</v>
      </c>
      <c r="EN10" s="128">
        <f>BB10+BC10+BD10+BF10</f>
        <v>5661.2489999999998</v>
      </c>
      <c r="EO10" s="128">
        <f>SUM(BG10:BI10,BK10)</f>
        <v>6961.9259999999995</v>
      </c>
      <c r="EP10" s="128">
        <f>SUM(BL10:BN10,BP10)</f>
        <v>8342.9539999999997</v>
      </c>
      <c r="EQ10" s="128">
        <f>SUM(BQ10:BS10,BU10)</f>
        <v>8596.6</v>
      </c>
      <c r="ER10" s="128">
        <f>SUM(BV10:BX10,BZ10)</f>
        <v>8296.9</v>
      </c>
      <c r="ES10" s="128">
        <f t="shared" ref="ES10:ES15" si="3">SUM(CA10:CC10,CE10)</f>
        <v>9121.9000000000015</v>
      </c>
      <c r="ET10" s="128">
        <f t="shared" ref="ET10:ET15" si="4">SUM(CF10:CH10,CJ10)</f>
        <v>9913</v>
      </c>
      <c r="EU10" s="128">
        <f t="shared" ref="EU10:EU15" si="5">SUM(CK10,CL10,CM10,CO10)</f>
        <v>10792.3</v>
      </c>
      <c r="EV10" s="128">
        <f t="shared" ref="EV10:EV15" si="6">SUM(CT10,CR10,CQ10,CP10)</f>
        <v>12147.400000000001</v>
      </c>
      <c r="EW10" s="128">
        <f t="shared" ref="EW10:EW15" si="7">CU10+CV10+CW10+CY10</f>
        <v>13407</v>
      </c>
      <c r="EX10" s="128">
        <f t="shared" ref="EX10:EX15" si="8">CZ10+DA10+DB10+DD10</f>
        <v>15635.1</v>
      </c>
      <c r="EY10" s="128">
        <f t="shared" ref="EY10:EY15" si="9">DE10+DF10+DG10+DI10</f>
        <v>17102.900000000001</v>
      </c>
      <c r="EZ10" s="128">
        <f t="shared" ref="EZ10:EZ15" si="10">DJ10+DK10+DL10+DN10</f>
        <v>17923.2</v>
      </c>
      <c r="FA10" s="128">
        <f t="shared" ref="FA10:FA15" si="11">DO10+DP10+DQ10+DS10</f>
        <v>20364.743871562419</v>
      </c>
      <c r="FB10" s="128">
        <f>DT10+DU10+DV10+DX10</f>
        <v>22291.210476159311</v>
      </c>
      <c r="FD10" s="20" t="s">
        <v>354</v>
      </c>
      <c r="FE10" s="219">
        <f t="shared" ref="FE10:FE17" si="12">DN10</f>
        <v>4741.8</v>
      </c>
      <c r="FF10" s="219">
        <v>4834.8299238689269</v>
      </c>
      <c r="FG10" s="461">
        <f>FE10-FF10</f>
        <v>-93.029923868926744</v>
      </c>
      <c r="FH10" s="219">
        <f t="shared" ref="FH10:FH17" si="13">DI10</f>
        <v>4469.3</v>
      </c>
      <c r="FI10" s="249">
        <f>FE10/FH10-1</f>
        <v>6.0971516792338809E-2</v>
      </c>
      <c r="FJ10"/>
      <c r="FK10"/>
      <c r="FL10"/>
      <c r="FM10"/>
      <c r="FN10"/>
      <c r="FO10"/>
      <c r="FP10"/>
      <c r="FQ10"/>
      <c r="FR10"/>
    </row>
    <row r="11" spans="1:174" s="1" customFormat="1" hidden="1" outlineLevel="1" x14ac:dyDescent="0.2">
      <c r="A11" s="1" t="s">
        <v>355</v>
      </c>
      <c r="B11" s="20"/>
      <c r="G11" s="20"/>
      <c r="L11" s="20"/>
      <c r="Q11" s="20"/>
      <c r="V11" s="20"/>
      <c r="AA11" s="20"/>
      <c r="AF11" s="20"/>
      <c r="AK11" s="20"/>
      <c r="AL11" s="49">
        <v>72.975999999999999</v>
      </c>
      <c r="AM11" s="49">
        <v>73.822999999999993</v>
      </c>
      <c r="AN11" s="49">
        <v>79.39</v>
      </c>
      <c r="AO11" s="49">
        <v>85.742999999999995</v>
      </c>
      <c r="AP11" s="45">
        <f>SUM(AL11:AO11)</f>
        <v>311.93199999999996</v>
      </c>
      <c r="AQ11" s="1">
        <v>98.971999999999994</v>
      </c>
      <c r="AR11" s="1">
        <v>92.269000000000005</v>
      </c>
      <c r="AS11" s="1">
        <v>104.34</v>
      </c>
      <c r="AT11" s="1">
        <v>113.97</v>
      </c>
      <c r="AU11" s="20">
        <f>SUM(AQ11:AT11)</f>
        <v>409.55100000000004</v>
      </c>
      <c r="AV11" s="1">
        <v>133.499</v>
      </c>
      <c r="AW11" s="1">
        <v>122.517</v>
      </c>
      <c r="AX11" s="1">
        <v>145.02099999999999</v>
      </c>
      <c r="AY11" s="1">
        <v>164.761</v>
      </c>
      <c r="AZ11" s="20">
        <f>SUM(AV11:AY11)</f>
        <v>565.79799999999989</v>
      </c>
      <c r="BA11" s="1">
        <v>157.21299999999999</v>
      </c>
      <c r="BB11" s="1">
        <v>161.292</v>
      </c>
      <c r="BC11" s="1">
        <v>170.33</v>
      </c>
      <c r="BD11" s="1">
        <v>184.18</v>
      </c>
      <c r="BE11" s="20">
        <f>SUM(BA11:BD11)</f>
        <v>673.0150000000001</v>
      </c>
      <c r="BF11" s="1">
        <v>219.15</v>
      </c>
      <c r="BG11" s="1">
        <v>202.35400000000001</v>
      </c>
      <c r="BH11" s="1">
        <v>216.267</v>
      </c>
      <c r="BI11" s="1">
        <v>222.905</v>
      </c>
      <c r="BJ11" s="20">
        <f>SUM(BF11:BI11)</f>
        <v>860.67599999999993</v>
      </c>
      <c r="BK11" s="1">
        <v>253.922</v>
      </c>
      <c r="BL11" s="1">
        <v>234.80699999999999</v>
      </c>
      <c r="BM11" s="1">
        <v>254.904</v>
      </c>
      <c r="BN11" s="1">
        <v>282.70499999999998</v>
      </c>
      <c r="BO11" s="20">
        <f>SUM(BK11:BN11)</f>
        <v>1026.338</v>
      </c>
      <c r="BP11" s="1">
        <v>304.8</v>
      </c>
      <c r="BQ11" s="1">
        <v>274.39999999999998</v>
      </c>
      <c r="BR11" s="1">
        <v>281.3</v>
      </c>
      <c r="BS11" s="1">
        <v>311.10000000000002</v>
      </c>
      <c r="BT11" s="20">
        <f>SUM(BP11:BS11)</f>
        <v>1171.5999999999999</v>
      </c>
      <c r="BU11" s="1">
        <v>334.3</v>
      </c>
      <c r="BV11" s="1">
        <v>282.8</v>
      </c>
      <c r="BW11" s="1">
        <v>301</v>
      </c>
      <c r="BX11" s="1">
        <v>304.2</v>
      </c>
      <c r="BY11" s="20">
        <f>SUM(BU11:BX11)</f>
        <v>1222.3</v>
      </c>
      <c r="BZ11" s="1">
        <v>326.10000000000002</v>
      </c>
      <c r="CA11" s="1">
        <v>310.39999999999998</v>
      </c>
      <c r="CB11" s="1">
        <v>330.6</v>
      </c>
      <c r="CC11" s="1">
        <v>373.8</v>
      </c>
      <c r="CD11" s="20">
        <f>SUM(BZ11:CC11)</f>
        <v>1340.9</v>
      </c>
      <c r="CE11" s="1">
        <v>378.8</v>
      </c>
      <c r="CF11" s="1">
        <f>CF13</f>
        <v>237.8</v>
      </c>
      <c r="CI11" s="20"/>
      <c r="CN11" s="20"/>
      <c r="CS11" s="20"/>
      <c r="CW11" s="657"/>
      <c r="CX11" s="20"/>
      <c r="DC11" s="20"/>
      <c r="DH11" s="20"/>
      <c r="DM11" s="20"/>
      <c r="DO11" s="108"/>
      <c r="DP11" s="108"/>
      <c r="DQ11" s="108"/>
      <c r="DR11" s="20"/>
      <c r="DS11" s="108"/>
      <c r="DT11" s="108"/>
      <c r="DU11" s="108"/>
      <c r="DV11" s="108"/>
      <c r="DW11" s="20"/>
      <c r="DX11" s="108"/>
      <c r="DY11" s="108"/>
      <c r="DZ11" s="108"/>
      <c r="EA11" s="108"/>
      <c r="EB11" s="20"/>
      <c r="ED11" s="28"/>
      <c r="EE11" s="28"/>
      <c r="EG11" s="20"/>
      <c r="EH11" s="20"/>
      <c r="EI11" s="20"/>
      <c r="EJ11" s="20"/>
      <c r="EK11" s="20"/>
      <c r="EL11" s="125">
        <f>AZ11+BA11+BB11+BD11</f>
        <v>1068.4829999999999</v>
      </c>
      <c r="EM11" s="125">
        <f>SUM(BE11:BG11,BI11)</f>
        <v>1317.424</v>
      </c>
      <c r="EN11" s="125">
        <f>BB11+BC11+BD11+BF11</f>
        <v>734.952</v>
      </c>
      <c r="EO11" s="125">
        <f>SUM(BG11:BI11,BK11)</f>
        <v>895.44799999999998</v>
      </c>
      <c r="EP11" s="125">
        <f>SUM(BL11:BN11,BP11)</f>
        <v>1077.2159999999999</v>
      </c>
      <c r="EQ11" s="125">
        <f>SUM(BQ11:BS11,BU11)</f>
        <v>1201.1000000000001</v>
      </c>
      <c r="ER11" s="125">
        <f>SUM(BV11:BX11,BZ11)</f>
        <v>1214.0999999999999</v>
      </c>
      <c r="ES11" s="125">
        <f t="shared" si="3"/>
        <v>1393.6</v>
      </c>
      <c r="ET11" s="125">
        <f t="shared" si="4"/>
        <v>237.8</v>
      </c>
      <c r="EU11" s="125">
        <f t="shared" si="5"/>
        <v>0</v>
      </c>
      <c r="EV11" s="125">
        <f t="shared" si="6"/>
        <v>0</v>
      </c>
      <c r="EW11" s="125">
        <f t="shared" si="7"/>
        <v>0</v>
      </c>
      <c r="EX11" s="125">
        <f t="shared" si="8"/>
        <v>0</v>
      </c>
      <c r="EY11" s="125">
        <f t="shared" si="9"/>
        <v>0</v>
      </c>
      <c r="EZ11" s="125">
        <f t="shared" si="10"/>
        <v>0</v>
      </c>
      <c r="FA11" s="128">
        <f t="shared" si="11"/>
        <v>0</v>
      </c>
      <c r="FB11" s="128">
        <f>DT11+DU11+DV11+DX11</f>
        <v>0</v>
      </c>
      <c r="FD11" s="20"/>
      <c r="FE11" s="113">
        <f t="shared" si="12"/>
        <v>0</v>
      </c>
      <c r="FF11" s="113">
        <v>0</v>
      </c>
      <c r="FG11" s="28"/>
      <c r="FH11" s="28">
        <f t="shared" si="13"/>
        <v>0</v>
      </c>
      <c r="FI11" s="29"/>
      <c r="FJ11"/>
      <c r="FK11"/>
      <c r="FL11"/>
      <c r="FM11"/>
      <c r="FN11"/>
      <c r="FO11"/>
      <c r="FP11"/>
      <c r="FQ11"/>
      <c r="FR11"/>
    </row>
    <row r="12" spans="1:174" s="1" customFormat="1" hidden="1" outlineLevel="1" x14ac:dyDescent="0.2">
      <c r="A12" s="1" t="s">
        <v>356</v>
      </c>
      <c r="B12" s="20"/>
      <c r="G12" s="20"/>
      <c r="L12" s="20"/>
      <c r="Q12" s="20"/>
      <c r="V12" s="20"/>
      <c r="AA12" s="20"/>
      <c r="AF12" s="20"/>
      <c r="AK12" s="20"/>
      <c r="AL12" s="49">
        <v>50.094000000000001</v>
      </c>
      <c r="AM12" s="49">
        <v>45.131999999999998</v>
      </c>
      <c r="AN12" s="49">
        <v>43.933999999999997</v>
      </c>
      <c r="AO12" s="49">
        <v>44.911999999999999</v>
      </c>
      <c r="AP12" s="45">
        <f>SUM(AL12:AO12)</f>
        <v>184.072</v>
      </c>
      <c r="AQ12" s="1">
        <v>55.067999999999998</v>
      </c>
      <c r="AR12" s="1">
        <v>52.62</v>
      </c>
      <c r="AS12" s="1">
        <v>54.682000000000002</v>
      </c>
      <c r="AT12" s="1">
        <v>53.976999999999997</v>
      </c>
      <c r="AU12" s="20">
        <f>SUM(AQ12:AT12)</f>
        <v>216.34700000000001</v>
      </c>
      <c r="AV12" s="1">
        <v>67.197000000000003</v>
      </c>
      <c r="AW12" s="1">
        <v>68.069999999999993</v>
      </c>
      <c r="AX12" s="1">
        <v>65.614999999999995</v>
      </c>
      <c r="AY12" s="1">
        <v>70.188999999999993</v>
      </c>
      <c r="AZ12" s="20">
        <f>SUM(AV12:AY12)</f>
        <v>271.07100000000003</v>
      </c>
      <c r="BA12" s="1">
        <v>73.67</v>
      </c>
      <c r="BB12" s="1">
        <v>73.477000000000004</v>
      </c>
      <c r="BC12" s="1">
        <v>74.864000000000004</v>
      </c>
      <c r="BD12" s="1">
        <v>82.346999999999994</v>
      </c>
      <c r="BE12" s="20">
        <f>SUM(BA12:BD12)</f>
        <v>304.358</v>
      </c>
      <c r="BF12" s="1">
        <v>86.959000000000003</v>
      </c>
      <c r="BG12" s="1">
        <v>83.623999999999995</v>
      </c>
      <c r="BH12" s="1">
        <v>86.429000000000002</v>
      </c>
      <c r="BI12" s="1">
        <v>86.156000000000006</v>
      </c>
      <c r="BJ12" s="20">
        <f>SUM(BF12:BI12)</f>
        <v>343.16800000000001</v>
      </c>
      <c r="BK12" s="1">
        <v>94.99</v>
      </c>
      <c r="BL12" s="1">
        <v>98.081999999999994</v>
      </c>
      <c r="BM12" s="1">
        <v>93.569000000000003</v>
      </c>
      <c r="BN12" s="1">
        <v>100.253</v>
      </c>
      <c r="BO12" s="20">
        <f>SUM(BK12:BN12)</f>
        <v>386.89400000000001</v>
      </c>
      <c r="BP12" s="1">
        <v>111.3</v>
      </c>
      <c r="BQ12" s="1">
        <v>108.7</v>
      </c>
      <c r="BR12" s="1">
        <v>112.5</v>
      </c>
      <c r="BS12" s="1">
        <v>107</v>
      </c>
      <c r="BT12" s="20">
        <f>SUM(BP12:BS12)</f>
        <v>439.5</v>
      </c>
      <c r="BU12" s="1">
        <v>104.7</v>
      </c>
      <c r="BV12" s="1">
        <v>88.7</v>
      </c>
      <c r="BW12" s="1">
        <v>89.1</v>
      </c>
      <c r="BX12" s="1">
        <v>89.6</v>
      </c>
      <c r="BY12" s="20">
        <f>SUM(BU12:BX12)</f>
        <v>372.1</v>
      </c>
      <c r="BZ12" s="1">
        <v>103.7</v>
      </c>
      <c r="CA12" s="1">
        <v>95.4</v>
      </c>
      <c r="CB12" s="1">
        <v>94.7</v>
      </c>
      <c r="CC12" s="1">
        <v>109.2</v>
      </c>
      <c r="CD12" s="20">
        <f>SUM(BZ12:CC12)</f>
        <v>403</v>
      </c>
      <c r="CE12" s="1">
        <v>120.7</v>
      </c>
      <c r="CF12" s="1">
        <f>CF14</f>
        <v>254.4</v>
      </c>
      <c r="CI12" s="20"/>
      <c r="CN12" s="20"/>
      <c r="CS12" s="20"/>
      <c r="CW12" s="657"/>
      <c r="CX12" s="20"/>
      <c r="DC12" s="20"/>
      <c r="DH12" s="20"/>
      <c r="DM12" s="20"/>
      <c r="DO12" s="108"/>
      <c r="DP12" s="108"/>
      <c r="DQ12" s="108"/>
      <c r="DR12" s="20"/>
      <c r="DS12" s="108"/>
      <c r="DT12" s="108"/>
      <c r="DU12" s="108"/>
      <c r="DV12" s="108"/>
      <c r="DW12" s="20"/>
      <c r="DX12" s="108"/>
      <c r="DY12" s="108"/>
      <c r="DZ12" s="108"/>
      <c r="EA12" s="108"/>
      <c r="EB12" s="20"/>
      <c r="ED12" s="28"/>
      <c r="EE12" s="28"/>
      <c r="EG12" s="20"/>
      <c r="EH12" s="20"/>
      <c r="EI12" s="20"/>
      <c r="EJ12" s="20"/>
      <c r="EK12" s="20"/>
      <c r="EL12" s="125">
        <f>AZ12+BA12+BB12+BD12</f>
        <v>500.56500000000005</v>
      </c>
      <c r="EM12" s="125">
        <f>SUM(BE12:BG12,BI12)</f>
        <v>561.09699999999998</v>
      </c>
      <c r="EN12" s="125">
        <f>BB12+BC12+BD12+BF12</f>
        <v>317.64699999999999</v>
      </c>
      <c r="EO12" s="125">
        <f>SUM(BG12:BI12,BK12)</f>
        <v>351.19900000000001</v>
      </c>
      <c r="EP12" s="125">
        <f>SUM(BL12:BN12,BP12)</f>
        <v>403.20400000000001</v>
      </c>
      <c r="EQ12" s="125">
        <f>SUM(BQ12:BS12,BU12)</f>
        <v>432.9</v>
      </c>
      <c r="ER12" s="125">
        <f>SUM(BV12:BX12,BZ12)</f>
        <v>371.09999999999997</v>
      </c>
      <c r="ES12" s="125">
        <f t="shared" si="3"/>
        <v>420</v>
      </c>
      <c r="ET12" s="125">
        <f t="shared" si="4"/>
        <v>254.4</v>
      </c>
      <c r="EU12" s="125">
        <f t="shared" si="5"/>
        <v>0</v>
      </c>
      <c r="EV12" s="125">
        <f t="shared" si="6"/>
        <v>0</v>
      </c>
      <c r="EW12" s="125">
        <f t="shared" si="7"/>
        <v>0</v>
      </c>
      <c r="EX12" s="125">
        <f t="shared" si="8"/>
        <v>0</v>
      </c>
      <c r="EY12" s="125">
        <f t="shared" si="9"/>
        <v>0</v>
      </c>
      <c r="EZ12" s="125">
        <f t="shared" si="10"/>
        <v>0</v>
      </c>
      <c r="FA12" s="128">
        <f t="shared" si="11"/>
        <v>0</v>
      </c>
      <c r="FB12" s="128">
        <f>DT12+DU12+DV12+DX12</f>
        <v>0</v>
      </c>
      <c r="FD12" s="20"/>
      <c r="FE12" s="113">
        <f t="shared" si="12"/>
        <v>0</v>
      </c>
      <c r="FF12" s="113">
        <v>0</v>
      </c>
      <c r="FG12" s="28"/>
      <c r="FH12" s="28">
        <f t="shared" si="13"/>
        <v>0</v>
      </c>
      <c r="FI12" s="29"/>
      <c r="FJ12"/>
      <c r="FK12"/>
      <c r="FL12"/>
      <c r="FM12"/>
      <c r="FN12"/>
      <c r="FO12"/>
      <c r="FP12"/>
      <c r="FQ12"/>
      <c r="FR12"/>
    </row>
    <row r="13" spans="1:174" s="1" customFormat="1" collapsed="1" x14ac:dyDescent="0.2">
      <c r="A13" s="21" t="s">
        <v>357</v>
      </c>
      <c r="B13" s="128"/>
      <c r="C13" s="104"/>
      <c r="D13" s="104"/>
      <c r="E13" s="104"/>
      <c r="F13" s="104"/>
      <c r="G13" s="128"/>
      <c r="H13" s="104"/>
      <c r="I13" s="104"/>
      <c r="J13" s="104"/>
      <c r="K13" s="104"/>
      <c r="L13" s="128"/>
      <c r="M13" s="104"/>
      <c r="N13" s="104"/>
      <c r="O13" s="104"/>
      <c r="P13" s="104"/>
      <c r="Q13" s="128"/>
      <c r="R13" s="104"/>
      <c r="S13" s="104"/>
      <c r="T13" s="104"/>
      <c r="U13" s="104"/>
      <c r="V13" s="128"/>
      <c r="W13" s="104"/>
      <c r="X13" s="104"/>
      <c r="Y13" s="104"/>
      <c r="Z13" s="104"/>
      <c r="AA13" s="128"/>
      <c r="AB13" s="104"/>
      <c r="AC13" s="104"/>
      <c r="AD13" s="104"/>
      <c r="AE13" s="104"/>
      <c r="AF13" s="128"/>
      <c r="AG13" s="104"/>
      <c r="AH13" s="104"/>
      <c r="AI13" s="104"/>
      <c r="AJ13" s="104"/>
      <c r="AK13" s="128"/>
      <c r="AL13" s="104"/>
      <c r="AM13" s="104"/>
      <c r="AN13" s="104"/>
      <c r="AO13" s="104"/>
      <c r="AP13" s="128"/>
      <c r="AQ13" s="104"/>
      <c r="AR13" s="104"/>
      <c r="AS13" s="104"/>
      <c r="AT13" s="104"/>
      <c r="AU13" s="128"/>
      <c r="AV13" s="104"/>
      <c r="AW13" s="104"/>
      <c r="AX13" s="104"/>
      <c r="AY13" s="104"/>
      <c r="AZ13" s="128"/>
      <c r="BA13" s="104"/>
      <c r="BB13" s="104"/>
      <c r="BC13" s="104"/>
      <c r="BD13" s="104"/>
      <c r="BE13" s="128"/>
      <c r="BF13" s="104"/>
      <c r="BG13" s="104"/>
      <c r="BH13" s="104"/>
      <c r="BI13" s="104"/>
      <c r="BJ13" s="128"/>
      <c r="BK13" s="104"/>
      <c r="BL13" s="104"/>
      <c r="BM13" s="104"/>
      <c r="BN13" s="104"/>
      <c r="BO13" s="125"/>
      <c r="BP13" s="111">
        <v>204.2</v>
      </c>
      <c r="BQ13" s="111">
        <v>178.1</v>
      </c>
      <c r="BR13" s="111">
        <v>190.5</v>
      </c>
      <c r="BS13" s="111">
        <v>206.2</v>
      </c>
      <c r="BT13" s="125">
        <f>SUM(BP13:BS13)</f>
        <v>779</v>
      </c>
      <c r="BU13" s="111">
        <v>219.9</v>
      </c>
      <c r="BV13" s="111">
        <v>188</v>
      </c>
      <c r="BW13" s="111">
        <v>194.7</v>
      </c>
      <c r="BX13" s="111">
        <v>192.4</v>
      </c>
      <c r="BY13" s="125">
        <f>SUM(BU13:BX13)</f>
        <v>794.99999999999989</v>
      </c>
      <c r="BZ13" s="111">
        <v>216.5</v>
      </c>
      <c r="CA13" s="111">
        <v>210.9</v>
      </c>
      <c r="CB13" s="111">
        <v>213.5</v>
      </c>
      <c r="CC13" s="111">
        <v>234.3</v>
      </c>
      <c r="CD13" s="125">
        <f>SUM(BZ13:CC13)</f>
        <v>875.2</v>
      </c>
      <c r="CE13" s="111">
        <v>254.2</v>
      </c>
      <c r="CF13" s="111">
        <v>237.8</v>
      </c>
      <c r="CG13" s="111">
        <v>248.7</v>
      </c>
      <c r="CH13" s="111">
        <v>266.8</v>
      </c>
      <c r="CI13" s="125">
        <f>SUM(CE13:CH13)</f>
        <v>1007.5</v>
      </c>
      <c r="CJ13" s="111">
        <v>306.60000000000002</v>
      </c>
      <c r="CK13" s="111">
        <v>290.3</v>
      </c>
      <c r="CL13" s="111">
        <v>308.2</v>
      </c>
      <c r="CM13" s="111">
        <v>305.3</v>
      </c>
      <c r="CN13" s="125">
        <f>SUM(CJ13:CM13)</f>
        <v>1210.4000000000001</v>
      </c>
      <c r="CO13" s="111">
        <v>350.2</v>
      </c>
      <c r="CP13" s="111">
        <v>322.10000000000002</v>
      </c>
      <c r="CQ13" s="111">
        <v>342</v>
      </c>
      <c r="CR13" s="111">
        <v>346.3</v>
      </c>
      <c r="CS13" s="125">
        <f>SUM(CO13:CR13)</f>
        <v>1360.6</v>
      </c>
      <c r="CT13" s="111">
        <v>401.8</v>
      </c>
      <c r="CU13" s="111">
        <v>356.2</v>
      </c>
      <c r="CV13" s="111">
        <v>408.1</v>
      </c>
      <c r="CW13" s="659">
        <v>422.6</v>
      </c>
      <c r="CX13" s="125">
        <f>SUM(CT13:CW13)</f>
        <v>1588.6999999999998</v>
      </c>
      <c r="CY13" s="111">
        <v>483.9</v>
      </c>
      <c r="CZ13" s="111">
        <v>421.3</v>
      </c>
      <c r="DA13" s="111">
        <v>475.2</v>
      </c>
      <c r="DB13" s="111">
        <v>481.4</v>
      </c>
      <c r="DC13" s="125">
        <f>SUM(CY13:DB13)</f>
        <v>1861.8000000000002</v>
      </c>
      <c r="DD13" s="111">
        <v>540.6</v>
      </c>
      <c r="DE13" s="111">
        <v>493.1</v>
      </c>
      <c r="DF13" s="111">
        <v>527.20000000000005</v>
      </c>
      <c r="DG13" s="111">
        <v>593.20000000000005</v>
      </c>
      <c r="DH13" s="125">
        <f>SUM(DD13:DG13)</f>
        <v>2154.1000000000004</v>
      </c>
      <c r="DI13" s="111">
        <v>602.4</v>
      </c>
      <c r="DJ13" s="111">
        <v>546.70000000000005</v>
      </c>
      <c r="DK13" s="111">
        <v>588.29999999999995</v>
      </c>
      <c r="DL13" s="111">
        <v>617.6</v>
      </c>
      <c r="DM13" s="125">
        <f>SUM(DI13:DL13)</f>
        <v>2355</v>
      </c>
      <c r="DN13" s="111">
        <v>682.4</v>
      </c>
      <c r="DO13" s="143">
        <v>579.99657137013014</v>
      </c>
      <c r="DP13" s="143">
        <v>617.85616289887912</v>
      </c>
      <c r="DQ13" s="143">
        <v>665.97631355287001</v>
      </c>
      <c r="DR13" s="125">
        <f>SUM(DN13:DQ13)</f>
        <v>2546.2290478218792</v>
      </c>
      <c r="DS13" s="143">
        <v>753.76951885525375</v>
      </c>
      <c r="DT13" s="143">
        <v>657.82112500802214</v>
      </c>
      <c r="DU13" s="143">
        <v>699.79353622787073</v>
      </c>
      <c r="DV13" s="143">
        <v>753.06060076476831</v>
      </c>
      <c r="DW13" s="125">
        <f>SUM(DS13:DV13)</f>
        <v>2864.4447808559153</v>
      </c>
      <c r="DX13" s="143">
        <v>850.99725714273336</v>
      </c>
      <c r="DY13" s="143">
        <v>741.36197189354596</v>
      </c>
      <c r="DZ13" s="143">
        <v>787.61403739592868</v>
      </c>
      <c r="EA13" s="143">
        <v>846.0941365450675</v>
      </c>
      <c r="EB13" s="125">
        <f>SUM(DX13:EA13)</f>
        <v>3226.0674029772758</v>
      </c>
      <c r="ED13" s="28"/>
      <c r="EE13" s="28"/>
      <c r="EG13" s="20"/>
      <c r="EH13" s="20"/>
      <c r="EI13" s="20"/>
      <c r="EJ13" s="20"/>
      <c r="EK13" s="20"/>
      <c r="EL13" s="125"/>
      <c r="EM13" s="125"/>
      <c r="EN13" s="125"/>
      <c r="EO13" s="125"/>
      <c r="EP13" s="125"/>
      <c r="EQ13" s="125"/>
      <c r="ER13" s="125"/>
      <c r="ES13" s="125"/>
      <c r="ET13" s="128">
        <f t="shared" si="4"/>
        <v>1059.9000000000001</v>
      </c>
      <c r="EU13" s="128">
        <f t="shared" si="5"/>
        <v>1254</v>
      </c>
      <c r="EV13" s="128">
        <f t="shared" si="6"/>
        <v>1412.1999999999998</v>
      </c>
      <c r="EW13" s="128">
        <f t="shared" si="7"/>
        <v>1670.8000000000002</v>
      </c>
      <c r="EX13" s="128">
        <f t="shared" si="8"/>
        <v>1918.5</v>
      </c>
      <c r="EY13" s="128">
        <f t="shared" si="9"/>
        <v>2215.9</v>
      </c>
      <c r="EZ13" s="128">
        <f t="shared" si="10"/>
        <v>2435</v>
      </c>
      <c r="FA13" s="128">
        <f t="shared" si="11"/>
        <v>2617.598566677133</v>
      </c>
      <c r="FB13" s="128">
        <f t="shared" ref="FB13:FB17" si="14">DT13+DU13+DV13+DX13</f>
        <v>2961.6725191433948</v>
      </c>
      <c r="FD13" s="20" t="s">
        <v>357</v>
      </c>
      <c r="FE13" s="401">
        <f t="shared" si="12"/>
        <v>682.4</v>
      </c>
      <c r="FF13" s="401">
        <v>680.3231225427362</v>
      </c>
      <c r="FG13" s="401">
        <f>FE13-FF13</f>
        <v>2.0768774572637767</v>
      </c>
      <c r="FH13" s="401">
        <f t="shared" si="13"/>
        <v>602.4</v>
      </c>
      <c r="FI13" s="249">
        <f>FE13/FH13-1</f>
        <v>0.13280212483399745</v>
      </c>
      <c r="FJ13"/>
      <c r="FK13"/>
      <c r="FL13"/>
      <c r="FM13"/>
      <c r="FN13"/>
      <c r="FO13"/>
      <c r="FP13"/>
      <c r="FQ13"/>
      <c r="FR13"/>
    </row>
    <row r="14" spans="1:174" s="1" customFormat="1" x14ac:dyDescent="0.2">
      <c r="A14" s="21" t="s">
        <v>358</v>
      </c>
      <c r="B14" s="20"/>
      <c r="G14" s="20"/>
      <c r="L14" s="20"/>
      <c r="Q14" s="20"/>
      <c r="V14" s="20"/>
      <c r="AA14" s="20"/>
      <c r="AF14" s="20"/>
      <c r="AK14" s="20"/>
      <c r="AP14" s="20"/>
      <c r="AU14" s="20"/>
      <c r="AZ14" s="20"/>
      <c r="BE14" s="20"/>
      <c r="BJ14" s="20"/>
      <c r="BO14" s="20"/>
      <c r="BP14" s="111">
        <v>211.9</v>
      </c>
      <c r="BQ14" s="111">
        <v>205</v>
      </c>
      <c r="BR14" s="111">
        <v>203.2</v>
      </c>
      <c r="BS14" s="111">
        <v>212</v>
      </c>
      <c r="BT14" s="125">
        <f>SUM(BP14:BS14)</f>
        <v>832.09999999999991</v>
      </c>
      <c r="BU14" s="111">
        <v>219.1</v>
      </c>
      <c r="BV14" s="111">
        <v>183.5</v>
      </c>
      <c r="BW14" s="111">
        <v>195.4</v>
      </c>
      <c r="BX14" s="111">
        <v>201.4</v>
      </c>
      <c r="BY14" s="125">
        <f>SUM(BU14:BX14)</f>
        <v>799.4</v>
      </c>
      <c r="BZ14" s="111">
        <v>213.3</v>
      </c>
      <c r="CA14" s="111">
        <v>194.9</v>
      </c>
      <c r="CB14" s="111">
        <v>211.8</v>
      </c>
      <c r="CC14" s="111">
        <v>248.7</v>
      </c>
      <c r="CD14" s="125">
        <f>SUM(BZ14:CC14)</f>
        <v>868.7</v>
      </c>
      <c r="CE14" s="111">
        <v>245.3</v>
      </c>
      <c r="CF14" s="111">
        <v>254.4</v>
      </c>
      <c r="CG14" s="111">
        <v>266.2</v>
      </c>
      <c r="CH14" s="111">
        <v>294.7</v>
      </c>
      <c r="CI14" s="125">
        <f>SUM(CE14:CH14)</f>
        <v>1060.6000000000001</v>
      </c>
      <c r="CJ14" s="111">
        <v>391.6</v>
      </c>
      <c r="CK14" s="111">
        <v>378.7</v>
      </c>
      <c r="CL14" s="111">
        <v>374.4</v>
      </c>
      <c r="CM14" s="111">
        <v>387.3</v>
      </c>
      <c r="CN14" s="125">
        <f>SUM(CJ14:CM14)</f>
        <v>1531.9999999999998</v>
      </c>
      <c r="CO14" s="111">
        <v>453.4</v>
      </c>
      <c r="CP14" s="111">
        <v>419.8</v>
      </c>
      <c r="CQ14" s="111">
        <v>407</v>
      </c>
      <c r="CR14" s="111">
        <v>432.9</v>
      </c>
      <c r="CS14" s="125">
        <f>SUM(CO14:CR14)</f>
        <v>1713.1</v>
      </c>
      <c r="CT14" s="111">
        <v>494</v>
      </c>
      <c r="CU14" s="111">
        <v>449.6</v>
      </c>
      <c r="CV14" s="111">
        <v>455.1</v>
      </c>
      <c r="CW14" s="659">
        <v>482.5</v>
      </c>
      <c r="CX14" s="125">
        <f>SUM(CT14:CW14)</f>
        <v>1881.2</v>
      </c>
      <c r="CY14" s="111">
        <v>546.5</v>
      </c>
      <c r="CZ14" s="111">
        <v>519.29999999999995</v>
      </c>
      <c r="DA14" s="111">
        <v>491</v>
      </c>
      <c r="DB14" s="111">
        <v>546.79999999999995</v>
      </c>
      <c r="DC14" s="125">
        <f>SUM(CY14:DB14)</f>
        <v>2103.6</v>
      </c>
      <c r="DD14" s="111">
        <v>622.29999999999995</v>
      </c>
      <c r="DE14" s="111">
        <v>555.9</v>
      </c>
      <c r="DF14" s="111">
        <v>529.20000000000005</v>
      </c>
      <c r="DG14" s="111">
        <v>610.20000000000005</v>
      </c>
      <c r="DH14" s="125">
        <f>SUM(DD14:DG14)</f>
        <v>2317.6</v>
      </c>
      <c r="DI14" s="111">
        <v>661.2</v>
      </c>
      <c r="DJ14" s="111">
        <v>551.9</v>
      </c>
      <c r="DK14" s="111">
        <v>564.20000000000005</v>
      </c>
      <c r="DL14" s="111">
        <v>603.70000000000005</v>
      </c>
      <c r="DM14" s="125">
        <f>SUM(DI14:DL14)</f>
        <v>2381</v>
      </c>
      <c r="DN14" s="111">
        <v>649.5</v>
      </c>
      <c r="DO14" s="143">
        <v>566.82500000000005</v>
      </c>
      <c r="DP14" s="143">
        <v>571.98800000000006</v>
      </c>
      <c r="DQ14" s="143">
        <v>611.76700000000005</v>
      </c>
      <c r="DR14" s="125">
        <f>SUM(DN14:DQ14)</f>
        <v>2400.08</v>
      </c>
      <c r="DS14" s="143">
        <v>695.21024871355064</v>
      </c>
      <c r="DT14" s="143">
        <v>603.53342999999995</v>
      </c>
      <c r="DU14" s="143">
        <v>609.37980000000005</v>
      </c>
      <c r="DV14" s="143">
        <v>651.97585000000004</v>
      </c>
      <c r="DW14" s="125">
        <f>SUM(DS14:DV14)</f>
        <v>2560.0993287135507</v>
      </c>
      <c r="DX14" s="143">
        <v>744.01481194600808</v>
      </c>
      <c r="DY14" s="143">
        <v>642.82705557686006</v>
      </c>
      <c r="DZ14" s="143">
        <v>650.53430347631456</v>
      </c>
      <c r="EA14" s="143">
        <v>697.03730362570752</v>
      </c>
      <c r="EB14" s="125">
        <f>SUM(DX14:EA14)</f>
        <v>2734.4134746248901</v>
      </c>
      <c r="ED14" s="28"/>
      <c r="EE14" s="28"/>
      <c r="EG14" s="20"/>
      <c r="EH14" s="20"/>
      <c r="EI14" s="20"/>
      <c r="EJ14" s="20"/>
      <c r="EK14" s="20"/>
      <c r="EL14" s="125"/>
      <c r="EM14" s="125"/>
      <c r="EN14" s="125"/>
      <c r="EO14" s="125"/>
      <c r="EP14" s="125"/>
      <c r="EQ14" s="125"/>
      <c r="ER14" s="125"/>
      <c r="ES14" s="125"/>
      <c r="ET14" s="128">
        <f t="shared" si="4"/>
        <v>1206.9000000000001</v>
      </c>
      <c r="EU14" s="128">
        <f t="shared" si="5"/>
        <v>1593.7999999999997</v>
      </c>
      <c r="EV14" s="128">
        <f t="shared" si="6"/>
        <v>1753.7</v>
      </c>
      <c r="EW14" s="128">
        <f t="shared" si="7"/>
        <v>1933.7</v>
      </c>
      <c r="EX14" s="128">
        <f t="shared" si="8"/>
        <v>2179.3999999999996</v>
      </c>
      <c r="EY14" s="128">
        <f t="shared" si="9"/>
        <v>2356.5</v>
      </c>
      <c r="EZ14" s="128">
        <f t="shared" si="10"/>
        <v>2369.3000000000002</v>
      </c>
      <c r="FA14" s="128">
        <f t="shared" si="11"/>
        <v>2445.7902487135507</v>
      </c>
      <c r="FB14" s="128">
        <f t="shared" si="14"/>
        <v>2608.9038919460081</v>
      </c>
      <c r="FD14" s="20" t="s">
        <v>358</v>
      </c>
      <c r="FE14" s="401">
        <f t="shared" si="12"/>
        <v>649.5</v>
      </c>
      <c r="FF14" s="401">
        <v>705.39749999999992</v>
      </c>
      <c r="FG14" s="401">
        <f>FE14-FF14</f>
        <v>-55.897499999999923</v>
      </c>
      <c r="FH14" s="401">
        <f t="shared" si="13"/>
        <v>661.2</v>
      </c>
      <c r="FI14" s="249">
        <f>FE14/FH14-1</f>
        <v>-1.7695099818511917E-2</v>
      </c>
      <c r="FJ14"/>
      <c r="FK14"/>
      <c r="FL14"/>
      <c r="FM14"/>
      <c r="FN14"/>
      <c r="FO14"/>
      <c r="FP14"/>
      <c r="FQ14"/>
      <c r="FR14"/>
    </row>
    <row r="15" spans="1:174" s="22" customFormat="1" x14ac:dyDescent="0.2">
      <c r="A15" s="22" t="s">
        <v>359</v>
      </c>
      <c r="B15" s="303">
        <v>26.542000000000002</v>
      </c>
      <c r="C15" s="362">
        <v>11.54</v>
      </c>
      <c r="D15" s="362">
        <v>11.439</v>
      </c>
      <c r="E15" s="362">
        <v>12.375999999999999</v>
      </c>
      <c r="F15" s="362">
        <v>12.787000000000001</v>
      </c>
      <c r="G15" s="303">
        <f>SUM(C15:F15)</f>
        <v>48.141999999999996</v>
      </c>
      <c r="H15" s="362">
        <v>16.616</v>
      </c>
      <c r="I15" s="362">
        <v>18.024000000000001</v>
      </c>
      <c r="J15" s="362">
        <v>19.855</v>
      </c>
      <c r="K15" s="362">
        <v>24.158999999999999</v>
      </c>
      <c r="L15" s="303">
        <f>SUM(H15:K15)+17.8</f>
        <v>96.453999999999994</v>
      </c>
      <c r="M15" s="362">
        <v>25.021999999999998</v>
      </c>
      <c r="N15" s="362">
        <v>25.498000000000001</v>
      </c>
      <c r="O15" s="362">
        <v>27.9</v>
      </c>
      <c r="P15" s="362">
        <v>39.441000000000003</v>
      </c>
      <c r="Q15" s="303">
        <f>SUM(M15:P15)+21.2</f>
        <v>139.06099999999998</v>
      </c>
      <c r="R15" s="362">
        <v>38.779000000000003</v>
      </c>
      <c r="S15" s="362">
        <v>37.786999999999999</v>
      </c>
      <c r="T15" s="362">
        <v>47</v>
      </c>
      <c r="U15" s="362">
        <v>66.783000000000001</v>
      </c>
      <c r="V15" s="303">
        <v>206.12799999999999</v>
      </c>
      <c r="W15" s="362">
        <v>62.85</v>
      </c>
      <c r="X15" s="362">
        <v>57.094000000000001</v>
      </c>
      <c r="Y15" s="362">
        <v>67.840999999999994</v>
      </c>
      <c r="Z15" s="362">
        <v>68.97</v>
      </c>
      <c r="AA15" s="303">
        <f>SUM(W15:Z15)</f>
        <v>256.755</v>
      </c>
      <c r="AB15" s="362">
        <f>86.197+2.35</f>
        <v>88.546999999999997</v>
      </c>
      <c r="AC15" s="362">
        <f>75.667+1.97</f>
        <v>77.637</v>
      </c>
      <c r="AD15" s="362">
        <f>88.8+1.97</f>
        <v>90.77</v>
      </c>
      <c r="AE15" s="362">
        <f>94.918+2.106</f>
        <v>97.024000000000001</v>
      </c>
      <c r="AF15" s="303">
        <f>SUM(AB15:AE15)</f>
        <v>353.97800000000001</v>
      </c>
      <c r="AG15" s="362">
        <v>104.98</v>
      </c>
      <c r="AH15" s="362">
        <v>106.011</v>
      </c>
      <c r="AI15" s="362">
        <v>103.849</v>
      </c>
      <c r="AJ15" s="362">
        <v>104.54600000000001</v>
      </c>
      <c r="AK15" s="303">
        <f>SUM(AG15:AJ15)</f>
        <v>419.38599999999997</v>
      </c>
      <c r="AL15" s="362">
        <f>AL11+AL12</f>
        <v>123.07</v>
      </c>
      <c r="AM15" s="362">
        <f>AM11+AM12</f>
        <v>118.95499999999998</v>
      </c>
      <c r="AN15" s="362">
        <f>AN11+AN12</f>
        <v>123.324</v>
      </c>
      <c r="AO15" s="362">
        <f>AO11+AO12</f>
        <v>130.655</v>
      </c>
      <c r="AP15" s="303">
        <f>SUM(AL15:AO15)</f>
        <v>496.00400000000002</v>
      </c>
      <c r="AQ15" s="362">
        <f>AQ11+AQ12</f>
        <v>154.04</v>
      </c>
      <c r="AR15" s="362">
        <f>AR11+AR12</f>
        <v>144.88900000000001</v>
      </c>
      <c r="AS15" s="362">
        <f>AS11+AS12</f>
        <v>159.02199999999999</v>
      </c>
      <c r="AT15" s="362">
        <f>AT11+AT12</f>
        <v>167.947</v>
      </c>
      <c r="AU15" s="303">
        <f>SUM(AQ15:AT15)</f>
        <v>625.89799999999991</v>
      </c>
      <c r="AV15" s="362">
        <f t="shared" ref="AV15:BJ15" si="15">AV11+AV12</f>
        <v>200.696</v>
      </c>
      <c r="AW15" s="362">
        <f t="shared" si="15"/>
        <v>190.58699999999999</v>
      </c>
      <c r="AX15" s="362">
        <f t="shared" si="15"/>
        <v>210.63599999999997</v>
      </c>
      <c r="AY15" s="362">
        <f t="shared" si="15"/>
        <v>234.95</v>
      </c>
      <c r="AZ15" s="303">
        <f t="shared" si="15"/>
        <v>836.86899999999991</v>
      </c>
      <c r="BA15" s="362">
        <f t="shared" si="15"/>
        <v>230.88299999999998</v>
      </c>
      <c r="BB15" s="362">
        <f t="shared" si="15"/>
        <v>234.76900000000001</v>
      </c>
      <c r="BC15" s="362">
        <f t="shared" si="15"/>
        <v>245.19400000000002</v>
      </c>
      <c r="BD15" s="362">
        <f t="shared" si="15"/>
        <v>266.52699999999999</v>
      </c>
      <c r="BE15" s="303">
        <f t="shared" si="15"/>
        <v>977.37300000000005</v>
      </c>
      <c r="BF15" s="362">
        <f t="shared" si="15"/>
        <v>306.10900000000004</v>
      </c>
      <c r="BG15" s="362">
        <f t="shared" si="15"/>
        <v>285.97800000000001</v>
      </c>
      <c r="BH15" s="362">
        <f t="shared" si="15"/>
        <v>302.69600000000003</v>
      </c>
      <c r="BI15" s="362">
        <f t="shared" si="15"/>
        <v>309.06100000000004</v>
      </c>
      <c r="BJ15" s="303">
        <f t="shared" si="15"/>
        <v>1203.8440000000001</v>
      </c>
      <c r="BK15" s="362">
        <f>BK11+BK12</f>
        <v>348.91199999999998</v>
      </c>
      <c r="BL15" s="362">
        <f>BL11+BL12</f>
        <v>332.88900000000001</v>
      </c>
      <c r="BM15" s="362">
        <f>BM11+BM12</f>
        <v>348.47300000000001</v>
      </c>
      <c r="BN15" s="362">
        <f>BN11+BN12</f>
        <v>382.95799999999997</v>
      </c>
      <c r="BO15" s="303">
        <f>BO11+BO12</f>
        <v>1413.232</v>
      </c>
      <c r="BP15" s="362">
        <f>BP13+BP14</f>
        <v>416.1</v>
      </c>
      <c r="BQ15" s="362">
        <f>BQ13+BQ14</f>
        <v>383.1</v>
      </c>
      <c r="BR15" s="362">
        <f>BR13+BR14</f>
        <v>393.7</v>
      </c>
      <c r="BS15" s="362">
        <f>BS13+BS14</f>
        <v>418.2</v>
      </c>
      <c r="BT15" s="303">
        <f>BT11+BT12</f>
        <v>1611.1</v>
      </c>
      <c r="BU15" s="362">
        <f t="shared" ref="BU15:CD15" si="16">BU13+BU14</f>
        <v>439</v>
      </c>
      <c r="BV15" s="362">
        <f t="shared" si="16"/>
        <v>371.5</v>
      </c>
      <c r="BW15" s="362">
        <f t="shared" si="16"/>
        <v>390.1</v>
      </c>
      <c r="BX15" s="362">
        <f t="shared" si="16"/>
        <v>393.8</v>
      </c>
      <c r="BY15" s="303">
        <f t="shared" si="16"/>
        <v>1594.3999999999999</v>
      </c>
      <c r="BZ15" s="362">
        <f t="shared" si="16"/>
        <v>429.8</v>
      </c>
      <c r="CA15" s="362">
        <f t="shared" si="16"/>
        <v>405.8</v>
      </c>
      <c r="CB15" s="362">
        <f t="shared" si="16"/>
        <v>425.3</v>
      </c>
      <c r="CC15" s="362">
        <f t="shared" si="16"/>
        <v>483</v>
      </c>
      <c r="CD15" s="303">
        <f t="shared" si="16"/>
        <v>1743.9</v>
      </c>
      <c r="CE15" s="362">
        <f t="shared" ref="CE15:CM15" si="17">CE14+CE13</f>
        <v>499.5</v>
      </c>
      <c r="CF15" s="362">
        <f t="shared" si="17"/>
        <v>492.20000000000005</v>
      </c>
      <c r="CG15" s="362">
        <f t="shared" si="17"/>
        <v>514.9</v>
      </c>
      <c r="CH15" s="362">
        <f t="shared" si="17"/>
        <v>561.5</v>
      </c>
      <c r="CI15" s="303">
        <f t="shared" si="17"/>
        <v>2068.1000000000004</v>
      </c>
      <c r="CJ15" s="362">
        <f t="shared" si="17"/>
        <v>698.2</v>
      </c>
      <c r="CK15" s="362">
        <f t="shared" si="17"/>
        <v>669</v>
      </c>
      <c r="CL15" s="362">
        <f t="shared" si="17"/>
        <v>682.59999999999991</v>
      </c>
      <c r="CM15" s="362">
        <f t="shared" si="17"/>
        <v>692.6</v>
      </c>
      <c r="CN15" s="303">
        <f>SUM(CJ15:CM15)</f>
        <v>2742.4</v>
      </c>
      <c r="CO15" s="362">
        <f>CO14+CO13</f>
        <v>803.59999999999991</v>
      </c>
      <c r="CP15" s="362">
        <f>CP14+CP13</f>
        <v>741.90000000000009</v>
      </c>
      <c r="CQ15" s="362">
        <f>CQ14+CQ13</f>
        <v>749</v>
      </c>
      <c r="CR15" s="362">
        <f>CR14+CR13</f>
        <v>779.2</v>
      </c>
      <c r="CS15" s="303">
        <f t="shared" ref="CS15:DR15" si="18">CS14+CS13</f>
        <v>3073.7</v>
      </c>
      <c r="CT15" s="362">
        <f t="shared" si="18"/>
        <v>895.8</v>
      </c>
      <c r="CU15" s="362">
        <f t="shared" si="18"/>
        <v>805.8</v>
      </c>
      <c r="CV15" s="362">
        <f t="shared" si="18"/>
        <v>863.2</v>
      </c>
      <c r="CW15" s="660">
        <f t="shared" si="18"/>
        <v>905.1</v>
      </c>
      <c r="CX15" s="303">
        <f t="shared" si="18"/>
        <v>3469.8999999999996</v>
      </c>
      <c r="CY15" s="362">
        <f t="shared" si="18"/>
        <v>1030.4000000000001</v>
      </c>
      <c r="CZ15" s="362">
        <f t="shared" si="18"/>
        <v>940.59999999999991</v>
      </c>
      <c r="DA15" s="362">
        <f t="shared" si="18"/>
        <v>966.2</v>
      </c>
      <c r="DB15" s="362">
        <f t="shared" si="18"/>
        <v>1028.1999999999998</v>
      </c>
      <c r="DC15" s="303">
        <f t="shared" si="18"/>
        <v>3965.4</v>
      </c>
      <c r="DD15" s="362">
        <f t="shared" si="18"/>
        <v>1162.9000000000001</v>
      </c>
      <c r="DE15" s="362">
        <f t="shared" si="18"/>
        <v>1049</v>
      </c>
      <c r="DF15" s="362">
        <f>DF14+DF13</f>
        <v>1056.4000000000001</v>
      </c>
      <c r="DG15" s="362">
        <f>DG14+DG13</f>
        <v>1203.4000000000001</v>
      </c>
      <c r="DH15" s="303">
        <f t="shared" si="18"/>
        <v>4471.7000000000007</v>
      </c>
      <c r="DI15" s="362">
        <f>DI14+DI13</f>
        <v>1263.5999999999999</v>
      </c>
      <c r="DJ15" s="362">
        <f t="shared" si="18"/>
        <v>1098.5999999999999</v>
      </c>
      <c r="DK15" s="362">
        <f t="shared" si="18"/>
        <v>1152.5</v>
      </c>
      <c r="DL15" s="362">
        <f>DL14+DL13</f>
        <v>1221.3000000000002</v>
      </c>
      <c r="DM15" s="303">
        <f t="shared" si="18"/>
        <v>4736</v>
      </c>
      <c r="DN15" s="362">
        <f>DN14+DN13</f>
        <v>1331.9</v>
      </c>
      <c r="DO15" s="363">
        <f t="shared" si="18"/>
        <v>1146.8215713701302</v>
      </c>
      <c r="DP15" s="363">
        <f t="shared" si="18"/>
        <v>1189.8441628988792</v>
      </c>
      <c r="DQ15" s="363">
        <f t="shared" si="18"/>
        <v>1277.7433135528699</v>
      </c>
      <c r="DR15" s="303">
        <f t="shared" si="18"/>
        <v>4946.3090478218792</v>
      </c>
      <c r="DS15" s="363">
        <f t="shared" ref="DS15:EB15" si="19">DS14+DS13</f>
        <v>1448.9797675688044</v>
      </c>
      <c r="DT15" s="363">
        <f t="shared" si="19"/>
        <v>1261.3545550080221</v>
      </c>
      <c r="DU15" s="363">
        <f t="shared" si="19"/>
        <v>1309.1733362278708</v>
      </c>
      <c r="DV15" s="363">
        <f t="shared" si="19"/>
        <v>1405.0364507647682</v>
      </c>
      <c r="DW15" s="303">
        <f t="shared" si="19"/>
        <v>5424.5441095694659</v>
      </c>
      <c r="DX15" s="363">
        <f t="shared" si="19"/>
        <v>1595.0120690887416</v>
      </c>
      <c r="DY15" s="363">
        <f t="shared" si="19"/>
        <v>1384.189027470406</v>
      </c>
      <c r="DZ15" s="363">
        <f t="shared" si="19"/>
        <v>1438.1483408722434</v>
      </c>
      <c r="EA15" s="363">
        <f t="shared" si="19"/>
        <v>1543.131440170775</v>
      </c>
      <c r="EB15" s="303">
        <f t="shared" si="19"/>
        <v>5960.4808776021655</v>
      </c>
      <c r="ED15" s="457"/>
      <c r="EE15" s="457"/>
      <c r="EG15" s="32"/>
      <c r="EH15" s="32"/>
      <c r="EI15" s="32"/>
      <c r="EJ15" s="32"/>
      <c r="EK15" s="32"/>
      <c r="EL15" s="303">
        <f>AZ15+BA15+BB15+BD15</f>
        <v>1569.048</v>
      </c>
      <c r="EM15" s="303">
        <f>SUM(BE15:BG15,BI15)</f>
        <v>1878.5210000000002</v>
      </c>
      <c r="EN15" s="303">
        <f>BB15+BC15+BD15+BF15</f>
        <v>1052.5990000000002</v>
      </c>
      <c r="EO15" s="303">
        <f>SUM(BG15:BI15,BK15)</f>
        <v>1246.6469999999999</v>
      </c>
      <c r="EP15" s="303">
        <f>SUM(BL15:BN15,BP15)</f>
        <v>1480.42</v>
      </c>
      <c r="EQ15" s="303">
        <f>SUM(BQ15:BS15,BU15)</f>
        <v>1634</v>
      </c>
      <c r="ER15" s="303">
        <f>SUM(BV15:BX15,BZ15)</f>
        <v>1585.2</v>
      </c>
      <c r="ES15" s="303">
        <f t="shared" si="3"/>
        <v>1813.6</v>
      </c>
      <c r="ET15" s="303">
        <f t="shared" si="4"/>
        <v>2266.8000000000002</v>
      </c>
      <c r="EU15" s="303">
        <f t="shared" si="5"/>
        <v>2847.7999999999997</v>
      </c>
      <c r="EV15" s="303">
        <f t="shared" si="6"/>
        <v>3165.9</v>
      </c>
      <c r="EW15" s="303">
        <f t="shared" si="7"/>
        <v>3604.5</v>
      </c>
      <c r="EX15" s="303">
        <f t="shared" si="8"/>
        <v>4097.8999999999996</v>
      </c>
      <c r="EY15" s="303">
        <f t="shared" si="9"/>
        <v>4572.3999999999996</v>
      </c>
      <c r="EZ15" s="303">
        <f t="shared" si="10"/>
        <v>4804.3</v>
      </c>
      <c r="FA15" s="303">
        <f t="shared" si="11"/>
        <v>5063.3888153906837</v>
      </c>
      <c r="FB15" s="303">
        <f t="shared" si="14"/>
        <v>5570.5764110894024</v>
      </c>
      <c r="FD15" s="32" t="s">
        <v>359</v>
      </c>
      <c r="FE15" s="458">
        <f t="shared" si="12"/>
        <v>1331.9</v>
      </c>
      <c r="FF15" s="458">
        <v>1385.7206225427362</v>
      </c>
      <c r="FG15" s="401">
        <f>FE15-FF15</f>
        <v>-53.820622542736146</v>
      </c>
      <c r="FH15" s="458">
        <f t="shared" si="13"/>
        <v>1263.5999999999999</v>
      </c>
      <c r="FI15" s="249">
        <f>FE15/FH15-1</f>
        <v>5.4051915163026321E-2</v>
      </c>
      <c r="FJ15"/>
      <c r="FK15"/>
      <c r="FL15"/>
      <c r="FM15"/>
      <c r="FN15"/>
      <c r="FO15"/>
      <c r="FP15"/>
      <c r="FQ15"/>
      <c r="FR15"/>
    </row>
    <row r="16" spans="1:174" s="1" customFormat="1" hidden="1" outlineLevel="1" x14ac:dyDescent="0.2">
      <c r="A16" s="1" t="s">
        <v>360</v>
      </c>
      <c r="B16" s="45">
        <v>9.8859999999999992</v>
      </c>
      <c r="C16" s="49">
        <v>5.8920000000000003</v>
      </c>
      <c r="D16" s="49">
        <v>2.78</v>
      </c>
      <c r="E16" s="49">
        <v>3.0790000000000002</v>
      </c>
      <c r="F16" s="49">
        <v>2.6640000000000001</v>
      </c>
      <c r="G16" s="45">
        <f>SUM(C16:F16)</f>
        <v>14.415000000000001</v>
      </c>
      <c r="H16" s="49">
        <v>7.1890000000000001</v>
      </c>
      <c r="I16" s="49">
        <v>3.2839999999999998</v>
      </c>
      <c r="J16" s="49">
        <v>3.883</v>
      </c>
      <c r="K16" s="49">
        <v>3.4020000000000001</v>
      </c>
      <c r="L16" s="45">
        <f>SUM(H16:K16)</f>
        <v>17.757999999999999</v>
      </c>
      <c r="M16" s="49">
        <v>8.782</v>
      </c>
      <c r="N16" s="49">
        <v>4.3559999999999999</v>
      </c>
      <c r="O16" s="49">
        <v>4.2969999999999997</v>
      </c>
      <c r="P16" s="49">
        <v>3.802</v>
      </c>
      <c r="Q16" s="45">
        <f>SUM(M16:P16)</f>
        <v>21.236999999999998</v>
      </c>
      <c r="R16" s="49">
        <v>7.5730000000000004</v>
      </c>
      <c r="S16" s="49">
        <v>4.0190000000000001</v>
      </c>
      <c r="T16" s="49">
        <v>3.9590000000000001</v>
      </c>
      <c r="U16" s="49">
        <v>0</v>
      </c>
      <c r="V16" s="45">
        <f>SUM(R16:U16)</f>
        <v>15.551</v>
      </c>
      <c r="AA16" s="20"/>
      <c r="AF16" s="20"/>
      <c r="AK16" s="20"/>
      <c r="AP16" s="20"/>
      <c r="AU16" s="20"/>
      <c r="AZ16" s="20"/>
      <c r="BE16" s="20"/>
      <c r="BJ16" s="20"/>
      <c r="BO16" s="20"/>
      <c r="BT16" s="20"/>
      <c r="BY16" s="20"/>
      <c r="CD16" s="20"/>
      <c r="CI16" s="20"/>
      <c r="CN16" s="20"/>
      <c r="CQ16" s="64"/>
      <c r="CR16" s="64"/>
      <c r="CS16" s="71"/>
      <c r="CT16" s="64"/>
      <c r="CU16" s="64"/>
      <c r="CV16" s="64"/>
      <c r="CW16" s="661"/>
      <c r="CX16" s="71"/>
      <c r="CY16" s="64"/>
      <c r="CZ16" s="64"/>
      <c r="DA16" s="64"/>
      <c r="DB16" s="64"/>
      <c r="DC16" s="71"/>
      <c r="DD16" s="64"/>
      <c r="DE16" s="64"/>
      <c r="DF16" s="64"/>
      <c r="DG16" s="64"/>
      <c r="DH16" s="71"/>
      <c r="DI16" s="64"/>
      <c r="DJ16" s="64"/>
      <c r="DK16" s="64"/>
      <c r="DL16" s="64"/>
      <c r="DM16" s="71"/>
      <c r="DN16" s="64"/>
      <c r="DO16" s="64"/>
      <c r="DP16" s="64"/>
      <c r="DQ16" s="64"/>
      <c r="DR16" s="71"/>
      <c r="DS16" s="64"/>
      <c r="DT16" s="64"/>
      <c r="DU16" s="64"/>
      <c r="DV16" s="64"/>
      <c r="DW16" s="71"/>
      <c r="DX16" s="64"/>
      <c r="DY16" s="64"/>
      <c r="DZ16" s="64"/>
      <c r="EA16" s="64"/>
      <c r="EB16" s="71"/>
      <c r="ED16" s="28"/>
      <c r="EE16" s="28"/>
      <c r="EG16" s="20"/>
      <c r="EH16" s="20"/>
      <c r="EI16" s="20"/>
      <c r="EJ16" s="20"/>
      <c r="EK16" s="20"/>
      <c r="EL16" s="125"/>
      <c r="EM16" s="125"/>
      <c r="EN16" s="125"/>
      <c r="EO16" s="125"/>
      <c r="EP16" s="125"/>
      <c r="EQ16" s="125"/>
      <c r="ER16" s="125"/>
      <c r="ES16" s="125"/>
      <c r="ET16" s="125"/>
      <c r="EU16" s="125"/>
      <c r="EV16" s="125"/>
      <c r="EW16" s="125"/>
      <c r="EX16" s="125"/>
      <c r="EY16" s="125"/>
      <c r="EZ16" s="125"/>
      <c r="FA16" s="125"/>
      <c r="FB16" s="125"/>
      <c r="FD16" s="20"/>
      <c r="FE16" s="269">
        <f t="shared" si="12"/>
        <v>0</v>
      </c>
      <c r="FF16" s="28">
        <v>0</v>
      </c>
      <c r="FG16" s="28"/>
      <c r="FH16" s="269">
        <f t="shared" si="13"/>
        <v>0</v>
      </c>
      <c r="FI16" s="29"/>
      <c r="FJ16"/>
      <c r="FK16"/>
      <c r="FL16"/>
      <c r="FM16"/>
      <c r="FN16"/>
      <c r="FO16"/>
      <c r="FP16"/>
      <c r="FQ16"/>
      <c r="FR16"/>
    </row>
    <row r="17" spans="1:174" s="1" customFormat="1" collapsed="1" x14ac:dyDescent="0.2">
      <c r="A17" s="16" t="s">
        <v>361</v>
      </c>
      <c r="B17" s="330">
        <v>284.923</v>
      </c>
      <c r="C17" s="103">
        <f t="shared" ref="C17:K17" si="20">SUM(C10:C16)</f>
        <v>115.54499999999999</v>
      </c>
      <c r="D17" s="103">
        <f t="shared" si="20"/>
        <v>101.113</v>
      </c>
      <c r="E17" s="103">
        <f t="shared" si="20"/>
        <v>119.17399999999999</v>
      </c>
      <c r="F17" s="103">
        <f t="shared" si="20"/>
        <v>129.38</v>
      </c>
      <c r="G17" s="330">
        <f t="shared" si="20"/>
        <v>465.21199999999999</v>
      </c>
      <c r="H17" s="103">
        <f t="shared" si="20"/>
        <v>169.53700000000001</v>
      </c>
      <c r="I17" s="103">
        <f t="shared" si="20"/>
        <v>153.60899999999998</v>
      </c>
      <c r="J17" s="103">
        <f t="shared" si="20"/>
        <v>176.95</v>
      </c>
      <c r="K17" s="103">
        <f t="shared" si="20"/>
        <v>196.38499999999999</v>
      </c>
      <c r="L17" s="330">
        <f>SUM(L10:L15)</f>
        <v>696.52299999999991</v>
      </c>
      <c r="M17" s="103">
        <f>SUM(M10:M16)</f>
        <v>240.154</v>
      </c>
      <c r="N17" s="103">
        <f>SUM(N10:N16)</f>
        <v>216.26999999999998</v>
      </c>
      <c r="O17" s="103">
        <f>SUM(O10:O16)</f>
        <v>244.24099999999999</v>
      </c>
      <c r="P17" s="103">
        <f>SUM(P10:P16)</f>
        <v>274.72500000000002</v>
      </c>
      <c r="Q17" s="330">
        <f>SUM(Q10:Q15)</f>
        <v>975.35299999999984</v>
      </c>
      <c r="R17" s="103">
        <f>SUM(R10:R16)</f>
        <v>321.32499999999999</v>
      </c>
      <c r="S17" s="103">
        <f>SUM(S10:S16)</f>
        <v>295.24299999999999</v>
      </c>
      <c r="T17" s="103">
        <f>SUM(T10:T16)</f>
        <v>334.42900000000003</v>
      </c>
      <c r="U17" s="103">
        <f>SUM(U10:U16)</f>
        <v>357.70500000000004</v>
      </c>
      <c r="V17" s="330">
        <f>SUM(V10:V15)</f>
        <v>1308.702</v>
      </c>
      <c r="W17" s="103">
        <f>SUM(W10:W16)</f>
        <v>405.63800000000003</v>
      </c>
      <c r="X17" s="103">
        <f>SUM(X10:X16)</f>
        <v>375.822</v>
      </c>
      <c r="Y17" s="103">
        <f>SUM(Y10:Y16)</f>
        <v>423.79200000000003</v>
      </c>
      <c r="Z17" s="103">
        <f>SUM(Z10:Z16)</f>
        <v>474.87</v>
      </c>
      <c r="AA17" s="330">
        <f>SUM(W17:Z17)</f>
        <v>1680.1219999999998</v>
      </c>
      <c r="AB17" s="103">
        <f>SUM(AB10:AB16)</f>
        <v>529.33199999999999</v>
      </c>
      <c r="AC17" s="103">
        <f>SUM(AC10:AC16)</f>
        <v>506.66800000000001</v>
      </c>
      <c r="AD17" s="103">
        <f>SUM(AD10:AD16)</f>
        <v>557.47</v>
      </c>
      <c r="AE17" s="103">
        <f>SUM(AE10:AE16)</f>
        <v>584.09799999999996</v>
      </c>
      <c r="AF17" s="330">
        <f>SUM(AB17:AE17)</f>
        <v>2177.5680000000002</v>
      </c>
      <c r="AG17" s="103">
        <f>SUM(AG10:AG16)</f>
        <v>667.38700000000006</v>
      </c>
      <c r="AH17" s="103">
        <f>SUM(AH10:AH16)</f>
        <v>629.28800000000001</v>
      </c>
      <c r="AI17" s="103">
        <f>SUM(AI10:AI16)</f>
        <v>662.76900000000001</v>
      </c>
      <c r="AJ17" s="103">
        <f>SUM(AJ10:AJ16)</f>
        <v>689.53600000000006</v>
      </c>
      <c r="AK17" s="330">
        <f>SUM(AG17:AJ17)</f>
        <v>2648.9800000000005</v>
      </c>
      <c r="AL17" s="103">
        <f>AL10+AL15</f>
        <v>805.33500000000004</v>
      </c>
      <c r="AM17" s="103">
        <f>AM10+AM15</f>
        <v>783.21699999999987</v>
      </c>
      <c r="AN17" s="103">
        <f>AN10+AN15</f>
        <v>835.1579999999999</v>
      </c>
      <c r="AO17" s="103">
        <f>AO10+AO15</f>
        <v>865.19799999999998</v>
      </c>
      <c r="AP17" s="330">
        <f>SUM(AL17:AO17)</f>
        <v>3288.9079999999999</v>
      </c>
      <c r="AQ17" s="103">
        <f>AQ10+AQ15</f>
        <v>1003.526</v>
      </c>
      <c r="AR17" s="103">
        <f>AR10+AR15</f>
        <v>954.20600000000002</v>
      </c>
      <c r="AS17" s="103">
        <f>AS10+AS15</f>
        <v>1036.7760000000001</v>
      </c>
      <c r="AT17" s="103">
        <f>AT10+AT15</f>
        <v>1081.0129999999999</v>
      </c>
      <c r="AU17" s="330">
        <f>SUM(AQ17:AT17)</f>
        <v>4075.5209999999997</v>
      </c>
      <c r="AV17" s="103">
        <f>AV10+AV15</f>
        <v>1281.1909999999998</v>
      </c>
      <c r="AW17" s="103">
        <f>AW10+AW15</f>
        <v>1241.068</v>
      </c>
      <c r="AX17" s="103">
        <f>AX10+AX15</f>
        <v>1318.691</v>
      </c>
      <c r="AY17" s="103">
        <f>AY10+AY15</f>
        <v>1453.297</v>
      </c>
      <c r="AZ17" s="330">
        <f>SUM(AV17:AY17)</f>
        <v>5294.2469999999994</v>
      </c>
      <c r="BA17" s="103">
        <f t="shared" ref="BA17:BJ17" si="21">BA10+BA15</f>
        <v>1589.5440000000001</v>
      </c>
      <c r="BB17" s="103">
        <f t="shared" si="21"/>
        <v>1518.7159999999999</v>
      </c>
      <c r="BC17" s="103">
        <f t="shared" si="21"/>
        <v>1601.799</v>
      </c>
      <c r="BD17" s="103">
        <f t="shared" si="21"/>
        <v>1659.241</v>
      </c>
      <c r="BE17" s="330">
        <f t="shared" si="21"/>
        <v>6369.2999999999993</v>
      </c>
      <c r="BF17" s="103">
        <f t="shared" si="21"/>
        <v>1934.0920000000001</v>
      </c>
      <c r="BG17" s="103">
        <f t="shared" si="21"/>
        <v>1885.8220000000001</v>
      </c>
      <c r="BH17" s="103">
        <f t="shared" si="21"/>
        <v>1963.6730000000002</v>
      </c>
      <c r="BI17" s="103">
        <f t="shared" si="21"/>
        <v>2003.355</v>
      </c>
      <c r="BJ17" s="330">
        <f t="shared" si="21"/>
        <v>7786.942</v>
      </c>
      <c r="BK17" s="103">
        <f>BK10+BK15</f>
        <v>2355.723</v>
      </c>
      <c r="BL17" s="103">
        <f t="shared" ref="BL17:DQ17" si="22">BL10+BL15</f>
        <v>2255.5940000000001</v>
      </c>
      <c r="BM17" s="103">
        <f t="shared" si="22"/>
        <v>2359.2449999999999</v>
      </c>
      <c r="BN17" s="103">
        <f t="shared" si="22"/>
        <v>2440.9349999999999</v>
      </c>
      <c r="BO17" s="330">
        <f t="shared" si="22"/>
        <v>9411.4969999999994</v>
      </c>
      <c r="BP17" s="103">
        <f t="shared" si="22"/>
        <v>2767.6</v>
      </c>
      <c r="BQ17" s="103">
        <f t="shared" si="22"/>
        <v>2526</v>
      </c>
      <c r="BR17" s="103">
        <f t="shared" si="22"/>
        <v>2573.8999999999996</v>
      </c>
      <c r="BS17" s="103">
        <f t="shared" si="22"/>
        <v>2515.5</v>
      </c>
      <c r="BT17" s="330">
        <f t="shared" si="22"/>
        <v>10383</v>
      </c>
      <c r="BU17" s="103">
        <f t="shared" si="22"/>
        <v>2615.1999999999998</v>
      </c>
      <c r="BV17" s="103">
        <f t="shared" si="22"/>
        <v>2333.3000000000002</v>
      </c>
      <c r="BW17" s="103">
        <f t="shared" si="22"/>
        <v>2403.9</v>
      </c>
      <c r="BX17" s="103">
        <f t="shared" si="22"/>
        <v>2422.2000000000003</v>
      </c>
      <c r="BY17" s="330">
        <f t="shared" si="22"/>
        <v>9774.6</v>
      </c>
      <c r="BZ17" s="103">
        <f t="shared" si="22"/>
        <v>2722.7000000000003</v>
      </c>
      <c r="CA17" s="103">
        <f t="shared" si="22"/>
        <v>2534.7000000000003</v>
      </c>
      <c r="CB17" s="103">
        <f t="shared" si="22"/>
        <v>2612</v>
      </c>
      <c r="CC17" s="103">
        <f t="shared" si="22"/>
        <v>2838</v>
      </c>
      <c r="CD17" s="330">
        <f t="shared" si="22"/>
        <v>10707.4</v>
      </c>
      <c r="CE17" s="103">
        <f t="shared" si="22"/>
        <v>2950.8</v>
      </c>
      <c r="CF17" s="103">
        <f t="shared" si="22"/>
        <v>2785.7</v>
      </c>
      <c r="CG17" s="103">
        <f t="shared" si="22"/>
        <v>2932.2000000000003</v>
      </c>
      <c r="CH17" s="103">
        <f t="shared" si="22"/>
        <v>3031.9</v>
      </c>
      <c r="CI17" s="330">
        <f t="shared" si="22"/>
        <v>11700.6</v>
      </c>
      <c r="CJ17" s="103">
        <f t="shared" si="22"/>
        <v>3430</v>
      </c>
      <c r="CK17" s="103">
        <f t="shared" si="22"/>
        <v>3190.2</v>
      </c>
      <c r="CL17" s="103">
        <f t="shared" si="22"/>
        <v>3298.2</v>
      </c>
      <c r="CM17" s="103">
        <f t="shared" si="22"/>
        <v>3358.5</v>
      </c>
      <c r="CN17" s="330">
        <f t="shared" si="22"/>
        <v>13276.9</v>
      </c>
      <c r="CO17" s="103">
        <f t="shared" si="22"/>
        <v>3793.2</v>
      </c>
      <c r="CP17" s="103">
        <f t="shared" si="22"/>
        <v>3549.6</v>
      </c>
      <c r="CQ17" s="199">
        <f t="shared" si="22"/>
        <v>3735.3</v>
      </c>
      <c r="CR17" s="199">
        <f t="shared" si="22"/>
        <v>3788.8</v>
      </c>
      <c r="CS17" s="330">
        <f t="shared" si="22"/>
        <v>14866.899999999998</v>
      </c>
      <c r="CT17" s="199">
        <f t="shared" si="22"/>
        <v>4239.6000000000004</v>
      </c>
      <c r="CU17" s="199">
        <f t="shared" si="22"/>
        <v>3873.8</v>
      </c>
      <c r="CV17" s="103">
        <f t="shared" si="22"/>
        <v>4153.7</v>
      </c>
      <c r="CW17" s="662">
        <f t="shared" si="22"/>
        <v>4180.8</v>
      </c>
      <c r="CX17" s="330">
        <f>CX10+CX15</f>
        <v>16447.900000000001</v>
      </c>
      <c r="CY17" s="199">
        <f t="shared" si="22"/>
        <v>4803.2000000000007</v>
      </c>
      <c r="CZ17" s="199">
        <f t="shared" si="22"/>
        <v>4563.5</v>
      </c>
      <c r="DA17" s="199">
        <f t="shared" si="22"/>
        <v>4881.2</v>
      </c>
      <c r="DB17" s="199">
        <f t="shared" si="22"/>
        <v>4914.7999999999993</v>
      </c>
      <c r="DC17" s="200">
        <f>DC10+DC15</f>
        <v>19162.7</v>
      </c>
      <c r="DD17" s="199">
        <f t="shared" si="22"/>
        <v>5373.5</v>
      </c>
      <c r="DE17" s="199">
        <f t="shared" si="22"/>
        <v>4993.2</v>
      </c>
      <c r="DF17" s="199">
        <f>DF10+DF15</f>
        <v>5238</v>
      </c>
      <c r="DG17" s="199">
        <f>DG10+DG15</f>
        <v>5711.2000000000007</v>
      </c>
      <c r="DH17" s="200">
        <f>DH10+DH15</f>
        <v>21315.9</v>
      </c>
      <c r="DI17" s="199">
        <f t="shared" si="22"/>
        <v>5732.9</v>
      </c>
      <c r="DJ17" s="199">
        <f t="shared" si="22"/>
        <v>5294</v>
      </c>
      <c r="DK17" s="199">
        <f t="shared" si="22"/>
        <v>5661.5</v>
      </c>
      <c r="DL17" s="199">
        <f t="shared" si="22"/>
        <v>5698.3</v>
      </c>
      <c r="DM17" s="200">
        <f>DM10+DM15</f>
        <v>22386.7</v>
      </c>
      <c r="DN17" s="199">
        <f>DN10+DN15</f>
        <v>6073.7000000000007</v>
      </c>
      <c r="DO17" s="103">
        <f t="shared" si="22"/>
        <v>5950.8379534492733</v>
      </c>
      <c r="DP17" s="103">
        <f t="shared" si="22"/>
        <v>6333.681905778787</v>
      </c>
      <c r="DQ17" s="103">
        <f t="shared" si="22"/>
        <v>6407.487273774278</v>
      </c>
      <c r="DR17" s="330">
        <f t="shared" ref="DR17:EB17" si="23">DR10+DR15</f>
        <v>24765.707133002339</v>
      </c>
      <c r="DS17" s="103">
        <f t="shared" si="23"/>
        <v>6736.1255539507647</v>
      </c>
      <c r="DT17" s="103">
        <f t="shared" si="23"/>
        <v>6515.4628815496853</v>
      </c>
      <c r="DU17" s="103">
        <f t="shared" si="23"/>
        <v>6945.0099339630224</v>
      </c>
      <c r="DV17" s="103">
        <f t="shared" si="23"/>
        <v>7028.019009472976</v>
      </c>
      <c r="DW17" s="330">
        <f t="shared" si="23"/>
        <v>27224.617378936447</v>
      </c>
      <c r="DX17" s="103">
        <f t="shared" si="23"/>
        <v>7373.2950622630306</v>
      </c>
      <c r="DY17" s="103">
        <f t="shared" si="23"/>
        <v>7137.4928803919265</v>
      </c>
      <c r="DZ17" s="103">
        <f t="shared" si="23"/>
        <v>7602.8679542143427</v>
      </c>
      <c r="EA17" s="103">
        <f t="shared" si="23"/>
        <v>7685.9653073156687</v>
      </c>
      <c r="EB17" s="330">
        <f t="shared" si="23"/>
        <v>29799.621204184972</v>
      </c>
      <c r="ED17" s="28"/>
      <c r="EE17" s="28"/>
      <c r="EG17" s="69">
        <f>S17+T17+U17+W17</f>
        <v>1393.0150000000001</v>
      </c>
      <c r="EH17" s="69">
        <f>X17+Y17+Z17+AB17</f>
        <v>1803.8159999999998</v>
      </c>
      <c r="EI17" s="69">
        <f>AC17+AD17+AE17+AG17</f>
        <v>2315.623</v>
      </c>
      <c r="EJ17" s="69">
        <f>AH17+AI17+AJ17+AL17</f>
        <v>2786.9279999999999</v>
      </c>
      <c r="EK17" s="69">
        <f>AM17+AN17+AO17+AQ17</f>
        <v>3487.0989999999997</v>
      </c>
      <c r="EL17" s="69">
        <f>AR17+AS17+AT17+AV17</f>
        <v>4353.1859999999997</v>
      </c>
      <c r="EM17" s="330">
        <f>AW17+AX17+AY17+BA17</f>
        <v>5602.6</v>
      </c>
      <c r="EN17" s="330">
        <f>BB17+BC17+BD17+BF17</f>
        <v>6713.848</v>
      </c>
      <c r="EO17" s="330">
        <f>SUM(BG17:BI17,BK17)</f>
        <v>8208.5730000000003</v>
      </c>
      <c r="EP17" s="330">
        <f>SUM(BL17:BN17,BP17)</f>
        <v>9823.3739999999998</v>
      </c>
      <c r="EQ17" s="330">
        <f>SUM(BQ17:BS17,BU17)</f>
        <v>10230.599999999999</v>
      </c>
      <c r="ER17" s="330">
        <f>SUM(BV17:BX17,BZ17)</f>
        <v>9882.1000000000022</v>
      </c>
      <c r="ES17" s="330">
        <f>SUM(CA17:CC17,CE17)</f>
        <v>10935.5</v>
      </c>
      <c r="ET17" s="330">
        <f>SUM(CF17:CH17,CJ17)</f>
        <v>12179.8</v>
      </c>
      <c r="EU17" s="330">
        <f>SUM(CK17,CL17,CM17,CO17)</f>
        <v>13640.099999999999</v>
      </c>
      <c r="EV17" s="330">
        <f>SUM(CT17,CR17,CQ17,CP17)</f>
        <v>15313.300000000001</v>
      </c>
      <c r="EW17" s="330">
        <f>CU17+CV17+CW17+CY17</f>
        <v>17011.5</v>
      </c>
      <c r="EX17" s="330">
        <f>CZ17+DA17+DB17+DD17</f>
        <v>19733</v>
      </c>
      <c r="EY17" s="330">
        <f>DE17+DF17+DG17+DI17</f>
        <v>21675.300000000003</v>
      </c>
      <c r="EZ17" s="330">
        <f>DJ17+DK17+DL17+DN17</f>
        <v>22727.5</v>
      </c>
      <c r="FA17" s="330">
        <f>DO17+DP17+DQ17+DS17</f>
        <v>25428.132686953104</v>
      </c>
      <c r="FB17" s="330">
        <f t="shared" si="14"/>
        <v>27861.786887248716</v>
      </c>
      <c r="FD17" s="43" t="s">
        <v>361</v>
      </c>
      <c r="FE17" s="364">
        <f t="shared" si="12"/>
        <v>6073.7000000000007</v>
      </c>
      <c r="FF17" s="201">
        <v>6220.5505464116632</v>
      </c>
      <c r="FG17" s="248">
        <f>FE17-FF17</f>
        <v>-146.85054641166244</v>
      </c>
      <c r="FH17" s="364">
        <f t="shared" si="13"/>
        <v>5732.9</v>
      </c>
      <c r="FI17" s="249">
        <f>FE17/FH17-1</f>
        <v>5.9446353503462612E-2</v>
      </c>
      <c r="FJ17"/>
      <c r="FK17"/>
      <c r="FL17"/>
      <c r="FM17"/>
      <c r="FN17"/>
      <c r="FO17"/>
      <c r="FP17"/>
      <c r="FQ17"/>
      <c r="FR17"/>
    </row>
    <row r="18" spans="1:174" s="1" customFormat="1" x14ac:dyDescent="0.2">
      <c r="B18" s="20"/>
      <c r="G18" s="20"/>
      <c r="L18" s="20"/>
      <c r="Q18" s="20"/>
      <c r="V18" s="20"/>
      <c r="AA18" s="20"/>
      <c r="AF18" s="20"/>
      <c r="AK18" s="20"/>
      <c r="AP18" s="20"/>
      <c r="AU18" s="20"/>
      <c r="AZ18" s="20"/>
      <c r="BE18" s="20"/>
      <c r="BJ18" s="20"/>
      <c r="BO18" s="20"/>
      <c r="BT18" s="20"/>
      <c r="BY18" s="20"/>
      <c r="CD18" s="20"/>
      <c r="CI18" s="20"/>
      <c r="CN18" s="20"/>
      <c r="CQ18" s="64"/>
      <c r="CR18" s="64"/>
      <c r="CS18" s="71"/>
      <c r="CT18" s="64"/>
      <c r="CU18" s="64"/>
      <c r="CV18" s="64"/>
      <c r="CW18" s="661"/>
      <c r="CX18" s="71"/>
      <c r="CY18" s="64"/>
      <c r="CZ18" s="64"/>
      <c r="DA18" s="64"/>
      <c r="DB18" s="64"/>
      <c r="DC18" s="71"/>
      <c r="DD18" s="64"/>
      <c r="DE18" s="64"/>
      <c r="DF18" s="64"/>
      <c r="DG18" s="64"/>
      <c r="DH18" s="71"/>
      <c r="DI18" s="64"/>
      <c r="DJ18" s="64"/>
      <c r="DK18" s="64"/>
      <c r="DL18" s="64"/>
      <c r="DM18" s="71"/>
      <c r="DN18" s="64"/>
      <c r="DO18" s="64"/>
      <c r="DP18" s="64"/>
      <c r="DQ18" s="64"/>
      <c r="DR18" s="71"/>
      <c r="DS18" s="64"/>
      <c r="DT18" s="64"/>
      <c r="DU18" s="64"/>
      <c r="DV18" s="64"/>
      <c r="DW18" s="71"/>
      <c r="DX18" s="64"/>
      <c r="DY18" s="64"/>
      <c r="DZ18" s="64"/>
      <c r="EA18" s="64"/>
      <c r="EB18" s="71"/>
      <c r="EC18" s="100"/>
      <c r="ED18" s="164"/>
      <c r="EE18" s="164"/>
      <c r="EF18" s="100"/>
      <c r="EG18" s="20"/>
      <c r="EH18" s="20"/>
      <c r="EI18" s="20"/>
      <c r="EJ18" s="20"/>
      <c r="EK18" s="20"/>
      <c r="EL18" s="20"/>
      <c r="EM18" s="20"/>
      <c r="EN18" s="20"/>
      <c r="EO18" s="20"/>
      <c r="EP18" s="20"/>
      <c r="EQ18" s="20"/>
      <c r="ER18" s="20"/>
      <c r="ES18" s="20"/>
      <c r="ET18" s="20"/>
      <c r="EU18" s="20"/>
      <c r="EV18" s="20"/>
      <c r="EW18" s="20"/>
      <c r="EX18" s="128"/>
      <c r="EY18" s="20"/>
      <c r="EZ18" s="20"/>
      <c r="FA18" s="20"/>
      <c r="FB18" s="20"/>
      <c r="FD18" s="20"/>
      <c r="FE18" s="28"/>
      <c r="FF18" s="28"/>
      <c r="FG18" s="28"/>
      <c r="FH18" s="28"/>
      <c r="FI18" s="29"/>
      <c r="FJ18"/>
      <c r="FK18"/>
      <c r="FL18"/>
      <c r="FM18"/>
      <c r="FN18"/>
      <c r="FO18"/>
      <c r="FP18"/>
      <c r="FQ18"/>
      <c r="FR18"/>
    </row>
    <row r="19" spans="1:174" s="1" customFormat="1" hidden="1" outlineLevel="1" x14ac:dyDescent="0.2">
      <c r="A19" s="21" t="s">
        <v>362</v>
      </c>
      <c r="B19" s="20"/>
      <c r="G19" s="20"/>
      <c r="L19" s="20"/>
      <c r="Q19" s="20"/>
      <c r="V19" s="20"/>
      <c r="AA19" s="20"/>
      <c r="AF19" s="20"/>
      <c r="AK19" s="20"/>
      <c r="AP19" s="20"/>
      <c r="AU19" s="20"/>
      <c r="AZ19" s="20"/>
      <c r="BE19" s="20"/>
      <c r="BJ19" s="20"/>
      <c r="BO19" s="20"/>
      <c r="BP19" s="1">
        <v>910.5</v>
      </c>
      <c r="BQ19" s="1">
        <v>819.6</v>
      </c>
      <c r="BR19" s="1">
        <v>860.69999999999993</v>
      </c>
      <c r="BS19" s="1">
        <v>878.30000000000007</v>
      </c>
      <c r="BT19" s="20">
        <v>3469.2</v>
      </c>
      <c r="BU19" s="1">
        <v>915.30000000000007</v>
      </c>
      <c r="BV19" s="1">
        <v>772.69999999999993</v>
      </c>
      <c r="BW19" s="1">
        <v>766.5</v>
      </c>
      <c r="BX19" s="1">
        <v>753.99999999999989</v>
      </c>
      <c r="BY19" s="20">
        <v>3208.4999999999995</v>
      </c>
      <c r="BZ19" s="1">
        <v>859.50000000000011</v>
      </c>
      <c r="CA19" s="1">
        <v>788.4</v>
      </c>
      <c r="CB19" s="1">
        <v>796.80000000000007</v>
      </c>
      <c r="CC19" s="1">
        <v>881.1</v>
      </c>
      <c r="CD19" s="20">
        <v>3325.8</v>
      </c>
      <c r="CH19" s="1">
        <v>169.3</v>
      </c>
      <c r="CI19" s="20">
        <v>595.5</v>
      </c>
      <c r="CN19" s="20"/>
      <c r="CQ19" s="64"/>
      <c r="CR19" s="64"/>
      <c r="CS19" s="71"/>
      <c r="CT19" s="64"/>
      <c r="CU19" s="64"/>
      <c r="CV19" s="64"/>
      <c r="CW19" s="661"/>
      <c r="CX19" s="71"/>
      <c r="CY19" s="64"/>
      <c r="CZ19" s="64"/>
      <c r="DA19" s="64"/>
      <c r="DB19" s="64"/>
      <c r="DC19" s="71"/>
      <c r="DD19" s="64"/>
      <c r="DE19" s="64"/>
      <c r="DF19" s="64"/>
      <c r="DG19" s="64"/>
      <c r="DH19" s="71"/>
      <c r="DI19" s="64"/>
      <c r="DJ19" s="64"/>
      <c r="DK19" s="64"/>
      <c r="DL19" s="64"/>
      <c r="DM19" s="71"/>
      <c r="DN19" s="64"/>
      <c r="DO19" s="64"/>
      <c r="DP19" s="64"/>
      <c r="DQ19" s="64"/>
      <c r="DR19" s="71"/>
      <c r="DS19" s="64"/>
      <c r="DT19" s="64"/>
      <c r="DU19" s="64"/>
      <c r="DV19" s="64"/>
      <c r="DW19" s="71"/>
      <c r="DX19" s="64"/>
      <c r="DY19" s="64"/>
      <c r="DZ19" s="64"/>
      <c r="EA19" s="64"/>
      <c r="EB19" s="71"/>
      <c r="ED19" s="28"/>
      <c r="EE19" s="28"/>
      <c r="EG19" s="20"/>
      <c r="EH19" s="20"/>
      <c r="EI19" s="20"/>
      <c r="EJ19" s="20"/>
      <c r="EK19" s="20"/>
      <c r="EL19" s="20"/>
      <c r="EM19" s="20"/>
      <c r="EN19" s="20"/>
      <c r="EO19" s="20"/>
      <c r="EP19" s="20"/>
      <c r="EQ19" s="392">
        <f>SUM(BQ19:BS19,BU19)</f>
        <v>3473.9</v>
      </c>
      <c r="ER19" s="392">
        <f>SUM(BV19:BX19,BZ19)</f>
        <v>3152.7</v>
      </c>
      <c r="ES19" s="392">
        <f>SUM(CA19:CC19,CE19)</f>
        <v>2466.3000000000002</v>
      </c>
      <c r="ET19" s="20">
        <f>SUM(CF19:CH19,CJ19)</f>
        <v>169.3</v>
      </c>
      <c r="EU19" s="436">
        <f>SUM(CK19,CL19,CM19,CO19)</f>
        <v>0</v>
      </c>
      <c r="EV19" s="436">
        <f>SUM(CT19,CR19,CQ19,CP19)</f>
        <v>0</v>
      </c>
      <c r="EW19" s="436">
        <f>CU19+CV19+CW19+CY19</f>
        <v>0</v>
      </c>
      <c r="EX19" s="436">
        <f>CZ19+DA19+DB19+DD19</f>
        <v>0</v>
      </c>
      <c r="EY19" s="436">
        <f>DE19+DF19+DG19+DI19</f>
        <v>0</v>
      </c>
      <c r="EZ19" s="436">
        <f>DJ19+DK19+DL19+DN19</f>
        <v>0</v>
      </c>
      <c r="FA19" s="436">
        <f>DO19+DP19+DQ19+DS19</f>
        <v>0</v>
      </c>
      <c r="FB19" s="436">
        <f>DT19+DU19+DN19+DP19</f>
        <v>0</v>
      </c>
      <c r="FD19" s="20"/>
      <c r="FE19" s="28"/>
      <c r="FF19" s="28"/>
      <c r="FG19" s="28"/>
      <c r="FH19" s="28">
        <f>CP19</f>
        <v>0</v>
      </c>
      <c r="FI19" s="29"/>
      <c r="FJ19"/>
      <c r="FK19"/>
      <c r="FL19"/>
      <c r="FM19"/>
      <c r="FN19"/>
      <c r="FO19"/>
      <c r="FP19"/>
      <c r="FQ19"/>
      <c r="FR19"/>
    </row>
    <row r="20" spans="1:174" s="1" customFormat="1" hidden="1" outlineLevel="1" x14ac:dyDescent="0.2">
      <c r="A20" s="21" t="s">
        <v>363</v>
      </c>
      <c r="B20" s="20"/>
      <c r="G20" s="20"/>
      <c r="L20" s="20"/>
      <c r="Q20" s="20"/>
      <c r="V20" s="20"/>
      <c r="AA20" s="20"/>
      <c r="AF20" s="20"/>
      <c r="AK20" s="20"/>
      <c r="AP20" s="20"/>
      <c r="AU20" s="20"/>
      <c r="AZ20" s="20"/>
      <c r="BE20" s="20"/>
      <c r="BJ20" s="20"/>
      <c r="BO20" s="20"/>
      <c r="BP20" s="1">
        <v>275.5</v>
      </c>
      <c r="BQ20" s="1">
        <v>287.10000000000002</v>
      </c>
      <c r="BR20" s="1">
        <v>302.39999999999998</v>
      </c>
      <c r="BS20" s="1">
        <v>311</v>
      </c>
      <c r="BT20" s="20">
        <v>1176.0999999999999</v>
      </c>
      <c r="BU20" s="1">
        <v>281.60000000000002</v>
      </c>
      <c r="BV20" s="1">
        <v>270.7</v>
      </c>
      <c r="BW20" s="1">
        <v>276.89999999999998</v>
      </c>
      <c r="BX20" s="1">
        <v>287.20000000000005</v>
      </c>
      <c r="BY20" s="20">
        <v>1116.4000000000001</v>
      </c>
      <c r="BZ20" s="1">
        <v>286.10000000000002</v>
      </c>
      <c r="CA20" s="1">
        <v>275.7</v>
      </c>
      <c r="CB20" s="1">
        <v>279.20000000000005</v>
      </c>
      <c r="CC20" s="1">
        <v>291.5</v>
      </c>
      <c r="CD20" s="20">
        <v>1132.5</v>
      </c>
      <c r="CH20" s="49">
        <v>0</v>
      </c>
      <c r="CI20" s="45">
        <v>0</v>
      </c>
      <c r="CN20" s="20"/>
      <c r="CQ20" s="64"/>
      <c r="CR20" s="64"/>
      <c r="CS20" s="71"/>
      <c r="CT20" s="64"/>
      <c r="CU20" s="64"/>
      <c r="CV20" s="64"/>
      <c r="CW20" s="661"/>
      <c r="CX20" s="71"/>
      <c r="CY20" s="64"/>
      <c r="CZ20" s="64"/>
      <c r="DA20" s="64"/>
      <c r="DB20" s="64"/>
      <c r="DC20" s="71"/>
      <c r="DD20" s="64"/>
      <c r="DE20" s="64"/>
      <c r="DF20" s="64"/>
      <c r="DG20" s="64"/>
      <c r="DH20" s="71"/>
      <c r="DI20" s="64"/>
      <c r="DJ20" s="64"/>
      <c r="DK20" s="64"/>
      <c r="DL20" s="64"/>
      <c r="DM20" s="71"/>
      <c r="DN20" s="64"/>
      <c r="DO20" s="64"/>
      <c r="DP20" s="64"/>
      <c r="DQ20" s="64"/>
      <c r="DR20" s="71"/>
      <c r="DS20" s="64"/>
      <c r="DT20" s="64"/>
      <c r="DU20" s="64"/>
      <c r="DV20" s="64"/>
      <c r="DW20" s="71"/>
      <c r="DX20" s="64"/>
      <c r="DY20" s="64"/>
      <c r="DZ20" s="64"/>
      <c r="EA20" s="64"/>
      <c r="EB20" s="71"/>
      <c r="ED20" s="28"/>
      <c r="EE20" s="28"/>
      <c r="EG20" s="20"/>
      <c r="EH20" s="20"/>
      <c r="EI20" s="20"/>
      <c r="EJ20" s="20"/>
      <c r="EK20" s="20"/>
      <c r="EL20" s="20"/>
      <c r="EM20" s="20"/>
      <c r="EN20" s="20"/>
      <c r="EO20" s="20"/>
      <c r="EP20" s="20"/>
      <c r="EQ20" s="20"/>
      <c r="ER20" s="20"/>
      <c r="ES20" s="20"/>
      <c r="ET20" s="20"/>
      <c r="EU20" s="20"/>
      <c r="EV20" s="20"/>
      <c r="EW20" s="20"/>
      <c r="EX20" s="20"/>
      <c r="EY20" s="20"/>
      <c r="EZ20" s="20"/>
      <c r="FA20" s="20"/>
      <c r="FB20" s="20"/>
      <c r="FD20" s="20"/>
      <c r="FE20" s="28"/>
      <c r="FF20" s="28"/>
      <c r="FG20" s="28"/>
      <c r="FH20" s="28">
        <f>CP20</f>
        <v>0</v>
      </c>
      <c r="FI20" s="29"/>
      <c r="FJ20"/>
      <c r="FK20"/>
      <c r="FL20"/>
      <c r="FM20"/>
      <c r="FN20"/>
      <c r="FO20"/>
      <c r="FP20"/>
      <c r="FQ20"/>
      <c r="FR20"/>
    </row>
    <row r="21" spans="1:174" s="1" customFormat="1" collapsed="1" x14ac:dyDescent="0.2">
      <c r="A21" s="1" t="s">
        <v>364</v>
      </c>
      <c r="B21" s="125">
        <v>130.32400000000001</v>
      </c>
      <c r="C21" s="111">
        <v>51.982999999999997</v>
      </c>
      <c r="D21" s="111">
        <v>45.639000000000003</v>
      </c>
      <c r="E21" s="111">
        <v>53.722999999999999</v>
      </c>
      <c r="F21" s="111">
        <v>59.935000000000002</v>
      </c>
      <c r="G21" s="125">
        <f>SUM(C21:F21)</f>
        <v>211.28</v>
      </c>
      <c r="H21" s="111">
        <v>86.662999999999997</v>
      </c>
      <c r="I21" s="111">
        <v>76.938000000000002</v>
      </c>
      <c r="J21" s="111">
        <v>83.164000000000001</v>
      </c>
      <c r="K21" s="111">
        <v>89.180999999999997</v>
      </c>
      <c r="L21" s="125">
        <f>SUM(H21:K21)</f>
        <v>335.94599999999997</v>
      </c>
      <c r="M21" s="111">
        <v>116.101</v>
      </c>
      <c r="N21" s="111">
        <f>216.071-M21</f>
        <v>99.97</v>
      </c>
      <c r="O21" s="111">
        <f>319.906-N21-M21</f>
        <v>103.83500000000001</v>
      </c>
      <c r="P21" s="111">
        <f>436.942-O21-N21-M21</f>
        <v>117.03599999999997</v>
      </c>
      <c r="Q21" s="125">
        <f>SUM(M21:P21)</f>
        <v>436.94200000000001</v>
      </c>
      <c r="R21" s="111">
        <v>146.23500000000001</v>
      </c>
      <c r="S21" s="111">
        <v>133.501</v>
      </c>
      <c r="T21" s="111">
        <v>143.31299999999999</v>
      </c>
      <c r="U21" s="111">
        <v>153.666</v>
      </c>
      <c r="V21" s="125">
        <f>SUM(R21:U21)</f>
        <v>576.71499999999992</v>
      </c>
      <c r="W21" s="111">
        <v>186.3</v>
      </c>
      <c r="X21" s="111">
        <v>169.95699999999999</v>
      </c>
      <c r="Y21" s="111">
        <v>185.02</v>
      </c>
      <c r="Z21" s="111">
        <v>199.73400000000001</v>
      </c>
      <c r="AA21" s="125">
        <f>SUM(W21:Z21)</f>
        <v>741.01100000000008</v>
      </c>
      <c r="AB21" s="111">
        <v>240.714</v>
      </c>
      <c r="AC21" s="111">
        <v>225.24</v>
      </c>
      <c r="AD21" s="111">
        <v>243.066</v>
      </c>
      <c r="AE21" s="111">
        <v>252.86500000000001</v>
      </c>
      <c r="AF21" s="125">
        <f>SUM(AB21:AE21)</f>
        <v>961.88499999999999</v>
      </c>
      <c r="AG21" s="111">
        <v>292.22000000000003</v>
      </c>
      <c r="AH21" s="111">
        <v>271.178</v>
      </c>
      <c r="AI21" s="111">
        <v>271.35000000000002</v>
      </c>
      <c r="AJ21" s="111">
        <v>278.03699999999998</v>
      </c>
      <c r="AK21" s="125">
        <f>SUM(AG21:AJ21)</f>
        <v>1112.7850000000001</v>
      </c>
      <c r="AL21" s="111">
        <v>337.029</v>
      </c>
      <c r="AM21" s="111">
        <v>320.08100000000002</v>
      </c>
      <c r="AN21" s="111">
        <v>337.40100000000001</v>
      </c>
      <c r="AO21" s="111">
        <v>355.5</v>
      </c>
      <c r="AP21" s="125">
        <f>SUM(AL21:AO21)</f>
        <v>1350.011</v>
      </c>
      <c r="AQ21" s="111">
        <v>419.161</v>
      </c>
      <c r="AR21" s="111">
        <v>392.09800000000001</v>
      </c>
      <c r="AS21" s="111">
        <v>425.709</v>
      </c>
      <c r="AT21" s="111">
        <v>448.96</v>
      </c>
      <c r="AU21" s="125">
        <f>SUM(AQ21:AT21)</f>
        <v>1685.9280000000001</v>
      </c>
      <c r="AV21" s="111">
        <v>528.70899999999995</v>
      </c>
      <c r="AW21" s="111">
        <v>508.26799999999997</v>
      </c>
      <c r="AX21" s="111">
        <v>540.17499999999995</v>
      </c>
      <c r="AY21" s="111">
        <v>614.28800000000001</v>
      </c>
      <c r="AZ21" s="125">
        <f>SUM(AV21:AY21)</f>
        <v>2191.4399999999996</v>
      </c>
      <c r="BA21" s="111">
        <v>647.755</v>
      </c>
      <c r="BB21" s="111">
        <v>628.74</v>
      </c>
      <c r="BC21" s="111">
        <v>649.83100000000002</v>
      </c>
      <c r="BD21" s="111">
        <v>678.88599999999997</v>
      </c>
      <c r="BE21" s="125">
        <f>SUM(BA21:BD21)</f>
        <v>2605.212</v>
      </c>
      <c r="BF21" s="111">
        <v>778.03800000000001</v>
      </c>
      <c r="BG21" s="111">
        <v>760.87300000000005</v>
      </c>
      <c r="BH21" s="111">
        <v>804.88900000000001</v>
      </c>
      <c r="BI21" s="111">
        <v>834.99099999999999</v>
      </c>
      <c r="BJ21" s="125">
        <f>SUM(BF21:BI21)</f>
        <v>3178.7910000000002</v>
      </c>
      <c r="BK21" s="111">
        <v>984.82299999999998</v>
      </c>
      <c r="BL21" s="111">
        <v>944.74599999999998</v>
      </c>
      <c r="BM21" s="111">
        <v>1003.881</v>
      </c>
      <c r="BN21" s="111">
        <v>1065.674</v>
      </c>
      <c r="BO21" s="125">
        <f>SUM(BK21:BN21)</f>
        <v>3999.1239999999998</v>
      </c>
      <c r="BP21" s="111">
        <v>1186</v>
      </c>
      <c r="BQ21" s="111">
        <v>1106.7</v>
      </c>
      <c r="BR21" s="111">
        <v>1163.0999999999999</v>
      </c>
      <c r="BS21" s="111">
        <v>1189.5</v>
      </c>
      <c r="BT21" s="125">
        <f t="shared" ref="BT21:BT27" si="24">SUM(BP21:BS21)</f>
        <v>4645.2999999999993</v>
      </c>
      <c r="BU21" s="111">
        <v>1196.8</v>
      </c>
      <c r="BV21" s="111">
        <v>1043.5</v>
      </c>
      <c r="BW21" s="111">
        <v>1043.4000000000001</v>
      </c>
      <c r="BX21" s="111">
        <v>1041.2</v>
      </c>
      <c r="BY21" s="125">
        <f t="shared" ref="BY21:BY27" si="25">SUM(BU21:BX21)</f>
        <v>4324.9000000000005</v>
      </c>
      <c r="BZ21" s="111">
        <v>1145.7</v>
      </c>
      <c r="CA21" s="111">
        <v>1064.0999999999999</v>
      </c>
      <c r="CB21" s="111">
        <v>1076.2</v>
      </c>
      <c r="CC21" s="111">
        <v>1172.5999999999999</v>
      </c>
      <c r="CD21" s="125">
        <f t="shared" ref="CD21:CD27" si="26">SUM(BZ21:CC21)</f>
        <v>4458.6000000000004</v>
      </c>
      <c r="CE21" s="111">
        <v>1192.3</v>
      </c>
      <c r="CF21" s="111">
        <v>1171.2</v>
      </c>
      <c r="CG21" s="111">
        <v>1237.5</v>
      </c>
      <c r="CH21" s="111">
        <v>1314.5</v>
      </c>
      <c r="CI21" s="125">
        <f t="shared" ref="CI21:CI27" si="27">SUM(CE21:CH21)</f>
        <v>4915.5</v>
      </c>
      <c r="CJ21" s="111">
        <v>1496.1</v>
      </c>
      <c r="CK21" s="111">
        <v>1411.9</v>
      </c>
      <c r="CL21" s="111">
        <v>1446.1</v>
      </c>
      <c r="CM21" s="111">
        <v>1459.2</v>
      </c>
      <c r="CN21" s="125">
        <f t="shared" ref="CN21:CN27" si="28">SUM(CJ21:CM21)</f>
        <v>5813.3</v>
      </c>
      <c r="CO21" s="111">
        <v>1620.7</v>
      </c>
      <c r="CP21" s="111">
        <v>1530.4</v>
      </c>
      <c r="CQ21" s="111">
        <v>1597.6</v>
      </c>
      <c r="CR21" s="111">
        <v>1633.7</v>
      </c>
      <c r="CS21" s="125">
        <f t="shared" ref="CS21:CS27" si="29">SUM(CO21:CR21)</f>
        <v>6382.4000000000005</v>
      </c>
      <c r="CT21" s="111">
        <v>1795.1</v>
      </c>
      <c r="CU21" s="111">
        <v>1629.2</v>
      </c>
      <c r="CV21" s="111">
        <v>1711.5</v>
      </c>
      <c r="CW21" s="659">
        <v>1723.2</v>
      </c>
      <c r="CX21" s="125">
        <f t="shared" ref="CX21:CX27" si="30">SUM(CT21:CW21)</f>
        <v>6859</v>
      </c>
      <c r="CY21" s="111">
        <v>1991.2</v>
      </c>
      <c r="CZ21" s="111">
        <v>1859.8</v>
      </c>
      <c r="DA21" s="111">
        <v>1953.9</v>
      </c>
      <c r="DB21" s="111">
        <v>1982.6</v>
      </c>
      <c r="DC21" s="125">
        <f t="shared" ref="DC21:DC27" si="31">SUM(CY21:DB21)</f>
        <v>7787.5</v>
      </c>
      <c r="DD21" s="111">
        <v>2186.1999999999998</v>
      </c>
      <c r="DE21" s="111">
        <v>2010.3</v>
      </c>
      <c r="DF21" s="111">
        <v>2060.3000000000002</v>
      </c>
      <c r="DG21" s="111">
        <v>2254.1999999999998</v>
      </c>
      <c r="DH21" s="125">
        <f t="shared" ref="DH21:DH27" si="32">SUM(DD21:DG21)</f>
        <v>8511</v>
      </c>
      <c r="DI21" s="111">
        <v>2295</v>
      </c>
      <c r="DJ21" s="111">
        <v>2141.1999999999998</v>
      </c>
      <c r="DK21" s="111">
        <v>2249.1</v>
      </c>
      <c r="DL21" s="111">
        <v>2352.9</v>
      </c>
      <c r="DM21" s="125">
        <f t="shared" ref="DM21:DM27" si="33">SUM(DI21:DL21)</f>
        <v>9038.1999999999989</v>
      </c>
      <c r="DN21" s="111">
        <v>2502.9</v>
      </c>
      <c r="DO21" s="143">
        <v>2454.3138610833012</v>
      </c>
      <c r="DP21" s="143">
        <v>2561.7893476062841</v>
      </c>
      <c r="DQ21" s="143">
        <v>2607.647474254708</v>
      </c>
      <c r="DR21" s="125">
        <f t="shared" ref="DR21:DR27" si="34">SUM(DN21:DQ21)</f>
        <v>10126.650682944291</v>
      </c>
      <c r="DS21" s="143">
        <v>2747.1685468481328</v>
      </c>
      <c r="DT21" s="143">
        <v>2649.7999241654211</v>
      </c>
      <c r="DU21" s="143">
        <v>2771.8858685141072</v>
      </c>
      <c r="DV21" s="143">
        <v>2826.040541388621</v>
      </c>
      <c r="DW21" s="125">
        <f t="shared" ref="DW21:DW27" si="35">SUM(DS21:DV21)</f>
        <v>10994.894880916283</v>
      </c>
      <c r="DX21" s="143">
        <v>2981.4778558825856</v>
      </c>
      <c r="DY21" s="143">
        <v>2878.0754059594551</v>
      </c>
      <c r="DZ21" s="143">
        <v>3008.3821702234895</v>
      </c>
      <c r="EA21" s="143">
        <v>3064.8762531044163</v>
      </c>
      <c r="EB21" s="125">
        <f t="shared" ref="EB21:EB27" si="36">SUM(DX21:EA21)</f>
        <v>11932.811685169945</v>
      </c>
      <c r="ED21" s="28"/>
      <c r="EE21" s="28"/>
      <c r="EG21" s="125">
        <f>S21+T21+U21+W21</f>
        <v>616.78</v>
      </c>
      <c r="EH21" s="125">
        <f>X21+Y21+Z21+AB21</f>
        <v>795.42499999999995</v>
      </c>
      <c r="EI21" s="125">
        <f>AC21+AD21+AE21+AG21</f>
        <v>1013.3910000000001</v>
      </c>
      <c r="EJ21" s="125">
        <f>AH21+AI21+AJ21+AL21</f>
        <v>1157.5940000000001</v>
      </c>
      <c r="EK21" s="125">
        <f>AM21+AN21+AO21+AQ21</f>
        <v>1432.143</v>
      </c>
      <c r="EL21" s="125">
        <f>AR21+AS21+AT21+AV21</f>
        <v>1795.4760000000001</v>
      </c>
      <c r="EM21" s="125">
        <f>AW21+AX21+AY21+BA21</f>
        <v>2310.4859999999999</v>
      </c>
      <c r="EN21" s="125">
        <f>BB21+BC21+BD21+BF21</f>
        <v>2735.4949999999999</v>
      </c>
      <c r="EO21" s="125">
        <f>SUM(BG21:BI21,BK21)</f>
        <v>3385.576</v>
      </c>
      <c r="EP21" s="125">
        <f>SUM(BL21:BN21,BP21)</f>
        <v>4200.3009999999995</v>
      </c>
      <c r="EQ21" s="125">
        <f t="shared" ref="EQ21:EQ27" si="37">SUM(BQ21:BS21,BU21)</f>
        <v>4656.1000000000004</v>
      </c>
      <c r="ER21" s="125">
        <f t="shared" ref="ER21:ER27" si="38">SUM(BV21:BX21,BZ21)</f>
        <v>4273.8</v>
      </c>
      <c r="ES21" s="125">
        <f t="shared" ref="ES21:ES27" si="39">SUM(CA21:CC21,CE21)</f>
        <v>4505.2</v>
      </c>
      <c r="ET21" s="125">
        <f t="shared" ref="ET21:ET27" si="40">SUM(CF21:CH21,CJ21)</f>
        <v>5219.2999999999993</v>
      </c>
      <c r="EU21" s="125">
        <f t="shared" ref="EU21:EU27" si="41">SUM(CK21,CL21,CM21,CO21)</f>
        <v>5937.9</v>
      </c>
      <c r="EV21" s="125">
        <f t="shared" ref="EV21:EV27" si="42">SUM(CT21,CR21,CQ21,CP21)</f>
        <v>6556.7999999999993</v>
      </c>
      <c r="EW21" s="125">
        <f t="shared" ref="EW21:EW27" si="43">CU21+CV21+CW21+CY21</f>
        <v>7055.0999999999995</v>
      </c>
      <c r="EX21" s="125">
        <f t="shared" ref="EX21:EX27" si="44">CZ21+DA21+DB21+DD21</f>
        <v>7982.4999999999991</v>
      </c>
      <c r="EY21" s="125">
        <f t="shared" ref="EY21:EY27" si="45">DE21+DF21+DG21+DI21</f>
        <v>8619.7999999999993</v>
      </c>
      <c r="EZ21" s="125">
        <f t="shared" ref="EZ21:EZ27" si="46">DJ21+DK21+DL21+DN21</f>
        <v>9246.0999999999985</v>
      </c>
      <c r="FA21" s="125">
        <f t="shared" ref="FA21:FA27" si="47">DO21+DP21+DQ21+DS21</f>
        <v>10370.919229792426</v>
      </c>
      <c r="FB21" s="125">
        <f t="shared" ref="FB21:FB27" si="48">DT21+DU21+DV21+DX21</f>
        <v>11229.204189950735</v>
      </c>
      <c r="FD21" s="20" t="s">
        <v>364</v>
      </c>
      <c r="FE21" s="401">
        <f t="shared" ref="FE21:FE27" si="49">DN21</f>
        <v>2502.9</v>
      </c>
      <c r="FF21" s="268">
        <v>2476.039043064422</v>
      </c>
      <c r="FG21" s="401">
        <f t="shared" ref="FG21:FG27" si="50">FE21-FF21</f>
        <v>26.860956935578088</v>
      </c>
      <c r="FH21" s="401">
        <f t="shared" ref="FH21:FH27" si="51">DI21</f>
        <v>2295</v>
      </c>
      <c r="FI21" s="249">
        <f t="shared" ref="FI21:FI44" si="52">FE21/FH21-1</f>
        <v>9.0588235294117636E-2</v>
      </c>
      <c r="FJ21"/>
      <c r="FK21"/>
      <c r="FL21"/>
      <c r="FM21"/>
      <c r="FN21"/>
      <c r="FO21"/>
      <c r="FP21"/>
      <c r="FQ21"/>
      <c r="FR21"/>
    </row>
    <row r="22" spans="1:174" s="1" customFormat="1" x14ac:dyDescent="0.2">
      <c r="A22" s="1" t="s">
        <v>365</v>
      </c>
      <c r="B22" s="125">
        <v>90.093999999999994</v>
      </c>
      <c r="C22" s="111">
        <v>35.460999999999999</v>
      </c>
      <c r="D22" s="111">
        <v>33.881999999999998</v>
      </c>
      <c r="E22" s="111">
        <v>39.304000000000002</v>
      </c>
      <c r="F22" s="111">
        <v>40.109000000000002</v>
      </c>
      <c r="G22" s="125">
        <f>SUM(C22:F22)</f>
        <v>148.756</v>
      </c>
      <c r="H22" s="111">
        <v>47.1</v>
      </c>
      <c r="I22" s="111">
        <v>47</v>
      </c>
      <c r="J22" s="111">
        <v>54.8</v>
      </c>
      <c r="K22" s="111">
        <v>61.7</v>
      </c>
      <c r="L22" s="125">
        <f>SUM(H22:K22)</f>
        <v>210.59999999999997</v>
      </c>
      <c r="M22" s="111">
        <v>71.016000000000005</v>
      </c>
      <c r="N22" s="111">
        <v>70.057000000000002</v>
      </c>
      <c r="O22" s="111">
        <v>82.664000000000001</v>
      </c>
      <c r="P22" s="111">
        <v>90.326999999999998</v>
      </c>
      <c r="Q22" s="125">
        <f>SUM(M22:P22)</f>
        <v>314.06400000000002</v>
      </c>
      <c r="R22" s="111">
        <v>98.100999999999999</v>
      </c>
      <c r="S22" s="111">
        <v>95.025999999999996</v>
      </c>
      <c r="T22" s="111">
        <v>106.869</v>
      </c>
      <c r="U22" s="111">
        <v>113.617</v>
      </c>
      <c r="V22" s="125">
        <f>SUM(R22:U22)</f>
        <v>413.613</v>
      </c>
      <c r="W22" s="111">
        <v>122.601</v>
      </c>
      <c r="X22" s="111">
        <v>121.845</v>
      </c>
      <c r="Y22" s="111">
        <v>137.625</v>
      </c>
      <c r="Z22" s="111">
        <v>161.49799999999999</v>
      </c>
      <c r="AA22" s="125">
        <f t="shared" ref="AA22:AA27" si="53">SUM(W22:Z22)</f>
        <v>543.56899999999996</v>
      </c>
      <c r="AB22" s="111">
        <v>164.2</v>
      </c>
      <c r="AC22" s="111">
        <v>169.25700000000001</v>
      </c>
      <c r="AD22" s="111">
        <v>185.51499999999999</v>
      </c>
      <c r="AE22" s="111">
        <v>185.92699999999999</v>
      </c>
      <c r="AF22" s="125">
        <f>SUM(AB22:AE22)</f>
        <v>704.899</v>
      </c>
      <c r="AG22" s="111">
        <v>209.69</v>
      </c>
      <c r="AH22" s="111">
        <v>208.608</v>
      </c>
      <c r="AI22" s="111">
        <v>226.614</v>
      </c>
      <c r="AJ22" s="111">
        <v>230.56100000000001</v>
      </c>
      <c r="AK22" s="125">
        <v>867.95699999999999</v>
      </c>
      <c r="AL22" s="111">
        <v>260.49</v>
      </c>
      <c r="AM22" s="111">
        <v>270.98599999999999</v>
      </c>
      <c r="AN22" s="111">
        <v>291.44499999999999</v>
      </c>
      <c r="AO22" s="111">
        <v>298.18700000000001</v>
      </c>
      <c r="AP22" s="125">
        <v>1109.7819999999999</v>
      </c>
      <c r="AQ22" s="111">
        <v>320.28699999999998</v>
      </c>
      <c r="AR22" s="111">
        <v>329.15300000000002</v>
      </c>
      <c r="AS22" s="111">
        <v>361.83499999999998</v>
      </c>
      <c r="AT22" s="111">
        <v>373.66300000000001</v>
      </c>
      <c r="AU22" s="125">
        <v>1379.5740000000001</v>
      </c>
      <c r="AV22" s="111">
        <v>405.82100000000003</v>
      </c>
      <c r="AW22" s="111">
        <v>425.976</v>
      </c>
      <c r="AX22" s="111">
        <v>448.029</v>
      </c>
      <c r="AY22" s="111">
        <v>510.34199999999998</v>
      </c>
      <c r="AZ22" s="125">
        <f>SUM(AV22:AY22)</f>
        <v>1790.1680000000001</v>
      </c>
      <c r="BA22" s="111">
        <v>521.00599999999997</v>
      </c>
      <c r="BB22" s="111">
        <v>532.94399999999996</v>
      </c>
      <c r="BC22" s="111">
        <v>546.00800000000004</v>
      </c>
      <c r="BD22" s="111">
        <v>565.95299999999997</v>
      </c>
      <c r="BE22" s="125">
        <f>SUM(BA22:BD22)</f>
        <v>2165.9110000000001</v>
      </c>
      <c r="BF22" s="111">
        <v>622.16600000000005</v>
      </c>
      <c r="BG22" s="111">
        <v>665.27300000000002</v>
      </c>
      <c r="BH22" s="111">
        <v>686.60199999999998</v>
      </c>
      <c r="BI22" s="111">
        <v>713.774</v>
      </c>
      <c r="BJ22" s="125">
        <f>SUM(BF22:BI22)</f>
        <v>2687.8150000000001</v>
      </c>
      <c r="BK22" s="111">
        <v>771.96699999999998</v>
      </c>
      <c r="BL22" s="111">
        <v>780.98500000000001</v>
      </c>
      <c r="BM22" s="111">
        <v>819.21199999999999</v>
      </c>
      <c r="BN22" s="111">
        <v>843.72500000000002</v>
      </c>
      <c r="BO22" s="125">
        <f>SUM(BK22:BN22)</f>
        <v>3215.8889999999997</v>
      </c>
      <c r="BP22" s="111">
        <v>927.3</v>
      </c>
      <c r="BQ22" s="111">
        <v>927.14</v>
      </c>
      <c r="BR22" s="111">
        <v>958.3</v>
      </c>
      <c r="BS22" s="111">
        <v>932.4</v>
      </c>
      <c r="BT22" s="125">
        <f t="shared" si="24"/>
        <v>3745.14</v>
      </c>
      <c r="BU22" s="111">
        <f>936.6</f>
        <v>936.6</v>
      </c>
      <c r="BV22" s="111">
        <v>819.6</v>
      </c>
      <c r="BW22" s="111">
        <v>821.4</v>
      </c>
      <c r="BX22" s="111">
        <v>847.5</v>
      </c>
      <c r="BY22" s="125">
        <f t="shared" si="25"/>
        <v>3425.1</v>
      </c>
      <c r="BZ22" s="111">
        <v>896.1</v>
      </c>
      <c r="CA22" s="111">
        <v>828</v>
      </c>
      <c r="CB22" s="111">
        <v>888.9</v>
      </c>
      <c r="CC22" s="111">
        <v>938.4</v>
      </c>
      <c r="CD22" s="125">
        <f t="shared" si="26"/>
        <v>3551.4</v>
      </c>
      <c r="CE22" s="111">
        <v>888</v>
      </c>
      <c r="CF22" s="111">
        <v>867.2</v>
      </c>
      <c r="CG22" s="111">
        <v>917.1</v>
      </c>
      <c r="CH22" s="111">
        <v>922.9</v>
      </c>
      <c r="CI22" s="125">
        <f t="shared" si="27"/>
        <v>3595.2000000000003</v>
      </c>
      <c r="CJ22" s="111">
        <v>995.7</v>
      </c>
      <c r="CK22" s="111">
        <v>956.5</v>
      </c>
      <c r="CL22" s="111">
        <v>976</v>
      </c>
      <c r="CM22" s="111">
        <v>989.9</v>
      </c>
      <c r="CN22" s="125">
        <f t="shared" si="28"/>
        <v>3918.1</v>
      </c>
      <c r="CO22" s="111">
        <v>1089.5</v>
      </c>
      <c r="CP22" s="111">
        <v>1038.4000000000001</v>
      </c>
      <c r="CQ22" s="111">
        <v>1084.0999999999999</v>
      </c>
      <c r="CR22" s="111">
        <v>1073.9000000000001</v>
      </c>
      <c r="CS22" s="125">
        <f t="shared" si="29"/>
        <v>4285.8999999999996</v>
      </c>
      <c r="CT22" s="111">
        <v>1175.0999999999999</v>
      </c>
      <c r="CU22" s="111">
        <v>1134.5</v>
      </c>
      <c r="CV22" s="111">
        <v>1176.5</v>
      </c>
      <c r="CW22" s="659">
        <v>1152.0999999999999</v>
      </c>
      <c r="CX22" s="125">
        <f t="shared" si="30"/>
        <v>4638.2</v>
      </c>
      <c r="CY22" s="111">
        <v>1315.5</v>
      </c>
      <c r="CZ22" s="111">
        <v>1324.6</v>
      </c>
      <c r="DA22" s="111">
        <v>1392.4</v>
      </c>
      <c r="DB22" s="111">
        <v>1378.6</v>
      </c>
      <c r="DC22" s="125">
        <f t="shared" si="31"/>
        <v>5411.1</v>
      </c>
      <c r="DD22" s="111">
        <v>1506.2</v>
      </c>
      <c r="DE22" s="111">
        <v>1466.4</v>
      </c>
      <c r="DF22" s="111">
        <v>1529.4</v>
      </c>
      <c r="DG22" s="111">
        <v>1562.3</v>
      </c>
      <c r="DH22" s="125">
        <f t="shared" si="32"/>
        <v>6064.3</v>
      </c>
      <c r="DI22" s="111">
        <v>1638.2</v>
      </c>
      <c r="DJ22" s="111">
        <v>1586.4</v>
      </c>
      <c r="DK22" s="111">
        <v>1628.9</v>
      </c>
      <c r="DL22" s="111">
        <v>1639.8</v>
      </c>
      <c r="DM22" s="125">
        <f t="shared" si="33"/>
        <v>6493.3</v>
      </c>
      <c r="DN22" s="111">
        <v>1737</v>
      </c>
      <c r="DO22" s="143">
        <v>1797.7154659586736</v>
      </c>
      <c r="DP22" s="143">
        <v>1851.5369960928654</v>
      </c>
      <c r="DQ22" s="143">
        <v>1880.2069194069441</v>
      </c>
      <c r="DR22" s="125">
        <f t="shared" si="34"/>
        <v>7266.4593814584823</v>
      </c>
      <c r="DS22" s="143">
        <v>1942.8655391335697</v>
      </c>
      <c r="DT22" s="143">
        <v>1959.8977637240741</v>
      </c>
      <c r="DU22" s="143">
        <v>2026.6019558201394</v>
      </c>
      <c r="DV22" s="143">
        <v>2058.1218397979092</v>
      </c>
      <c r="DW22" s="125">
        <f t="shared" si="35"/>
        <v>7987.4870984756926</v>
      </c>
      <c r="DX22" s="143">
        <v>2118.9309813715031</v>
      </c>
      <c r="DY22" s="143">
        <v>2137.2303570103491</v>
      </c>
      <c r="DZ22" s="143">
        <v>2207.031085283877</v>
      </c>
      <c r="EA22" s="143">
        <v>2239.1096626699164</v>
      </c>
      <c r="EB22" s="125">
        <f t="shared" si="36"/>
        <v>8702.3020863356451</v>
      </c>
      <c r="ED22" s="28"/>
      <c r="EE22" s="28"/>
      <c r="EG22" s="125">
        <f>S22+T22+U22+W22</f>
        <v>438.113</v>
      </c>
      <c r="EH22" s="125">
        <f>X22+Y22+Z22+AB22</f>
        <v>585.16800000000001</v>
      </c>
      <c r="EI22" s="125">
        <f>AC22+AD22+AE22+AG22</f>
        <v>750.3889999999999</v>
      </c>
      <c r="EJ22" s="125">
        <f>AH22+AI22+AJ22+AL22</f>
        <v>926.27300000000002</v>
      </c>
      <c r="EK22" s="125">
        <f>AM22+AN22+AO22+AQ22</f>
        <v>1180.905</v>
      </c>
      <c r="EL22" s="125">
        <f>AR22+AS22+AT22+AV22</f>
        <v>1470.4720000000002</v>
      </c>
      <c r="EM22" s="125">
        <f>AW22+AX22+AY22+BA22</f>
        <v>1905.3530000000001</v>
      </c>
      <c r="EN22" s="125">
        <f t="shared" ref="EN22:EN31" si="54">BB22+BC22+BD22+BF22</f>
        <v>2267.0709999999999</v>
      </c>
      <c r="EO22" s="125">
        <f>SUM(BG22:BI22,BK22)</f>
        <v>2837.616</v>
      </c>
      <c r="EP22" s="125">
        <f>SUM(BL22:BN22,BP22)</f>
        <v>3371.2219999999998</v>
      </c>
      <c r="EQ22" s="125">
        <f t="shared" si="37"/>
        <v>3754.44</v>
      </c>
      <c r="ER22" s="125">
        <f t="shared" si="38"/>
        <v>3384.6</v>
      </c>
      <c r="ES22" s="125">
        <f t="shared" si="39"/>
        <v>3543.3</v>
      </c>
      <c r="ET22" s="125">
        <f t="shared" si="40"/>
        <v>3702.9000000000005</v>
      </c>
      <c r="EU22" s="125">
        <f t="shared" si="41"/>
        <v>4011.9</v>
      </c>
      <c r="EV22" s="125">
        <f t="shared" si="42"/>
        <v>4371.5</v>
      </c>
      <c r="EW22" s="125">
        <f t="shared" si="43"/>
        <v>4778.6000000000004</v>
      </c>
      <c r="EX22" s="125">
        <f t="shared" si="44"/>
        <v>5601.8</v>
      </c>
      <c r="EY22" s="125">
        <f t="shared" si="45"/>
        <v>6196.3</v>
      </c>
      <c r="EZ22" s="125">
        <f t="shared" si="46"/>
        <v>6592.1</v>
      </c>
      <c r="FA22" s="125">
        <f t="shared" si="47"/>
        <v>7472.324920592052</v>
      </c>
      <c r="FB22" s="125">
        <f t="shared" si="48"/>
        <v>8163.5525407136265</v>
      </c>
      <c r="FD22" s="20" t="s">
        <v>365</v>
      </c>
      <c r="FE22" s="268">
        <f t="shared" si="49"/>
        <v>1737</v>
      </c>
      <c r="FF22" s="268">
        <v>1796.1313848513967</v>
      </c>
      <c r="FG22" s="401">
        <f t="shared" si="50"/>
        <v>-59.13138485139666</v>
      </c>
      <c r="FH22" s="401">
        <f t="shared" si="51"/>
        <v>1638.2</v>
      </c>
      <c r="FI22" s="249">
        <f t="shared" si="52"/>
        <v>6.0310096447320216E-2</v>
      </c>
      <c r="FJ22"/>
      <c r="FK22"/>
      <c r="FL22"/>
      <c r="FM22"/>
      <c r="FN22"/>
      <c r="FO22"/>
      <c r="FP22"/>
      <c r="FQ22"/>
      <c r="FR22"/>
    </row>
    <row r="23" spans="1:174" s="1" customFormat="1" x14ac:dyDescent="0.2">
      <c r="A23" s="1" t="s">
        <v>366</v>
      </c>
      <c r="B23" s="125">
        <v>8.6959999999999997</v>
      </c>
      <c r="C23" s="111">
        <v>3.726</v>
      </c>
      <c r="D23" s="111">
        <v>2.875</v>
      </c>
      <c r="E23" s="111">
        <f>9.433-E24</f>
        <v>3.5150000000000006</v>
      </c>
      <c r="F23" s="111">
        <v>3.8170000000000002</v>
      </c>
      <c r="G23" s="125">
        <f>SUM(C23:F23)</f>
        <v>13.933</v>
      </c>
      <c r="H23" s="111">
        <v>5.8</v>
      </c>
      <c r="I23" s="111">
        <v>3.8</v>
      </c>
      <c r="J23" s="111">
        <v>4.9000000000000004</v>
      </c>
      <c r="K23" s="111">
        <v>5.3</v>
      </c>
      <c r="L23" s="125">
        <f>SUM(H23:K23)</f>
        <v>19.8</v>
      </c>
      <c r="M23" s="111">
        <v>7.7789999999999999</v>
      </c>
      <c r="N23" s="111">
        <v>6.931</v>
      </c>
      <c r="O23" s="111">
        <v>7.1589999999999998</v>
      </c>
      <c r="P23" s="111">
        <v>6.37</v>
      </c>
      <c r="Q23" s="125">
        <f>SUM(M23:P23)</f>
        <v>28.239000000000001</v>
      </c>
      <c r="R23" s="111">
        <v>9.6739999999999995</v>
      </c>
      <c r="S23" s="111">
        <v>8.6340000000000003</v>
      </c>
      <c r="T23" s="111">
        <v>12.221</v>
      </c>
      <c r="U23" s="111">
        <v>12.952</v>
      </c>
      <c r="V23" s="125">
        <f>SUM(R23:U23)</f>
        <v>43.481000000000002</v>
      </c>
      <c r="W23" s="111">
        <f>13.308+W27</f>
        <v>13.028</v>
      </c>
      <c r="X23" s="111">
        <f>11.142+X27</f>
        <v>11.087</v>
      </c>
      <c r="Y23" s="111">
        <f>13.04+Y27</f>
        <v>13.399999999999999</v>
      </c>
      <c r="Z23" s="111">
        <f>13.883+Z27</f>
        <v>17.048999999999999</v>
      </c>
      <c r="AA23" s="125">
        <f t="shared" si="53"/>
        <v>54.564</v>
      </c>
      <c r="AB23" s="111">
        <v>17.745000000000001</v>
      </c>
      <c r="AC23" s="111">
        <v>20.202000000000002</v>
      </c>
      <c r="AD23" s="111">
        <v>17.658999999999999</v>
      </c>
      <c r="AE23" s="111">
        <v>22.829000000000001</v>
      </c>
      <c r="AF23" s="125">
        <f>SUM(AB23:AE23)</f>
        <v>78.435000000000002</v>
      </c>
      <c r="AG23" s="111">
        <v>21.786000000000001</v>
      </c>
      <c r="AH23" s="111">
        <v>23.785</v>
      </c>
      <c r="AI23" s="111">
        <v>22.695</v>
      </c>
      <c r="AJ23" s="111">
        <v>25.06</v>
      </c>
      <c r="AK23" s="125">
        <v>72.406000000000006</v>
      </c>
      <c r="AL23" s="111">
        <v>30.324999999999999</v>
      </c>
      <c r="AM23" s="111">
        <v>33.542999999999999</v>
      </c>
      <c r="AN23" s="111">
        <v>29.268999999999998</v>
      </c>
      <c r="AO23" s="111">
        <v>34.040999999999997</v>
      </c>
      <c r="AP23" s="125">
        <v>106.084</v>
      </c>
      <c r="AQ23" s="111">
        <v>31.515999999999998</v>
      </c>
      <c r="AR23" s="111">
        <v>36.521000000000001</v>
      </c>
      <c r="AS23" s="111">
        <v>41.945999999999998</v>
      </c>
      <c r="AT23" s="111">
        <v>43.658000000000001</v>
      </c>
      <c r="AU23" s="125">
        <v>141.346</v>
      </c>
      <c r="AV23" s="111">
        <v>43.698</v>
      </c>
      <c r="AW23" s="111">
        <v>40.802</v>
      </c>
      <c r="AX23" s="111">
        <v>44.259</v>
      </c>
      <c r="AY23" s="111">
        <v>42.889000000000003</v>
      </c>
      <c r="AZ23" s="125">
        <f>SUM(AV23:AY23)</f>
        <v>171.64800000000002</v>
      </c>
      <c r="BA23" s="111">
        <v>44.280999999999999</v>
      </c>
      <c r="BB23" s="111">
        <v>46.347000000000001</v>
      </c>
      <c r="BC23" s="111">
        <v>48.463999999999999</v>
      </c>
      <c r="BD23" s="111">
        <v>57.932000000000002</v>
      </c>
      <c r="BE23" s="125">
        <f>SUM(BA23:BD23)</f>
        <v>197.024</v>
      </c>
      <c r="BF23" s="111">
        <v>59.148000000000003</v>
      </c>
      <c r="BG23" s="111">
        <v>63.648000000000003</v>
      </c>
      <c r="BH23" s="111">
        <v>69.477999999999994</v>
      </c>
      <c r="BI23" s="111">
        <v>67.813000000000002</v>
      </c>
      <c r="BJ23" s="125">
        <f>SUM(BF23:BI23)</f>
        <v>260.08699999999999</v>
      </c>
      <c r="BK23" s="111">
        <v>72.537999999999997</v>
      </c>
      <c r="BL23" s="111">
        <v>75.661000000000001</v>
      </c>
      <c r="BM23" s="111">
        <v>76.507000000000005</v>
      </c>
      <c r="BN23" s="111">
        <v>74.510000000000005</v>
      </c>
      <c r="BO23" s="125">
        <f>SUM(BK23:BN23)</f>
        <v>299.21600000000001</v>
      </c>
      <c r="BP23" s="111">
        <v>85.7</v>
      </c>
      <c r="BQ23" s="111">
        <v>82.8</v>
      </c>
      <c r="BR23" s="111">
        <v>79.599999999999994</v>
      </c>
      <c r="BS23" s="111">
        <v>82</v>
      </c>
      <c r="BT23" s="125">
        <f t="shared" si="24"/>
        <v>330.1</v>
      </c>
      <c r="BU23" s="111">
        <v>72.599999999999994</v>
      </c>
      <c r="BV23" s="111">
        <v>64</v>
      </c>
      <c r="BW23" s="111">
        <v>69.2</v>
      </c>
      <c r="BX23" s="111">
        <v>58.6</v>
      </c>
      <c r="BY23" s="125">
        <f t="shared" si="25"/>
        <v>264.40000000000003</v>
      </c>
      <c r="BZ23" s="111">
        <v>71.900000000000006</v>
      </c>
      <c r="CA23" s="111">
        <v>61.8</v>
      </c>
      <c r="CB23" s="111">
        <v>77.2</v>
      </c>
      <c r="CC23" s="111">
        <v>82.3</v>
      </c>
      <c r="CD23" s="125">
        <f t="shared" si="26"/>
        <v>293.2</v>
      </c>
      <c r="CE23" s="111">
        <v>90.1</v>
      </c>
      <c r="CF23" s="111">
        <v>98.9</v>
      </c>
      <c r="CG23" s="111">
        <v>100</v>
      </c>
      <c r="CH23" s="111">
        <v>103.7</v>
      </c>
      <c r="CI23" s="125">
        <f t="shared" si="27"/>
        <v>392.7</v>
      </c>
      <c r="CJ23" s="111">
        <v>100.8</v>
      </c>
      <c r="CK23" s="111">
        <v>99.6</v>
      </c>
      <c r="CL23" s="111">
        <v>100.5</v>
      </c>
      <c r="CM23" s="111">
        <v>106.2</v>
      </c>
      <c r="CN23" s="125">
        <f t="shared" si="28"/>
        <v>407.09999999999997</v>
      </c>
      <c r="CO23" s="111">
        <v>126.1</v>
      </c>
      <c r="CP23" s="111">
        <v>105.8</v>
      </c>
      <c r="CQ23" s="111">
        <v>98.9</v>
      </c>
      <c r="CR23" s="111">
        <v>101.1</v>
      </c>
      <c r="CS23" s="125">
        <f t="shared" si="29"/>
        <v>431.9</v>
      </c>
      <c r="CT23" s="111">
        <v>114.9</v>
      </c>
      <c r="CU23" s="111">
        <v>110.9</v>
      </c>
      <c r="CV23" s="111">
        <v>120.6</v>
      </c>
      <c r="CW23" s="659">
        <v>111</v>
      </c>
      <c r="CX23" s="125">
        <f t="shared" si="30"/>
        <v>457.4</v>
      </c>
      <c r="CY23" s="111">
        <v>129.4</v>
      </c>
      <c r="CZ23" s="111">
        <v>133.5</v>
      </c>
      <c r="DA23" s="111">
        <v>131.6</v>
      </c>
      <c r="DB23" s="111">
        <v>127.9</v>
      </c>
      <c r="DC23" s="125">
        <f t="shared" si="31"/>
        <v>522.4</v>
      </c>
      <c r="DD23" s="111">
        <v>146.19999999999999</v>
      </c>
      <c r="DE23" s="111">
        <v>139.6</v>
      </c>
      <c r="DF23" s="111">
        <v>137.5</v>
      </c>
      <c r="DG23" s="111">
        <v>122.1</v>
      </c>
      <c r="DH23" s="125">
        <f t="shared" si="32"/>
        <v>545.4</v>
      </c>
      <c r="DI23" s="111">
        <v>145.4</v>
      </c>
      <c r="DJ23" s="111">
        <v>134.69999999999999</v>
      </c>
      <c r="DK23" s="111">
        <v>142.5</v>
      </c>
      <c r="DL23" s="111">
        <v>131.1</v>
      </c>
      <c r="DM23" s="125">
        <f t="shared" si="33"/>
        <v>553.70000000000005</v>
      </c>
      <c r="DN23" s="111">
        <v>141.6</v>
      </c>
      <c r="DO23" s="143">
        <v>146.19318064779011</v>
      </c>
      <c r="DP23" s="143">
        <v>148.07813611185892</v>
      </c>
      <c r="DQ23" s="143">
        <v>136.50251170036921</v>
      </c>
      <c r="DR23" s="125">
        <f t="shared" si="34"/>
        <v>572.37382846001833</v>
      </c>
      <c r="DS23" s="143">
        <v>148.16902176851471</v>
      </c>
      <c r="DT23" s="143">
        <v>150.34351065914592</v>
      </c>
      <c r="DU23" s="143">
        <v>155.39240988565939</v>
      </c>
      <c r="DV23" s="143">
        <v>144.27413761892711</v>
      </c>
      <c r="DW23" s="125">
        <f t="shared" si="35"/>
        <v>598.17907993224708</v>
      </c>
      <c r="DX23" s="143">
        <v>161.84501711385056</v>
      </c>
      <c r="DY23" s="143">
        <v>158.82909429294776</v>
      </c>
      <c r="DZ23" s="143">
        <v>164.11428338378744</v>
      </c>
      <c r="EA23" s="143">
        <v>152.43130758956895</v>
      </c>
      <c r="EB23" s="125">
        <f t="shared" si="36"/>
        <v>637.21970238015467</v>
      </c>
      <c r="ED23" s="28"/>
      <c r="EE23" s="28"/>
      <c r="EG23" s="125">
        <f>S23+T23+U23+W23</f>
        <v>46.835000000000001</v>
      </c>
      <c r="EH23" s="125">
        <f>X23+Y23+Z23+AB23</f>
        <v>59.281000000000006</v>
      </c>
      <c r="EI23" s="125">
        <f>AC23+AD23+AE23+AG23</f>
        <v>82.475999999999999</v>
      </c>
      <c r="EJ23" s="125">
        <f>AH23+AI23+AJ23+AL23</f>
        <v>101.86500000000001</v>
      </c>
      <c r="EK23" s="125">
        <f>AM23+AN23+AO23+AQ23</f>
        <v>128.369</v>
      </c>
      <c r="EL23" s="125">
        <f>AR23+AS23+AT23+AV23</f>
        <v>165.82300000000001</v>
      </c>
      <c r="EM23" s="125">
        <f>AW23+AX23+AY23+BA23</f>
        <v>172.23100000000002</v>
      </c>
      <c r="EN23" s="125">
        <f t="shared" si="54"/>
        <v>211.89099999999999</v>
      </c>
      <c r="EO23" s="125">
        <f>SUM(BG23:BI23,BK23)</f>
        <v>273.47700000000003</v>
      </c>
      <c r="EP23" s="125">
        <f>SUM(BL23:BN23,BP23)</f>
        <v>312.37799999999999</v>
      </c>
      <c r="EQ23" s="125">
        <f t="shared" si="37"/>
        <v>317</v>
      </c>
      <c r="ER23" s="125">
        <f t="shared" si="38"/>
        <v>263.7</v>
      </c>
      <c r="ES23" s="125">
        <f t="shared" si="39"/>
        <v>311.39999999999998</v>
      </c>
      <c r="ET23" s="125">
        <f t="shared" si="40"/>
        <v>403.40000000000003</v>
      </c>
      <c r="EU23" s="125">
        <f t="shared" si="41"/>
        <v>432.4</v>
      </c>
      <c r="EV23" s="125">
        <f t="shared" si="42"/>
        <v>420.7</v>
      </c>
      <c r="EW23" s="125">
        <f t="shared" si="43"/>
        <v>471.9</v>
      </c>
      <c r="EX23" s="125">
        <f t="shared" si="44"/>
        <v>539.20000000000005</v>
      </c>
      <c r="EY23" s="125">
        <f t="shared" si="45"/>
        <v>544.6</v>
      </c>
      <c r="EZ23" s="125">
        <f t="shared" si="46"/>
        <v>549.9</v>
      </c>
      <c r="FA23" s="125">
        <f t="shared" si="47"/>
        <v>578.94285022853296</v>
      </c>
      <c r="FB23" s="125">
        <f t="shared" si="48"/>
        <v>611.85507527758296</v>
      </c>
      <c r="FD23" s="20" t="s">
        <v>366</v>
      </c>
      <c r="FE23" s="268">
        <f t="shared" si="49"/>
        <v>141.6</v>
      </c>
      <c r="FF23" s="268">
        <v>153.44303017165555</v>
      </c>
      <c r="FG23" s="401">
        <f t="shared" si="50"/>
        <v>-11.843030171655556</v>
      </c>
      <c r="FH23" s="401">
        <f t="shared" si="51"/>
        <v>145.4</v>
      </c>
      <c r="FI23" s="249">
        <f t="shared" si="52"/>
        <v>-2.613480055020645E-2</v>
      </c>
      <c r="FJ23"/>
      <c r="FK23"/>
      <c r="FL23"/>
      <c r="FM23"/>
      <c r="FN23"/>
      <c r="FO23"/>
      <c r="FP23"/>
      <c r="FQ23"/>
      <c r="FR23"/>
    </row>
    <row r="24" spans="1:174" s="1" customFormat="1" x14ac:dyDescent="0.2">
      <c r="A24" s="1" t="s">
        <v>367</v>
      </c>
      <c r="B24" s="125">
        <v>12.535</v>
      </c>
      <c r="C24" s="111">
        <v>4.4640000000000004</v>
      </c>
      <c r="D24" s="111">
        <v>5.1520000000000001</v>
      </c>
      <c r="E24" s="111">
        <f>22.486-D24-C24-F24</f>
        <v>5.9179999999999993</v>
      </c>
      <c r="F24" s="111">
        <v>6.952</v>
      </c>
      <c r="G24" s="125">
        <f>SUM(C24:F24)</f>
        <v>22.485999999999997</v>
      </c>
      <c r="H24" s="111">
        <v>7.6</v>
      </c>
      <c r="I24" s="111">
        <v>8.6</v>
      </c>
      <c r="J24" s="111">
        <v>9.5</v>
      </c>
      <c r="K24" s="111">
        <v>10.3</v>
      </c>
      <c r="L24" s="125">
        <v>35.9</v>
      </c>
      <c r="M24" s="111">
        <v>11.576000000000001</v>
      </c>
      <c r="N24" s="111">
        <v>12.494</v>
      </c>
      <c r="O24" s="111">
        <v>13.829000000000001</v>
      </c>
      <c r="P24" s="111">
        <v>14.901999999999999</v>
      </c>
      <c r="Q24" s="125">
        <f>SUM(M24:P24)</f>
        <v>52.801000000000002</v>
      </c>
      <c r="R24" s="111">
        <v>16.050999999999998</v>
      </c>
      <c r="S24" s="111">
        <v>17.434999999999999</v>
      </c>
      <c r="T24" s="111">
        <v>18.928000000000001</v>
      </c>
      <c r="U24" s="111">
        <v>20.126999999999999</v>
      </c>
      <c r="V24" s="125">
        <f>SUM(R24:U24)</f>
        <v>72.540999999999997</v>
      </c>
      <c r="W24" s="111">
        <v>21.893000000000001</v>
      </c>
      <c r="X24" s="111">
        <v>23.74</v>
      </c>
      <c r="Y24" s="111">
        <v>25.213999999999999</v>
      </c>
      <c r="Z24" s="111">
        <v>26.9</v>
      </c>
      <c r="AA24" s="125">
        <f t="shared" si="53"/>
        <v>97.746999999999986</v>
      </c>
      <c r="AB24" s="111">
        <v>29.29</v>
      </c>
      <c r="AC24" s="111">
        <v>31.951000000000001</v>
      </c>
      <c r="AD24" s="111">
        <v>33.26</v>
      </c>
      <c r="AE24" s="111">
        <v>35.731000000000002</v>
      </c>
      <c r="AF24" s="125">
        <f>SUM(AB24:AE24)</f>
        <v>130.232</v>
      </c>
      <c r="AG24" s="111">
        <v>37.561999999999998</v>
      </c>
      <c r="AH24" s="111">
        <v>38.597000000000001</v>
      </c>
      <c r="AI24" s="111">
        <v>41.884</v>
      </c>
      <c r="AJ24" s="111">
        <v>45.457999999999998</v>
      </c>
      <c r="AK24" s="125">
        <v>163.501</v>
      </c>
      <c r="AL24" s="111">
        <v>50.301000000000002</v>
      </c>
      <c r="AM24" s="111">
        <v>49.972000000000001</v>
      </c>
      <c r="AN24" s="111">
        <v>50.872999999999998</v>
      </c>
      <c r="AO24" s="111">
        <v>54.411000000000001</v>
      </c>
      <c r="AP24" s="125">
        <v>205.55699999999999</v>
      </c>
      <c r="AQ24" s="111">
        <v>57.384999999999998</v>
      </c>
      <c r="AR24" s="111">
        <v>57.960999999999999</v>
      </c>
      <c r="AS24" s="111">
        <v>59.764000000000003</v>
      </c>
      <c r="AT24" s="111">
        <v>62.697000000000003</v>
      </c>
      <c r="AU24" s="125">
        <v>237.80699999999999</v>
      </c>
      <c r="AV24" s="111">
        <v>67.929000000000002</v>
      </c>
      <c r="AW24" s="111">
        <v>74.224999999999994</v>
      </c>
      <c r="AX24" s="111">
        <v>72.885999999999996</v>
      </c>
      <c r="AY24" s="111">
        <v>74.141999999999996</v>
      </c>
      <c r="AZ24" s="125">
        <f>SUM(AV24:AY24)</f>
        <v>289.18200000000002</v>
      </c>
      <c r="BA24" s="111">
        <v>78.558999999999997</v>
      </c>
      <c r="BB24" s="111">
        <v>87.772000000000006</v>
      </c>
      <c r="BC24" s="111">
        <v>85.363</v>
      </c>
      <c r="BD24" s="111">
        <v>88.474999999999994</v>
      </c>
      <c r="BE24" s="125">
        <f>SUM(BA24:BD24)</f>
        <v>340.16899999999998</v>
      </c>
      <c r="BF24" s="111">
        <v>91.287999999999997</v>
      </c>
      <c r="BG24" s="111">
        <v>94.507999999999996</v>
      </c>
      <c r="BH24" s="111">
        <v>98.539000000000001</v>
      </c>
      <c r="BI24" s="111">
        <v>102.876</v>
      </c>
      <c r="BJ24" s="125">
        <f>SUM(BF24:BI24)</f>
        <v>387.21100000000001</v>
      </c>
      <c r="BK24" s="111">
        <v>110.196</v>
      </c>
      <c r="BL24" s="111">
        <v>113.38500000000001</v>
      </c>
      <c r="BM24" s="111">
        <v>119.40900000000001</v>
      </c>
      <c r="BN24" s="111">
        <v>124.17</v>
      </c>
      <c r="BO24" s="125">
        <f>SUM(BK24:BN24)</f>
        <v>467.16</v>
      </c>
      <c r="BP24" s="111">
        <v>133.19999999999999</v>
      </c>
      <c r="BQ24" s="111">
        <v>138.1</v>
      </c>
      <c r="BR24" s="111">
        <v>139.80000000000001</v>
      </c>
      <c r="BS24" s="111">
        <v>138.19999999999999</v>
      </c>
      <c r="BT24" s="125">
        <f t="shared" si="24"/>
        <v>549.29999999999995</v>
      </c>
      <c r="BU24" s="111">
        <v>134.30000000000001</v>
      </c>
      <c r="BV24" s="111">
        <v>134.1</v>
      </c>
      <c r="BW24" s="111">
        <v>133.69999999999999</v>
      </c>
      <c r="BX24" s="111">
        <v>132.6</v>
      </c>
      <c r="BY24" s="125">
        <f t="shared" si="25"/>
        <v>534.69999999999993</v>
      </c>
      <c r="BZ24" s="111">
        <v>130.6</v>
      </c>
      <c r="CA24" s="111">
        <v>128.5</v>
      </c>
      <c r="CB24" s="111">
        <v>125.2</v>
      </c>
      <c r="CC24" s="111">
        <v>126.1</v>
      </c>
      <c r="CD24" s="125">
        <f t="shared" si="26"/>
        <v>510.4</v>
      </c>
      <c r="CE24" s="111">
        <v>127.8</v>
      </c>
      <c r="CF24" s="111">
        <v>129</v>
      </c>
      <c r="CG24" s="111">
        <v>129.5</v>
      </c>
      <c r="CH24" s="111">
        <v>137.1</v>
      </c>
      <c r="CI24" s="125">
        <f t="shared" si="27"/>
        <v>523.4</v>
      </c>
      <c r="CJ24" s="111">
        <v>134.80000000000001</v>
      </c>
      <c r="CK24" s="111">
        <v>137.1</v>
      </c>
      <c r="CL24" s="111">
        <v>136.69999999999999</v>
      </c>
      <c r="CM24" s="111">
        <v>141.69999999999999</v>
      </c>
      <c r="CN24" s="125">
        <f t="shared" si="28"/>
        <v>550.29999999999995</v>
      </c>
      <c r="CO24" s="111">
        <v>148.9</v>
      </c>
      <c r="CP24" s="111">
        <v>153.1</v>
      </c>
      <c r="CQ24" s="111">
        <v>153.30000000000001</v>
      </c>
      <c r="CR24" s="111">
        <v>166.1</v>
      </c>
      <c r="CS24" s="125">
        <f t="shared" si="29"/>
        <v>621.4</v>
      </c>
      <c r="CT24" s="111">
        <v>169.7</v>
      </c>
      <c r="CU24" s="111">
        <v>174.4</v>
      </c>
      <c r="CV24" s="111">
        <v>180.1</v>
      </c>
      <c r="CW24" s="659">
        <v>185.4</v>
      </c>
      <c r="CX24" s="125">
        <f t="shared" si="30"/>
        <v>709.6</v>
      </c>
      <c r="CY24" s="111">
        <v>206</v>
      </c>
      <c r="CZ24" s="111">
        <v>217.1</v>
      </c>
      <c r="DA24" s="111">
        <v>236.5</v>
      </c>
      <c r="DB24" s="111">
        <v>234.3</v>
      </c>
      <c r="DC24" s="125">
        <f t="shared" si="31"/>
        <v>893.90000000000009</v>
      </c>
      <c r="DD24" s="111">
        <v>235.5</v>
      </c>
      <c r="DE24" s="111">
        <v>247.8</v>
      </c>
      <c r="DF24" s="813">
        <v>247.6</v>
      </c>
      <c r="DG24" s="813">
        <v>249.9</v>
      </c>
      <c r="DH24" s="812">
        <f t="shared" si="32"/>
        <v>980.8</v>
      </c>
      <c r="DI24" s="813">
        <v>249.7</v>
      </c>
      <c r="DJ24" s="813">
        <v>253.6</v>
      </c>
      <c r="DK24" s="111">
        <v>252.6</v>
      </c>
      <c r="DL24" s="111">
        <v>255.4</v>
      </c>
      <c r="DM24" s="125">
        <f t="shared" si="33"/>
        <v>1011.3</v>
      </c>
      <c r="DN24" s="111">
        <v>258.8</v>
      </c>
      <c r="DO24" s="143">
        <v>286.77687217760763</v>
      </c>
      <c r="DP24" s="143">
        <v>285.37228406645772</v>
      </c>
      <c r="DQ24" s="143">
        <v>285.95236238611193</v>
      </c>
      <c r="DR24" s="125">
        <f t="shared" si="34"/>
        <v>1116.9015186301772</v>
      </c>
      <c r="DS24" s="143">
        <v>289.85016830071822</v>
      </c>
      <c r="DT24" s="143">
        <v>301.88127291653416</v>
      </c>
      <c r="DU24" s="143">
        <v>300.30161830408292</v>
      </c>
      <c r="DV24" s="143">
        <v>302.28178990936328</v>
      </c>
      <c r="DW24" s="125">
        <f t="shared" si="35"/>
        <v>1194.3148494306986</v>
      </c>
      <c r="DX24" s="143">
        <v>310.5849364049418</v>
      </c>
      <c r="DY24" s="143">
        <v>325.29514748757072</v>
      </c>
      <c r="DZ24" s="143">
        <v>323.51992922817993</v>
      </c>
      <c r="EA24" s="143">
        <v>325.71796754607783</v>
      </c>
      <c r="EB24" s="125">
        <f t="shared" si="36"/>
        <v>1285.1179806667701</v>
      </c>
      <c r="ED24" s="28"/>
      <c r="EE24" s="28"/>
      <c r="EG24" s="125">
        <f>S24+T24+U24+W24</f>
        <v>78.382999999999996</v>
      </c>
      <c r="EH24" s="125">
        <f>X24+Y24+Z24+AB24</f>
        <v>105.14399999999998</v>
      </c>
      <c r="EI24" s="125">
        <f>AC24+AD24+AE24+AG24</f>
        <v>138.50400000000002</v>
      </c>
      <c r="EJ24" s="125">
        <f>AH24+AI24+AJ24+AL24</f>
        <v>176.24</v>
      </c>
      <c r="EK24" s="125">
        <f>AM24+AN24+AO24+AQ24</f>
        <v>212.64099999999999</v>
      </c>
      <c r="EL24" s="125">
        <f>AR24+AS24+AT24+AV24</f>
        <v>248.351</v>
      </c>
      <c r="EM24" s="125">
        <f>AW24+AX24+AY24+BA24</f>
        <v>299.81200000000001</v>
      </c>
      <c r="EN24" s="125">
        <f t="shared" si="54"/>
        <v>352.89800000000002</v>
      </c>
      <c r="EO24" s="125">
        <f>SUM(BG24:BI24,BK24)</f>
        <v>406.11900000000003</v>
      </c>
      <c r="EP24" s="125">
        <f>SUM(BL24:BN24,BP24)</f>
        <v>490.16399999999999</v>
      </c>
      <c r="EQ24" s="125">
        <f t="shared" si="37"/>
        <v>550.4</v>
      </c>
      <c r="ER24" s="125">
        <f t="shared" si="38"/>
        <v>531</v>
      </c>
      <c r="ES24" s="125">
        <f t="shared" si="39"/>
        <v>507.59999999999997</v>
      </c>
      <c r="ET24" s="125">
        <f t="shared" si="40"/>
        <v>530.40000000000009</v>
      </c>
      <c r="EU24" s="125">
        <f t="shared" si="41"/>
        <v>564.4</v>
      </c>
      <c r="EV24" s="125">
        <f t="shared" si="42"/>
        <v>642.19999999999993</v>
      </c>
      <c r="EW24" s="125">
        <f t="shared" si="43"/>
        <v>745.9</v>
      </c>
      <c r="EX24" s="125">
        <f t="shared" si="44"/>
        <v>923.40000000000009</v>
      </c>
      <c r="EY24" s="125">
        <f t="shared" si="45"/>
        <v>995</v>
      </c>
      <c r="EZ24" s="125">
        <f t="shared" si="46"/>
        <v>1020.4000000000001</v>
      </c>
      <c r="FA24" s="125">
        <f t="shared" si="47"/>
        <v>1147.9516869308954</v>
      </c>
      <c r="FB24" s="125">
        <f t="shared" si="48"/>
        <v>1215.0496175349222</v>
      </c>
      <c r="FD24" s="20" t="s">
        <v>367</v>
      </c>
      <c r="FE24" s="268">
        <f t="shared" si="49"/>
        <v>258.8</v>
      </c>
      <c r="FF24" s="268">
        <v>264.28620669269941</v>
      </c>
      <c r="FG24" s="401">
        <f t="shared" si="50"/>
        <v>-5.4862066926993975</v>
      </c>
      <c r="FH24" s="401">
        <f t="shared" si="51"/>
        <v>249.7</v>
      </c>
      <c r="FI24" s="249">
        <f t="shared" si="52"/>
        <v>3.6443732478974811E-2</v>
      </c>
      <c r="FJ24"/>
      <c r="FK24"/>
      <c r="FL24"/>
      <c r="FM24"/>
      <c r="FN24"/>
      <c r="FO24"/>
      <c r="FP24"/>
      <c r="FQ24"/>
      <c r="FR24"/>
    </row>
    <row r="25" spans="1:174" s="1" customFormat="1" x14ac:dyDescent="0.2">
      <c r="A25" s="1" t="s">
        <v>368</v>
      </c>
      <c r="B25" s="303">
        <v>19.972999999999999</v>
      </c>
      <c r="C25" s="362">
        <v>5.7469999999999999</v>
      </c>
      <c r="D25" s="362">
        <v>6.4889999999999999</v>
      </c>
      <c r="E25" s="362">
        <v>6.407</v>
      </c>
      <c r="F25" s="362">
        <v>9.9990000000000006</v>
      </c>
      <c r="G25" s="303">
        <f>SUM(C25:F25)</f>
        <v>28.642000000000003</v>
      </c>
      <c r="H25" s="362">
        <v>6.6</v>
      </c>
      <c r="I25" s="362">
        <v>9.6999999999999993</v>
      </c>
      <c r="J25" s="362">
        <v>10</v>
      </c>
      <c r="K25" s="362">
        <v>10.9</v>
      </c>
      <c r="L25" s="303">
        <v>37.299999999999997</v>
      </c>
      <c r="M25" s="362">
        <v>12.92</v>
      </c>
      <c r="N25" s="362">
        <v>13.236000000000001</v>
      </c>
      <c r="O25" s="362">
        <v>14.186</v>
      </c>
      <c r="P25" s="362">
        <v>16.800999999999998</v>
      </c>
      <c r="Q25" s="303">
        <f>SUM(M25:P25)</f>
        <v>57.143000000000001</v>
      </c>
      <c r="R25" s="362">
        <v>17.783000000000001</v>
      </c>
      <c r="S25" s="362">
        <v>19.306999999999999</v>
      </c>
      <c r="T25" s="362">
        <v>20.588000000000001</v>
      </c>
      <c r="U25" s="362">
        <v>19.896999999999998</v>
      </c>
      <c r="V25" s="303">
        <f>SUM(R25:U25)</f>
        <v>77.575000000000003</v>
      </c>
      <c r="W25" s="111">
        <v>20.359000000000002</v>
      </c>
      <c r="X25" s="111">
        <v>22.370999999999999</v>
      </c>
      <c r="Y25" s="111">
        <v>24.678999999999998</v>
      </c>
      <c r="Z25" s="111">
        <v>22.276</v>
      </c>
      <c r="AA25" s="125">
        <f t="shared" si="53"/>
        <v>89.685000000000002</v>
      </c>
      <c r="AB25" s="111">
        <v>26.145</v>
      </c>
      <c r="AC25" s="111">
        <v>28.622</v>
      </c>
      <c r="AD25" s="111">
        <v>28.048999999999999</v>
      </c>
      <c r="AE25" s="111">
        <v>27.385000000000002</v>
      </c>
      <c r="AF25" s="125">
        <f>SUM(AB25:AE25)</f>
        <v>110.20100000000001</v>
      </c>
      <c r="AG25" s="111">
        <v>34.877000000000002</v>
      </c>
      <c r="AH25" s="111">
        <v>42.433</v>
      </c>
      <c r="AI25" s="111">
        <v>35.651000000000003</v>
      </c>
      <c r="AJ25" s="111">
        <v>38.454999999999998</v>
      </c>
      <c r="AK25" s="125">
        <v>179.852</v>
      </c>
      <c r="AL25" s="111">
        <v>41.128999999999998</v>
      </c>
      <c r="AM25" s="111">
        <f>67.314-18</f>
        <v>49.313999999999993</v>
      </c>
      <c r="AN25" s="111">
        <v>46.997</v>
      </c>
      <c r="AO25" s="111">
        <v>46.720999999999997</v>
      </c>
      <c r="AP25" s="125">
        <v>234.58099999999999</v>
      </c>
      <c r="AQ25" s="111">
        <v>60.942999999999998</v>
      </c>
      <c r="AR25" s="111">
        <v>59.552</v>
      </c>
      <c r="AS25" s="111">
        <v>49.325000000000003</v>
      </c>
      <c r="AT25" s="111">
        <v>57.070999999999998</v>
      </c>
      <c r="AU25" s="125">
        <v>244.55</v>
      </c>
      <c r="AV25" s="111">
        <v>70.417000000000002</v>
      </c>
      <c r="AW25" s="111">
        <v>79.981999999999999</v>
      </c>
      <c r="AX25" s="111">
        <v>73.356999999999999</v>
      </c>
      <c r="AY25" s="111">
        <v>80.537000000000006</v>
      </c>
      <c r="AZ25" s="125">
        <f>SUM(AV25:AY25)</f>
        <v>304.29300000000001</v>
      </c>
      <c r="BA25" s="111">
        <v>83.599000000000004</v>
      </c>
      <c r="BB25" s="111">
        <v>81.929000000000002</v>
      </c>
      <c r="BC25" s="111">
        <v>90.637</v>
      </c>
      <c r="BD25" s="111">
        <v>100.949</v>
      </c>
      <c r="BE25" s="125">
        <f>SUM(BA25:BD25)</f>
        <v>357.11400000000003</v>
      </c>
      <c r="BF25" s="111">
        <f>123.325</f>
        <v>123.325</v>
      </c>
      <c r="BG25" s="111">
        <v>119.611</v>
      </c>
      <c r="BH25" s="111">
        <v>115.258</v>
      </c>
      <c r="BI25" s="111">
        <v>114.82899999999999</v>
      </c>
      <c r="BJ25" s="125">
        <f>SUM(BF25:BI25)</f>
        <v>473.02300000000002</v>
      </c>
      <c r="BK25" s="111">
        <f>115.228</f>
        <v>115.22799999999999</v>
      </c>
      <c r="BL25" s="111">
        <v>126.104</v>
      </c>
      <c r="BM25" s="111">
        <v>119.52500000000001</v>
      </c>
      <c r="BN25" s="111">
        <v>123.312</v>
      </c>
      <c r="BO25" s="125">
        <f>SUM(BK25:BN25)</f>
        <v>484.16899999999998</v>
      </c>
      <c r="BP25" s="111">
        <v>125.9</v>
      </c>
      <c r="BQ25" s="111">
        <v>117.6</v>
      </c>
      <c r="BR25" s="111">
        <v>116.1</v>
      </c>
      <c r="BS25" s="111">
        <v>96.4</v>
      </c>
      <c r="BT25" s="125">
        <f t="shared" si="24"/>
        <v>456</v>
      </c>
      <c r="BU25" s="111">
        <v>105.2</v>
      </c>
      <c r="BV25" s="111">
        <v>104.3</v>
      </c>
      <c r="BW25" s="111">
        <v>110.3</v>
      </c>
      <c r="BX25" s="111">
        <v>133.19999999999999</v>
      </c>
      <c r="BY25" s="125">
        <f t="shared" si="25"/>
        <v>453</v>
      </c>
      <c r="BZ25" s="111">
        <v>136.9</v>
      </c>
      <c r="CA25" s="111">
        <v>139</v>
      </c>
      <c r="CB25" s="111">
        <v>132.69999999999999</v>
      </c>
      <c r="CC25" s="111">
        <v>160.9</v>
      </c>
      <c r="CD25" s="125">
        <f t="shared" si="26"/>
        <v>569.5</v>
      </c>
      <c r="CE25" s="111">
        <v>185.2</v>
      </c>
      <c r="CF25" s="111">
        <v>181.6</v>
      </c>
      <c r="CG25" s="111">
        <v>190.2</v>
      </c>
      <c r="CH25" s="111">
        <v>192.3</v>
      </c>
      <c r="CI25" s="125">
        <f t="shared" si="27"/>
        <v>749.3</v>
      </c>
      <c r="CJ25" s="111">
        <v>191.5</v>
      </c>
      <c r="CK25" s="111">
        <v>206.9</v>
      </c>
      <c r="CL25" s="111">
        <v>199</v>
      </c>
      <c r="CM25" s="111">
        <v>203.8</v>
      </c>
      <c r="CN25" s="125">
        <f t="shared" si="28"/>
        <v>801.2</v>
      </c>
      <c r="CO25" s="111">
        <v>231.9</v>
      </c>
      <c r="CP25" s="111">
        <v>230.3</v>
      </c>
      <c r="CQ25" s="111">
        <v>249.6</v>
      </c>
      <c r="CR25" s="111">
        <v>226.1</v>
      </c>
      <c r="CS25" s="125">
        <f t="shared" si="29"/>
        <v>937.90000000000009</v>
      </c>
      <c r="CT25" s="111">
        <v>242.6</v>
      </c>
      <c r="CU25" s="111">
        <v>240.6</v>
      </c>
      <c r="CV25" s="111">
        <v>269.39999999999998</v>
      </c>
      <c r="CW25" s="659">
        <v>238.6</v>
      </c>
      <c r="CX25" s="125">
        <f t="shared" si="30"/>
        <v>991.19999999999993</v>
      </c>
      <c r="CY25" s="111">
        <v>298.39999999999998</v>
      </c>
      <c r="CZ25" s="111">
        <v>305.89999999999998</v>
      </c>
      <c r="DA25" s="111">
        <v>288.5</v>
      </c>
      <c r="DB25" s="111">
        <v>303.89999999999998</v>
      </c>
      <c r="DC25" s="125">
        <f t="shared" si="31"/>
        <v>1196.6999999999998</v>
      </c>
      <c r="DD25" s="111">
        <v>305.5</v>
      </c>
      <c r="DE25" s="111">
        <v>330.5</v>
      </c>
      <c r="DF25" s="111">
        <v>323.39999999999998</v>
      </c>
      <c r="DG25" s="111">
        <v>401.2</v>
      </c>
      <c r="DH25" s="125">
        <f t="shared" si="32"/>
        <v>1360.6</v>
      </c>
      <c r="DI25" s="111">
        <v>356.4</v>
      </c>
      <c r="DJ25" s="111">
        <v>326.8</v>
      </c>
      <c r="DK25" s="111">
        <v>325</v>
      </c>
      <c r="DL25" s="111">
        <v>385.2</v>
      </c>
      <c r="DM25" s="125">
        <f t="shared" si="33"/>
        <v>1393.4</v>
      </c>
      <c r="DN25" s="111">
        <v>379.1</v>
      </c>
      <c r="DO25" s="143">
        <v>339.38956908101943</v>
      </c>
      <c r="DP25" s="143">
        <v>359.16032186527104</v>
      </c>
      <c r="DQ25" s="143">
        <v>360.94249893974506</v>
      </c>
      <c r="DR25" s="125">
        <f t="shared" si="34"/>
        <v>1438.5923898860356</v>
      </c>
      <c r="DS25" s="143">
        <v>429.27432340835935</v>
      </c>
      <c r="DT25" s="143">
        <v>380.66902321754117</v>
      </c>
      <c r="DU25" s="143">
        <v>403.33092644495457</v>
      </c>
      <c r="DV25" s="143">
        <v>404.83433200678064</v>
      </c>
      <c r="DW25" s="125">
        <f t="shared" si="35"/>
        <v>1618.1086050776357</v>
      </c>
      <c r="DX25" s="143">
        <v>477.9539416642998</v>
      </c>
      <c r="DY25" s="143">
        <v>424.11722469038551</v>
      </c>
      <c r="DZ25" s="143">
        <v>449.24172902278963</v>
      </c>
      <c r="EA25" s="143">
        <v>450.15661245065439</v>
      </c>
      <c r="EB25" s="125">
        <f t="shared" si="36"/>
        <v>1801.4695078281293</v>
      </c>
      <c r="ED25" s="28"/>
      <c r="EE25" s="28"/>
      <c r="EG25" s="125">
        <f>S25+T25+U25+W25</f>
        <v>80.150999999999996</v>
      </c>
      <c r="EH25" s="125">
        <f>X25+Y25+Z25+AB25</f>
        <v>95.470999999999989</v>
      </c>
      <c r="EI25" s="125">
        <f>AC25+AD25+AE25+AG25</f>
        <v>118.93299999999999</v>
      </c>
      <c r="EJ25" s="125">
        <f>AH25+AI25+AJ25+AL25</f>
        <v>157.66800000000001</v>
      </c>
      <c r="EK25" s="125">
        <f>AM25+AN25+AO25+AQ25</f>
        <v>203.97499999999997</v>
      </c>
      <c r="EL25" s="125">
        <f>AR25+AS25+AT25+AV25</f>
        <v>236.36500000000001</v>
      </c>
      <c r="EM25" s="125">
        <f>AW25+AX25+AY25+BA25</f>
        <v>317.47500000000002</v>
      </c>
      <c r="EN25" s="125">
        <f t="shared" si="54"/>
        <v>396.84</v>
      </c>
      <c r="EO25" s="125">
        <f>SUM(BG25:BI25,BK25)</f>
        <v>464.92599999999999</v>
      </c>
      <c r="EP25" s="125">
        <f>SUM(BL25:BN25,BP25)</f>
        <v>494.84100000000001</v>
      </c>
      <c r="EQ25" s="125">
        <f t="shared" si="37"/>
        <v>435.3</v>
      </c>
      <c r="ER25" s="125">
        <f t="shared" si="38"/>
        <v>484.69999999999993</v>
      </c>
      <c r="ES25" s="125">
        <f t="shared" si="39"/>
        <v>617.79999999999995</v>
      </c>
      <c r="ET25" s="125">
        <f t="shared" si="40"/>
        <v>755.59999999999991</v>
      </c>
      <c r="EU25" s="125">
        <f t="shared" si="41"/>
        <v>841.6</v>
      </c>
      <c r="EV25" s="125">
        <f t="shared" si="42"/>
        <v>948.59999999999991</v>
      </c>
      <c r="EW25" s="125">
        <f t="shared" si="43"/>
        <v>1047</v>
      </c>
      <c r="EX25" s="125">
        <f t="shared" si="44"/>
        <v>1203.8</v>
      </c>
      <c r="EY25" s="125">
        <f t="shared" si="45"/>
        <v>1411.5</v>
      </c>
      <c r="EZ25" s="125">
        <f t="shared" si="46"/>
        <v>1416.1</v>
      </c>
      <c r="FA25" s="125">
        <f t="shared" si="47"/>
        <v>1488.766713294395</v>
      </c>
      <c r="FB25" s="125">
        <f t="shared" si="48"/>
        <v>1666.7882233335763</v>
      </c>
      <c r="FD25" s="20" t="s">
        <v>368</v>
      </c>
      <c r="FE25" s="268">
        <f t="shared" si="49"/>
        <v>379.1</v>
      </c>
      <c r="FF25" s="268">
        <v>414.95759070823124</v>
      </c>
      <c r="FG25" s="401">
        <f t="shared" si="50"/>
        <v>-35.857590708231214</v>
      </c>
      <c r="FH25" s="401">
        <f t="shared" si="51"/>
        <v>356.4</v>
      </c>
      <c r="FI25" s="249">
        <f t="shared" si="52"/>
        <v>6.3692480359147208E-2</v>
      </c>
      <c r="FJ25"/>
      <c r="FK25"/>
      <c r="FL25"/>
      <c r="FM25"/>
      <c r="FN25"/>
      <c r="FO25"/>
      <c r="FP25"/>
      <c r="FQ25"/>
      <c r="FR25"/>
    </row>
    <row r="26" spans="1:174" s="1" customFormat="1" x14ac:dyDescent="0.2">
      <c r="A26" s="1" t="s">
        <v>466</v>
      </c>
      <c r="B26" s="125"/>
      <c r="C26" s="111"/>
      <c r="D26" s="111"/>
      <c r="E26" s="111"/>
      <c r="F26" s="111"/>
      <c r="G26" s="125"/>
      <c r="H26" s="111"/>
      <c r="I26" s="111"/>
      <c r="J26" s="111"/>
      <c r="K26" s="111"/>
      <c r="L26" s="125"/>
      <c r="M26" s="111"/>
      <c r="N26" s="111"/>
      <c r="O26" s="111"/>
      <c r="P26" s="111"/>
      <c r="Q26" s="125"/>
      <c r="R26" s="111"/>
      <c r="S26" s="111"/>
      <c r="T26" s="111"/>
      <c r="U26" s="111"/>
      <c r="V26" s="125"/>
      <c r="W26" s="111"/>
      <c r="X26" s="111"/>
      <c r="Y26" s="111"/>
      <c r="Z26" s="111"/>
      <c r="AA26" s="125"/>
      <c r="AB26" s="111"/>
      <c r="AC26" s="111"/>
      <c r="AD26" s="111"/>
      <c r="AE26" s="111"/>
      <c r="AF26" s="125"/>
      <c r="AG26" s="111"/>
      <c r="AH26" s="111"/>
      <c r="AI26" s="111"/>
      <c r="AJ26" s="111"/>
      <c r="AK26" s="125"/>
      <c r="AL26" s="111"/>
      <c r="AM26" s="111"/>
      <c r="AN26" s="111"/>
      <c r="AO26" s="111"/>
      <c r="AP26" s="125"/>
      <c r="AQ26" s="111"/>
      <c r="AR26" s="111"/>
      <c r="AS26" s="111"/>
      <c r="AT26" s="111"/>
      <c r="AU26" s="125"/>
      <c r="AV26" s="111"/>
      <c r="AW26" s="111"/>
      <c r="AX26" s="111"/>
      <c r="AY26" s="111"/>
      <c r="AZ26" s="125"/>
      <c r="BA26" s="111"/>
      <c r="BB26" s="111"/>
      <c r="BC26" s="111"/>
      <c r="BD26" s="111"/>
      <c r="BE26" s="125"/>
      <c r="BF26" s="111"/>
      <c r="BG26" s="111"/>
      <c r="BH26" s="111"/>
      <c r="BI26" s="111"/>
      <c r="BJ26" s="125"/>
      <c r="BK26" s="111"/>
      <c r="BL26" s="111"/>
      <c r="BM26" s="111"/>
      <c r="BN26" s="111"/>
      <c r="BO26" s="125"/>
      <c r="BP26" s="111"/>
      <c r="BQ26" s="111"/>
      <c r="BR26" s="111">
        <v>167.7</v>
      </c>
      <c r="BS26" s="111">
        <v>99.2</v>
      </c>
      <c r="BT26" s="125">
        <f t="shared" si="24"/>
        <v>266.89999999999998</v>
      </c>
      <c r="BU26" s="111">
        <v>75.5</v>
      </c>
      <c r="BV26" s="111">
        <v>152.1</v>
      </c>
      <c r="BW26" s="111">
        <v>51.6</v>
      </c>
      <c r="BX26" s="111">
        <v>53.2</v>
      </c>
      <c r="BY26" s="125">
        <f t="shared" si="25"/>
        <v>332.4</v>
      </c>
      <c r="BZ26" s="111">
        <v>18.3</v>
      </c>
      <c r="CA26" s="111">
        <v>7.9</v>
      </c>
      <c r="CB26" s="111">
        <v>20.399999999999999</v>
      </c>
      <c r="CC26" s="111">
        <v>6.4</v>
      </c>
      <c r="CD26" s="125">
        <f t="shared" si="26"/>
        <v>53</v>
      </c>
      <c r="CE26" s="111">
        <v>0</v>
      </c>
      <c r="CF26" s="111">
        <v>0</v>
      </c>
      <c r="CG26" s="111">
        <v>0</v>
      </c>
      <c r="CH26" s="111">
        <v>-30.2</v>
      </c>
      <c r="CI26" s="125">
        <f t="shared" si="27"/>
        <v>-30.2</v>
      </c>
      <c r="CJ26" s="111">
        <v>0</v>
      </c>
      <c r="CK26" s="111">
        <v>0</v>
      </c>
      <c r="CL26" s="111">
        <v>0</v>
      </c>
      <c r="CM26" s="111">
        <v>0</v>
      </c>
      <c r="CN26" s="125">
        <f t="shared" si="28"/>
        <v>0</v>
      </c>
      <c r="CO26" s="111">
        <v>0</v>
      </c>
      <c r="CP26" s="111">
        <v>0</v>
      </c>
      <c r="CQ26" s="111">
        <v>0</v>
      </c>
      <c r="CR26" s="111">
        <v>2784.1</v>
      </c>
      <c r="CS26" s="125">
        <f t="shared" si="29"/>
        <v>2784.1</v>
      </c>
      <c r="CT26" s="111">
        <v>-20.2</v>
      </c>
      <c r="CU26" s="111">
        <v>0</v>
      </c>
      <c r="CV26" s="111">
        <v>0</v>
      </c>
      <c r="CW26" s="659">
        <v>0</v>
      </c>
      <c r="CX26" s="125">
        <f t="shared" si="30"/>
        <v>-20.2</v>
      </c>
      <c r="CY26" s="111">
        <v>0</v>
      </c>
      <c r="CZ26" s="111">
        <v>0</v>
      </c>
      <c r="DA26" s="111">
        <v>0</v>
      </c>
      <c r="DB26" s="111">
        <v>0</v>
      </c>
      <c r="DC26" s="125">
        <f t="shared" si="31"/>
        <v>0</v>
      </c>
      <c r="DD26" s="111">
        <v>0</v>
      </c>
      <c r="DE26" s="111">
        <v>0</v>
      </c>
      <c r="DF26" s="111">
        <v>0</v>
      </c>
      <c r="DG26" s="111">
        <v>0</v>
      </c>
      <c r="DH26" s="125">
        <f t="shared" si="32"/>
        <v>0</v>
      </c>
      <c r="DI26" s="111">
        <v>0</v>
      </c>
      <c r="DJ26" s="111">
        <v>0</v>
      </c>
      <c r="DK26" s="111">
        <v>120.2</v>
      </c>
      <c r="DL26" s="111">
        <v>33.299999999999997</v>
      </c>
      <c r="DM26" s="125">
        <f t="shared" si="33"/>
        <v>153.5</v>
      </c>
      <c r="DN26" s="111">
        <v>27.6</v>
      </c>
      <c r="DO26" s="143">
        <v>0</v>
      </c>
      <c r="DP26" s="143">
        <v>0</v>
      </c>
      <c r="DQ26" s="143">
        <v>0</v>
      </c>
      <c r="DR26" s="125">
        <f t="shared" si="34"/>
        <v>27.6</v>
      </c>
      <c r="DS26" s="111">
        <v>0</v>
      </c>
      <c r="DT26" s="143">
        <v>0</v>
      </c>
      <c r="DU26" s="143">
        <v>0</v>
      </c>
      <c r="DV26" s="143">
        <v>0</v>
      </c>
      <c r="DW26" s="125">
        <f t="shared" si="35"/>
        <v>0</v>
      </c>
      <c r="DX26" s="111">
        <v>0</v>
      </c>
      <c r="DY26" s="143">
        <v>0</v>
      </c>
      <c r="DZ26" s="143">
        <v>0</v>
      </c>
      <c r="EA26" s="143">
        <v>0</v>
      </c>
      <c r="EB26" s="125">
        <f t="shared" si="36"/>
        <v>0</v>
      </c>
      <c r="ED26" s="28"/>
      <c r="EE26" s="28"/>
      <c r="EG26" s="125"/>
      <c r="EH26" s="125"/>
      <c r="EI26" s="125"/>
      <c r="EJ26" s="125"/>
      <c r="EK26" s="125"/>
      <c r="EL26" s="125"/>
      <c r="EM26" s="125"/>
      <c r="EN26" s="125"/>
      <c r="EO26" s="125"/>
      <c r="EP26" s="125"/>
      <c r="EQ26" s="125">
        <f t="shared" si="37"/>
        <v>342.4</v>
      </c>
      <c r="ER26" s="125">
        <f t="shared" si="38"/>
        <v>275.2</v>
      </c>
      <c r="ES26" s="125">
        <f t="shared" si="39"/>
        <v>34.699999999999996</v>
      </c>
      <c r="ET26" s="125">
        <f t="shared" si="40"/>
        <v>-30.2</v>
      </c>
      <c r="EU26" s="125">
        <f t="shared" si="41"/>
        <v>0</v>
      </c>
      <c r="EV26" s="125">
        <f t="shared" si="42"/>
        <v>2763.9</v>
      </c>
      <c r="EW26" s="125">
        <f t="shared" si="43"/>
        <v>0</v>
      </c>
      <c r="EX26" s="125">
        <f t="shared" si="44"/>
        <v>0</v>
      </c>
      <c r="EY26" s="125">
        <f t="shared" si="45"/>
        <v>0</v>
      </c>
      <c r="EZ26" s="125">
        <f t="shared" si="46"/>
        <v>181.1</v>
      </c>
      <c r="FA26" s="125">
        <f t="shared" si="47"/>
        <v>0</v>
      </c>
      <c r="FB26" s="125">
        <f t="shared" si="48"/>
        <v>0</v>
      </c>
      <c r="FD26" s="20" t="s">
        <v>14</v>
      </c>
      <c r="FE26" s="268">
        <f t="shared" si="49"/>
        <v>27.6</v>
      </c>
      <c r="FF26" s="268">
        <v>0</v>
      </c>
      <c r="FG26" s="401">
        <f t="shared" si="50"/>
        <v>27.6</v>
      </c>
      <c r="FH26" s="401">
        <f t="shared" si="51"/>
        <v>0</v>
      </c>
      <c r="FI26" s="249"/>
      <c r="FJ26"/>
      <c r="FK26"/>
      <c r="FL26"/>
      <c r="FM26"/>
      <c r="FN26"/>
      <c r="FO26"/>
      <c r="FP26"/>
      <c r="FQ26"/>
      <c r="FR26"/>
    </row>
    <row r="27" spans="1:174" s="1" customFormat="1" x14ac:dyDescent="0.2">
      <c r="A27" s="22" t="s">
        <v>369</v>
      </c>
      <c r="B27" s="125"/>
      <c r="C27" s="111"/>
      <c r="D27" s="111"/>
      <c r="E27" s="111"/>
      <c r="F27" s="111"/>
      <c r="G27" s="125"/>
      <c r="H27" s="111"/>
      <c r="I27" s="111"/>
      <c r="J27" s="111"/>
      <c r="K27" s="111"/>
      <c r="L27" s="125"/>
      <c r="M27" s="111"/>
      <c r="N27" s="111"/>
      <c r="O27" s="111"/>
      <c r="P27" s="111"/>
      <c r="Q27" s="125"/>
      <c r="R27" s="111"/>
      <c r="S27" s="111"/>
      <c r="T27" s="111"/>
      <c r="U27" s="111"/>
      <c r="V27" s="125"/>
      <c r="W27" s="362">
        <v>-0.28000000000000003</v>
      </c>
      <c r="X27" s="362">
        <v>-5.5E-2</v>
      </c>
      <c r="Y27" s="362">
        <v>0.36</v>
      </c>
      <c r="Z27" s="362">
        <v>3.1659999999999999</v>
      </c>
      <c r="AA27" s="303">
        <f t="shared" si="53"/>
        <v>3.1909999999999998</v>
      </c>
      <c r="AB27" s="362">
        <v>3.395</v>
      </c>
      <c r="AC27" s="362">
        <v>3.8210000000000002</v>
      </c>
      <c r="AD27" s="362">
        <v>4.3390000000000004</v>
      </c>
      <c r="AE27" s="362">
        <v>8.7449999999999992</v>
      </c>
      <c r="AF27" s="303">
        <f>SUM(AB27:AE27)</f>
        <v>20.299999999999997</v>
      </c>
      <c r="AG27" s="362">
        <v>4.8049999999999997</v>
      </c>
      <c r="AH27" s="362">
        <v>6.1669999999999998</v>
      </c>
      <c r="AI27" s="362">
        <v>6.7320000000000002</v>
      </c>
      <c r="AJ27" s="362">
        <v>10.911</v>
      </c>
      <c r="AK27" s="303">
        <v>27.74</v>
      </c>
      <c r="AL27" s="362">
        <f>6.585-0.635</f>
        <v>5.95</v>
      </c>
      <c r="AM27" s="362">
        <f>7.459-0.354</f>
        <v>7.1049999999999995</v>
      </c>
      <c r="AN27" s="362">
        <f>8.536-0.506</f>
        <v>8.0299999999999994</v>
      </c>
      <c r="AO27" s="362">
        <f>13.252-0.779</f>
        <v>12.473000000000001</v>
      </c>
      <c r="AP27" s="303">
        <v>33.445</v>
      </c>
      <c r="AQ27" s="362">
        <v>6.601</v>
      </c>
      <c r="AR27" s="362">
        <v>6.5730000000000004</v>
      </c>
      <c r="AS27" s="362">
        <f>7.917-0.0959</f>
        <v>7.8210999999999995</v>
      </c>
      <c r="AT27" s="362">
        <v>17.401</v>
      </c>
      <c r="AU27" s="303">
        <v>38.396000000000001</v>
      </c>
      <c r="AV27" s="362">
        <v>10.044</v>
      </c>
      <c r="AW27" s="362">
        <v>11.944000000000001</v>
      </c>
      <c r="AX27" s="362">
        <v>13.163</v>
      </c>
      <c r="AY27" s="362">
        <v>24.15</v>
      </c>
      <c r="AZ27" s="303">
        <v>59.070999999999998</v>
      </c>
      <c r="BA27" s="362">
        <v>12.847</v>
      </c>
      <c r="BB27" s="362">
        <v>16.294</v>
      </c>
      <c r="BC27" s="362">
        <v>18.074000000000002</v>
      </c>
      <c r="BD27" s="111">
        <v>29.469000000000001</v>
      </c>
      <c r="BE27" s="303">
        <v>76.745000000000005</v>
      </c>
      <c r="BF27" s="362">
        <v>19.754000000000001</v>
      </c>
      <c r="BG27" s="362">
        <v>19.984999999999999</v>
      </c>
      <c r="BH27" s="362">
        <v>25.666</v>
      </c>
      <c r="BI27" s="362">
        <v>28.565999999999999</v>
      </c>
      <c r="BJ27" s="303">
        <f>SUM(BF27:BI27)</f>
        <v>93.971000000000004</v>
      </c>
      <c r="BK27" s="362">
        <v>18.753</v>
      </c>
      <c r="BL27" s="362">
        <v>26.260999999999999</v>
      </c>
      <c r="BM27" s="362">
        <v>24.503</v>
      </c>
      <c r="BN27" s="362">
        <v>38.488999999999997</v>
      </c>
      <c r="BO27" s="303">
        <f>SUM(BK27:BN27)</f>
        <v>108.006</v>
      </c>
      <c r="BP27" s="362">
        <v>23.6</v>
      </c>
      <c r="BQ27" s="362">
        <v>24.5</v>
      </c>
      <c r="BR27" s="362">
        <v>29</v>
      </c>
      <c r="BS27" s="362">
        <v>36.5</v>
      </c>
      <c r="BT27" s="303">
        <f t="shared" si="24"/>
        <v>113.6</v>
      </c>
      <c r="BU27" s="362">
        <v>23.5</v>
      </c>
      <c r="BV27" s="362">
        <v>25.2</v>
      </c>
      <c r="BW27" s="362">
        <v>29.7</v>
      </c>
      <c r="BX27" s="362">
        <v>43.5</v>
      </c>
      <c r="BY27" s="303">
        <f t="shared" si="25"/>
        <v>121.9</v>
      </c>
      <c r="BZ27" s="362">
        <v>29.4</v>
      </c>
      <c r="CA27" s="362">
        <v>34.4</v>
      </c>
      <c r="CB27" s="362">
        <v>36.299999999999997</v>
      </c>
      <c r="CC27" s="362">
        <v>48</v>
      </c>
      <c r="CD27" s="303">
        <f t="shared" si="26"/>
        <v>148.1</v>
      </c>
      <c r="CE27" s="398">
        <v>34.5</v>
      </c>
      <c r="CF27" s="398">
        <v>38.299999999999997</v>
      </c>
      <c r="CG27" s="398">
        <v>44.3</v>
      </c>
      <c r="CH27" s="398">
        <v>56.7</v>
      </c>
      <c r="CI27" s="303">
        <f t="shared" si="27"/>
        <v>173.8</v>
      </c>
      <c r="CJ27" s="362">
        <v>44.9</v>
      </c>
      <c r="CK27" s="362">
        <v>52.2</v>
      </c>
      <c r="CL27" s="362">
        <v>51.7</v>
      </c>
      <c r="CM27" s="362">
        <v>61.9</v>
      </c>
      <c r="CN27" s="303">
        <f t="shared" si="28"/>
        <v>210.70000000000002</v>
      </c>
      <c r="CO27" s="362">
        <v>54.5</v>
      </c>
      <c r="CP27" s="362">
        <v>52.5</v>
      </c>
      <c r="CQ27" s="362">
        <v>63.4</v>
      </c>
      <c r="CR27" s="362">
        <v>81</v>
      </c>
      <c r="CS27" s="303">
        <f t="shared" si="29"/>
        <v>251.4</v>
      </c>
      <c r="CT27" s="362">
        <v>51.1</v>
      </c>
      <c r="CU27" s="362">
        <v>59.9</v>
      </c>
      <c r="CV27" s="362">
        <v>72.900000000000006</v>
      </c>
      <c r="CW27" s="660">
        <v>84.4</v>
      </c>
      <c r="CX27" s="303">
        <f t="shared" si="30"/>
        <v>268.3</v>
      </c>
      <c r="CY27" s="362">
        <v>52.8</v>
      </c>
      <c r="CZ27" s="362">
        <v>54.9</v>
      </c>
      <c r="DA27" s="362">
        <v>60.3</v>
      </c>
      <c r="DB27" s="362">
        <v>81.900000000000006</v>
      </c>
      <c r="DC27" s="303">
        <f t="shared" si="31"/>
        <v>249.9</v>
      </c>
      <c r="DD27" s="362">
        <v>64.099999999999994</v>
      </c>
      <c r="DE27" s="362">
        <v>65.599999999999994</v>
      </c>
      <c r="DF27" s="362">
        <v>82.5</v>
      </c>
      <c r="DG27" s="362">
        <v>106</v>
      </c>
      <c r="DH27" s="303">
        <f t="shared" si="32"/>
        <v>318.2</v>
      </c>
      <c r="DI27" s="362">
        <v>84.4</v>
      </c>
      <c r="DJ27" s="362">
        <v>84.1</v>
      </c>
      <c r="DK27" s="362">
        <v>101</v>
      </c>
      <c r="DL27" s="362">
        <v>121.9</v>
      </c>
      <c r="DM27" s="303">
        <f t="shared" si="33"/>
        <v>391.4</v>
      </c>
      <c r="DN27" s="362">
        <v>89.4</v>
      </c>
      <c r="DO27" s="363">
        <v>79.423456081764698</v>
      </c>
      <c r="DP27" s="363">
        <v>92.3565420066966</v>
      </c>
      <c r="DQ27" s="363">
        <v>112.53091133822792</v>
      </c>
      <c r="DR27" s="303">
        <f t="shared" si="34"/>
        <v>373.71090942668923</v>
      </c>
      <c r="DS27" s="363">
        <v>85.130544629152013</v>
      </c>
      <c r="DT27" s="363">
        <v>85.546604575615646</v>
      </c>
      <c r="DU27" s="363">
        <v>101.915858179609</v>
      </c>
      <c r="DV27" s="363">
        <v>120.34191610321555</v>
      </c>
      <c r="DW27" s="303">
        <f t="shared" si="35"/>
        <v>392.93492348759224</v>
      </c>
      <c r="DX27" s="363">
        <v>93.404502141527274</v>
      </c>
      <c r="DY27" s="363">
        <v>93.35559826840813</v>
      </c>
      <c r="DZ27" s="363">
        <v>111.3582803177015</v>
      </c>
      <c r="EA27" s="363">
        <v>131.68323335603822</v>
      </c>
      <c r="EB27" s="303">
        <f t="shared" si="36"/>
        <v>429.80161408367513</v>
      </c>
      <c r="ED27" s="28"/>
      <c r="EE27" s="28"/>
      <c r="EG27" s="125"/>
      <c r="EH27" s="125"/>
      <c r="EI27" s="125"/>
      <c r="EJ27" s="125"/>
      <c r="EK27" s="303">
        <f>AM27+AN27+AO27+AQ27</f>
        <v>34.208999999999996</v>
      </c>
      <c r="EL27" s="303">
        <f>AR27+AS27+AT27+AV27</f>
        <v>41.839100000000002</v>
      </c>
      <c r="EM27" s="303">
        <f>AW27+AX27+AY27+BA27</f>
        <v>62.103999999999999</v>
      </c>
      <c r="EN27" s="303">
        <f t="shared" si="54"/>
        <v>83.591000000000008</v>
      </c>
      <c r="EO27" s="303">
        <f>SUM(BG27:BI27,BK27)</f>
        <v>92.97</v>
      </c>
      <c r="EP27" s="303">
        <f>SUM(BL27:BN27,BP27)</f>
        <v>112.85299999999998</v>
      </c>
      <c r="EQ27" s="303">
        <f t="shared" si="37"/>
        <v>113.5</v>
      </c>
      <c r="ER27" s="303">
        <f t="shared" si="38"/>
        <v>127.80000000000001</v>
      </c>
      <c r="ES27" s="303">
        <f t="shared" si="39"/>
        <v>153.19999999999999</v>
      </c>
      <c r="ET27" s="303">
        <f t="shared" si="40"/>
        <v>184.20000000000002</v>
      </c>
      <c r="EU27" s="303">
        <f t="shared" si="41"/>
        <v>220.3</v>
      </c>
      <c r="EV27" s="303">
        <f t="shared" si="42"/>
        <v>248</v>
      </c>
      <c r="EW27" s="303">
        <f t="shared" si="43"/>
        <v>270</v>
      </c>
      <c r="EX27" s="303">
        <f t="shared" si="44"/>
        <v>261.2</v>
      </c>
      <c r="EY27" s="303">
        <f t="shared" si="45"/>
        <v>338.5</v>
      </c>
      <c r="EZ27" s="303">
        <f t="shared" si="46"/>
        <v>396.4</v>
      </c>
      <c r="FA27" s="303">
        <f t="shared" si="47"/>
        <v>369.44145405584129</v>
      </c>
      <c r="FB27" s="303">
        <f t="shared" si="48"/>
        <v>401.2088809999675</v>
      </c>
      <c r="FD27" s="20" t="s">
        <v>369</v>
      </c>
      <c r="FE27" s="547">
        <f t="shared" si="49"/>
        <v>89.4</v>
      </c>
      <c r="FF27" s="547">
        <v>102.51204647862539</v>
      </c>
      <c r="FG27" s="458">
        <f t="shared" si="50"/>
        <v>-13.112046478625388</v>
      </c>
      <c r="FH27" s="458">
        <f t="shared" si="51"/>
        <v>84.4</v>
      </c>
      <c r="FI27" s="249">
        <f t="shared" si="52"/>
        <v>5.9241706161137442E-2</v>
      </c>
      <c r="FJ27"/>
      <c r="FK27"/>
      <c r="FL27"/>
      <c r="FM27"/>
      <c r="FN27"/>
      <c r="FO27"/>
      <c r="FP27"/>
      <c r="FQ27"/>
      <c r="FR27"/>
    </row>
    <row r="28" spans="1:174" s="1" customFormat="1" ht="5.25" customHeight="1" x14ac:dyDescent="0.2">
      <c r="B28" s="20"/>
      <c r="G28" s="20"/>
      <c r="L28" s="20"/>
      <c r="Q28" s="20"/>
      <c r="V28" s="20"/>
      <c r="AA28" s="20"/>
      <c r="AF28" s="20"/>
      <c r="AK28" s="20"/>
      <c r="AP28" s="20"/>
      <c r="AU28" s="20"/>
      <c r="AZ28" s="20"/>
      <c r="BE28" s="20"/>
      <c r="BJ28" s="20"/>
      <c r="BO28" s="20"/>
      <c r="BT28" s="20"/>
      <c r="BY28" s="20"/>
      <c r="CD28" s="20"/>
      <c r="CI28" s="20"/>
      <c r="CN28" s="20"/>
      <c r="CQ28" s="64"/>
      <c r="CR28" s="64"/>
      <c r="CS28" s="71"/>
      <c r="CT28" s="64"/>
      <c r="CU28" s="64"/>
      <c r="CV28" s="64"/>
      <c r="CW28" s="661"/>
      <c r="CX28" s="71"/>
      <c r="CY28" s="64"/>
      <c r="CZ28" s="64"/>
      <c r="DA28" s="64"/>
      <c r="DB28" s="64"/>
      <c r="DC28" s="71"/>
      <c r="DD28" s="64"/>
      <c r="DE28" s="64"/>
      <c r="DF28" s="64"/>
      <c r="DG28" s="64"/>
      <c r="DH28" s="71"/>
      <c r="DI28" s="64"/>
      <c r="DJ28" s="64"/>
      <c r="DK28" s="64"/>
      <c r="DL28" s="64"/>
      <c r="DM28" s="71"/>
      <c r="DN28" s="64"/>
      <c r="DO28" s="64"/>
      <c r="DP28" s="64"/>
      <c r="DQ28" s="64"/>
      <c r="DR28" s="71"/>
      <c r="DS28" s="64"/>
      <c r="DT28" s="64"/>
      <c r="DU28" s="64"/>
      <c r="DV28" s="64"/>
      <c r="DW28" s="71"/>
      <c r="DX28" s="64"/>
      <c r="DY28" s="64"/>
      <c r="DZ28" s="64"/>
      <c r="EA28" s="64"/>
      <c r="EB28" s="71"/>
      <c r="ED28" s="28"/>
      <c r="EE28" s="28"/>
      <c r="EG28" s="125"/>
      <c r="EH28" s="125"/>
      <c r="EI28" s="125"/>
      <c r="EJ28" s="125"/>
      <c r="EK28" s="125"/>
      <c r="EL28" s="125"/>
      <c r="EM28" s="125"/>
      <c r="EN28" s="125"/>
      <c r="EO28" s="125"/>
      <c r="EP28" s="125"/>
      <c r="EQ28" s="125"/>
      <c r="ER28" s="125"/>
      <c r="ES28" s="125"/>
      <c r="ET28" s="125"/>
      <c r="EU28" s="125"/>
      <c r="EV28" s="125"/>
      <c r="EW28" s="125"/>
      <c r="EX28" s="125"/>
      <c r="EY28" s="125"/>
      <c r="EZ28" s="125"/>
      <c r="FA28" s="125"/>
      <c r="FB28" s="125"/>
      <c r="FD28" s="20"/>
      <c r="FE28" s="28"/>
      <c r="FF28" s="28"/>
      <c r="FG28" s="28"/>
      <c r="FH28" s="28"/>
      <c r="FI28" s="29"/>
      <c r="FJ28"/>
      <c r="FK28"/>
      <c r="FL28"/>
      <c r="FM28"/>
      <c r="FN28"/>
      <c r="FO28"/>
      <c r="FP28"/>
      <c r="FQ28"/>
      <c r="FR28"/>
    </row>
    <row r="29" spans="1:174" s="1" customFormat="1" x14ac:dyDescent="0.2">
      <c r="A29" s="16" t="s">
        <v>174</v>
      </c>
      <c r="B29" s="151">
        <v>23.300999999999998</v>
      </c>
      <c r="C29" s="119">
        <f t="shared" ref="C29:M29" si="55">C17-C21-C22-C23-C24-C25-C27</f>
        <v>14.163999999999994</v>
      </c>
      <c r="D29" s="119">
        <f t="shared" si="55"/>
        <v>7.0759999999999978</v>
      </c>
      <c r="E29" s="119">
        <f t="shared" si="55"/>
        <v>10.306999999999992</v>
      </c>
      <c r="F29" s="119">
        <f t="shared" si="55"/>
        <v>8.5679999999999925</v>
      </c>
      <c r="G29" s="151">
        <f t="shared" si="55"/>
        <v>40.115000000000002</v>
      </c>
      <c r="H29" s="119">
        <f t="shared" si="55"/>
        <v>15.77400000000001</v>
      </c>
      <c r="I29" s="119">
        <f t="shared" si="55"/>
        <v>7.5709999999999802</v>
      </c>
      <c r="J29" s="119">
        <f t="shared" si="55"/>
        <v>14.585999999999991</v>
      </c>
      <c r="K29" s="119">
        <f t="shared" si="55"/>
        <v>19.003999999999991</v>
      </c>
      <c r="L29" s="151">
        <f t="shared" si="55"/>
        <v>56.976999999999961</v>
      </c>
      <c r="M29" s="119">
        <f t="shared" si="55"/>
        <v>20.761999999999993</v>
      </c>
      <c r="N29" s="119">
        <f t="shared" ref="N29:V29" si="56">N17-N21-N22-N23-N24-N25-N27</f>
        <v>13.581999999999983</v>
      </c>
      <c r="O29" s="119">
        <f t="shared" si="56"/>
        <v>22.567999999999977</v>
      </c>
      <c r="P29" s="119">
        <f t="shared" si="56"/>
        <v>29.289000000000055</v>
      </c>
      <c r="Q29" s="151">
        <f t="shared" si="56"/>
        <v>86.163999999999788</v>
      </c>
      <c r="R29" s="119">
        <f t="shared" si="56"/>
        <v>33.480999999999966</v>
      </c>
      <c r="S29" s="119">
        <f t="shared" si="56"/>
        <v>21.339999999999993</v>
      </c>
      <c r="T29" s="119">
        <f t="shared" si="56"/>
        <v>32.510000000000041</v>
      </c>
      <c r="U29" s="119">
        <f t="shared" si="56"/>
        <v>37.446000000000048</v>
      </c>
      <c r="V29" s="151">
        <f t="shared" si="56"/>
        <v>124.77700000000009</v>
      </c>
      <c r="W29" s="119">
        <f>W17-W21-W22-W23-W24-W25+W27</f>
        <v>41.177000000000014</v>
      </c>
      <c r="X29" s="119">
        <f t="shared" ref="X29:AF29" si="57">X17-X21-X22-X23-X24-X25+X27</f>
        <v>26.767000000000014</v>
      </c>
      <c r="Y29" s="119">
        <f t="shared" si="57"/>
        <v>38.214000000000013</v>
      </c>
      <c r="Z29" s="119">
        <f t="shared" si="57"/>
        <v>50.578999999999965</v>
      </c>
      <c r="AA29" s="151">
        <f t="shared" si="57"/>
        <v>156.7369999999998</v>
      </c>
      <c r="AB29" s="119">
        <f t="shared" si="57"/>
        <v>54.633000000000017</v>
      </c>
      <c r="AC29" s="119">
        <f t="shared" si="57"/>
        <v>35.216999999999992</v>
      </c>
      <c r="AD29" s="119">
        <f t="shared" si="57"/>
        <v>54.260000000000026</v>
      </c>
      <c r="AE29" s="119">
        <f t="shared" si="57"/>
        <v>68.105999999999952</v>
      </c>
      <c r="AF29" s="151">
        <f t="shared" si="57"/>
        <v>212.21600000000018</v>
      </c>
      <c r="AG29" s="119">
        <f>AG17-AG21-AG22-AG23-AG24-AG25+AG27</f>
        <v>76.057000000000045</v>
      </c>
      <c r="AH29" s="119">
        <f t="shared" ref="AH29:AO29" si="58">AH17-AH21-AH22-AH23-AH24-AH25+AH27</f>
        <v>50.854000000000006</v>
      </c>
      <c r="AI29" s="119">
        <f t="shared" si="58"/>
        <v>71.306999999999988</v>
      </c>
      <c r="AJ29" s="119">
        <f t="shared" si="58"/>
        <v>82.876000000000076</v>
      </c>
      <c r="AK29" s="151">
        <f t="shared" si="58"/>
        <v>280.21900000000034</v>
      </c>
      <c r="AL29" s="119">
        <f t="shared" si="58"/>
        <v>92.011000000000038</v>
      </c>
      <c r="AM29" s="119">
        <f t="shared" si="58"/>
        <v>66.42599999999986</v>
      </c>
      <c r="AN29" s="119">
        <f t="shared" si="58"/>
        <v>87.202999999999903</v>
      </c>
      <c r="AO29" s="119">
        <f t="shared" si="58"/>
        <v>88.810999999999964</v>
      </c>
      <c r="AP29" s="151">
        <f t="shared" ref="AP29:AW29" si="59">AP17-AP21-AP22-AP23-AP24-AP25+AP27</f>
        <v>316.33799999999991</v>
      </c>
      <c r="AQ29" s="119">
        <f t="shared" si="59"/>
        <v>120.83500000000005</v>
      </c>
      <c r="AR29" s="119">
        <f t="shared" si="59"/>
        <v>85.493999999999915</v>
      </c>
      <c r="AS29" s="119">
        <f t="shared" si="59"/>
        <v>106.01810000000002</v>
      </c>
      <c r="AT29" s="119">
        <f t="shared" si="59"/>
        <v>112.36499999999985</v>
      </c>
      <c r="AU29" s="151">
        <f t="shared" si="59"/>
        <v>424.71199999999976</v>
      </c>
      <c r="AV29" s="119">
        <f t="shared" si="59"/>
        <v>174.66099999999986</v>
      </c>
      <c r="AW29" s="119">
        <f t="shared" si="59"/>
        <v>123.75899999999994</v>
      </c>
      <c r="AX29" s="119">
        <f>AX17-AX21-AX22-AX23-AX24-AX25+AX27</f>
        <v>153.14800000000008</v>
      </c>
      <c r="AY29" s="119">
        <f>AY17-AY21-AY22-AY23-AY24-AY25+AY27</f>
        <v>155.24900000000002</v>
      </c>
      <c r="AZ29" s="151">
        <f>SUM(AV29:AY29)</f>
        <v>606.81699999999989</v>
      </c>
      <c r="BA29" s="119">
        <f t="shared" ref="BA29:BI29" si="60">BA17-BA21-BA22-BA23-BA24-BA25+BA27</f>
        <v>227.19100000000012</v>
      </c>
      <c r="BB29" s="119">
        <f t="shared" si="60"/>
        <v>157.27799999999996</v>
      </c>
      <c r="BC29" s="119">
        <f t="shared" si="60"/>
        <v>199.56999999999994</v>
      </c>
      <c r="BD29" s="119">
        <f t="shared" si="60"/>
        <v>196.51499999999999</v>
      </c>
      <c r="BE29" s="151">
        <f t="shared" si="60"/>
        <v>780.61499999999944</v>
      </c>
      <c r="BF29" s="119">
        <f t="shared" si="60"/>
        <v>279.88100000000003</v>
      </c>
      <c r="BG29" s="119">
        <f t="shared" si="60"/>
        <v>201.89400000000006</v>
      </c>
      <c r="BH29" s="119">
        <f t="shared" si="60"/>
        <v>214.57300000000015</v>
      </c>
      <c r="BI29" s="119">
        <f t="shared" si="60"/>
        <v>197.63800000000006</v>
      </c>
      <c r="BJ29" s="151">
        <f>SUM(BF29:BI29)</f>
        <v>893.98600000000022</v>
      </c>
      <c r="BK29" s="119">
        <f>BK17-BK21-BK22-BK23-BK24-BK25+BK27</f>
        <v>319.72400000000005</v>
      </c>
      <c r="BL29" s="119">
        <f>BL17-BL21-BL22-BL23-BL24-BL25+BL27</f>
        <v>240.97399999999996</v>
      </c>
      <c r="BM29" s="119">
        <f>BM17-BM21-BM22-BM23-BM24-BM25+BM27</f>
        <v>245.21400000000006</v>
      </c>
      <c r="BN29" s="119">
        <f>BN17-BN21-BN22-BN23-BN24-BN25+BN27</f>
        <v>248.03299999999993</v>
      </c>
      <c r="BO29" s="151">
        <f>SUM(BK29:BN29)</f>
        <v>1053.9449999999999</v>
      </c>
      <c r="BP29" s="119">
        <f>BP17-BP21-BP22-BP23-BP24-BP25+BP27</f>
        <v>333.09999999999991</v>
      </c>
      <c r="BQ29" s="119">
        <f>BQ17-BQ21-BQ22-BQ23-BQ24-BQ25+BQ27</f>
        <v>178.16</v>
      </c>
      <c r="BR29" s="119">
        <f>BR17-BR21-BR22-BR23-BR24-BR25+BR27-BR26</f>
        <v>-21.700000000000244</v>
      </c>
      <c r="BS29" s="119">
        <f>BS17-BS21-BS22-BS23-BS24-BS25+BS27-BS26</f>
        <v>14.300000000000026</v>
      </c>
      <c r="BT29" s="151">
        <f>SUM(BP29:BS29)</f>
        <v>503.85999999999962</v>
      </c>
      <c r="BU29" s="119">
        <f>BU17-BU21-BU22-BU23-BU24-BU25+BU27-BU26</f>
        <v>117.69999999999982</v>
      </c>
      <c r="BV29" s="119">
        <f t="shared" ref="BV29:DF29" si="61">BV17-BV21-BV22-BV23-BV24-BV25+BV27-BV26</f>
        <v>40.900000000000119</v>
      </c>
      <c r="BW29" s="119">
        <f t="shared" si="61"/>
        <v>204.00000000000003</v>
      </c>
      <c r="BX29" s="119">
        <f t="shared" si="61"/>
        <v>199.4000000000002</v>
      </c>
      <c r="BY29" s="151">
        <f t="shared" si="61"/>
        <v>562</v>
      </c>
      <c r="BZ29" s="119">
        <f t="shared" si="61"/>
        <v>352.60000000000019</v>
      </c>
      <c r="CA29" s="119">
        <f t="shared" si="61"/>
        <v>339.80000000000041</v>
      </c>
      <c r="CB29" s="119">
        <f t="shared" si="61"/>
        <v>327.7</v>
      </c>
      <c r="CC29" s="119">
        <f t="shared" si="61"/>
        <v>399.30000000000018</v>
      </c>
      <c r="CD29" s="563">
        <f t="shared" si="61"/>
        <v>1419.3999999999992</v>
      </c>
      <c r="CE29" s="348">
        <f t="shared" si="61"/>
        <v>501.90000000000026</v>
      </c>
      <c r="CF29" s="348">
        <f t="shared" si="61"/>
        <v>376.09999999999974</v>
      </c>
      <c r="CG29" s="348">
        <f t="shared" si="61"/>
        <v>402.20000000000027</v>
      </c>
      <c r="CH29" s="348">
        <f t="shared" si="61"/>
        <v>448.3</v>
      </c>
      <c r="CI29" s="330">
        <f t="shared" si="61"/>
        <v>1728.5000000000002</v>
      </c>
      <c r="CJ29" s="103">
        <f t="shared" si="61"/>
        <v>556.00000000000011</v>
      </c>
      <c r="CK29" s="103">
        <f t="shared" si="61"/>
        <v>430.39999999999969</v>
      </c>
      <c r="CL29" s="103">
        <f t="shared" si="61"/>
        <v>491.59999999999985</v>
      </c>
      <c r="CM29" s="103">
        <f t="shared" si="61"/>
        <v>519.6</v>
      </c>
      <c r="CN29" s="330">
        <f t="shared" si="61"/>
        <v>1997.5999999999995</v>
      </c>
      <c r="CO29" s="103">
        <f t="shared" si="61"/>
        <v>630.6</v>
      </c>
      <c r="CP29" s="103">
        <f t="shared" si="61"/>
        <v>544.09999999999968</v>
      </c>
      <c r="CQ29" s="199">
        <f t="shared" si="61"/>
        <v>615.20000000000027</v>
      </c>
      <c r="CR29" s="199">
        <f t="shared" si="61"/>
        <v>-2115.1999999999998</v>
      </c>
      <c r="CS29" s="330">
        <f t="shared" si="61"/>
        <v>-325.30000000000337</v>
      </c>
      <c r="CT29" s="199">
        <f t="shared" si="61"/>
        <v>813.50000000000045</v>
      </c>
      <c r="CU29" s="199">
        <f t="shared" si="61"/>
        <v>644.10000000000036</v>
      </c>
      <c r="CV29" s="199">
        <f t="shared" si="61"/>
        <v>768.49999999999989</v>
      </c>
      <c r="CW29" s="662">
        <f t="shared" si="61"/>
        <v>854.90000000000043</v>
      </c>
      <c r="CX29" s="330">
        <f>CX17-CX21-CX22-CX23-CX24-CX25+CX27-CX26</f>
        <v>3081.0000000000023</v>
      </c>
      <c r="CY29" s="199">
        <f>CY17-CY21-CY22-CY23-CY24-CY25+CY27</f>
        <v>915.5000000000008</v>
      </c>
      <c r="CZ29" s="199">
        <f t="shared" si="61"/>
        <v>777.5</v>
      </c>
      <c r="DA29" s="199">
        <f t="shared" si="61"/>
        <v>938.59999999999968</v>
      </c>
      <c r="DB29" s="199">
        <f t="shared" si="61"/>
        <v>969.39999999999941</v>
      </c>
      <c r="DC29" s="200">
        <f>DC17-DC21-DC22-DC23-DC24-DC25+DC27</f>
        <v>3601.0000000000014</v>
      </c>
      <c r="DD29" s="832">
        <f t="shared" si="61"/>
        <v>1058</v>
      </c>
      <c r="DE29" s="348">
        <f t="shared" si="61"/>
        <v>864.1999999999997</v>
      </c>
      <c r="DF29" s="832">
        <f t="shared" si="61"/>
        <v>1022.2999999999998</v>
      </c>
      <c r="DG29" s="832">
        <f>DG17-DG21-DG22-DG23-DG24-DG25+DG27-DG26</f>
        <v>1227.5000000000009</v>
      </c>
      <c r="DH29" s="927">
        <f>DH17-DH21-DH22-DH23-DH24-DH25+DH27-DH26</f>
        <v>4172.0000000000018</v>
      </c>
      <c r="DI29" s="832">
        <f t="shared" ref="DI29:DL29" si="62">DI17-DI21-DI22-DI23-DI24-DI25+DI27-DI26</f>
        <v>1132.5999999999995</v>
      </c>
      <c r="DJ29" s="832">
        <f t="shared" si="62"/>
        <v>935.4000000000002</v>
      </c>
      <c r="DK29" s="832">
        <f>DK17-DK21-DK22-DK23-DK24-DK25+DK27-DK26</f>
        <v>1044.2</v>
      </c>
      <c r="DL29" s="832">
        <f t="shared" si="62"/>
        <v>1022.5000000000002</v>
      </c>
      <c r="DM29" s="927">
        <f>DM17-DM21-DM22-DM23-DM24-DM25+DM27-DM26</f>
        <v>4134.7000000000016</v>
      </c>
      <c r="DN29" s="832">
        <f t="shared" ref="DN29:DQ29" si="63">DN17-DN21-DN22-DN23-DN24-DN25+DN27-DN26</f>
        <v>1116.1000000000008</v>
      </c>
      <c r="DO29" s="348">
        <f t="shared" si="63"/>
        <v>1005.8724605826461</v>
      </c>
      <c r="DP29" s="348">
        <f t="shared" si="63"/>
        <v>1220.1013620427466</v>
      </c>
      <c r="DQ29" s="348">
        <f t="shared" si="63"/>
        <v>1248.7664184246278</v>
      </c>
      <c r="DR29" s="563">
        <f>DR17-DR21-DR22-DR23-DR24-DR25+DR27-DR26</f>
        <v>4590.840241050023</v>
      </c>
      <c r="DS29" s="832">
        <f t="shared" ref="DS29:DV29" si="64">DS17-DS21-DS22-DS23-DS24-DS25+DS27-DS26</f>
        <v>1263.9284991206218</v>
      </c>
      <c r="DT29" s="348">
        <f t="shared" si="64"/>
        <v>1158.4179914425845</v>
      </c>
      <c r="DU29" s="348">
        <f t="shared" si="64"/>
        <v>1389.4130131736881</v>
      </c>
      <c r="DV29" s="348">
        <f t="shared" si="64"/>
        <v>1412.8082848545903</v>
      </c>
      <c r="DW29" s="563">
        <f>DW17-DW21-DW22-DW23-DW24-DW25+DW27-DW26</f>
        <v>5224.5677885914829</v>
      </c>
      <c r="DX29" s="832">
        <f t="shared" ref="DX29:EA29" si="65">DX17-DX21-DX22-DX23-DX24-DX25+DX27-DX26</f>
        <v>1415.906831967377</v>
      </c>
      <c r="DY29" s="348">
        <f t="shared" si="65"/>
        <v>1307.3012492196272</v>
      </c>
      <c r="DZ29" s="348">
        <f t="shared" si="65"/>
        <v>1561.9370373899201</v>
      </c>
      <c r="EA29" s="348">
        <f t="shared" si="65"/>
        <v>1585.3567373110727</v>
      </c>
      <c r="EB29" s="563">
        <f>EB17-EB21-EB22-EB23-EB24-EB25+EB27-EB26</f>
        <v>5870.5018558880038</v>
      </c>
      <c r="EC29" s="345"/>
      <c r="ED29" s="565"/>
      <c r="EE29" s="565"/>
      <c r="EF29" s="345"/>
      <c r="EG29" s="563">
        <f>S29+T29+U29+W29</f>
        <v>132.4730000000001</v>
      </c>
      <c r="EH29" s="563">
        <f>X29+Y29+Z29+AB29</f>
        <v>170.19300000000001</v>
      </c>
      <c r="EI29" s="563">
        <f>AC29+AD29+AE29+AG29</f>
        <v>233.64000000000001</v>
      </c>
      <c r="EJ29" s="563">
        <f>AH29+AI29+AJ29+AL29</f>
        <v>297.04800000000012</v>
      </c>
      <c r="EK29" s="563">
        <f>AM29+AN29+AO29+AQ29</f>
        <v>363.27499999999975</v>
      </c>
      <c r="EL29" s="563">
        <f>AR29+AS29+AT29+AV29</f>
        <v>478.53809999999964</v>
      </c>
      <c r="EM29" s="563">
        <f>AW29+AX29+AY29+BA29</f>
        <v>659.34700000000021</v>
      </c>
      <c r="EN29" s="563">
        <f t="shared" si="54"/>
        <v>833.24399999999991</v>
      </c>
      <c r="EO29" s="563">
        <f>SUM(BG29:BI29,BK29)</f>
        <v>933.82900000000029</v>
      </c>
      <c r="EP29" s="563">
        <f>SUM(BL29:BN29,BP29)</f>
        <v>1067.3209999999999</v>
      </c>
      <c r="EQ29" s="563">
        <f>SUM(BQ29:BS29,BU29)</f>
        <v>288.45999999999958</v>
      </c>
      <c r="ER29" s="563">
        <f>SUM(BV29:BX29,BZ29)</f>
        <v>796.90000000000055</v>
      </c>
      <c r="ES29" s="563">
        <f>SUM(CA29:CC29,CE29)</f>
        <v>1568.700000000001</v>
      </c>
      <c r="ET29" s="563">
        <f>ET17-ET21-ET22-ET23-ET24-ET25+ET27</f>
        <v>1752.3999999999994</v>
      </c>
      <c r="EU29" s="563">
        <f t="shared" ref="EU29:EY29" si="66">EU17-EU21-EU22-EU23-EU24-EU25+EU27</f>
        <v>2072.1999999999989</v>
      </c>
      <c r="EV29" s="563">
        <f t="shared" si="66"/>
        <v>2621.5000000000023</v>
      </c>
      <c r="EW29" s="563">
        <f t="shared" si="66"/>
        <v>3183.0000000000014</v>
      </c>
      <c r="EX29" s="563">
        <f t="shared" si="66"/>
        <v>3743.5</v>
      </c>
      <c r="EY29" s="563">
        <f t="shared" si="66"/>
        <v>4246.6000000000031</v>
      </c>
      <c r="EZ29" s="563">
        <f>EZ17-EZ21-EZ22-EZ23-EZ24-EZ25+EZ27-EZ26</f>
        <v>4118.2000000000016</v>
      </c>
      <c r="FA29" s="563">
        <f>FA17-FA21-FA22-FA23-FA24-FA25+FA27</f>
        <v>4738.668740170644</v>
      </c>
      <c r="FB29" s="563">
        <f>FB17-FB21-FB22-FB23-FB24-FB25+FB27</f>
        <v>5376.5461214382412</v>
      </c>
      <c r="FC29" s="345"/>
      <c r="FD29" s="563" t="s">
        <v>174</v>
      </c>
      <c r="FE29" s="564">
        <f t="shared" ref="FE29:FE36" si="67">DN29</f>
        <v>1116.1000000000008</v>
      </c>
      <c r="FF29" s="848">
        <v>1218.2053374018838</v>
      </c>
      <c r="FG29" s="565">
        <f t="shared" ref="FG29:FG44" si="68">FE29-FF29</f>
        <v>-102.10533740188293</v>
      </c>
      <c r="FH29" s="566">
        <f t="shared" ref="FH29:FH36" si="69">DI29</f>
        <v>1132.5999999999995</v>
      </c>
      <c r="FI29" s="567">
        <f t="shared" si="52"/>
        <v>-1.456825004414497E-2</v>
      </c>
      <c r="FJ29" s="568"/>
      <c r="FK29" s="568"/>
      <c r="FL29"/>
      <c r="FM29"/>
      <c r="FN29"/>
      <c r="FO29"/>
      <c r="FP29"/>
      <c r="FQ29"/>
      <c r="FR29"/>
    </row>
    <row r="30" spans="1:174" s="1" customFormat="1" x14ac:dyDescent="0.2">
      <c r="A30" s="7" t="s">
        <v>175</v>
      </c>
      <c r="B30" s="310">
        <f t="shared" ref="B30:L30" si="70">B29+B26</f>
        <v>23.300999999999998</v>
      </c>
      <c r="C30" s="368">
        <f t="shared" si="70"/>
        <v>14.163999999999994</v>
      </c>
      <c r="D30" s="368">
        <f t="shared" si="70"/>
        <v>7.0759999999999978</v>
      </c>
      <c r="E30" s="368">
        <f t="shared" si="70"/>
        <v>10.306999999999992</v>
      </c>
      <c r="F30" s="368">
        <f t="shared" si="70"/>
        <v>8.5679999999999925</v>
      </c>
      <c r="G30" s="310">
        <f t="shared" si="70"/>
        <v>40.115000000000002</v>
      </c>
      <c r="H30" s="368">
        <f t="shared" si="70"/>
        <v>15.77400000000001</v>
      </c>
      <c r="I30" s="368">
        <f t="shared" si="70"/>
        <v>7.5709999999999802</v>
      </c>
      <c r="J30" s="368">
        <f t="shared" si="70"/>
        <v>14.585999999999991</v>
      </c>
      <c r="K30" s="368">
        <f t="shared" si="70"/>
        <v>19.003999999999991</v>
      </c>
      <c r="L30" s="310">
        <f t="shared" si="70"/>
        <v>56.976999999999961</v>
      </c>
      <c r="M30" s="368">
        <f t="shared" ref="M30:AP30" si="71">M29+M26</f>
        <v>20.761999999999993</v>
      </c>
      <c r="N30" s="368">
        <f t="shared" si="71"/>
        <v>13.581999999999983</v>
      </c>
      <c r="O30" s="368">
        <f t="shared" si="71"/>
        <v>22.567999999999977</v>
      </c>
      <c r="P30" s="368">
        <f t="shared" si="71"/>
        <v>29.289000000000055</v>
      </c>
      <c r="Q30" s="310">
        <f t="shared" si="71"/>
        <v>86.163999999999788</v>
      </c>
      <c r="R30" s="368">
        <f t="shared" si="71"/>
        <v>33.480999999999966</v>
      </c>
      <c r="S30" s="368">
        <f t="shared" si="71"/>
        <v>21.339999999999993</v>
      </c>
      <c r="T30" s="368">
        <f t="shared" si="71"/>
        <v>32.510000000000041</v>
      </c>
      <c r="U30" s="368">
        <f t="shared" si="71"/>
        <v>37.446000000000048</v>
      </c>
      <c r="V30" s="310">
        <f t="shared" si="71"/>
        <v>124.77700000000009</v>
      </c>
      <c r="W30" s="368">
        <f t="shared" si="71"/>
        <v>41.177000000000014</v>
      </c>
      <c r="X30" s="368">
        <f t="shared" si="71"/>
        <v>26.767000000000014</v>
      </c>
      <c r="Y30" s="368">
        <f t="shared" si="71"/>
        <v>38.214000000000013</v>
      </c>
      <c r="Z30" s="368">
        <f t="shared" si="71"/>
        <v>50.578999999999965</v>
      </c>
      <c r="AA30" s="310">
        <f t="shared" si="71"/>
        <v>156.7369999999998</v>
      </c>
      <c r="AB30" s="368">
        <f t="shared" si="71"/>
        <v>54.633000000000017</v>
      </c>
      <c r="AC30" s="368">
        <f t="shared" si="71"/>
        <v>35.216999999999992</v>
      </c>
      <c r="AD30" s="368">
        <f t="shared" si="71"/>
        <v>54.260000000000026</v>
      </c>
      <c r="AE30" s="368">
        <f t="shared" si="71"/>
        <v>68.105999999999952</v>
      </c>
      <c r="AF30" s="310">
        <f t="shared" si="71"/>
        <v>212.21600000000018</v>
      </c>
      <c r="AG30" s="368">
        <f t="shared" si="71"/>
        <v>76.057000000000045</v>
      </c>
      <c r="AH30" s="368">
        <f t="shared" si="71"/>
        <v>50.854000000000006</v>
      </c>
      <c r="AI30" s="368">
        <f t="shared" si="71"/>
        <v>71.306999999999988</v>
      </c>
      <c r="AJ30" s="368">
        <f t="shared" si="71"/>
        <v>82.876000000000076</v>
      </c>
      <c r="AK30" s="310">
        <f t="shared" si="71"/>
        <v>280.21900000000034</v>
      </c>
      <c r="AL30" s="368">
        <f t="shared" si="71"/>
        <v>92.011000000000038</v>
      </c>
      <c r="AM30" s="368">
        <f t="shared" si="71"/>
        <v>66.42599999999986</v>
      </c>
      <c r="AN30" s="368">
        <f t="shared" si="71"/>
        <v>87.202999999999903</v>
      </c>
      <c r="AO30" s="368">
        <f t="shared" si="71"/>
        <v>88.810999999999964</v>
      </c>
      <c r="AP30" s="310">
        <f t="shared" si="71"/>
        <v>316.33799999999991</v>
      </c>
      <c r="AQ30" s="368">
        <f t="shared" ref="AQ30:BJ30" si="72">AQ29+AQ26</f>
        <v>120.83500000000005</v>
      </c>
      <c r="AR30" s="368">
        <f t="shared" si="72"/>
        <v>85.493999999999915</v>
      </c>
      <c r="AS30" s="368">
        <f t="shared" si="72"/>
        <v>106.01810000000002</v>
      </c>
      <c r="AT30" s="368">
        <f t="shared" si="72"/>
        <v>112.36499999999985</v>
      </c>
      <c r="AU30" s="310">
        <f t="shared" si="72"/>
        <v>424.71199999999976</v>
      </c>
      <c r="AV30" s="368">
        <f t="shared" si="72"/>
        <v>174.66099999999986</v>
      </c>
      <c r="AW30" s="368">
        <f t="shared" si="72"/>
        <v>123.75899999999994</v>
      </c>
      <c r="AX30" s="368">
        <f t="shared" si="72"/>
        <v>153.14800000000008</v>
      </c>
      <c r="AY30" s="368">
        <f t="shared" si="72"/>
        <v>155.24900000000002</v>
      </c>
      <c r="AZ30" s="310">
        <f t="shared" si="72"/>
        <v>606.81699999999989</v>
      </c>
      <c r="BA30" s="368">
        <f t="shared" si="72"/>
        <v>227.19100000000012</v>
      </c>
      <c r="BB30" s="368">
        <f t="shared" si="72"/>
        <v>157.27799999999996</v>
      </c>
      <c r="BC30" s="369">
        <f t="shared" si="72"/>
        <v>199.56999999999994</v>
      </c>
      <c r="BD30" s="368">
        <f t="shared" si="72"/>
        <v>196.51499999999999</v>
      </c>
      <c r="BE30" s="310">
        <f t="shared" si="72"/>
        <v>780.61499999999944</v>
      </c>
      <c r="BF30" s="368">
        <f t="shared" si="72"/>
        <v>279.88100000000003</v>
      </c>
      <c r="BG30" s="368">
        <f t="shared" si="72"/>
        <v>201.89400000000006</v>
      </c>
      <c r="BH30" s="368">
        <f t="shared" si="72"/>
        <v>214.57300000000015</v>
      </c>
      <c r="BI30" s="368">
        <f t="shared" si="72"/>
        <v>197.63800000000006</v>
      </c>
      <c r="BJ30" s="310">
        <f t="shared" si="72"/>
        <v>893.98600000000022</v>
      </c>
      <c r="BK30" s="368">
        <f t="shared" ref="BK30:BP30" si="73">BK29+BK26</f>
        <v>319.72400000000005</v>
      </c>
      <c r="BL30" s="368">
        <f t="shared" si="73"/>
        <v>240.97399999999996</v>
      </c>
      <c r="BM30" s="368">
        <f t="shared" si="73"/>
        <v>245.21400000000006</v>
      </c>
      <c r="BN30" s="368">
        <f t="shared" si="73"/>
        <v>248.03299999999993</v>
      </c>
      <c r="BO30" s="310">
        <f t="shared" si="73"/>
        <v>1053.9449999999999</v>
      </c>
      <c r="BP30" s="368">
        <f t="shared" si="73"/>
        <v>333.09999999999991</v>
      </c>
      <c r="BQ30" s="368">
        <f>BQ29+BQ26+35.1</f>
        <v>213.26</v>
      </c>
      <c r="BR30" s="368">
        <f>BR29+BR26</f>
        <v>145.99999999999974</v>
      </c>
      <c r="BS30" s="368">
        <f>BS29+BS26</f>
        <v>113.50000000000003</v>
      </c>
      <c r="BT30" s="310">
        <f t="shared" ref="BT30:BT35" si="74">SUM(BP30:BS30)</f>
        <v>805.85999999999967</v>
      </c>
      <c r="BU30" s="368">
        <f t="shared" ref="BU30:CX30" si="75">BU29+BU26</f>
        <v>193.19999999999982</v>
      </c>
      <c r="BV30" s="368">
        <f t="shared" si="75"/>
        <v>193.00000000000011</v>
      </c>
      <c r="BW30" s="368">
        <f t="shared" si="75"/>
        <v>255.60000000000002</v>
      </c>
      <c r="BX30" s="368">
        <f t="shared" si="75"/>
        <v>252.60000000000019</v>
      </c>
      <c r="BY30" s="310">
        <f t="shared" si="75"/>
        <v>894.4</v>
      </c>
      <c r="BZ30" s="368">
        <f t="shared" si="75"/>
        <v>370.9000000000002</v>
      </c>
      <c r="CA30" s="368">
        <f t="shared" si="75"/>
        <v>347.70000000000039</v>
      </c>
      <c r="CB30" s="368">
        <f t="shared" si="75"/>
        <v>348.09999999999997</v>
      </c>
      <c r="CC30" s="368">
        <f t="shared" si="75"/>
        <v>405.70000000000016</v>
      </c>
      <c r="CD30" s="310">
        <f t="shared" si="75"/>
        <v>1472.3999999999992</v>
      </c>
      <c r="CE30" s="368">
        <f t="shared" si="75"/>
        <v>501.90000000000026</v>
      </c>
      <c r="CF30" s="368">
        <f t="shared" si="75"/>
        <v>376.09999999999974</v>
      </c>
      <c r="CG30" s="368">
        <f t="shared" si="75"/>
        <v>402.20000000000027</v>
      </c>
      <c r="CH30" s="368">
        <f t="shared" si="75"/>
        <v>418.1</v>
      </c>
      <c r="CI30" s="310">
        <f t="shared" si="75"/>
        <v>1698.3000000000002</v>
      </c>
      <c r="CJ30" s="368">
        <f t="shared" si="75"/>
        <v>556.00000000000011</v>
      </c>
      <c r="CK30" s="368">
        <f t="shared" si="75"/>
        <v>430.39999999999969</v>
      </c>
      <c r="CL30" s="368">
        <f t="shared" si="75"/>
        <v>491.59999999999985</v>
      </c>
      <c r="CM30" s="368">
        <f t="shared" si="75"/>
        <v>519.6</v>
      </c>
      <c r="CN30" s="310">
        <f t="shared" si="75"/>
        <v>1997.5999999999995</v>
      </c>
      <c r="CO30" s="368">
        <f t="shared" si="75"/>
        <v>630.6</v>
      </c>
      <c r="CP30" s="368">
        <f t="shared" si="75"/>
        <v>544.09999999999968</v>
      </c>
      <c r="CQ30" s="541">
        <f t="shared" si="75"/>
        <v>615.20000000000027</v>
      </c>
      <c r="CR30" s="368">
        <f t="shared" si="75"/>
        <v>668.90000000000009</v>
      </c>
      <c r="CS30" s="310">
        <f t="shared" si="75"/>
        <v>2458.7999999999965</v>
      </c>
      <c r="CT30" s="541">
        <f>CT29+CT26</f>
        <v>793.30000000000041</v>
      </c>
      <c r="CU30" s="541">
        <f t="shared" si="75"/>
        <v>644.10000000000036</v>
      </c>
      <c r="CV30" s="541">
        <f t="shared" si="75"/>
        <v>768.49999999999989</v>
      </c>
      <c r="CW30" s="663">
        <f>CW29+2.4</f>
        <v>857.30000000000041</v>
      </c>
      <c r="CX30" s="310">
        <f t="shared" si="75"/>
        <v>3060.8000000000025</v>
      </c>
      <c r="CY30" s="541">
        <f>CY29+19.3</f>
        <v>934.80000000000075</v>
      </c>
      <c r="CZ30" s="368">
        <f>CZ29-(CZ45/(1-CZ66))</f>
        <v>789.4</v>
      </c>
      <c r="DA30" s="368">
        <f>DA29-(DA45/(1-DA66))</f>
        <v>950.09999999999968</v>
      </c>
      <c r="DB30" s="368">
        <f>DB29+11.9</f>
        <v>981.29999999999939</v>
      </c>
      <c r="DC30" s="310">
        <f>SUM(CY30:DB30)</f>
        <v>3655.5999999999995</v>
      </c>
      <c r="DD30" s="368">
        <f>DD29+12.3</f>
        <v>1070.3</v>
      </c>
      <c r="DE30" s="368">
        <f>DE29+13.9</f>
        <v>878.09999999999968</v>
      </c>
      <c r="DF30" s="902">
        <f>DF29+14.5+2.8</f>
        <v>1039.5999999999997</v>
      </c>
      <c r="DG30" s="368">
        <f>DG29+16.7</f>
        <v>1244.200000000001</v>
      </c>
      <c r="DH30" s="310">
        <f t="shared" ref="DH30" si="76">DH29-(DH45/(1-DH66))</f>
        <v>4197.8122022180014</v>
      </c>
      <c r="DI30" s="902">
        <f>DI29-(DI45/(1-DI66))</f>
        <v>1146.5999999999995</v>
      </c>
      <c r="DJ30" s="902">
        <f>DJ29-(DJ45/(1-DJ66))</f>
        <v>949.20000000000016</v>
      </c>
      <c r="DK30" s="368">
        <v>1178.4000000000001</v>
      </c>
      <c r="DL30" s="981">
        <v>1138.3</v>
      </c>
      <c r="DM30" s="990">
        <f>SUM(DI30:DL30)</f>
        <v>4412.5</v>
      </c>
      <c r="DN30" s="981">
        <v>1167.5</v>
      </c>
      <c r="DO30" s="368">
        <f t="shared" ref="DO30" si="77">DO29-(DO45/(1-DO66))</f>
        <v>1020.2834870624554</v>
      </c>
      <c r="DP30" s="368">
        <f t="shared" ref="DP30" si="78">DP29-(DP45/(1-DP66))</f>
        <v>1234.4112566119134</v>
      </c>
      <c r="DQ30" s="368">
        <f t="shared" ref="DQ30" si="79">DQ29-(DQ45/(1-DQ66))</f>
        <v>1262.977760246212</v>
      </c>
      <c r="DR30" s="990">
        <f>SUM(DN30:DQ30)</f>
        <v>4685.1725039205812</v>
      </c>
      <c r="DS30" s="368">
        <f>DS29-(DS45/(1-DS66))</f>
        <v>1278.0581245137907</v>
      </c>
      <c r="DT30" s="368">
        <f t="shared" ref="DT30" si="80">DT29-(DT45/(1-DT66))</f>
        <v>1172.472470195605</v>
      </c>
      <c r="DU30" s="368">
        <f t="shared" ref="DU30" si="81">DU29-(DU45/(1-DU66))</f>
        <v>1403.3844785275169</v>
      </c>
      <c r="DV30" s="368">
        <f t="shared" ref="DV30" si="82">DV29-(DV45/(1-DV66))</f>
        <v>1426.6989607073567</v>
      </c>
      <c r="DW30" s="990">
        <f>SUM(DS30:DV30)</f>
        <v>5280.6140339442691</v>
      </c>
      <c r="DX30" s="368">
        <f>DX29-(DX45/(1-DX66))</f>
        <v>1429.7444530695811</v>
      </c>
      <c r="DY30" s="368">
        <f t="shared" ref="DY30" si="83">DY29-(DY45/(1-DY66))</f>
        <v>1321.1030700961367</v>
      </c>
      <c r="DZ30" s="368">
        <f t="shared" ref="DZ30" si="84">DZ29-(DZ45/(1-DZ66))</f>
        <v>1575.6647786394219</v>
      </c>
      <c r="EA30" s="368">
        <f t="shared" ref="EA30" si="85">EA29-(EA45/(1-EA66))</f>
        <v>1598.982806515746</v>
      </c>
      <c r="EB30" s="990">
        <f>SUM(DX30:EA30)</f>
        <v>5925.4951083208862</v>
      </c>
      <c r="ED30" s="28"/>
      <c r="EE30" s="28"/>
      <c r="EG30" s="125"/>
      <c r="EH30" s="125"/>
      <c r="EI30" s="125"/>
      <c r="EJ30" s="125"/>
      <c r="EK30" s="125"/>
      <c r="EL30" s="125"/>
      <c r="EM30" s="125"/>
      <c r="EN30" s="125"/>
      <c r="EO30" s="125"/>
      <c r="EP30" s="125"/>
      <c r="EQ30" s="310">
        <f>SUM(BQ30:BS30,BU30)</f>
        <v>665.95999999999958</v>
      </c>
      <c r="ER30" s="310">
        <f>SUM(BV30:BX30,BZ30)</f>
        <v>1072.1000000000004</v>
      </c>
      <c r="ES30" s="310">
        <f>SUM(CA30:CC30,CE30)</f>
        <v>1603.4000000000008</v>
      </c>
      <c r="ET30" s="310">
        <f>SUM(CF30:CH30,CJ30)</f>
        <v>1752.4</v>
      </c>
      <c r="EU30" s="310">
        <f>SUM(CK30,CL30,CM30,CO30)</f>
        <v>2072.1999999999994</v>
      </c>
      <c r="EV30" s="310">
        <f>SUM(CT30,CR30,CQ30,CP30)</f>
        <v>2621.5</v>
      </c>
      <c r="EW30" s="310">
        <f>CU30+CV30+CW30+CY30</f>
        <v>3204.7000000000012</v>
      </c>
      <c r="EX30" s="310">
        <f>CZ30+DA30+DB30+DD30</f>
        <v>3791.0999999999985</v>
      </c>
      <c r="EY30" s="310">
        <f>DE30+DF30+DG30+DI30</f>
        <v>4308.5</v>
      </c>
      <c r="EZ30" s="310">
        <f>DJ30+DK30+DL30+DN30</f>
        <v>4433.4000000000005</v>
      </c>
      <c r="FA30" s="310">
        <f>DO30+DP30+DQ30+DS30</f>
        <v>4795.7306284343713</v>
      </c>
      <c r="FB30" s="310">
        <f t="shared" ref="FB30:FB45" si="86">DT30+DU30+DV30+DX30</f>
        <v>5432.3003625000592</v>
      </c>
      <c r="FD30" s="159" t="s">
        <v>175</v>
      </c>
      <c r="FE30" s="549">
        <f t="shared" si="67"/>
        <v>1167.5</v>
      </c>
      <c r="FF30" s="549">
        <v>1234.250345149881</v>
      </c>
      <c r="FG30" s="459">
        <f t="shared" si="68"/>
        <v>-66.750345149881014</v>
      </c>
      <c r="FH30" s="459">
        <f t="shared" si="69"/>
        <v>1146.5999999999995</v>
      </c>
      <c r="FI30" s="306">
        <f t="shared" si="52"/>
        <v>1.8227803942090226E-2</v>
      </c>
      <c r="FJ30"/>
      <c r="FK30"/>
      <c r="FL30"/>
      <c r="FM30"/>
      <c r="FN30"/>
      <c r="FO30"/>
      <c r="FP30"/>
      <c r="FQ30"/>
      <c r="FR30"/>
    </row>
    <row r="31" spans="1:174" s="1" customFormat="1" x14ac:dyDescent="0.2">
      <c r="A31" s="16" t="s">
        <v>176</v>
      </c>
      <c r="B31" s="151">
        <f t="shared" ref="B31:P31" si="87">B29+B24</f>
        <v>35.835999999999999</v>
      </c>
      <c r="C31" s="119">
        <f t="shared" si="87"/>
        <v>18.627999999999993</v>
      </c>
      <c r="D31" s="119">
        <f t="shared" si="87"/>
        <v>12.227999999999998</v>
      </c>
      <c r="E31" s="119">
        <f t="shared" si="87"/>
        <v>16.224999999999991</v>
      </c>
      <c r="F31" s="119">
        <f t="shared" si="87"/>
        <v>15.519999999999992</v>
      </c>
      <c r="G31" s="151">
        <f t="shared" si="87"/>
        <v>62.600999999999999</v>
      </c>
      <c r="H31" s="119">
        <f t="shared" si="87"/>
        <v>23.374000000000009</v>
      </c>
      <c r="I31" s="119">
        <f t="shared" si="87"/>
        <v>16.170999999999978</v>
      </c>
      <c r="J31" s="119">
        <f t="shared" si="87"/>
        <v>24.085999999999991</v>
      </c>
      <c r="K31" s="119">
        <f t="shared" si="87"/>
        <v>29.303999999999991</v>
      </c>
      <c r="L31" s="151">
        <f t="shared" si="87"/>
        <v>92.876999999999953</v>
      </c>
      <c r="M31" s="119">
        <f t="shared" si="87"/>
        <v>32.337999999999994</v>
      </c>
      <c r="N31" s="119">
        <f t="shared" si="87"/>
        <v>26.075999999999983</v>
      </c>
      <c r="O31" s="119">
        <f t="shared" si="87"/>
        <v>36.396999999999977</v>
      </c>
      <c r="P31" s="119">
        <f t="shared" si="87"/>
        <v>44.191000000000052</v>
      </c>
      <c r="Q31" s="151">
        <f>Q29+Q24</f>
        <v>138.9649999999998</v>
      </c>
      <c r="R31" s="119">
        <f>R29+CF!R12</f>
        <v>51.240999999999971</v>
      </c>
      <c r="S31" s="119">
        <f>S29+CF!S12</f>
        <v>40.733999999999995</v>
      </c>
      <c r="T31" s="119">
        <f>T29+CF!T12</f>
        <v>53.668000000000035</v>
      </c>
      <c r="U31" s="119">
        <f>U29+CF!U12</f>
        <v>60.035000000000053</v>
      </c>
      <c r="V31" s="151">
        <f>V29+CF!V12</f>
        <v>205.67800000000008</v>
      </c>
      <c r="W31" s="119">
        <f>W29+CF!W12</f>
        <v>65.815000000000012</v>
      </c>
      <c r="X31" s="119">
        <f>X29+CF!X12</f>
        <v>52.759000000000015</v>
      </c>
      <c r="Y31" s="119">
        <f>Y29+CF!Y12</f>
        <v>65.923000000000002</v>
      </c>
      <c r="Z31" s="119">
        <f>Z29+CF!Z12</f>
        <v>79.751999999999967</v>
      </c>
      <c r="AA31" s="151">
        <f>AA29+CF!AA12</f>
        <v>264.2489999999998</v>
      </c>
      <c r="AB31" s="119">
        <f>AB29+CF!AB12</f>
        <v>86.609000000000009</v>
      </c>
      <c r="AC31" s="119">
        <f>AC29+CF!AC12</f>
        <v>70.83499999999998</v>
      </c>
      <c r="AD31" s="119">
        <f>AD29+CF!AD12</f>
        <v>87.918000000000035</v>
      </c>
      <c r="AE31" s="119">
        <f>AE29+CF!AE12</f>
        <v>109.02499999999995</v>
      </c>
      <c r="AF31" s="151">
        <f>AF29+CF!AF12</f>
        <v>354.38700000000017</v>
      </c>
      <c r="AG31" s="119">
        <f>AG29+CF!AG12</f>
        <v>116.72100000000005</v>
      </c>
      <c r="AH31" s="119">
        <f>AH29+CF!AH12</f>
        <v>92.917000000000002</v>
      </c>
      <c r="AI31" s="119">
        <f>AI29+CF!AI12</f>
        <v>116.69999999999999</v>
      </c>
      <c r="AJ31" s="119">
        <f>AJ29+CF!AJ12</f>
        <v>131.84300000000007</v>
      </c>
      <c r="AK31" s="151">
        <f>AK29+CF!AK12</f>
        <v>457.30600000000032</v>
      </c>
      <c r="AL31" s="119">
        <f>AL29+CF!AL12</f>
        <v>146.03500000000003</v>
      </c>
      <c r="AM31" s="119">
        <f>AM29+CF!AM12</f>
        <v>120.26799999999986</v>
      </c>
      <c r="AN31" s="119">
        <f>AN29+CF!AN12</f>
        <v>142.10099999999991</v>
      </c>
      <c r="AO31" s="119">
        <f>AO29+CF!AO12</f>
        <v>147.18799999999996</v>
      </c>
      <c r="AP31" s="151">
        <f>AP29+CF!AP12</f>
        <v>537.47899999999993</v>
      </c>
      <c r="AQ31" s="119">
        <f>AQ29+CF!AQ12</f>
        <v>182.39700000000005</v>
      </c>
      <c r="AR31" s="119">
        <f>AR29+CF!AR12</f>
        <v>148.69299999999993</v>
      </c>
      <c r="AS31" s="119">
        <f>AS29+CF!AS12</f>
        <v>171.9111</v>
      </c>
      <c r="AT31" s="119">
        <f>AT29+CF!AT12</f>
        <v>180.98199999999989</v>
      </c>
      <c r="AU31" s="151">
        <f>AU29+CF!AU12</f>
        <v>683.98299999999972</v>
      </c>
      <c r="AV31" s="119">
        <f>AV29+CF!AV12</f>
        <v>246.68899999999985</v>
      </c>
      <c r="AW31" s="119">
        <f>AW29+CF!AW12</f>
        <v>201.75499999999994</v>
      </c>
      <c r="AX31" s="119">
        <f>AX29+CF!AX12</f>
        <v>230.04900000000009</v>
      </c>
      <c r="AY31" s="119">
        <f>AY29+CF!AY12</f>
        <v>242.37100000000004</v>
      </c>
      <c r="AZ31" s="151">
        <f>AZ29+CF!AZ12</f>
        <v>920.86399999999992</v>
      </c>
      <c r="BA31" s="119">
        <f>BA29+CF!BA12</f>
        <v>312.52300000000014</v>
      </c>
      <c r="BB31" s="119">
        <f>BB29+CF!BB12</f>
        <v>251.80299999999997</v>
      </c>
      <c r="BC31" s="119">
        <f>BC29+CF!BC12</f>
        <v>291.50799999999992</v>
      </c>
      <c r="BD31" s="119">
        <f>BD29+CF!BD12</f>
        <v>291.92700000000002</v>
      </c>
      <c r="BE31" s="151">
        <f>BE29+CF!BE12</f>
        <v>1147.8219999999994</v>
      </c>
      <c r="BF31" s="119">
        <f>BF29+CF!BF12</f>
        <v>377.625</v>
      </c>
      <c r="BG31" s="119">
        <f>BG29+CF!BG12</f>
        <v>302.78300000000007</v>
      </c>
      <c r="BH31" s="119">
        <f>BH29+CF!BH12</f>
        <v>319.15000000000009</v>
      </c>
      <c r="BI31" s="119">
        <f>BI29+CF!BI12</f>
        <v>307.05300000000005</v>
      </c>
      <c r="BJ31" s="151">
        <f>BJ29+CF!BJ12</f>
        <v>1306.6110000000003</v>
      </c>
      <c r="BK31" s="119">
        <f>BK29+CF!BK12</f>
        <v>435.84600000000006</v>
      </c>
      <c r="BL31" s="119">
        <f>BL29+CF!BL12</f>
        <v>360.33299999999997</v>
      </c>
      <c r="BM31" s="119">
        <f>BM29+CF!BM12</f>
        <v>370.61400000000003</v>
      </c>
      <c r="BN31" s="119">
        <f>BN29+CF!BN12</f>
        <v>378.39</v>
      </c>
      <c r="BO31" s="151">
        <f>BO29+CF!BO12</f>
        <v>1545.183</v>
      </c>
      <c r="BP31" s="119">
        <f>BP29+CF!BP12</f>
        <v>472.99999999999989</v>
      </c>
      <c r="BQ31" s="119">
        <f>BQ29+CF!BQ12</f>
        <v>324.56</v>
      </c>
      <c r="BR31" s="119">
        <f>BR29+CF!BR12</f>
        <v>123.39999999999975</v>
      </c>
      <c r="BS31" s="119">
        <f>BS29+CF!BS12</f>
        <v>187.40000000000003</v>
      </c>
      <c r="BT31" s="151">
        <f>BT29+CF!BT12</f>
        <v>1108.3599999999997</v>
      </c>
      <c r="BU31" s="119">
        <f t="shared" ref="BU31:BZ31" si="88">BU29+BU24</f>
        <v>251.99999999999983</v>
      </c>
      <c r="BV31" s="119">
        <f t="shared" si="88"/>
        <v>175.00000000000011</v>
      </c>
      <c r="BW31" s="119">
        <f t="shared" si="88"/>
        <v>337.70000000000005</v>
      </c>
      <c r="BX31" s="119">
        <f t="shared" si="88"/>
        <v>332.00000000000023</v>
      </c>
      <c r="BY31" s="151">
        <f t="shared" si="88"/>
        <v>1096.6999999999998</v>
      </c>
      <c r="BZ31" s="119">
        <f t="shared" si="88"/>
        <v>483.20000000000016</v>
      </c>
      <c r="CA31" s="119">
        <f t="shared" ref="CA31:DG31" si="89">CA29+CA24</f>
        <v>468.30000000000041</v>
      </c>
      <c r="CB31" s="119">
        <f t="shared" si="89"/>
        <v>452.9</v>
      </c>
      <c r="CC31" s="119">
        <f t="shared" si="89"/>
        <v>525.4000000000002</v>
      </c>
      <c r="CD31" s="151">
        <f>CD29+CD24</f>
        <v>1929.7999999999993</v>
      </c>
      <c r="CE31" s="119">
        <f t="shared" si="89"/>
        <v>629.70000000000027</v>
      </c>
      <c r="CF31" s="119">
        <f t="shared" si="89"/>
        <v>505.09999999999974</v>
      </c>
      <c r="CG31" s="119">
        <f t="shared" si="89"/>
        <v>531.70000000000027</v>
      </c>
      <c r="CH31" s="119">
        <f t="shared" si="89"/>
        <v>585.4</v>
      </c>
      <c r="CI31" s="151">
        <f t="shared" si="89"/>
        <v>2251.9</v>
      </c>
      <c r="CJ31" s="119">
        <f t="shared" si="89"/>
        <v>690.80000000000018</v>
      </c>
      <c r="CK31" s="119">
        <f t="shared" si="89"/>
        <v>567.49999999999966</v>
      </c>
      <c r="CL31" s="119">
        <f t="shared" si="89"/>
        <v>628.29999999999984</v>
      </c>
      <c r="CM31" s="119">
        <f t="shared" si="89"/>
        <v>661.3</v>
      </c>
      <c r="CN31" s="151">
        <f t="shared" si="89"/>
        <v>2547.8999999999996</v>
      </c>
      <c r="CO31" s="119">
        <f t="shared" si="89"/>
        <v>779.5</v>
      </c>
      <c r="CP31" s="119">
        <f t="shared" si="89"/>
        <v>697.1999999999997</v>
      </c>
      <c r="CQ31" s="540">
        <f t="shared" si="89"/>
        <v>768.50000000000023</v>
      </c>
      <c r="CR31" s="119">
        <f t="shared" si="89"/>
        <v>-1949.1</v>
      </c>
      <c r="CS31" s="151">
        <f t="shared" si="89"/>
        <v>296.09999999999661</v>
      </c>
      <c r="CT31" s="540">
        <f>CT29+CT24</f>
        <v>983.2000000000005</v>
      </c>
      <c r="CU31" s="540">
        <f t="shared" si="89"/>
        <v>818.50000000000034</v>
      </c>
      <c r="CV31" s="540">
        <f t="shared" si="89"/>
        <v>948.59999999999991</v>
      </c>
      <c r="CW31" s="664">
        <f t="shared" si="89"/>
        <v>1040.3000000000004</v>
      </c>
      <c r="CX31" s="151">
        <f>CX29+CX24</f>
        <v>3790.6000000000022</v>
      </c>
      <c r="CY31" s="540">
        <f t="shared" si="89"/>
        <v>1121.5000000000009</v>
      </c>
      <c r="CZ31" s="540">
        <f>CZ29+CZ24</f>
        <v>994.6</v>
      </c>
      <c r="DA31" s="540">
        <f>DA29+DA24</f>
        <v>1175.0999999999997</v>
      </c>
      <c r="DB31" s="540">
        <f t="shared" si="89"/>
        <v>1203.6999999999994</v>
      </c>
      <c r="DC31" s="148">
        <f>DC29+DC24</f>
        <v>4494.9000000000015</v>
      </c>
      <c r="DD31" s="540">
        <f t="shared" si="89"/>
        <v>1293.5</v>
      </c>
      <c r="DE31" s="119">
        <f>DE29+DE24</f>
        <v>1111.9999999999998</v>
      </c>
      <c r="DF31" s="540">
        <f t="shared" si="89"/>
        <v>1269.8999999999999</v>
      </c>
      <c r="DG31" s="540">
        <f t="shared" si="89"/>
        <v>1477.400000000001</v>
      </c>
      <c r="DH31" s="148">
        <f>DH29+DH24</f>
        <v>5152.800000000002</v>
      </c>
      <c r="DI31" s="540">
        <f t="shared" ref="DI31:DK31" si="90">DI29+DI24</f>
        <v>1382.2999999999995</v>
      </c>
      <c r="DJ31" s="540">
        <f t="shared" si="90"/>
        <v>1189.0000000000002</v>
      </c>
      <c r="DK31" s="540">
        <f t="shared" si="90"/>
        <v>1296.8</v>
      </c>
      <c r="DL31" s="540">
        <f>DL29+DL24</f>
        <v>1277.9000000000003</v>
      </c>
      <c r="DM31" s="148">
        <f>DM29+DM24</f>
        <v>5146.0000000000018</v>
      </c>
      <c r="DN31" s="540">
        <f>DN29+DN24</f>
        <v>1374.9000000000008</v>
      </c>
      <c r="DO31" s="119">
        <f t="shared" ref="DO31:DQ31" si="91">DO29+DO24</f>
        <v>1292.6493327602539</v>
      </c>
      <c r="DP31" s="119">
        <f t="shared" si="91"/>
        <v>1505.4736461092043</v>
      </c>
      <c r="DQ31" s="119">
        <f t="shared" si="91"/>
        <v>1534.7187808107396</v>
      </c>
      <c r="DR31" s="151">
        <f>DR29+DR24</f>
        <v>5707.7417596802006</v>
      </c>
      <c r="DS31" s="540">
        <f t="shared" ref="DS31:DV31" si="92">DS29+DS24</f>
        <v>1553.7786674213401</v>
      </c>
      <c r="DT31" s="119">
        <f t="shared" si="92"/>
        <v>1460.2992643591188</v>
      </c>
      <c r="DU31" s="119">
        <f t="shared" si="92"/>
        <v>1689.714631477771</v>
      </c>
      <c r="DV31" s="119">
        <f t="shared" si="92"/>
        <v>1715.0900747639535</v>
      </c>
      <c r="DW31" s="151">
        <f>DW29+DW24</f>
        <v>6418.8826380221817</v>
      </c>
      <c r="DX31" s="540">
        <f t="shared" ref="DX31:EA31" si="93">DX29+DX24</f>
        <v>1726.4917683723188</v>
      </c>
      <c r="DY31" s="119">
        <f t="shared" si="93"/>
        <v>1632.596396707198</v>
      </c>
      <c r="DZ31" s="119">
        <f t="shared" si="93"/>
        <v>1885.4569666181001</v>
      </c>
      <c r="EA31" s="119">
        <f t="shared" si="93"/>
        <v>1911.0747048571507</v>
      </c>
      <c r="EB31" s="151">
        <f>EB29+EB24</f>
        <v>7155.6198365547734</v>
      </c>
      <c r="ED31" s="28"/>
      <c r="EE31" s="28"/>
      <c r="EG31" s="151">
        <f>S31+T31+U31+W31</f>
        <v>220.25200000000007</v>
      </c>
      <c r="EH31" s="151">
        <f>X31+Y31+Z31+AB31</f>
        <v>285.04300000000001</v>
      </c>
      <c r="EI31" s="151">
        <f>AC31+AD31+AE31+AG31</f>
        <v>384.49900000000002</v>
      </c>
      <c r="EJ31" s="151">
        <f>AH31+AI31+AJ31+AL31</f>
        <v>487.49500000000006</v>
      </c>
      <c r="EK31" s="151">
        <f>AM31+AN31+AO31+AQ31</f>
        <v>591.95399999999984</v>
      </c>
      <c r="EL31" s="151">
        <f>AR31+AS31+AT31+AV31</f>
        <v>748.27509999999961</v>
      </c>
      <c r="EM31" s="151">
        <f>AW31+AX31+AY31+BA31</f>
        <v>986.69800000000021</v>
      </c>
      <c r="EN31" s="151">
        <f t="shared" si="54"/>
        <v>1212.8629999999998</v>
      </c>
      <c r="EO31" s="151">
        <f>SUM(BG31:BI31,BK31)</f>
        <v>1364.8320000000003</v>
      </c>
      <c r="EP31" s="151">
        <f>SUM(BL31:BN31,BP31)</f>
        <v>1582.337</v>
      </c>
      <c r="EQ31" s="151">
        <f>EQ30+EQ24</f>
        <v>1216.3599999999997</v>
      </c>
      <c r="ER31" s="151">
        <f>SUM(BV31:BX31,BZ31)</f>
        <v>1327.9000000000005</v>
      </c>
      <c r="ES31" s="151">
        <f t="shared" ref="ES31:EZ31" si="94">ES29+ES24</f>
        <v>2076.3000000000011</v>
      </c>
      <c r="ET31" s="151">
        <f t="shared" si="94"/>
        <v>2282.7999999999993</v>
      </c>
      <c r="EU31" s="151">
        <f t="shared" si="94"/>
        <v>2636.599999999999</v>
      </c>
      <c r="EV31" s="151">
        <f t="shared" si="94"/>
        <v>3263.7000000000021</v>
      </c>
      <c r="EW31" s="151">
        <f t="shared" si="94"/>
        <v>3928.9000000000015</v>
      </c>
      <c r="EX31" s="151">
        <f t="shared" si="94"/>
        <v>4666.8999999999996</v>
      </c>
      <c r="EY31" s="151">
        <f t="shared" si="94"/>
        <v>5241.6000000000031</v>
      </c>
      <c r="EZ31" s="151">
        <f t="shared" si="94"/>
        <v>5138.6000000000022</v>
      </c>
      <c r="FA31" s="151">
        <f>FA29+FA24</f>
        <v>5886.6204271015395</v>
      </c>
      <c r="FB31" s="151">
        <f>FB29+FB24</f>
        <v>6591.595738973163</v>
      </c>
      <c r="FD31" s="43" t="s">
        <v>176</v>
      </c>
      <c r="FE31" s="548">
        <f t="shared" si="67"/>
        <v>1374.9000000000008</v>
      </c>
      <c r="FF31" s="849">
        <v>1482.4915440945831</v>
      </c>
      <c r="FG31" s="460">
        <f t="shared" si="68"/>
        <v>-107.59154409458233</v>
      </c>
      <c r="FH31" s="460">
        <f t="shared" si="69"/>
        <v>1382.2999999999995</v>
      </c>
      <c r="FI31" s="251">
        <f t="shared" si="52"/>
        <v>-5.353396513056996E-3</v>
      </c>
      <c r="FJ31"/>
      <c r="FK31"/>
      <c r="FL31"/>
      <c r="FM31"/>
      <c r="FN31"/>
      <c r="FO31"/>
      <c r="FP31"/>
      <c r="FQ31"/>
      <c r="FR31"/>
    </row>
    <row r="32" spans="1:174" s="7" customFormat="1" x14ac:dyDescent="0.2">
      <c r="A32" s="7" t="s">
        <v>177</v>
      </c>
      <c r="B32" s="310"/>
      <c r="C32" s="368"/>
      <c r="D32" s="368"/>
      <c r="E32" s="368"/>
      <c r="F32" s="368"/>
      <c r="G32" s="310"/>
      <c r="H32" s="368"/>
      <c r="I32" s="368"/>
      <c r="J32" s="368"/>
      <c r="K32" s="368"/>
      <c r="L32" s="310"/>
      <c r="M32" s="368"/>
      <c r="N32" s="368"/>
      <c r="O32" s="368"/>
      <c r="P32" s="368"/>
      <c r="Q32" s="310"/>
      <c r="R32" s="368"/>
      <c r="S32" s="368"/>
      <c r="T32" s="368"/>
      <c r="U32" s="368"/>
      <c r="V32" s="310"/>
      <c r="W32" s="368"/>
      <c r="X32" s="368"/>
      <c r="Y32" s="368"/>
      <c r="Z32" s="368"/>
      <c r="AA32" s="310"/>
      <c r="AB32" s="368"/>
      <c r="AC32" s="368"/>
      <c r="AD32" s="368"/>
      <c r="AE32" s="368"/>
      <c r="AF32" s="310"/>
      <c r="AG32" s="368"/>
      <c r="AH32" s="368"/>
      <c r="AI32" s="368"/>
      <c r="AJ32" s="368"/>
      <c r="AK32" s="310"/>
      <c r="AL32" s="368"/>
      <c r="AM32" s="368"/>
      <c r="AN32" s="368"/>
      <c r="AO32" s="368"/>
      <c r="AP32" s="310"/>
      <c r="AQ32" s="368"/>
      <c r="AR32" s="368"/>
      <c r="AS32" s="368"/>
      <c r="AT32" s="368"/>
      <c r="AU32" s="310"/>
      <c r="AV32" s="368"/>
      <c r="AW32" s="368"/>
      <c r="AX32" s="368"/>
      <c r="AY32" s="368"/>
      <c r="AZ32" s="310"/>
      <c r="BA32" s="368"/>
      <c r="BB32" s="368"/>
      <c r="BC32" s="368"/>
      <c r="BD32" s="368"/>
      <c r="BE32" s="310"/>
      <c r="BF32" s="368"/>
      <c r="BG32" s="368"/>
      <c r="BH32" s="368"/>
      <c r="BI32" s="368"/>
      <c r="BJ32" s="310"/>
      <c r="BK32" s="368"/>
      <c r="BL32" s="368"/>
      <c r="BM32" s="368"/>
      <c r="BN32" s="368"/>
      <c r="BO32" s="310"/>
      <c r="BP32" s="368">
        <f>BP31+BP26</f>
        <v>472.99999999999989</v>
      </c>
      <c r="BQ32" s="368">
        <f>BQ31+BQ26</f>
        <v>324.56</v>
      </c>
      <c r="BR32" s="368">
        <f>BR31+BR26</f>
        <v>291.09999999999974</v>
      </c>
      <c r="BS32" s="368">
        <f>BS31+BS26</f>
        <v>286.60000000000002</v>
      </c>
      <c r="BT32" s="310">
        <f t="shared" si="74"/>
        <v>1375.2599999999998</v>
      </c>
      <c r="BU32" s="368">
        <f>BU31+BU26</f>
        <v>327.49999999999983</v>
      </c>
      <c r="BV32" s="368">
        <f>BV31+BV26</f>
        <v>327.10000000000014</v>
      </c>
      <c r="BW32" s="368">
        <f>BW31+BW26</f>
        <v>389.30000000000007</v>
      </c>
      <c r="BX32" s="368">
        <f>BX31+BX26</f>
        <v>385.20000000000022</v>
      </c>
      <c r="BY32" s="310">
        <f>SUM(BU32:BX32)</f>
        <v>1429.1000000000004</v>
      </c>
      <c r="BZ32" s="368">
        <f t="shared" ref="BZ32:CX32" si="95">BZ31+BZ26</f>
        <v>501.50000000000017</v>
      </c>
      <c r="CA32" s="368">
        <f t="shared" si="95"/>
        <v>476.20000000000039</v>
      </c>
      <c r="CB32" s="368">
        <f t="shared" si="95"/>
        <v>473.29999999999995</v>
      </c>
      <c r="CC32" s="368">
        <f t="shared" si="95"/>
        <v>531.80000000000018</v>
      </c>
      <c r="CD32" s="310">
        <f t="shared" si="95"/>
        <v>1982.7999999999993</v>
      </c>
      <c r="CE32" s="368">
        <f t="shared" si="95"/>
        <v>629.70000000000027</v>
      </c>
      <c r="CF32" s="368">
        <f t="shared" si="95"/>
        <v>505.09999999999974</v>
      </c>
      <c r="CG32" s="368">
        <f t="shared" si="95"/>
        <v>531.70000000000027</v>
      </c>
      <c r="CH32" s="368">
        <f t="shared" si="95"/>
        <v>555.19999999999993</v>
      </c>
      <c r="CI32" s="310">
        <f t="shared" si="95"/>
        <v>2221.7000000000003</v>
      </c>
      <c r="CJ32" s="368">
        <f t="shared" si="95"/>
        <v>690.80000000000018</v>
      </c>
      <c r="CK32" s="368">
        <f t="shared" si="95"/>
        <v>567.49999999999966</v>
      </c>
      <c r="CL32" s="368">
        <f t="shared" si="95"/>
        <v>628.29999999999984</v>
      </c>
      <c r="CM32" s="368">
        <f t="shared" si="95"/>
        <v>661.3</v>
      </c>
      <c r="CN32" s="310">
        <f t="shared" si="95"/>
        <v>2547.8999999999996</v>
      </c>
      <c r="CO32" s="368">
        <f t="shared" si="95"/>
        <v>779.5</v>
      </c>
      <c r="CP32" s="368">
        <f t="shared" si="95"/>
        <v>697.1999999999997</v>
      </c>
      <c r="CQ32" s="541">
        <f t="shared" si="95"/>
        <v>768.50000000000023</v>
      </c>
      <c r="CR32" s="368">
        <f>CR31+CR26</f>
        <v>835</v>
      </c>
      <c r="CS32" s="310">
        <f t="shared" si="95"/>
        <v>3080.1999999999966</v>
      </c>
      <c r="CT32" s="541">
        <f t="shared" si="95"/>
        <v>963.00000000000045</v>
      </c>
      <c r="CU32" s="541">
        <f t="shared" si="95"/>
        <v>818.50000000000034</v>
      </c>
      <c r="CV32" s="541">
        <f t="shared" si="95"/>
        <v>948.59999999999991</v>
      </c>
      <c r="CW32" s="663">
        <f>CW31+CW26+2.4</f>
        <v>1042.7000000000005</v>
      </c>
      <c r="CX32" s="310">
        <f t="shared" si="95"/>
        <v>3770.4000000000024</v>
      </c>
      <c r="CY32" s="368">
        <f>CY30+CY24</f>
        <v>1140.8000000000006</v>
      </c>
      <c r="CZ32" s="368">
        <f t="shared" ref="CZ32:DH32" si="96">CZ30+CZ24</f>
        <v>1006.5</v>
      </c>
      <c r="DA32" s="368">
        <f t="shared" si="96"/>
        <v>1186.5999999999997</v>
      </c>
      <c r="DB32" s="368">
        <f t="shared" si="96"/>
        <v>1215.5999999999995</v>
      </c>
      <c r="DC32" s="310">
        <f t="shared" si="96"/>
        <v>4549.5</v>
      </c>
      <c r="DD32" s="368">
        <f>DD30+DD24</f>
        <v>1305.8</v>
      </c>
      <c r="DE32" s="368">
        <f>DE30+DE24</f>
        <v>1125.8999999999996</v>
      </c>
      <c r="DF32" s="368">
        <f t="shared" si="96"/>
        <v>1287.1999999999996</v>
      </c>
      <c r="DG32" s="368">
        <f>DG30+DG24</f>
        <v>1494.100000000001</v>
      </c>
      <c r="DH32" s="310">
        <f t="shared" si="96"/>
        <v>5178.6122022180016</v>
      </c>
      <c r="DI32" s="368">
        <f>DI30+DI24</f>
        <v>1396.2999999999995</v>
      </c>
      <c r="DJ32" s="368">
        <f t="shared" ref="DJ32:DM32" si="97">DJ30+DJ24</f>
        <v>1202.8000000000002</v>
      </c>
      <c r="DK32" s="368">
        <f>DK30+DK24</f>
        <v>1431</v>
      </c>
      <c r="DL32" s="368">
        <f>DL30+DL24</f>
        <v>1393.7</v>
      </c>
      <c r="DM32" s="310">
        <f t="shared" si="97"/>
        <v>5423.8</v>
      </c>
      <c r="DN32" s="368">
        <f>DN30+DN24</f>
        <v>1426.3</v>
      </c>
      <c r="DO32" s="368">
        <f t="shared" ref="DO32:DR32" si="98">DO30+DO24</f>
        <v>1307.060359240063</v>
      </c>
      <c r="DP32" s="368">
        <f t="shared" si="98"/>
        <v>1519.7835406783711</v>
      </c>
      <c r="DQ32" s="368">
        <f t="shared" si="98"/>
        <v>1548.9301226323239</v>
      </c>
      <c r="DR32" s="310">
        <f t="shared" si="98"/>
        <v>5802.0740225507579</v>
      </c>
      <c r="DS32" s="368">
        <f>DS30+DS24</f>
        <v>1567.908292814509</v>
      </c>
      <c r="DT32" s="368">
        <f t="shared" ref="DT32:DW32" si="99">DT30+DT24</f>
        <v>1474.353743112139</v>
      </c>
      <c r="DU32" s="368">
        <f t="shared" si="99"/>
        <v>1703.6860968315998</v>
      </c>
      <c r="DV32" s="368">
        <f t="shared" si="99"/>
        <v>1728.9807506167199</v>
      </c>
      <c r="DW32" s="310">
        <f t="shared" si="99"/>
        <v>6474.9288833749679</v>
      </c>
      <c r="DX32" s="368">
        <f>DX30+DX24</f>
        <v>1740.3293894745229</v>
      </c>
      <c r="DY32" s="368">
        <f t="shared" ref="DY32:EB32" si="100">DY30+DY24</f>
        <v>1646.3982175837073</v>
      </c>
      <c r="DZ32" s="368">
        <f t="shared" si="100"/>
        <v>1899.1847078676019</v>
      </c>
      <c r="EA32" s="368">
        <f t="shared" si="100"/>
        <v>1924.7007740618237</v>
      </c>
      <c r="EB32" s="310">
        <f t="shared" si="100"/>
        <v>7210.6130889876567</v>
      </c>
      <c r="ED32" s="378"/>
      <c r="EE32" s="378"/>
      <c r="EG32" s="456"/>
      <c r="EH32" s="456"/>
      <c r="EI32" s="456"/>
      <c r="EJ32" s="456"/>
      <c r="EK32" s="456"/>
      <c r="EL32" s="159"/>
      <c r="EM32" s="159"/>
      <c r="EN32" s="159"/>
      <c r="EO32" s="159"/>
      <c r="EP32" s="159"/>
      <c r="EQ32" s="310">
        <f>SUM(BQ32:BS32,BU32)</f>
        <v>1229.7599999999995</v>
      </c>
      <c r="ER32" s="310">
        <f>SUM(BV32:BX32,BZ32)</f>
        <v>1603.1000000000006</v>
      </c>
      <c r="ES32" s="310">
        <f t="shared" ref="ES32:ES38" si="101">SUM(CA32:CC32,CE32)</f>
        <v>2111.0000000000009</v>
      </c>
      <c r="ET32" s="310">
        <f>ET31</f>
        <v>2282.7999999999993</v>
      </c>
      <c r="EU32" s="310">
        <f t="shared" ref="EU32:EU38" si="102">SUM(CK32,CL32,CM32,CO32)</f>
        <v>2636.5999999999995</v>
      </c>
      <c r="EV32" s="310">
        <f t="shared" ref="EV32:EV38" si="103">SUM(CT32,CR32,CQ32,CP32)</f>
        <v>3263.7000000000007</v>
      </c>
      <c r="EW32" s="310">
        <f t="shared" ref="EW32:EW38" si="104">CU32+CV32+CW32+CY32</f>
        <v>3950.6000000000017</v>
      </c>
      <c r="EX32" s="310">
        <f t="shared" ref="EX32:EX38" si="105">CZ32+DA32+DB32+DD32</f>
        <v>4714.4999999999991</v>
      </c>
      <c r="EY32" s="310">
        <f t="shared" ref="EY32:EY38" si="106">DE32+DF32+DG32+DI32</f>
        <v>5303.5</v>
      </c>
      <c r="EZ32" s="310">
        <f t="shared" ref="EZ32:EZ38" si="107">DJ32+DK32+DL32+DN32</f>
        <v>5453.8</v>
      </c>
      <c r="FA32" s="310">
        <f t="shared" ref="FA32:FA38" si="108">DO32+DP32+DQ32+DS32</f>
        <v>5943.6823153652667</v>
      </c>
      <c r="FB32" s="310">
        <f t="shared" si="86"/>
        <v>6647.3499800349819</v>
      </c>
      <c r="FD32" s="159" t="s">
        <v>177</v>
      </c>
      <c r="FE32" s="549">
        <f t="shared" si="67"/>
        <v>1426.3</v>
      </c>
      <c r="FF32" s="549">
        <v>1498.5365518425804</v>
      </c>
      <c r="FG32" s="459">
        <f t="shared" si="68"/>
        <v>-72.236551842580411</v>
      </c>
      <c r="FH32" s="459">
        <f t="shared" si="69"/>
        <v>1396.2999999999995</v>
      </c>
      <c r="FI32" s="306">
        <f t="shared" si="52"/>
        <v>2.1485354150254654E-2</v>
      </c>
      <c r="FJ32" s="302"/>
      <c r="FK32" s="302"/>
      <c r="FL32"/>
      <c r="FM32"/>
      <c r="FN32"/>
      <c r="FO32"/>
      <c r="FP32"/>
      <c r="FQ32"/>
      <c r="FR32" s="302"/>
    </row>
    <row r="33" spans="1:174" s="1" customFormat="1" ht="10.5" customHeight="1" x14ac:dyDescent="0.2">
      <c r="A33" s="1" t="s">
        <v>178</v>
      </c>
      <c r="B33" s="20"/>
      <c r="G33" s="20"/>
      <c r="L33" s="20"/>
      <c r="Q33" s="20"/>
      <c r="V33" s="20"/>
      <c r="AA33" s="20"/>
      <c r="AF33" s="20"/>
      <c r="AK33" s="20"/>
      <c r="AP33" s="20"/>
      <c r="AU33" s="20"/>
      <c r="AZ33" s="20"/>
      <c r="BE33" s="20"/>
      <c r="BJ33" s="20"/>
      <c r="BK33" s="1">
        <v>13.5</v>
      </c>
      <c r="BO33" s="20"/>
      <c r="BP33" s="111">
        <v>10.7</v>
      </c>
      <c r="BQ33" s="111">
        <v>0.2</v>
      </c>
      <c r="BR33" s="111">
        <v>0.9</v>
      </c>
      <c r="BS33" s="111">
        <v>-2.8</v>
      </c>
      <c r="BT33" s="125">
        <f t="shared" si="74"/>
        <v>9</v>
      </c>
      <c r="BU33" s="111">
        <v>-6.4</v>
      </c>
      <c r="BV33" s="111">
        <v>3</v>
      </c>
      <c r="BW33" s="111">
        <v>18.600000000000001</v>
      </c>
      <c r="BX33" s="111">
        <v>21.4</v>
      </c>
      <c r="BY33" s="125">
        <f>SUM(BU33:BX33)</f>
        <v>36.6</v>
      </c>
      <c r="BZ33" s="111">
        <v>25.1</v>
      </c>
      <c r="CA33" s="111">
        <v>4.7</v>
      </c>
      <c r="CB33" s="111">
        <v>-1.4</v>
      </c>
      <c r="CC33" s="111">
        <v>21.9</v>
      </c>
      <c r="CD33" s="125">
        <f>SUM(BZ33:CC33)</f>
        <v>50.3</v>
      </c>
      <c r="CE33" s="111">
        <v>14.4</v>
      </c>
      <c r="CF33" s="111">
        <v>19.899999999999999</v>
      </c>
      <c r="CG33" s="111">
        <v>16</v>
      </c>
      <c r="CH33" s="111">
        <v>65.7</v>
      </c>
      <c r="CI33" s="125">
        <f>SUM(CE33:CH33)</f>
        <v>116</v>
      </c>
      <c r="CJ33" s="111">
        <v>23.2</v>
      </c>
      <c r="CK33" s="111">
        <v>35.299999999999997</v>
      </c>
      <c r="CL33" s="111">
        <v>9.6999999999999993</v>
      </c>
      <c r="CM33" s="111">
        <v>26.3</v>
      </c>
      <c r="CN33" s="125">
        <f>SUM(CJ33:CM33)</f>
        <v>94.5</v>
      </c>
      <c r="CO33" s="111">
        <v>-2.9</v>
      </c>
      <c r="CP33" s="111">
        <v>50.8</v>
      </c>
      <c r="CQ33" s="111">
        <v>3.5</v>
      </c>
      <c r="CR33" s="117">
        <v>72.099999999999994</v>
      </c>
      <c r="CS33" s="125">
        <f>SUM(CO33:CR33)</f>
        <v>123.5</v>
      </c>
      <c r="CT33" s="111">
        <v>19.8</v>
      </c>
      <c r="CU33" s="111">
        <v>17.8</v>
      </c>
      <c r="CV33" s="111">
        <v>19.399999999999999</v>
      </c>
      <c r="CW33" s="659">
        <v>85.7</v>
      </c>
      <c r="CX33" s="125">
        <f>SUM(CT33:CW33)</f>
        <v>142.69999999999999</v>
      </c>
      <c r="CY33" s="111">
        <v>9.6999999999999993</v>
      </c>
      <c r="CZ33" s="111">
        <v>1.3</v>
      </c>
      <c r="DA33" s="111">
        <v>25.5</v>
      </c>
      <c r="DB33" s="111">
        <v>6.4</v>
      </c>
      <c r="DC33" s="125">
        <f>SUM(CY33:DB33)</f>
        <v>42.9</v>
      </c>
      <c r="DD33" s="111">
        <v>8.1</v>
      </c>
      <c r="DE33" s="111">
        <v>14.5</v>
      </c>
      <c r="DF33" s="111">
        <v>72.900000000000006</v>
      </c>
      <c r="DG33" s="111">
        <v>12.5</v>
      </c>
      <c r="DH33" s="125">
        <f>SUM(DD33:DG33)</f>
        <v>108</v>
      </c>
      <c r="DI33" s="111">
        <v>24.1</v>
      </c>
      <c r="DJ33" s="111">
        <v>67.900000000000006</v>
      </c>
      <c r="DK33" s="111">
        <v>31.7</v>
      </c>
      <c r="DL33" s="111">
        <v>151.6</v>
      </c>
      <c r="DM33" s="125">
        <f>SUM(DI33:DL33)</f>
        <v>275.3</v>
      </c>
      <c r="DN33" s="111">
        <v>88.2</v>
      </c>
      <c r="DO33" s="143">
        <f>DO148</f>
        <v>26.25</v>
      </c>
      <c r="DP33" s="143">
        <f>DP148</f>
        <v>26.25</v>
      </c>
      <c r="DQ33" s="143">
        <f>DQ148</f>
        <v>26.25</v>
      </c>
      <c r="DR33" s="125">
        <f>SUM(DN33:DQ33)</f>
        <v>166.95</v>
      </c>
      <c r="DS33" s="143">
        <f>DS148</f>
        <v>27.5</v>
      </c>
      <c r="DT33" s="143">
        <f>DT148</f>
        <v>27.5</v>
      </c>
      <c r="DU33" s="143">
        <f>DU148</f>
        <v>27.5</v>
      </c>
      <c r="DV33" s="143">
        <f>DV148</f>
        <v>27.5</v>
      </c>
      <c r="DW33" s="125">
        <f>SUM(DS33:DV33)</f>
        <v>110</v>
      </c>
      <c r="DX33" s="143">
        <f>DX148</f>
        <v>27.5</v>
      </c>
      <c r="DY33" s="143">
        <f>DY148</f>
        <v>27.5</v>
      </c>
      <c r="DZ33" s="143">
        <f>DZ148</f>
        <v>27.5</v>
      </c>
      <c r="EA33" s="143">
        <f>EA148</f>
        <v>27.5</v>
      </c>
      <c r="EB33" s="125">
        <f>SUM(DX33:EA33)</f>
        <v>110</v>
      </c>
      <c r="ED33" s="28"/>
      <c r="EE33" s="28"/>
      <c r="EG33" s="71"/>
      <c r="EH33" s="71"/>
      <c r="EI33" s="71"/>
      <c r="EJ33" s="71"/>
      <c r="EK33" s="71"/>
      <c r="EL33" s="20"/>
      <c r="EM33" s="20"/>
      <c r="EN33" s="20"/>
      <c r="EO33" s="20"/>
      <c r="EP33" s="20"/>
      <c r="EQ33" s="125"/>
      <c r="ER33" s="125">
        <f>SUM(BZ33:CB33,CD33)</f>
        <v>78.7</v>
      </c>
      <c r="ES33" s="125">
        <f t="shared" si="101"/>
        <v>39.6</v>
      </c>
      <c r="ET33" s="125">
        <f>SUM(CF33:CH33,CJ33)</f>
        <v>124.8</v>
      </c>
      <c r="EU33" s="125">
        <f t="shared" si="102"/>
        <v>68.399999999999991</v>
      </c>
      <c r="EV33" s="125">
        <f t="shared" si="103"/>
        <v>146.19999999999999</v>
      </c>
      <c r="EW33" s="125">
        <f t="shared" si="104"/>
        <v>132.6</v>
      </c>
      <c r="EX33" s="125">
        <f t="shared" si="105"/>
        <v>41.300000000000004</v>
      </c>
      <c r="EY33" s="125">
        <f t="shared" si="106"/>
        <v>124</v>
      </c>
      <c r="EZ33" s="125">
        <f t="shared" si="107"/>
        <v>339.4</v>
      </c>
      <c r="FA33" s="125">
        <f t="shared" si="108"/>
        <v>106.25</v>
      </c>
      <c r="FB33" s="125">
        <f t="shared" si="86"/>
        <v>110</v>
      </c>
      <c r="FD33" s="20" t="s">
        <v>178</v>
      </c>
      <c r="FE33" s="521">
        <f t="shared" si="67"/>
        <v>88.2</v>
      </c>
      <c r="FF33" s="521">
        <v>26.25</v>
      </c>
      <c r="FG33" s="401">
        <f t="shared" si="68"/>
        <v>61.95</v>
      </c>
      <c r="FH33" s="401">
        <f t="shared" si="69"/>
        <v>24.1</v>
      </c>
      <c r="FI33" s="249">
        <f t="shared" si="52"/>
        <v>2.6597510373443982</v>
      </c>
      <c r="FJ33"/>
      <c r="FK33"/>
      <c r="FL33"/>
      <c r="FM33"/>
      <c r="FN33"/>
      <c r="FO33"/>
      <c r="FP33"/>
      <c r="FQ33"/>
      <c r="FR33"/>
    </row>
    <row r="34" spans="1:174" s="1" customFormat="1" x14ac:dyDescent="0.2">
      <c r="A34" s="1" t="s">
        <v>179</v>
      </c>
      <c r="B34" s="20"/>
      <c r="G34" s="20"/>
      <c r="L34" s="20"/>
      <c r="Q34" s="20"/>
      <c r="V34" s="20"/>
      <c r="AA34" s="20"/>
      <c r="AF34" s="20"/>
      <c r="AK34" s="20"/>
      <c r="AP34" s="20"/>
      <c r="AU34" s="20"/>
      <c r="AZ34" s="20"/>
      <c r="BE34" s="20"/>
      <c r="BJ34" s="20"/>
      <c r="BK34" s="1">
        <v>7</v>
      </c>
      <c r="BO34" s="20"/>
      <c r="BP34" s="111">
        <v>17.100000000000001</v>
      </c>
      <c r="BQ34" s="111">
        <v>11.2</v>
      </c>
      <c r="BR34" s="111">
        <v>12.5</v>
      </c>
      <c r="BS34" s="111">
        <v>12.6</v>
      </c>
      <c r="BT34" s="125">
        <f t="shared" si="74"/>
        <v>53.4</v>
      </c>
      <c r="BU34" s="111">
        <v>13</v>
      </c>
      <c r="BV34" s="111">
        <v>8.9</v>
      </c>
      <c r="BW34" s="111">
        <v>8.6</v>
      </c>
      <c r="BX34" s="111">
        <v>8.6</v>
      </c>
      <c r="BY34" s="125">
        <f>SUM(BU34:BX34)</f>
        <v>39.1</v>
      </c>
      <c r="BZ34" s="111">
        <v>8.1999999999999993</v>
      </c>
      <c r="CA34" s="111">
        <v>8</v>
      </c>
      <c r="CB34" s="111">
        <v>7.9</v>
      </c>
      <c r="CC34" s="111">
        <v>8.6</v>
      </c>
      <c r="CD34" s="125">
        <f>SUM(BZ34:CC34)</f>
        <v>32.700000000000003</v>
      </c>
      <c r="CE34" s="111">
        <v>7.9</v>
      </c>
      <c r="CF34" s="111">
        <v>7.1</v>
      </c>
      <c r="CG34" s="111">
        <v>8.5</v>
      </c>
      <c r="CH34" s="111">
        <v>9.8000000000000007</v>
      </c>
      <c r="CI34" s="125">
        <f>SUM(CE34:CH34)</f>
        <v>33.299999999999997</v>
      </c>
      <c r="CJ34" s="111">
        <v>8.6</v>
      </c>
      <c r="CK34" s="111">
        <v>8.8000000000000007</v>
      </c>
      <c r="CL34" s="111">
        <v>8.9</v>
      </c>
      <c r="CM34" s="111">
        <v>6.4</v>
      </c>
      <c r="CN34" s="125">
        <f>SUM(CJ34:CM34)</f>
        <v>32.699999999999996</v>
      </c>
      <c r="CO34" s="111">
        <v>6.6</v>
      </c>
      <c r="CP34" s="111">
        <v>6.1</v>
      </c>
      <c r="CQ34" s="111">
        <v>6.3</v>
      </c>
      <c r="CR34" s="117">
        <v>9.1</v>
      </c>
      <c r="CS34" s="125">
        <f>SUM(CO34:CR34)</f>
        <v>28.1</v>
      </c>
      <c r="CT34" s="111">
        <v>14.5</v>
      </c>
      <c r="CU34" s="607">
        <v>16.7</v>
      </c>
      <c r="CV34" s="607">
        <v>16.399999999999999</v>
      </c>
      <c r="CW34" s="665">
        <v>16.399999999999999</v>
      </c>
      <c r="CX34" s="307">
        <f>SUM(CT34:CW34)</f>
        <v>63.999999999999993</v>
      </c>
      <c r="CY34" s="607">
        <v>16.3</v>
      </c>
      <c r="CZ34" s="607">
        <v>16.899999999999999</v>
      </c>
      <c r="DA34" s="607">
        <v>19.100000000000001</v>
      </c>
      <c r="DB34" s="607">
        <v>18.2</v>
      </c>
      <c r="DC34" s="307">
        <f>SUM(CY34:DB34)</f>
        <v>70.5</v>
      </c>
      <c r="DD34" s="111">
        <v>16.5</v>
      </c>
      <c r="DE34" s="111">
        <v>18.3</v>
      </c>
      <c r="DF34" s="111">
        <v>21.8</v>
      </c>
      <c r="DG34" s="111">
        <v>24.7</v>
      </c>
      <c r="DH34" s="125">
        <f>SUM(DD34:DG34)</f>
        <v>81.3</v>
      </c>
      <c r="DI34" s="111">
        <v>23.8</v>
      </c>
      <c r="DJ34" s="111">
        <v>22.9</v>
      </c>
      <c r="DK34" s="111">
        <v>23.5</v>
      </c>
      <c r="DL34" s="111">
        <v>22.3</v>
      </c>
      <c r="DM34" s="125">
        <f>SUM(DI34:DL34)</f>
        <v>92.5</v>
      </c>
      <c r="DN34" s="111">
        <v>25.9</v>
      </c>
      <c r="DO34" s="111">
        <f>DO145</f>
        <v>33.953750000000007</v>
      </c>
      <c r="DP34" s="111">
        <f>DP145</f>
        <v>32.308262685056313</v>
      </c>
      <c r="DQ34" s="111">
        <f>DQ145</f>
        <v>33.953750000000007</v>
      </c>
      <c r="DR34" s="125">
        <f>SUM(DN34:DQ34)</f>
        <v>126.11576268505632</v>
      </c>
      <c r="DS34" s="111">
        <f>DS145</f>
        <v>38.641250000000007</v>
      </c>
      <c r="DT34" s="111">
        <f>DT145</f>
        <v>43.328750000000007</v>
      </c>
      <c r="DU34" s="111">
        <f>DU145</f>
        <v>41.228925724408455</v>
      </c>
      <c r="DV34" s="111">
        <f>DV145</f>
        <v>43.328750000000007</v>
      </c>
      <c r="DW34" s="125">
        <f>SUM(DS34:DV34)</f>
        <v>166.52767572440848</v>
      </c>
      <c r="DX34" s="111">
        <f>DX145</f>
        <v>46.453750000000007</v>
      </c>
      <c r="DY34" s="111">
        <f>DY145</f>
        <v>49.578750000000007</v>
      </c>
      <c r="DZ34" s="111">
        <f>DZ145</f>
        <v>47.176034417309886</v>
      </c>
      <c r="EA34" s="111">
        <f>EA145</f>
        <v>49.578750000000007</v>
      </c>
      <c r="EB34" s="125">
        <f>SUM(DX34:EA34)</f>
        <v>192.78728441730991</v>
      </c>
      <c r="ED34" s="28"/>
      <c r="EE34" s="28"/>
      <c r="EG34" s="71"/>
      <c r="EH34" s="71"/>
      <c r="EI34" s="71"/>
      <c r="EJ34" s="71"/>
      <c r="EK34" s="71"/>
      <c r="EL34" s="20"/>
      <c r="EM34" s="20"/>
      <c r="EN34" s="20"/>
      <c r="EO34" s="20"/>
      <c r="EP34" s="20"/>
      <c r="EQ34" s="125"/>
      <c r="ER34" s="125">
        <f>SUM(BZ34:CB34,CD34)</f>
        <v>56.800000000000004</v>
      </c>
      <c r="ES34" s="125">
        <f t="shared" si="101"/>
        <v>32.4</v>
      </c>
      <c r="ET34" s="125">
        <f>SUM(CF34:CH34,CJ34)</f>
        <v>34</v>
      </c>
      <c r="EU34" s="125">
        <f t="shared" si="102"/>
        <v>30.700000000000003</v>
      </c>
      <c r="EV34" s="125">
        <f t="shared" si="103"/>
        <v>36</v>
      </c>
      <c r="EW34" s="125">
        <f t="shared" si="104"/>
        <v>65.8</v>
      </c>
      <c r="EX34" s="125">
        <f t="shared" si="105"/>
        <v>70.7</v>
      </c>
      <c r="EY34" s="125">
        <f t="shared" si="106"/>
        <v>88.6</v>
      </c>
      <c r="EZ34" s="125">
        <f t="shared" si="107"/>
        <v>94.6</v>
      </c>
      <c r="FA34" s="125">
        <f t="shared" si="108"/>
        <v>138.85701268505633</v>
      </c>
      <c r="FB34" s="125">
        <f t="shared" si="86"/>
        <v>174.34017572440848</v>
      </c>
      <c r="FD34" s="20" t="s">
        <v>179</v>
      </c>
      <c r="FE34" s="521">
        <f t="shared" si="67"/>
        <v>25.9</v>
      </c>
      <c r="FF34" s="521">
        <v>29.266250000000003</v>
      </c>
      <c r="FG34" s="401">
        <f t="shared" si="68"/>
        <v>-3.3662500000000044</v>
      </c>
      <c r="FH34" s="401">
        <f t="shared" si="69"/>
        <v>23.8</v>
      </c>
      <c r="FI34" s="249">
        <f t="shared" si="52"/>
        <v>8.8235294117646967E-2</v>
      </c>
      <c r="FJ34"/>
      <c r="FK34"/>
      <c r="FL34"/>
      <c r="FM34"/>
      <c r="FN34"/>
      <c r="FO34"/>
      <c r="FP34"/>
      <c r="FQ34"/>
      <c r="FR34"/>
    </row>
    <row r="35" spans="1:174" s="1" customFormat="1" hidden="1" outlineLevel="2" x14ac:dyDescent="0.2">
      <c r="A35" s="1" t="s">
        <v>180</v>
      </c>
      <c r="B35" s="125">
        <v>1.738</v>
      </c>
      <c r="C35" s="111">
        <f>949-985</f>
        <v>-36</v>
      </c>
      <c r="D35" s="111">
        <f>-2.371+9.26</f>
        <v>6.8889999999999993</v>
      </c>
      <c r="E35" s="111">
        <f>-1.917+0.907</f>
        <v>-1.01</v>
      </c>
      <c r="F35" s="111">
        <f>1.519-0.962</f>
        <v>0.55699999999999994</v>
      </c>
      <c r="G35" s="125">
        <f>-6.792+3.765</f>
        <v>-3.0269999999999997</v>
      </c>
      <c r="H35" s="111">
        <f>2.25-2.258</f>
        <v>-8.0000000000000071E-3</v>
      </c>
      <c r="I35" s="111">
        <f>-2.857+2.709</f>
        <v>-0.14800000000000013</v>
      </c>
      <c r="J35" s="111">
        <f>-2.829+1.96</f>
        <v>-0.86900000000000022</v>
      </c>
      <c r="K35" s="111">
        <f>-3.085-0.017+1.82</f>
        <v>-1.2819999999999998</v>
      </c>
      <c r="L35" s="125">
        <f>SUM(H35:K35)</f>
        <v>-2.3070000000000004</v>
      </c>
      <c r="M35" s="111">
        <f>1.804-3.936</f>
        <v>-2.1319999999999997</v>
      </c>
      <c r="N35" s="111">
        <f>1.834-3.531</f>
        <v>-1.6970000000000001</v>
      </c>
      <c r="O35" s="111">
        <f>1.823-2.605</f>
        <v>-0.78200000000000003</v>
      </c>
      <c r="P35" s="111">
        <f>1.821-2.321</f>
        <v>-0.50000000000000022</v>
      </c>
      <c r="Q35" s="125">
        <f>SUM(M35:P35)</f>
        <v>-5.1109999999999998</v>
      </c>
      <c r="R35" s="111">
        <f>0.845-2.157</f>
        <v>-1.3120000000000001</v>
      </c>
      <c r="S35" s="111">
        <f>0.235-2.329</f>
        <v>-2.0940000000000003</v>
      </c>
      <c r="T35" s="111">
        <f>-2.176+0.114</f>
        <v>-2.0620000000000003</v>
      </c>
      <c r="U35" s="111">
        <v>-1.665</v>
      </c>
      <c r="V35" s="125">
        <f>SUM(R35:U35)</f>
        <v>-7.1330000000000009</v>
      </c>
      <c r="W35" s="111">
        <f>0.183-2.124</f>
        <v>-1.9410000000000001</v>
      </c>
      <c r="X35" s="111">
        <f>0.234-2.431</f>
        <v>-2.1970000000000001</v>
      </c>
      <c r="Y35" s="111">
        <f>-1.954+0.434</f>
        <v>-1.52</v>
      </c>
      <c r="Z35" s="111">
        <f>-2.169+0.512</f>
        <v>-1.657</v>
      </c>
      <c r="AA35" s="125">
        <f>SUM(W35:Z35)</f>
        <v>-7.3149999999999995</v>
      </c>
      <c r="AB35" s="111">
        <f>-1.414</f>
        <v>-1.4139999999999999</v>
      </c>
      <c r="AC35" s="111">
        <f>-2.242</f>
        <v>-2.242</v>
      </c>
      <c r="AD35" s="111">
        <f>-1.55</f>
        <v>-1.55</v>
      </c>
      <c r="AE35" s="111">
        <v>-1.899</v>
      </c>
      <c r="AF35" s="125">
        <f>SUM(AB35:AE35)</f>
        <v>-7.1049999999999995</v>
      </c>
      <c r="AG35" s="111">
        <v>-1.7130000000000001</v>
      </c>
      <c r="AH35" s="111">
        <v>-1.56</v>
      </c>
      <c r="AI35" s="111">
        <v>-2.91</v>
      </c>
      <c r="AJ35" s="111">
        <v>-1.645</v>
      </c>
      <c r="AK35" s="125">
        <v>-10.768000000000001</v>
      </c>
      <c r="AL35" s="111">
        <v>-2.4929999999999999</v>
      </c>
      <c r="AM35" s="111">
        <v>-2.1349999999999998</v>
      </c>
      <c r="AN35" s="111">
        <v>-1.456</v>
      </c>
      <c r="AO35" s="111">
        <v>-3.2160000000000002</v>
      </c>
      <c r="AP35" s="125">
        <f>SUM(AL35:AO35)</f>
        <v>-9.3000000000000007</v>
      </c>
      <c r="AQ35" s="111">
        <v>-4.4960000000000004</v>
      </c>
      <c r="AR35" s="111">
        <v>-1.2390000000000001</v>
      </c>
      <c r="AS35" s="111">
        <v>-5.1150000000000002</v>
      </c>
      <c r="AT35" s="111">
        <v>-0.77200000000000002</v>
      </c>
      <c r="AU35" s="125">
        <f>SUM(AQ35:AT35)</f>
        <v>-11.622000000000002</v>
      </c>
      <c r="AV35" s="111">
        <v>-3.2080000000000002</v>
      </c>
      <c r="AW35" s="111">
        <v>-3.6850000000000001</v>
      </c>
      <c r="AX35" s="111">
        <v>-4.4240000000000004</v>
      </c>
      <c r="AY35" s="111">
        <v>-2.823</v>
      </c>
      <c r="AZ35" s="125">
        <f>SUM(AV35:AY35)</f>
        <v>-14.14</v>
      </c>
      <c r="BA35" s="111">
        <v>-5.1219999999999999</v>
      </c>
      <c r="BB35" s="111">
        <v>-4.0140000000000002</v>
      </c>
      <c r="BC35" s="111">
        <v>-3.2349999999999999</v>
      </c>
      <c r="BD35" s="111">
        <v>-3.4580000000000002</v>
      </c>
      <c r="BE35" s="125">
        <f>SUM(BA35:BD35)</f>
        <v>-15.828999999999999</v>
      </c>
      <c r="BF35" s="111">
        <v>-0.34799999999999998</v>
      </c>
      <c r="BG35" s="111">
        <v>-3.0630000000000002</v>
      </c>
      <c r="BH35" s="111">
        <v>-5.0279999999999996</v>
      </c>
      <c r="BI35" s="111">
        <v>-3.8519999999999999</v>
      </c>
      <c r="BJ35" s="125">
        <f>SUM(BF35:BI35)</f>
        <v>-12.291</v>
      </c>
      <c r="BK35" s="111">
        <f>BK34-BK33</f>
        <v>-6.5</v>
      </c>
      <c r="BL35" s="111">
        <v>0.59199999999999997</v>
      </c>
      <c r="BM35" s="111">
        <v>2.2410000000000001</v>
      </c>
      <c r="BN35" s="111">
        <v>1.1870000000000001</v>
      </c>
      <c r="BO35" s="125">
        <f>SUM(BK35:BN35)</f>
        <v>-2.4800000000000004</v>
      </c>
      <c r="BP35" s="111">
        <f>BP34-BP33</f>
        <v>6.4000000000000021</v>
      </c>
      <c r="BQ35" s="111">
        <f>BQ34-BQ33</f>
        <v>11</v>
      </c>
      <c r="BR35" s="111">
        <f>BR34-BR33</f>
        <v>11.6</v>
      </c>
      <c r="BS35" s="111">
        <f>BS34-BS33</f>
        <v>15.399999999999999</v>
      </c>
      <c r="BT35" s="125">
        <f t="shared" si="74"/>
        <v>44.4</v>
      </c>
      <c r="BU35" s="111">
        <f>BU34-BU33</f>
        <v>19.399999999999999</v>
      </c>
      <c r="BV35" s="111">
        <f>BV34-BV33</f>
        <v>5.9</v>
      </c>
      <c r="BW35" s="111">
        <f>BW34-BW33</f>
        <v>-10.000000000000002</v>
      </c>
      <c r="BX35" s="111">
        <f>BX34-BX33</f>
        <v>-12.799999999999999</v>
      </c>
      <c r="BY35" s="125">
        <f>SUM(BU35:BX35)</f>
        <v>2.4999999999999964</v>
      </c>
      <c r="BZ35" s="111">
        <f>BZ34-BZ33</f>
        <v>-16.900000000000002</v>
      </c>
      <c r="CA35" s="111">
        <f>CA34-CA33</f>
        <v>3.3</v>
      </c>
      <c r="CB35" s="111">
        <f>CB34-CB33</f>
        <v>9.3000000000000007</v>
      </c>
      <c r="CC35" s="111">
        <f>CC34-CC33</f>
        <v>-13.299999999999999</v>
      </c>
      <c r="CD35" s="125">
        <f>SUM(BZ35:CC35)</f>
        <v>-17.600000000000001</v>
      </c>
      <c r="CE35" s="111">
        <f>CE34-CE33</f>
        <v>-6.5</v>
      </c>
      <c r="CF35" s="111">
        <f>CF34-CF33</f>
        <v>-12.799999999999999</v>
      </c>
      <c r="CG35" s="111">
        <f>CG34-CG33</f>
        <v>-7.5</v>
      </c>
      <c r="CH35" s="111">
        <f>CH34-CH33</f>
        <v>-55.900000000000006</v>
      </c>
      <c r="CI35" s="125">
        <f>SUM(CE35:CH35)</f>
        <v>-82.7</v>
      </c>
      <c r="CJ35" s="111">
        <f>CJ34-CJ33</f>
        <v>-14.6</v>
      </c>
      <c r="CK35" s="111">
        <f>CK34-CK33</f>
        <v>-26.499999999999996</v>
      </c>
      <c r="CL35" s="111">
        <f>CL34-CL33</f>
        <v>-0.79999999999999893</v>
      </c>
      <c r="CM35" s="111">
        <f>CM34-CM33</f>
        <v>-19.899999999999999</v>
      </c>
      <c r="CN35" s="125">
        <f>SUM(CJ35:CM35)</f>
        <v>-61.79999999999999</v>
      </c>
      <c r="CO35" s="111">
        <f>CO34-CO33</f>
        <v>9.5</v>
      </c>
      <c r="CP35" s="111">
        <f>CP34-CP33</f>
        <v>-44.699999999999996</v>
      </c>
      <c r="CQ35" s="111">
        <f>CQ34-CQ33</f>
        <v>2.8</v>
      </c>
      <c r="CR35" s="117">
        <f>CR34-CR33</f>
        <v>-62.999999999999993</v>
      </c>
      <c r="CS35" s="125">
        <f>SUM(CO35:CR35)</f>
        <v>-95.399999999999991</v>
      </c>
      <c r="CT35" s="111">
        <f>CT34-CT33</f>
        <v>-5.3000000000000007</v>
      </c>
      <c r="CU35" s="111">
        <f>CU34-CU33</f>
        <v>-1.1000000000000014</v>
      </c>
      <c r="CV35" s="111">
        <f>CV34-CV33</f>
        <v>-3</v>
      </c>
      <c r="CW35" s="659">
        <f>CW34-CW33</f>
        <v>-69.300000000000011</v>
      </c>
      <c r="CX35" s="125">
        <f>SUM(CT35:CW35)</f>
        <v>-78.700000000000017</v>
      </c>
      <c r="CY35" s="111">
        <f>CY34-CY33</f>
        <v>6.6000000000000014</v>
      </c>
      <c r="CZ35" s="111">
        <f>CZ34-CZ33</f>
        <v>15.599999999999998</v>
      </c>
      <c r="DA35" s="111">
        <f>DA34-DA33</f>
        <v>-6.3999999999999986</v>
      </c>
      <c r="DB35" s="111">
        <f>DB34-DB33</f>
        <v>11.799999999999999</v>
      </c>
      <c r="DC35" s="125">
        <f>SUM(CY35:DB35)</f>
        <v>27.6</v>
      </c>
      <c r="DD35" s="111">
        <f>DD34-DD33</f>
        <v>8.4</v>
      </c>
      <c r="DE35" s="111">
        <f>DE34-DE33</f>
        <v>3.8000000000000007</v>
      </c>
      <c r="DF35" s="111">
        <f>DF34-DF33</f>
        <v>-51.100000000000009</v>
      </c>
      <c r="DG35" s="111">
        <f>DG34-DG33</f>
        <v>12.2</v>
      </c>
      <c r="DH35" s="125">
        <f>SUM(DD35:DG35)</f>
        <v>-26.700000000000006</v>
      </c>
      <c r="DI35" s="111">
        <f>DI34-DI33</f>
        <v>-0.30000000000000071</v>
      </c>
      <c r="DJ35" s="111">
        <f>DJ34-DJ33</f>
        <v>-45.000000000000007</v>
      </c>
      <c r="DK35" s="111">
        <f>DK34-DK33</f>
        <v>-8.1999999999999993</v>
      </c>
      <c r="DL35" s="111">
        <f>DL34-DL33</f>
        <v>-129.29999999999998</v>
      </c>
      <c r="DM35" s="125">
        <f>SUM(DI35:DL35)</f>
        <v>-182.8</v>
      </c>
      <c r="DN35" s="111">
        <f>DN34-DN33</f>
        <v>-62.300000000000004</v>
      </c>
      <c r="DO35" s="111">
        <f>DO34-DO33</f>
        <v>7.7037500000000065</v>
      </c>
      <c r="DP35" s="111">
        <f>DP34-DP33</f>
        <v>6.058262685056313</v>
      </c>
      <c r="DQ35" s="111">
        <f>DQ34-DQ33</f>
        <v>7.7037500000000065</v>
      </c>
      <c r="DR35" s="125">
        <f>SUM(DN35:DQ35)</f>
        <v>-40.834237314943678</v>
      </c>
      <c r="DS35" s="111">
        <f>DS34-DS33</f>
        <v>11.141250000000007</v>
      </c>
      <c r="DT35" s="111">
        <f>DT34-DT33</f>
        <v>15.828750000000007</v>
      </c>
      <c r="DU35" s="111">
        <f>DU34-DU33</f>
        <v>13.728925724408455</v>
      </c>
      <c r="DV35" s="111">
        <f>DV34-DV33</f>
        <v>15.828750000000007</v>
      </c>
      <c r="DW35" s="125">
        <f>SUM(DS35:DV35)</f>
        <v>56.527675724408475</v>
      </c>
      <c r="DX35" s="111">
        <f>DX34-DX33</f>
        <v>18.953750000000007</v>
      </c>
      <c r="DY35" s="111">
        <f>DY34-DY33</f>
        <v>22.078750000000007</v>
      </c>
      <c r="DZ35" s="111">
        <f>DZ34-DZ33</f>
        <v>19.676034417309886</v>
      </c>
      <c r="EA35" s="111">
        <f>EA34-EA33</f>
        <v>22.078750000000007</v>
      </c>
      <c r="EB35" s="125">
        <f>SUM(DX35:EA35)</f>
        <v>82.787284417309905</v>
      </c>
      <c r="ED35" s="28"/>
      <c r="EE35" s="28"/>
      <c r="EG35" s="125">
        <f>S35+T35+U35+W35</f>
        <v>-7.7620000000000005</v>
      </c>
      <c r="EH35" s="125">
        <f>X35+Y35+Z35+AB35</f>
        <v>-6.7880000000000003</v>
      </c>
      <c r="EI35" s="125">
        <f>AC35+AD35+AE35+AG35</f>
        <v>-7.4039999999999999</v>
      </c>
      <c r="EJ35" s="125">
        <f>AH35+AI35+AJ35+AL35</f>
        <v>-8.6080000000000005</v>
      </c>
      <c r="EK35" s="125">
        <f>AM35+AN35+AO35+AQ35</f>
        <v>-11.303000000000001</v>
      </c>
      <c r="EL35" s="125">
        <f>AR35+AS35+AT35+AV35</f>
        <v>-10.334</v>
      </c>
      <c r="EM35" s="125">
        <f>AW35+AX35+AY35+BA35</f>
        <v>-16.054000000000002</v>
      </c>
      <c r="EN35" s="125">
        <f>BB35+BC35+BD35+BF35</f>
        <v>-11.055000000000001</v>
      </c>
      <c r="EO35" s="125">
        <f>SUM(BG35:BI35,BK35)</f>
        <v>-18.442999999999998</v>
      </c>
      <c r="EP35" s="125">
        <f>SUM(BL35:BN35,BP35)</f>
        <v>10.420000000000002</v>
      </c>
      <c r="EQ35" s="125">
        <f>SUM(BQ35:BS35,BU35)</f>
        <v>57.4</v>
      </c>
      <c r="ER35" s="125">
        <f>SUM(BV35:BX35,BZ35)</f>
        <v>-33.799999999999997</v>
      </c>
      <c r="ES35" s="125">
        <f t="shared" si="101"/>
        <v>-7.1999999999999975</v>
      </c>
      <c r="ET35" s="125">
        <f>SUM(CF35:CH35,CJ35)</f>
        <v>-90.8</v>
      </c>
      <c r="EU35" s="125">
        <f t="shared" si="102"/>
        <v>-37.699999999999996</v>
      </c>
      <c r="EV35" s="125">
        <f t="shared" si="103"/>
        <v>-110.19999999999999</v>
      </c>
      <c r="EW35" s="125">
        <f t="shared" si="104"/>
        <v>-66.800000000000011</v>
      </c>
      <c r="EX35" s="125">
        <f t="shared" si="105"/>
        <v>29.4</v>
      </c>
      <c r="EY35" s="125">
        <f t="shared" si="106"/>
        <v>-35.400000000000006</v>
      </c>
      <c r="EZ35" s="125">
        <f t="shared" si="107"/>
        <v>-244.8</v>
      </c>
      <c r="FA35" s="125">
        <f t="shared" si="108"/>
        <v>32.607012685056333</v>
      </c>
      <c r="FB35" s="125">
        <f t="shared" si="86"/>
        <v>64.340175724408482</v>
      </c>
      <c r="FD35" s="20" t="s">
        <v>180</v>
      </c>
      <c r="FE35" s="521">
        <f t="shared" si="67"/>
        <v>-62.300000000000004</v>
      </c>
      <c r="FF35" s="521">
        <v>3.016250000000003</v>
      </c>
      <c r="FG35" s="401">
        <f t="shared" si="68"/>
        <v>-65.316250000000011</v>
      </c>
      <c r="FH35" s="401">
        <f t="shared" si="69"/>
        <v>-0.30000000000000071</v>
      </c>
      <c r="FI35" s="249"/>
      <c r="FJ35"/>
      <c r="FK35"/>
      <c r="FL35"/>
      <c r="FM35"/>
      <c r="FN35"/>
      <c r="FO35"/>
      <c r="FP35"/>
      <c r="FQ35"/>
      <c r="FR35"/>
    </row>
    <row r="36" spans="1:174" s="1" customFormat="1" hidden="1" outlineLevel="2" x14ac:dyDescent="0.2">
      <c r="A36" s="1" t="s">
        <v>181</v>
      </c>
      <c r="B36" s="125"/>
      <c r="C36" s="111"/>
      <c r="D36" s="111"/>
      <c r="E36" s="111"/>
      <c r="F36" s="111"/>
      <c r="G36" s="125"/>
      <c r="H36" s="111"/>
      <c r="I36" s="111"/>
      <c r="J36" s="111"/>
      <c r="K36" s="111"/>
      <c r="L36" s="125"/>
      <c r="M36" s="111"/>
      <c r="N36" s="111"/>
      <c r="O36" s="111"/>
      <c r="P36" s="111"/>
      <c r="Q36" s="125"/>
      <c r="R36" s="111"/>
      <c r="S36" s="111"/>
      <c r="T36" s="111"/>
      <c r="U36" s="111"/>
      <c r="V36" s="125"/>
      <c r="W36" s="111"/>
      <c r="X36" s="111"/>
      <c r="Y36" s="111"/>
      <c r="Z36" s="111"/>
      <c r="AA36" s="125"/>
      <c r="AB36" s="111"/>
      <c r="AC36" s="111"/>
      <c r="AD36" s="111"/>
      <c r="AE36" s="111"/>
      <c r="AF36" s="125"/>
      <c r="AG36" s="111"/>
      <c r="AH36" s="111"/>
      <c r="AI36" s="111"/>
      <c r="AJ36" s="111"/>
      <c r="AK36" s="125">
        <v>2.94</v>
      </c>
      <c r="AL36" s="111"/>
      <c r="AM36" s="111"/>
      <c r="AN36" s="111"/>
      <c r="AO36" s="111"/>
      <c r="AP36" s="125"/>
      <c r="AQ36" s="111"/>
      <c r="AR36" s="111"/>
      <c r="AS36" s="111"/>
      <c r="AT36" s="111"/>
      <c r="AU36" s="125"/>
      <c r="AV36" s="111"/>
      <c r="AW36" s="111"/>
      <c r="AX36" s="111"/>
      <c r="AY36" s="111"/>
      <c r="AZ36" s="125"/>
      <c r="BA36" s="111"/>
      <c r="BB36" s="111"/>
      <c r="BC36" s="111"/>
      <c r="BD36" s="111"/>
      <c r="BE36" s="125"/>
      <c r="BF36" s="111"/>
      <c r="BG36" s="111"/>
      <c r="BH36" s="111"/>
      <c r="BI36" s="111"/>
      <c r="BJ36" s="125"/>
      <c r="BK36" s="111"/>
      <c r="BL36" s="111"/>
      <c r="BM36" s="111"/>
      <c r="BN36" s="111"/>
      <c r="BO36" s="125"/>
      <c r="BP36" s="111"/>
      <c r="BQ36" s="111"/>
      <c r="BR36" s="111"/>
      <c r="BS36" s="111"/>
      <c r="BT36" s="125"/>
      <c r="BU36" s="111"/>
      <c r="BV36" s="111"/>
      <c r="BW36" s="111"/>
      <c r="BX36" s="111"/>
      <c r="BY36" s="125"/>
      <c r="BZ36" s="111"/>
      <c r="CA36" s="111"/>
      <c r="CB36" s="111"/>
      <c r="CC36" s="111"/>
      <c r="CD36" s="125"/>
      <c r="CE36" s="111"/>
      <c r="CF36" s="111"/>
      <c r="CG36" s="111"/>
      <c r="CH36" s="111"/>
      <c r="CI36" s="125"/>
      <c r="CJ36" s="111"/>
      <c r="CK36" s="111"/>
      <c r="CL36" s="111"/>
      <c r="CM36" s="111"/>
      <c r="CN36" s="125"/>
      <c r="CO36" s="111"/>
      <c r="CP36" s="111"/>
      <c r="CQ36" s="111"/>
      <c r="CR36" s="117"/>
      <c r="CS36" s="125"/>
      <c r="CT36" s="111"/>
      <c r="CU36" s="111"/>
      <c r="CV36" s="111"/>
      <c r="CW36" s="659"/>
      <c r="CX36" s="125"/>
      <c r="CY36" s="111"/>
      <c r="CZ36" s="111"/>
      <c r="DA36" s="111"/>
      <c r="DB36" s="111"/>
      <c r="DC36" s="125"/>
      <c r="DD36" s="111"/>
      <c r="DE36" s="111"/>
      <c r="DF36" s="111"/>
      <c r="DG36" s="111"/>
      <c r="DH36" s="125"/>
      <c r="DI36" s="111"/>
      <c r="DJ36" s="111"/>
      <c r="DK36" s="111"/>
      <c r="DL36" s="111"/>
      <c r="DM36" s="125"/>
      <c r="DN36" s="111"/>
      <c r="DO36" s="111"/>
      <c r="DP36" s="111"/>
      <c r="DQ36" s="111"/>
      <c r="DR36" s="125"/>
      <c r="DS36" s="111"/>
      <c r="DT36" s="111"/>
      <c r="DU36" s="111"/>
      <c r="DV36" s="111"/>
      <c r="DW36" s="125"/>
      <c r="DX36" s="111"/>
      <c r="DY36" s="111"/>
      <c r="DZ36" s="111"/>
      <c r="EA36" s="111"/>
      <c r="EB36" s="125"/>
      <c r="ED36" s="28"/>
      <c r="EE36" s="28"/>
      <c r="EG36" s="125"/>
      <c r="EH36" s="125"/>
      <c r="EI36" s="125"/>
      <c r="EJ36" s="125"/>
      <c r="EK36" s="125"/>
      <c r="EL36" s="125"/>
      <c r="EM36" s="125"/>
      <c r="EN36" s="125"/>
      <c r="EO36" s="125"/>
      <c r="EP36" s="125"/>
      <c r="EQ36" s="125"/>
      <c r="ER36" s="125">
        <f>SUM(BV36:BX36,BZ36)</f>
        <v>0</v>
      </c>
      <c r="ES36" s="125">
        <f t="shared" si="101"/>
        <v>0</v>
      </c>
      <c r="ET36" s="125">
        <f>SUM(CF36:CH36,CJ36)</f>
        <v>0</v>
      </c>
      <c r="EU36" s="125">
        <f t="shared" si="102"/>
        <v>0</v>
      </c>
      <c r="EV36" s="125">
        <f t="shared" si="103"/>
        <v>0</v>
      </c>
      <c r="EW36" s="125">
        <f t="shared" si="104"/>
        <v>0</v>
      </c>
      <c r="EX36" s="125">
        <f t="shared" si="105"/>
        <v>0</v>
      </c>
      <c r="EY36" s="125">
        <f t="shared" si="106"/>
        <v>0</v>
      </c>
      <c r="EZ36" s="125">
        <f t="shared" si="107"/>
        <v>0</v>
      </c>
      <c r="FA36" s="125">
        <f t="shared" si="108"/>
        <v>0</v>
      </c>
      <c r="FB36" s="125">
        <f t="shared" si="86"/>
        <v>0</v>
      </c>
      <c r="FD36" s="20" t="s">
        <v>181</v>
      </c>
      <c r="FE36" s="521">
        <f t="shared" si="67"/>
        <v>0</v>
      </c>
      <c r="FF36" s="521">
        <v>0</v>
      </c>
      <c r="FG36" s="401">
        <f t="shared" si="68"/>
        <v>0</v>
      </c>
      <c r="FH36" s="401">
        <f t="shared" si="69"/>
        <v>0</v>
      </c>
      <c r="FI36" s="249"/>
      <c r="FJ36"/>
      <c r="FK36"/>
      <c r="FL36"/>
      <c r="FM36"/>
      <c r="FN36"/>
      <c r="FO36"/>
      <c r="FP36"/>
      <c r="FQ36"/>
      <c r="FR36"/>
    </row>
    <row r="37" spans="1:174" s="1" customFormat="1" hidden="1" outlineLevel="2" x14ac:dyDescent="0.2">
      <c r="A37" s="1" t="s">
        <v>611</v>
      </c>
      <c r="B37" s="125"/>
      <c r="C37" s="111"/>
      <c r="D37" s="111"/>
      <c r="E37" s="111"/>
      <c r="F37" s="111"/>
      <c r="G37" s="125"/>
      <c r="H37" s="111"/>
      <c r="I37" s="111"/>
      <c r="J37" s="111"/>
      <c r="K37" s="111"/>
      <c r="L37" s="125"/>
      <c r="M37" s="111"/>
      <c r="N37" s="111"/>
      <c r="O37" s="111"/>
      <c r="P37" s="111"/>
      <c r="Q37" s="125"/>
      <c r="R37" s="111"/>
      <c r="S37" s="111"/>
      <c r="T37" s="111"/>
      <c r="U37" s="111"/>
      <c r="V37" s="125"/>
      <c r="W37" s="111"/>
      <c r="X37" s="111"/>
      <c r="Y37" s="111"/>
      <c r="Z37" s="111"/>
      <c r="AA37" s="125"/>
      <c r="AB37" s="111"/>
      <c r="AC37" s="111"/>
      <c r="AD37" s="111"/>
      <c r="AE37" s="111"/>
      <c r="AF37" s="125"/>
      <c r="AG37" s="111"/>
      <c r="AH37" s="111"/>
      <c r="AI37" s="111"/>
      <c r="AJ37" s="111"/>
      <c r="AK37" s="125"/>
      <c r="AL37" s="111"/>
      <c r="AM37" s="111"/>
      <c r="AN37" s="111"/>
      <c r="AO37" s="111"/>
      <c r="AP37" s="125"/>
      <c r="AQ37" s="111"/>
      <c r="AR37" s="111"/>
      <c r="AS37" s="111"/>
      <c r="AT37" s="111"/>
      <c r="AU37" s="125"/>
      <c r="AV37" s="111"/>
      <c r="AW37" s="111"/>
      <c r="AX37" s="111"/>
      <c r="AY37" s="111"/>
      <c r="AZ37" s="125"/>
      <c r="BA37" s="111"/>
      <c r="BB37" s="111"/>
      <c r="BC37" s="111"/>
      <c r="BD37" s="111"/>
      <c r="BE37" s="125"/>
      <c r="BF37" s="111"/>
      <c r="BG37" s="111"/>
      <c r="BH37" s="111"/>
      <c r="BI37" s="111"/>
      <c r="BJ37" s="125"/>
      <c r="BK37" s="111"/>
      <c r="BL37" s="111"/>
      <c r="BM37" s="111"/>
      <c r="BN37" s="111"/>
      <c r="BO37" s="125"/>
      <c r="BP37" s="111"/>
      <c r="BQ37" s="111"/>
      <c r="BR37" s="111"/>
      <c r="BS37" s="111"/>
      <c r="BT37" s="125"/>
      <c r="BU37" s="111"/>
      <c r="BV37" s="111"/>
      <c r="BW37" s="111"/>
      <c r="BX37" s="111"/>
      <c r="BY37" s="125"/>
      <c r="BZ37" s="111"/>
      <c r="CA37" s="111"/>
      <c r="CB37" s="111"/>
      <c r="CC37" s="111"/>
      <c r="CD37" s="125"/>
      <c r="CE37" s="111"/>
      <c r="CF37" s="111"/>
      <c r="CG37" s="111"/>
      <c r="CH37" s="111"/>
      <c r="CI37" s="125"/>
      <c r="CJ37" s="111"/>
      <c r="CK37" s="111"/>
      <c r="CL37" s="111"/>
      <c r="CM37" s="111"/>
      <c r="CN37" s="125"/>
      <c r="CO37" s="111"/>
      <c r="CP37" s="111"/>
      <c r="CQ37" s="111"/>
      <c r="CR37" s="117"/>
      <c r="CS37" s="125"/>
      <c r="CT37" s="111"/>
      <c r="CU37" s="111"/>
      <c r="CV37" s="111"/>
      <c r="CW37" s="659"/>
      <c r="CX37" s="125"/>
      <c r="CY37" s="111"/>
      <c r="CZ37" s="111"/>
      <c r="DA37" s="111"/>
      <c r="DB37" s="111">
        <v>-61.1</v>
      </c>
      <c r="DC37" s="125">
        <f>SUM(CY37:DB37)</f>
        <v>-61.1</v>
      </c>
      <c r="DD37" s="111"/>
      <c r="DE37" s="111"/>
      <c r="DF37" s="111"/>
      <c r="DG37" s="111"/>
      <c r="DH37" s="125"/>
      <c r="DI37" s="111"/>
      <c r="DJ37" s="111"/>
      <c r="DK37" s="111"/>
      <c r="DL37" s="111"/>
      <c r="DM37" s="125"/>
      <c r="DN37" s="111"/>
      <c r="DO37" s="111"/>
      <c r="DP37" s="111"/>
      <c r="DQ37" s="111"/>
      <c r="DR37" s="125"/>
      <c r="DS37" s="111"/>
      <c r="DT37" s="111"/>
      <c r="DU37" s="111"/>
      <c r="DV37" s="111"/>
      <c r="DW37" s="125"/>
      <c r="DX37" s="111"/>
      <c r="DY37" s="111"/>
      <c r="DZ37" s="111"/>
      <c r="EA37" s="111"/>
      <c r="EB37" s="125"/>
      <c r="ED37" s="28"/>
      <c r="EE37" s="28"/>
      <c r="EG37" s="125"/>
      <c r="EH37" s="125"/>
      <c r="EI37" s="125"/>
      <c r="EJ37" s="125"/>
      <c r="EK37" s="125"/>
      <c r="EL37" s="125"/>
      <c r="EM37" s="125"/>
      <c r="EN37" s="125"/>
      <c r="EO37" s="125"/>
      <c r="EP37" s="125"/>
      <c r="EQ37" s="125"/>
      <c r="ER37" s="125"/>
      <c r="ES37" s="125"/>
      <c r="ET37" s="125"/>
      <c r="EU37" s="125"/>
      <c r="EV37" s="125"/>
      <c r="EW37" s="125"/>
      <c r="EX37" s="125"/>
      <c r="EY37" s="125"/>
      <c r="EZ37" s="125"/>
      <c r="FA37" s="125"/>
      <c r="FB37" s="125">
        <f t="shared" si="86"/>
        <v>0</v>
      </c>
      <c r="FD37" s="20"/>
      <c r="FE37" s="521"/>
      <c r="FF37" s="521"/>
      <c r="FG37" s="401"/>
      <c r="FH37" s="401"/>
      <c r="FI37" s="249"/>
      <c r="FJ37"/>
      <c r="FK37"/>
      <c r="FL37"/>
      <c r="FM37"/>
      <c r="FN37"/>
      <c r="FO37"/>
      <c r="FP37"/>
      <c r="FQ37"/>
      <c r="FR37"/>
    </row>
    <row r="38" spans="1:174" s="1" customFormat="1" collapsed="1" x14ac:dyDescent="0.2">
      <c r="A38" s="1" t="s">
        <v>182</v>
      </c>
      <c r="B38" s="125"/>
      <c r="C38" s="111"/>
      <c r="D38" s="111"/>
      <c r="E38" s="111"/>
      <c r="F38" s="111"/>
      <c r="G38" s="125"/>
      <c r="H38" s="111"/>
      <c r="I38" s="111"/>
      <c r="J38" s="111"/>
      <c r="K38" s="111"/>
      <c r="L38" s="125"/>
      <c r="M38" s="111"/>
      <c r="N38" s="111"/>
      <c r="O38" s="111"/>
      <c r="P38" s="111"/>
      <c r="Q38" s="125"/>
      <c r="R38" s="111"/>
      <c r="S38" s="111"/>
      <c r="T38" s="111"/>
      <c r="U38" s="111"/>
      <c r="V38" s="125"/>
      <c r="W38" s="111"/>
      <c r="X38" s="111"/>
      <c r="Y38" s="111"/>
      <c r="Z38" s="111"/>
      <c r="AA38" s="125"/>
      <c r="AB38" s="111"/>
      <c r="AC38" s="111"/>
      <c r="AD38" s="111"/>
      <c r="AE38" s="111"/>
      <c r="AF38" s="125"/>
      <c r="AG38" s="111"/>
      <c r="AH38" s="111"/>
      <c r="AI38" s="111"/>
      <c r="AJ38" s="111"/>
      <c r="AK38" s="125"/>
      <c r="AL38" s="111"/>
      <c r="AM38" s="111"/>
      <c r="AN38" s="111"/>
      <c r="AO38" s="111"/>
      <c r="AP38" s="125">
        <v>13.361000000000001</v>
      </c>
      <c r="AQ38" s="111"/>
      <c r="AR38" s="111"/>
      <c r="AS38" s="111"/>
      <c r="AT38" s="111"/>
      <c r="AU38" s="125"/>
      <c r="AV38" s="111"/>
      <c r="AW38" s="111"/>
      <c r="AX38" s="111"/>
      <c r="AY38" s="111"/>
      <c r="AZ38" s="125"/>
      <c r="BA38" s="111"/>
      <c r="BB38" s="111"/>
      <c r="BC38" s="111"/>
      <c r="BD38" s="111"/>
      <c r="BE38" s="125"/>
      <c r="BF38" s="111"/>
      <c r="BG38" s="111"/>
      <c r="BH38" s="111"/>
      <c r="BI38" s="111"/>
      <c r="BJ38" s="125"/>
      <c r="BK38" s="111"/>
      <c r="BL38" s="111"/>
      <c r="BM38" s="111"/>
      <c r="BN38" s="111"/>
      <c r="BO38" s="125"/>
      <c r="BP38" s="111"/>
      <c r="BQ38" s="111"/>
      <c r="BR38" s="111"/>
      <c r="BS38" s="111"/>
      <c r="BT38" s="125"/>
      <c r="BU38" s="111"/>
      <c r="BV38" s="111"/>
      <c r="BW38" s="111"/>
      <c r="BX38" s="111"/>
      <c r="BY38" s="125"/>
      <c r="BZ38" s="111"/>
      <c r="CA38" s="111"/>
      <c r="CB38" s="111"/>
      <c r="CC38" s="111"/>
      <c r="CD38" s="125"/>
      <c r="CE38" s="111"/>
      <c r="CF38" s="111"/>
      <c r="CG38" s="111"/>
      <c r="CH38" s="111"/>
      <c r="CI38" s="125"/>
      <c r="CJ38" s="111"/>
      <c r="CK38" s="111"/>
      <c r="CL38" s="111"/>
      <c r="CM38" s="111"/>
      <c r="CN38" s="125"/>
      <c r="CO38" s="111"/>
      <c r="CP38" s="111"/>
      <c r="CQ38" s="111"/>
      <c r="CR38" s="117"/>
      <c r="CS38" s="125"/>
      <c r="CT38" s="111"/>
      <c r="CU38" s="111"/>
      <c r="CV38" s="111"/>
      <c r="CW38" s="659"/>
      <c r="CX38" s="125"/>
      <c r="CY38" s="111">
        <v>390.6</v>
      </c>
      <c r="CZ38" s="111"/>
      <c r="DA38" s="111"/>
      <c r="DB38" s="111"/>
      <c r="DC38" s="125">
        <f>SUM(CY38:DB38)</f>
        <v>390.6</v>
      </c>
      <c r="DD38" s="111"/>
      <c r="DE38" s="111"/>
      <c r="DF38" s="111"/>
      <c r="DG38" s="111"/>
      <c r="DH38" s="125"/>
      <c r="DI38" s="111"/>
      <c r="DJ38" s="111"/>
      <c r="DK38" s="111"/>
      <c r="DL38" s="111"/>
      <c r="DM38" s="125"/>
      <c r="DN38" s="111">
        <f>501.2+1326.3</f>
        <v>1827.5</v>
      </c>
      <c r="DO38" s="111"/>
      <c r="DP38" s="111"/>
      <c r="DQ38" s="111"/>
      <c r="DR38" s="125">
        <f>SUM(DN38:DQ38)</f>
        <v>1827.5</v>
      </c>
      <c r="DS38" s="111"/>
      <c r="DT38" s="111"/>
      <c r="DU38" s="111"/>
      <c r="DV38" s="111"/>
      <c r="DW38" s="125"/>
      <c r="DX38" s="111"/>
      <c r="DY38" s="111"/>
      <c r="DZ38" s="111"/>
      <c r="EA38" s="111"/>
      <c r="EB38" s="125"/>
      <c r="ED38" s="28"/>
      <c r="EE38" s="28"/>
      <c r="EG38" s="125"/>
      <c r="EH38" s="125"/>
      <c r="EI38" s="125"/>
      <c r="EJ38" s="125"/>
      <c r="EK38" s="125"/>
      <c r="EL38" s="125"/>
      <c r="EM38" s="125"/>
      <c r="EN38" s="125"/>
      <c r="EO38" s="125"/>
      <c r="EP38" s="125"/>
      <c r="EQ38" s="125"/>
      <c r="ER38" s="125">
        <f>SUM(BV38:BX38,BZ38)</f>
        <v>0</v>
      </c>
      <c r="ES38" s="125">
        <f t="shared" si="101"/>
        <v>0</v>
      </c>
      <c r="ET38" s="125">
        <f>SUM(CF38:CH38,CJ38)</f>
        <v>0</v>
      </c>
      <c r="EU38" s="125">
        <f t="shared" si="102"/>
        <v>0</v>
      </c>
      <c r="EV38" s="125">
        <f t="shared" si="103"/>
        <v>0</v>
      </c>
      <c r="EW38" s="125">
        <f t="shared" si="104"/>
        <v>390.6</v>
      </c>
      <c r="EX38" s="125">
        <f t="shared" si="105"/>
        <v>0</v>
      </c>
      <c r="EY38" s="125">
        <f t="shared" si="106"/>
        <v>0</v>
      </c>
      <c r="EZ38" s="125">
        <f t="shared" si="107"/>
        <v>1827.5</v>
      </c>
      <c r="FA38" s="125">
        <f t="shared" si="108"/>
        <v>0</v>
      </c>
      <c r="FB38" s="125">
        <f t="shared" si="86"/>
        <v>0</v>
      </c>
      <c r="FD38" s="20" t="s">
        <v>182</v>
      </c>
      <c r="FE38" s="521">
        <f t="shared" ref="FE38:FE45" si="109">DN38</f>
        <v>1827.5</v>
      </c>
      <c r="FF38" s="521">
        <v>0</v>
      </c>
      <c r="FG38" s="401">
        <f t="shared" si="68"/>
        <v>1827.5</v>
      </c>
      <c r="FH38" s="401">
        <f t="shared" ref="FH38:FH45" si="110">DI38</f>
        <v>0</v>
      </c>
      <c r="FI38" s="249"/>
      <c r="FJ38"/>
      <c r="FK38"/>
      <c r="FL38"/>
      <c r="FM38"/>
      <c r="FN38"/>
      <c r="FO38"/>
      <c r="FP38"/>
      <c r="FQ38"/>
      <c r="FR38"/>
    </row>
    <row r="39" spans="1:174" s="1" customFormat="1" x14ac:dyDescent="0.2">
      <c r="A39" s="1" t="s">
        <v>183</v>
      </c>
      <c r="B39" s="125">
        <v>21.562999999999999</v>
      </c>
      <c r="C39" s="111">
        <f>C29-C35</f>
        <v>50.163999999999994</v>
      </c>
      <c r="D39" s="111">
        <f>D29-D35</f>
        <v>0.1869999999999985</v>
      </c>
      <c r="E39" s="111">
        <f>E29-E35</f>
        <v>11.316999999999991</v>
      </c>
      <c r="F39" s="111">
        <f>F29+F35</f>
        <v>9.1249999999999929</v>
      </c>
      <c r="G39" s="125">
        <f t="shared" ref="G39:M39" si="111">G29-G35</f>
        <v>43.142000000000003</v>
      </c>
      <c r="H39" s="111">
        <f t="shared" si="111"/>
        <v>15.782000000000011</v>
      </c>
      <c r="I39" s="111">
        <f t="shared" si="111"/>
        <v>7.7189999999999799</v>
      </c>
      <c r="J39" s="111">
        <f t="shared" si="111"/>
        <v>15.454999999999991</v>
      </c>
      <c r="K39" s="111">
        <f t="shared" si="111"/>
        <v>20.285999999999991</v>
      </c>
      <c r="L39" s="125">
        <f t="shared" si="111"/>
        <v>59.283999999999963</v>
      </c>
      <c r="M39" s="111">
        <f t="shared" si="111"/>
        <v>22.893999999999991</v>
      </c>
      <c r="N39" s="111">
        <f>38.17-M39</f>
        <v>15.27600000000001</v>
      </c>
      <c r="O39" s="111">
        <f>61.521-N39-M39</f>
        <v>23.350999999999999</v>
      </c>
      <c r="P39" s="111">
        <f>P29-P35</f>
        <v>29.789000000000055</v>
      </c>
      <c r="Q39" s="125">
        <v>91.31</v>
      </c>
      <c r="R39" s="111">
        <f t="shared" ref="R39:AO39" si="112">R29-R35</f>
        <v>34.792999999999964</v>
      </c>
      <c r="S39" s="111">
        <f t="shared" si="112"/>
        <v>23.433999999999994</v>
      </c>
      <c r="T39" s="111">
        <f t="shared" si="112"/>
        <v>34.572000000000038</v>
      </c>
      <c r="U39" s="111">
        <f t="shared" si="112"/>
        <v>39.111000000000047</v>
      </c>
      <c r="V39" s="125">
        <f t="shared" si="112"/>
        <v>131.91000000000008</v>
      </c>
      <c r="W39" s="111">
        <f t="shared" si="112"/>
        <v>43.118000000000016</v>
      </c>
      <c r="X39" s="111">
        <f t="shared" si="112"/>
        <v>28.964000000000013</v>
      </c>
      <c r="Y39" s="111">
        <f t="shared" si="112"/>
        <v>39.734000000000016</v>
      </c>
      <c r="Z39" s="111">
        <f t="shared" si="112"/>
        <v>52.235999999999962</v>
      </c>
      <c r="AA39" s="125">
        <f t="shared" si="112"/>
        <v>164.05199999999979</v>
      </c>
      <c r="AB39" s="111">
        <f t="shared" si="112"/>
        <v>56.047000000000018</v>
      </c>
      <c r="AC39" s="111">
        <f t="shared" si="112"/>
        <v>37.458999999999989</v>
      </c>
      <c r="AD39" s="111">
        <f t="shared" si="112"/>
        <v>55.810000000000024</v>
      </c>
      <c r="AE39" s="111">
        <f t="shared" si="112"/>
        <v>70.004999999999953</v>
      </c>
      <c r="AF39" s="125">
        <f t="shared" si="112"/>
        <v>219.32100000000017</v>
      </c>
      <c r="AG39" s="111">
        <f t="shared" si="112"/>
        <v>77.770000000000039</v>
      </c>
      <c r="AH39" s="111">
        <f t="shared" si="112"/>
        <v>52.414000000000009</v>
      </c>
      <c r="AI39" s="111">
        <f t="shared" si="112"/>
        <v>74.216999999999985</v>
      </c>
      <c r="AJ39" s="111">
        <f t="shared" si="112"/>
        <v>84.521000000000072</v>
      </c>
      <c r="AK39" s="125">
        <f>AK29-AK35-AK36</f>
        <v>288.04700000000031</v>
      </c>
      <c r="AL39" s="111">
        <f t="shared" si="112"/>
        <v>94.504000000000033</v>
      </c>
      <c r="AM39" s="111">
        <f t="shared" si="112"/>
        <v>68.560999999999865</v>
      </c>
      <c r="AN39" s="111">
        <f t="shared" si="112"/>
        <v>88.658999999999907</v>
      </c>
      <c r="AO39" s="111">
        <f t="shared" si="112"/>
        <v>92.026999999999958</v>
      </c>
      <c r="AP39" s="125">
        <f>AP29-AP35+AP38</f>
        <v>338.99899999999991</v>
      </c>
      <c r="AQ39" s="111">
        <f t="shared" ref="AQ39:CW39" si="113">AQ29-AQ35</f>
        <v>125.33100000000005</v>
      </c>
      <c r="AR39" s="111">
        <f t="shared" si="113"/>
        <v>86.732999999999919</v>
      </c>
      <c r="AS39" s="111">
        <f t="shared" si="113"/>
        <v>111.13310000000001</v>
      </c>
      <c r="AT39" s="111">
        <f t="shared" si="113"/>
        <v>113.13699999999986</v>
      </c>
      <c r="AU39" s="125">
        <f t="shared" si="113"/>
        <v>436.33399999999978</v>
      </c>
      <c r="AV39" s="111">
        <f t="shared" si="113"/>
        <v>177.86899999999986</v>
      </c>
      <c r="AW39" s="111">
        <f t="shared" si="113"/>
        <v>127.44399999999995</v>
      </c>
      <c r="AX39" s="111">
        <f t="shared" si="113"/>
        <v>157.57200000000009</v>
      </c>
      <c r="AY39" s="111">
        <f t="shared" si="113"/>
        <v>158.07200000000003</v>
      </c>
      <c r="AZ39" s="125">
        <f t="shared" si="113"/>
        <v>620.95699999999988</v>
      </c>
      <c r="BA39" s="111">
        <f t="shared" si="113"/>
        <v>232.3130000000001</v>
      </c>
      <c r="BB39" s="111">
        <f t="shared" si="113"/>
        <v>161.29199999999997</v>
      </c>
      <c r="BC39" s="111">
        <f t="shared" si="113"/>
        <v>202.80499999999995</v>
      </c>
      <c r="BD39" s="111">
        <f t="shared" si="113"/>
        <v>199.97299999999998</v>
      </c>
      <c r="BE39" s="125">
        <f t="shared" si="113"/>
        <v>796.44399999999939</v>
      </c>
      <c r="BF39" s="111">
        <f t="shared" si="113"/>
        <v>280.22900000000004</v>
      </c>
      <c r="BG39" s="111">
        <f t="shared" si="113"/>
        <v>204.95700000000005</v>
      </c>
      <c r="BH39" s="111">
        <f t="shared" si="113"/>
        <v>219.60100000000014</v>
      </c>
      <c r="BI39" s="111">
        <f t="shared" si="113"/>
        <v>201.49000000000007</v>
      </c>
      <c r="BJ39" s="125">
        <f t="shared" si="113"/>
        <v>906.27700000000027</v>
      </c>
      <c r="BK39" s="111">
        <f t="shared" si="113"/>
        <v>326.22400000000005</v>
      </c>
      <c r="BL39" s="111">
        <f t="shared" si="113"/>
        <v>240.38199999999995</v>
      </c>
      <c r="BM39" s="111">
        <f t="shared" si="113"/>
        <v>242.97300000000004</v>
      </c>
      <c r="BN39" s="111">
        <f t="shared" si="113"/>
        <v>246.84599999999992</v>
      </c>
      <c r="BO39" s="125">
        <f t="shared" si="113"/>
        <v>1056.425</v>
      </c>
      <c r="BP39" s="111">
        <f t="shared" si="113"/>
        <v>326.69999999999993</v>
      </c>
      <c r="BQ39" s="111">
        <f t="shared" si="113"/>
        <v>167.16</v>
      </c>
      <c r="BR39" s="111">
        <f t="shared" si="113"/>
        <v>-33.300000000000246</v>
      </c>
      <c r="BS39" s="111">
        <f t="shared" si="113"/>
        <v>-1.099999999999973</v>
      </c>
      <c r="BT39" s="125">
        <f t="shared" si="113"/>
        <v>459.45999999999964</v>
      </c>
      <c r="BU39" s="111">
        <f t="shared" si="113"/>
        <v>98.299999999999812</v>
      </c>
      <c r="BV39" s="111">
        <f t="shared" si="113"/>
        <v>35.000000000000121</v>
      </c>
      <c r="BW39" s="111">
        <f t="shared" si="113"/>
        <v>214.00000000000003</v>
      </c>
      <c r="BX39" s="111">
        <f t="shared" si="113"/>
        <v>212.20000000000022</v>
      </c>
      <c r="BY39" s="125">
        <f t="shared" si="113"/>
        <v>559.5</v>
      </c>
      <c r="BZ39" s="111">
        <f t="shared" si="113"/>
        <v>369.50000000000017</v>
      </c>
      <c r="CA39" s="111">
        <f t="shared" si="113"/>
        <v>336.5000000000004</v>
      </c>
      <c r="CB39" s="111">
        <f t="shared" si="113"/>
        <v>318.39999999999998</v>
      </c>
      <c r="CC39" s="111">
        <f t="shared" si="113"/>
        <v>412.60000000000019</v>
      </c>
      <c r="CD39" s="125">
        <f t="shared" si="113"/>
        <v>1436.9999999999991</v>
      </c>
      <c r="CE39" s="111">
        <f t="shared" si="113"/>
        <v>508.40000000000026</v>
      </c>
      <c r="CF39" s="111">
        <f t="shared" si="113"/>
        <v>388.89999999999975</v>
      </c>
      <c r="CG39" s="111">
        <f t="shared" si="113"/>
        <v>409.70000000000027</v>
      </c>
      <c r="CH39" s="111">
        <f t="shared" si="113"/>
        <v>504.20000000000005</v>
      </c>
      <c r="CI39" s="125">
        <f t="shared" si="113"/>
        <v>1811.2000000000003</v>
      </c>
      <c r="CJ39" s="111">
        <f t="shared" si="113"/>
        <v>570.60000000000014</v>
      </c>
      <c r="CK39" s="111">
        <f t="shared" si="113"/>
        <v>456.89999999999969</v>
      </c>
      <c r="CL39" s="111">
        <f t="shared" si="113"/>
        <v>492.39999999999986</v>
      </c>
      <c r="CM39" s="111">
        <f t="shared" si="113"/>
        <v>539.5</v>
      </c>
      <c r="CN39" s="125">
        <f t="shared" si="113"/>
        <v>2059.3999999999996</v>
      </c>
      <c r="CO39" s="111">
        <f t="shared" si="113"/>
        <v>621.1</v>
      </c>
      <c r="CP39" s="111">
        <f t="shared" si="113"/>
        <v>588.79999999999973</v>
      </c>
      <c r="CQ39" s="111">
        <f t="shared" si="113"/>
        <v>612.40000000000032</v>
      </c>
      <c r="CR39" s="117">
        <f t="shared" si="113"/>
        <v>-2052.1999999999998</v>
      </c>
      <c r="CS39" s="125">
        <f>CS29-CS35</f>
        <v>-229.90000000000339</v>
      </c>
      <c r="CT39" s="111">
        <f t="shared" si="113"/>
        <v>818.80000000000041</v>
      </c>
      <c r="CU39" s="111">
        <f>CU29-CU35</f>
        <v>645.20000000000039</v>
      </c>
      <c r="CV39" s="111">
        <f t="shared" si="113"/>
        <v>771.49999999999989</v>
      </c>
      <c r="CW39" s="659">
        <f t="shared" si="113"/>
        <v>924.2000000000005</v>
      </c>
      <c r="CX39" s="125">
        <f>CX29-CX35</f>
        <v>3159.7000000000021</v>
      </c>
      <c r="CY39" s="111">
        <f>CY29+CY38-CY35</f>
        <v>1299.5000000000009</v>
      </c>
      <c r="CZ39" s="111">
        <f>CZ29-CZ35+CZ38</f>
        <v>761.9</v>
      </c>
      <c r="DA39" s="111">
        <f>DA29-DA35+DA38</f>
        <v>944.99999999999966</v>
      </c>
      <c r="DB39" s="111">
        <f>DB29-DB35+DB38+DB37</f>
        <v>896.49999999999943</v>
      </c>
      <c r="DC39" s="125">
        <f>DC29-DC35+DC38+DC37</f>
        <v>3902.9000000000015</v>
      </c>
      <c r="DD39" s="111">
        <f>DD29-DD35+DD38</f>
        <v>1049.5999999999999</v>
      </c>
      <c r="DE39" s="111">
        <f t="shared" ref="DE39:DM39" si="114">DE29-DE35</f>
        <v>860.39999999999975</v>
      </c>
      <c r="DF39" s="111">
        <f t="shared" si="114"/>
        <v>1073.3999999999999</v>
      </c>
      <c r="DG39" s="111">
        <f>DG29-DG35</f>
        <v>1215.3000000000009</v>
      </c>
      <c r="DH39" s="125">
        <f t="shared" si="114"/>
        <v>4198.7000000000016</v>
      </c>
      <c r="DI39" s="111">
        <f t="shared" si="114"/>
        <v>1132.8999999999994</v>
      </c>
      <c r="DJ39" s="111">
        <f>DJ29-DJ35</f>
        <v>980.4000000000002</v>
      </c>
      <c r="DK39" s="111">
        <f>DK29-DK35</f>
        <v>1052.4000000000001</v>
      </c>
      <c r="DL39" s="111">
        <f>DL29-DL35</f>
        <v>1151.8000000000002</v>
      </c>
      <c r="DM39" s="125">
        <f t="shared" si="114"/>
        <v>4317.5000000000018</v>
      </c>
      <c r="DN39" s="111">
        <f>DN29+DN38-DN35</f>
        <v>3005.900000000001</v>
      </c>
      <c r="DO39" s="111">
        <f t="shared" ref="DO39:DR39" si="115">DO29+DO38-DO35</f>
        <v>998.1687105826461</v>
      </c>
      <c r="DP39" s="111">
        <f t="shared" si="115"/>
        <v>1214.0430993576904</v>
      </c>
      <c r="DQ39" s="111">
        <f t="shared" si="115"/>
        <v>1241.0626684246279</v>
      </c>
      <c r="DR39" s="125">
        <f t="shared" si="115"/>
        <v>6459.1744783649665</v>
      </c>
      <c r="DS39" s="111">
        <f t="shared" ref="DS39:EB39" si="116">DS29-DS35</f>
        <v>1252.7872491206219</v>
      </c>
      <c r="DT39" s="111">
        <f t="shared" si="116"/>
        <v>1142.5892414425846</v>
      </c>
      <c r="DU39" s="111">
        <f t="shared" si="116"/>
        <v>1375.6840874492796</v>
      </c>
      <c r="DV39" s="111">
        <f t="shared" si="116"/>
        <v>1396.9795348545904</v>
      </c>
      <c r="DW39" s="125">
        <f t="shared" si="116"/>
        <v>5168.0401128670746</v>
      </c>
      <c r="DX39" s="111">
        <f t="shared" si="116"/>
        <v>1396.9530819673771</v>
      </c>
      <c r="DY39" s="111">
        <f t="shared" si="116"/>
        <v>1285.2224992196273</v>
      </c>
      <c r="DZ39" s="111">
        <f t="shared" si="116"/>
        <v>1542.2610029726102</v>
      </c>
      <c r="EA39" s="111">
        <f t="shared" si="116"/>
        <v>1563.2779873110728</v>
      </c>
      <c r="EB39" s="125">
        <f t="shared" si="116"/>
        <v>5787.714571470694</v>
      </c>
      <c r="EC39" s="65"/>
      <c r="ED39" s="238"/>
      <c r="EE39" s="238"/>
      <c r="EF39" s="65"/>
      <c r="EG39" s="125">
        <f>S39+T39+U39+W39</f>
        <v>140.2350000000001</v>
      </c>
      <c r="EH39" s="125">
        <f>X39+Y39+Z39+AB39</f>
        <v>176.98100000000002</v>
      </c>
      <c r="EI39" s="125">
        <f>AC39+AD39+AE39+AG39</f>
        <v>241.04399999999998</v>
      </c>
      <c r="EJ39" s="125">
        <f>AH39+AI39+AJ39+AL39</f>
        <v>305.65600000000012</v>
      </c>
      <c r="EK39" s="125">
        <f>AM39+AN39+AO39+AQ39</f>
        <v>374.57799999999975</v>
      </c>
      <c r="EL39" s="125">
        <f>AR39+AS39+AT39+AV39</f>
        <v>488.87209999999965</v>
      </c>
      <c r="EM39" s="125">
        <f>AW39+AX39+AY39+BA39</f>
        <v>675.40100000000018</v>
      </c>
      <c r="EN39" s="125">
        <f>BB39+BC39+BD39+BF39</f>
        <v>844.29899999999998</v>
      </c>
      <c r="EO39" s="125">
        <f>SUM(BG39:BI39,BK39)</f>
        <v>952.27200000000028</v>
      </c>
      <c r="EP39" s="125">
        <f>SUM(BL39:BN39,BP39)</f>
        <v>1056.9009999999998</v>
      </c>
      <c r="EQ39" s="125">
        <f>SUM(BQ39:BS39,BU39)</f>
        <v>231.0599999999996</v>
      </c>
      <c r="ER39" s="125">
        <f>SUM(BV39:BX39,BZ39)</f>
        <v>830.7000000000005</v>
      </c>
      <c r="ES39" s="125">
        <f t="shared" ref="ES39:EZ39" si="117">ES29+ES33-ES34</f>
        <v>1575.9000000000008</v>
      </c>
      <c r="ET39" s="125">
        <f t="shared" si="117"/>
        <v>1843.1999999999994</v>
      </c>
      <c r="EU39" s="125">
        <f t="shared" si="117"/>
        <v>2109.8999999999992</v>
      </c>
      <c r="EV39" s="125">
        <f t="shared" si="117"/>
        <v>2731.7000000000021</v>
      </c>
      <c r="EW39" s="125">
        <f t="shared" si="117"/>
        <v>3249.8000000000011</v>
      </c>
      <c r="EX39" s="125">
        <f t="shared" si="117"/>
        <v>3714.1000000000004</v>
      </c>
      <c r="EY39" s="125">
        <f t="shared" si="117"/>
        <v>4282.0000000000027</v>
      </c>
      <c r="EZ39" s="125">
        <f t="shared" si="117"/>
        <v>4363.0000000000009</v>
      </c>
      <c r="FA39" s="125">
        <f>FA29+FA33-FA34</f>
        <v>4706.0617274855877</v>
      </c>
      <c r="FB39" s="125">
        <f>FB29+FB33-FB34</f>
        <v>5312.205945713833</v>
      </c>
      <c r="FD39" s="20" t="s">
        <v>183</v>
      </c>
      <c r="FE39" s="521">
        <f t="shared" si="109"/>
        <v>3005.900000000001</v>
      </c>
      <c r="FF39" s="521">
        <v>1215.1890874018839</v>
      </c>
      <c r="FG39" s="521">
        <f t="shared" si="68"/>
        <v>1790.7109125981171</v>
      </c>
      <c r="FH39" s="113">
        <f t="shared" si="110"/>
        <v>1132.8999999999994</v>
      </c>
      <c r="FI39" s="249">
        <f t="shared" si="52"/>
        <v>1.6532791949863204</v>
      </c>
      <c r="FJ39"/>
      <c r="FK39"/>
      <c r="FL39"/>
      <c r="FM39"/>
      <c r="FN39"/>
      <c r="FO39"/>
      <c r="FP39"/>
      <c r="FQ39"/>
      <c r="FR39"/>
    </row>
    <row r="40" spans="1:174" s="1" customFormat="1" x14ac:dyDescent="0.2">
      <c r="A40" s="22" t="s">
        <v>184</v>
      </c>
      <c r="B40" s="303">
        <v>8.4784059999999997</v>
      </c>
      <c r="C40" s="362">
        <v>5.58</v>
      </c>
      <c r="D40" s="362">
        <v>3.391</v>
      </c>
      <c r="E40" s="362">
        <v>4.4720000000000004</v>
      </c>
      <c r="F40" s="362">
        <v>3.5990000000000002</v>
      </c>
      <c r="G40" s="303">
        <f>SUM(C40:F40)</f>
        <v>17.042000000000002</v>
      </c>
      <c r="H40" s="362">
        <v>6.2460000000000004</v>
      </c>
      <c r="I40" s="362">
        <f>I39*0.385</f>
        <v>2.9718149999999923</v>
      </c>
      <c r="J40" s="362">
        <v>6.0430000000000001</v>
      </c>
      <c r="K40" s="362">
        <v>7.5709999999999997</v>
      </c>
      <c r="L40" s="303">
        <v>22.826000000000001</v>
      </c>
      <c r="M40" s="362">
        <v>9.0079999999999991</v>
      </c>
      <c r="N40" s="362">
        <f>15.043-M40</f>
        <v>6.0350000000000001</v>
      </c>
      <c r="O40" s="362">
        <f>24.194-N40-M40</f>
        <v>9.1509999999999998</v>
      </c>
      <c r="P40" s="362">
        <f>Q40-SUM(M40:O40)</f>
        <v>11.904999999999998</v>
      </c>
      <c r="Q40" s="303">
        <v>36.098999999999997</v>
      </c>
      <c r="R40" s="362">
        <v>13.837999999999999</v>
      </c>
      <c r="S40" s="362">
        <f>23.31-R40</f>
        <v>9.4719999999999995</v>
      </c>
      <c r="T40" s="362">
        <v>13.691000000000001</v>
      </c>
      <c r="U40" s="362">
        <v>13.557</v>
      </c>
      <c r="V40" s="303">
        <f>SUM(R40:U40)</f>
        <v>50.558</v>
      </c>
      <c r="W40" s="362">
        <v>16.385000000000002</v>
      </c>
      <c r="X40" s="362">
        <v>11.007</v>
      </c>
      <c r="Y40" s="362">
        <v>15.099</v>
      </c>
      <c r="Z40" s="362">
        <v>19.843</v>
      </c>
      <c r="AA40" s="303">
        <f>SUM(W40:Z40)</f>
        <v>62.334000000000003</v>
      </c>
      <c r="AB40" s="362">
        <v>21.297999999999998</v>
      </c>
      <c r="AC40" s="362">
        <v>14.042999999999999</v>
      </c>
      <c r="AD40" s="362">
        <v>20.948</v>
      </c>
      <c r="AE40" s="362">
        <v>26.3</v>
      </c>
      <c r="AF40" s="303">
        <f>SUM(AB40:AE40)</f>
        <v>82.588999999999999</v>
      </c>
      <c r="AG40" s="362">
        <v>28.774999999999999</v>
      </c>
      <c r="AH40" s="362">
        <v>20.204000000000001</v>
      </c>
      <c r="AI40" s="362">
        <v>27.46</v>
      </c>
      <c r="AJ40" s="362">
        <v>31.273</v>
      </c>
      <c r="AK40" s="303">
        <v>107.712</v>
      </c>
      <c r="AL40" s="362">
        <f>AL39*AL66</f>
        <v>34.966480000000011</v>
      </c>
      <c r="AM40" s="362">
        <f>AM39*AM66</f>
        <v>25.367569999999951</v>
      </c>
      <c r="AN40" s="362">
        <v>32.991</v>
      </c>
      <c r="AO40" s="362">
        <v>34.338999999999999</v>
      </c>
      <c r="AP40" s="303">
        <v>126.31310000000001</v>
      </c>
      <c r="AQ40" s="362">
        <v>46.968000000000004</v>
      </c>
      <c r="AR40" s="362">
        <v>34.701999999999998</v>
      </c>
      <c r="AS40" s="362">
        <f>42.815-0.037</f>
        <v>42.777999999999999</v>
      </c>
      <c r="AT40" s="362">
        <f>AT39*AT66</f>
        <v>43.541566408999948</v>
      </c>
      <c r="AU40" s="303">
        <f>SUM(AQ40:AT40)</f>
        <v>167.98956640899996</v>
      </c>
      <c r="AV40" s="362">
        <v>67.733999999999995</v>
      </c>
      <c r="AW40" s="362">
        <v>48.558999999999997</v>
      </c>
      <c r="AX40" s="362">
        <v>59.991999999999997</v>
      </c>
      <c r="AY40" s="362">
        <v>55.469000000000001</v>
      </c>
      <c r="AZ40" s="303">
        <f>SUM(AV40:AY40)</f>
        <v>231.75399999999999</v>
      </c>
      <c r="BA40" s="362">
        <v>87.602999999999994</v>
      </c>
      <c r="BB40" s="362">
        <v>60.831000000000003</v>
      </c>
      <c r="BC40" s="362">
        <v>77.292000000000002</v>
      </c>
      <c r="BD40" s="362">
        <v>76.251000000000005</v>
      </c>
      <c r="BE40" s="303">
        <f>SUM(BA40:BD40)</f>
        <v>301.97699999999998</v>
      </c>
      <c r="BF40" s="362">
        <v>106.039</v>
      </c>
      <c r="BG40" s="362">
        <v>77.641000000000005</v>
      </c>
      <c r="BH40" s="362">
        <v>74.102999999999994</v>
      </c>
      <c r="BI40" s="362">
        <v>66.986999999999995</v>
      </c>
      <c r="BJ40" s="303">
        <f>SUM(BF40:BI40)</f>
        <v>324.77</v>
      </c>
      <c r="BK40" s="362">
        <v>121.211</v>
      </c>
      <c r="BL40" s="362">
        <v>89.542000000000002</v>
      </c>
      <c r="BM40" s="362">
        <v>84.63</v>
      </c>
      <c r="BN40" s="362">
        <v>88.343000000000004</v>
      </c>
      <c r="BO40" s="303">
        <f>SUM(BK40:BN40)</f>
        <v>383.726</v>
      </c>
      <c r="BP40" s="362">
        <v>118.6</v>
      </c>
      <c r="BQ40" s="362">
        <v>58.5</v>
      </c>
      <c r="BR40" s="362">
        <v>-26.5</v>
      </c>
      <c r="BS40" s="362">
        <v>-6.6</v>
      </c>
      <c r="BT40" s="303">
        <f>SUM(BP40:BS40)</f>
        <v>144</v>
      </c>
      <c r="BU40" s="362">
        <v>34</v>
      </c>
      <c r="BV40" s="362">
        <v>9.9</v>
      </c>
      <c r="BW40" s="362">
        <v>65.8</v>
      </c>
      <c r="BX40" s="362">
        <v>58.7</v>
      </c>
      <c r="BY40" s="303">
        <f>SUM(BU40:BX40)</f>
        <v>168.39999999999998</v>
      </c>
      <c r="BZ40" s="362">
        <v>126</v>
      </c>
      <c r="CA40" s="362">
        <v>118.7</v>
      </c>
      <c r="CB40" s="362">
        <v>109.9</v>
      </c>
      <c r="CC40" s="362">
        <v>134.1</v>
      </c>
      <c r="CD40" s="303">
        <f>SUM(BZ40:CC40)</f>
        <v>488.70000000000005</v>
      </c>
      <c r="CE40" s="362">
        <v>160.80000000000001</v>
      </c>
      <c r="CF40" s="362">
        <v>126.5</v>
      </c>
      <c r="CG40" s="362">
        <v>129.9</v>
      </c>
      <c r="CH40" s="362">
        <v>145.9</v>
      </c>
      <c r="CI40" s="303">
        <f>SUM(CE40:CH40)</f>
        <v>563.1</v>
      </c>
      <c r="CJ40" s="362">
        <v>188.4</v>
      </c>
      <c r="CK40" s="362">
        <v>146.80000000000001</v>
      </c>
      <c r="CL40" s="362">
        <v>159.1</v>
      </c>
      <c r="CM40" s="362">
        <v>180.2</v>
      </c>
      <c r="CN40" s="303">
        <f>SUM(CJ40:CM40)</f>
        <v>674.5</v>
      </c>
      <c r="CO40" s="362">
        <v>188.7</v>
      </c>
      <c r="CP40" s="362">
        <v>198.1</v>
      </c>
      <c r="CQ40" s="362">
        <v>194.6</v>
      </c>
      <c r="CR40" s="575">
        <f>250.9-(2784.1-1713.1)</f>
        <v>-820.1</v>
      </c>
      <c r="CS40" s="303">
        <f>SUM(CO40:CR40)</f>
        <v>-238.70000000000005</v>
      </c>
      <c r="CT40" s="362">
        <v>278.10000000000002</v>
      </c>
      <c r="CU40" s="362">
        <v>218.3</v>
      </c>
      <c r="CV40" s="362">
        <v>259</v>
      </c>
      <c r="CW40" s="660">
        <v>336.6</v>
      </c>
      <c r="CX40" s="303">
        <f>SUM(CT40:CW40)</f>
        <v>1092</v>
      </c>
      <c r="CY40" s="362">
        <v>315</v>
      </c>
      <c r="CZ40" s="362">
        <v>266.3</v>
      </c>
      <c r="DA40" s="362">
        <v>318.5</v>
      </c>
      <c r="DB40" s="362">
        <v>244</v>
      </c>
      <c r="DC40" s="303">
        <f>SUM(CY40:DB40)</f>
        <v>1143.8</v>
      </c>
      <c r="DD40" s="362">
        <v>361.9</v>
      </c>
      <c r="DE40" s="362">
        <v>285.39999999999998</v>
      </c>
      <c r="DF40" s="362">
        <v>318.89999999999998</v>
      </c>
      <c r="DG40" s="362">
        <v>413.5</v>
      </c>
      <c r="DH40" s="303">
        <f>SUM(DD40:DG40)</f>
        <v>1379.6999999999998</v>
      </c>
      <c r="DI40" s="362">
        <v>381.4</v>
      </c>
      <c r="DJ40" s="362">
        <v>327.60000000000002</v>
      </c>
      <c r="DK40" s="362">
        <v>361.1</v>
      </c>
      <c r="DL40" s="362">
        <v>362.5</v>
      </c>
      <c r="DM40" s="303">
        <f>SUM(DI40:DL40)</f>
        <v>1432.6</v>
      </c>
      <c r="DN40" s="362">
        <v>755.8</v>
      </c>
      <c r="DO40" s="363">
        <f>DO39*DO66</f>
        <v>259.52386475148802</v>
      </c>
      <c r="DP40" s="363">
        <f>DP39*DP66</f>
        <v>315.65120583299949</v>
      </c>
      <c r="DQ40" s="363">
        <f>DQ39*DQ66</f>
        <v>322.67629379040324</v>
      </c>
      <c r="DR40" s="303">
        <f>SUM(DN40:DQ40)</f>
        <v>1653.6513643748906</v>
      </c>
      <c r="DS40" s="363">
        <f>DS39*DS66</f>
        <v>325.72468477136169</v>
      </c>
      <c r="DT40" s="363">
        <f>DT39*DT66</f>
        <v>297.07320277507199</v>
      </c>
      <c r="DU40" s="363">
        <f>DU39*DU66</f>
        <v>357.6778627368127</v>
      </c>
      <c r="DV40" s="363">
        <f>DV39*DV66</f>
        <v>363.21467906219351</v>
      </c>
      <c r="DW40" s="303">
        <f>SUM(DS40:DV40)</f>
        <v>1343.69042934544</v>
      </c>
      <c r="DX40" s="363">
        <f>DX39*DX66</f>
        <v>363.20780131151804</v>
      </c>
      <c r="DY40" s="363">
        <f>DY39*DY66</f>
        <v>334.1578497971031</v>
      </c>
      <c r="DZ40" s="363">
        <f>DZ39*DZ66</f>
        <v>400.98786077287866</v>
      </c>
      <c r="EA40" s="363">
        <f>EA39*EA66</f>
        <v>406.45227670087894</v>
      </c>
      <c r="EB40" s="303">
        <f>SUM(DX40:EA40)</f>
        <v>1504.8057885823787</v>
      </c>
      <c r="ED40" s="28"/>
      <c r="EE40" s="28"/>
      <c r="EG40" s="303">
        <f>S40+T40+U40+W40</f>
        <v>53.105000000000004</v>
      </c>
      <c r="EH40" s="303">
        <f>X40+Y40+Z40+AB40</f>
        <v>67.247</v>
      </c>
      <c r="EI40" s="303">
        <f>AC40+AD40+AE40+AG40</f>
        <v>90.066000000000003</v>
      </c>
      <c r="EJ40" s="303">
        <f>AH40+AI40+AJ40+AL40</f>
        <v>113.90348</v>
      </c>
      <c r="EK40" s="303">
        <f>AM40+AN40+AO40+AQ40</f>
        <v>139.66556999999995</v>
      </c>
      <c r="EL40" s="303">
        <f>AR40+AS40+AT40+AV40</f>
        <v>188.75556640899993</v>
      </c>
      <c r="EM40" s="303">
        <f>AW40+AX40+AY40+BA40</f>
        <v>251.62299999999999</v>
      </c>
      <c r="EN40" s="303">
        <f>BB40+BC40+BD40+BF40</f>
        <v>320.41300000000001</v>
      </c>
      <c r="EO40" s="303">
        <f>SUM(BG40:BI40,BK40)</f>
        <v>339.94200000000001</v>
      </c>
      <c r="EP40" s="303">
        <f>SUM(BL40:BN40,BP40)</f>
        <v>381.11500000000001</v>
      </c>
      <c r="EQ40" s="303">
        <f>SUM(BQ40:BS40,BU40)</f>
        <v>59.4</v>
      </c>
      <c r="ER40" s="303">
        <f>SUM(BV40:BX40,BZ40)</f>
        <v>260.39999999999998</v>
      </c>
      <c r="ES40" s="303">
        <f>SUM(CA40:CC40,CE40)</f>
        <v>523.5</v>
      </c>
      <c r="ET40" s="303">
        <f>SUM(CF40:CH40,CJ40)</f>
        <v>590.69999999999993</v>
      </c>
      <c r="EU40" s="303">
        <f>SUM(CK40,CL40,CM40,CO40)</f>
        <v>674.8</v>
      </c>
      <c r="EV40" s="303">
        <f>SUM(CT40,CR40,CQ40,CP40)</f>
        <v>-149.29999999999998</v>
      </c>
      <c r="EW40" s="303">
        <f>CU40+CV40+CW40+CY40</f>
        <v>1128.9000000000001</v>
      </c>
      <c r="EX40" s="303">
        <f>CZ40+DA40+DB40+DD40</f>
        <v>1190.6999999999998</v>
      </c>
      <c r="EY40" s="303">
        <f>DE40+DF40+DG40+DI40</f>
        <v>1399.1999999999998</v>
      </c>
      <c r="EZ40" s="303">
        <f>DJ40+DK40+DL40+DN40</f>
        <v>1807</v>
      </c>
      <c r="FA40" s="303">
        <f>DO40+DP40+DQ40+DS40</f>
        <v>1223.5760491462524</v>
      </c>
      <c r="FB40" s="303">
        <f t="shared" si="86"/>
        <v>1381.1735458855962</v>
      </c>
      <c r="FD40" s="32" t="s">
        <v>184</v>
      </c>
      <c r="FE40" s="525">
        <f t="shared" si="109"/>
        <v>755.8</v>
      </c>
      <c r="FF40" s="525">
        <v>401.01239884262168</v>
      </c>
      <c r="FG40" s="525">
        <f t="shared" si="68"/>
        <v>354.78760115737828</v>
      </c>
      <c r="FH40" s="304">
        <f t="shared" si="110"/>
        <v>381.4</v>
      </c>
      <c r="FI40" s="249">
        <f t="shared" si="52"/>
        <v>0.98164656528578931</v>
      </c>
      <c r="FJ40"/>
      <c r="FK40"/>
      <c r="FL40"/>
      <c r="FM40"/>
      <c r="FN40"/>
      <c r="FO40"/>
      <c r="FP40"/>
      <c r="FQ40"/>
      <c r="FR40"/>
    </row>
    <row r="41" spans="1:174" s="1" customFormat="1" x14ac:dyDescent="0.2">
      <c r="A41" s="16" t="s">
        <v>185</v>
      </c>
      <c r="B41" s="151">
        <v>13.084593999999999</v>
      </c>
      <c r="C41" s="119">
        <f t="shared" ref="C41:AK41" si="118">C39-C40</f>
        <v>44.583999999999996</v>
      </c>
      <c r="D41" s="119">
        <f t="shared" si="118"/>
        <v>-3.2040000000000015</v>
      </c>
      <c r="E41" s="119">
        <f t="shared" si="118"/>
        <v>6.8449999999999909</v>
      </c>
      <c r="F41" s="119">
        <f t="shared" si="118"/>
        <v>5.5259999999999927</v>
      </c>
      <c r="G41" s="151">
        <f t="shared" si="118"/>
        <v>26.1</v>
      </c>
      <c r="H41" s="119">
        <f t="shared" si="118"/>
        <v>9.5360000000000102</v>
      </c>
      <c r="I41" s="119">
        <f t="shared" si="118"/>
        <v>4.7471849999999876</v>
      </c>
      <c r="J41" s="119">
        <f t="shared" si="118"/>
        <v>9.4119999999999919</v>
      </c>
      <c r="K41" s="119">
        <f t="shared" si="118"/>
        <v>12.714999999999991</v>
      </c>
      <c r="L41" s="151">
        <f t="shared" si="118"/>
        <v>36.457999999999963</v>
      </c>
      <c r="M41" s="119">
        <f t="shared" si="118"/>
        <v>13.885999999999992</v>
      </c>
      <c r="N41" s="119">
        <f t="shared" si="118"/>
        <v>9.2410000000000103</v>
      </c>
      <c r="O41" s="119">
        <f t="shared" si="118"/>
        <v>14.2</v>
      </c>
      <c r="P41" s="119">
        <f t="shared" si="118"/>
        <v>17.884000000000057</v>
      </c>
      <c r="Q41" s="151">
        <f t="shared" si="118"/>
        <v>55.211000000000006</v>
      </c>
      <c r="R41" s="119">
        <f t="shared" si="118"/>
        <v>20.954999999999963</v>
      </c>
      <c r="S41" s="119">
        <f t="shared" si="118"/>
        <v>13.961999999999994</v>
      </c>
      <c r="T41" s="119">
        <f t="shared" si="118"/>
        <v>20.881000000000036</v>
      </c>
      <c r="U41" s="119">
        <f t="shared" si="118"/>
        <v>25.554000000000045</v>
      </c>
      <c r="V41" s="151">
        <f t="shared" si="118"/>
        <v>81.352000000000089</v>
      </c>
      <c r="W41" s="119">
        <f t="shared" si="118"/>
        <v>26.733000000000015</v>
      </c>
      <c r="X41" s="119">
        <f t="shared" si="118"/>
        <v>17.957000000000015</v>
      </c>
      <c r="Y41" s="119">
        <f t="shared" si="118"/>
        <v>24.635000000000016</v>
      </c>
      <c r="Z41" s="119">
        <f t="shared" si="118"/>
        <v>32.392999999999958</v>
      </c>
      <c r="AA41" s="151">
        <f t="shared" si="118"/>
        <v>101.71799999999979</v>
      </c>
      <c r="AB41" s="119">
        <f t="shared" si="118"/>
        <v>34.749000000000024</v>
      </c>
      <c r="AC41" s="119">
        <f t="shared" si="118"/>
        <v>23.41599999999999</v>
      </c>
      <c r="AD41" s="119">
        <f t="shared" si="118"/>
        <v>34.862000000000023</v>
      </c>
      <c r="AE41" s="119">
        <f t="shared" si="118"/>
        <v>43.704999999999956</v>
      </c>
      <c r="AF41" s="151">
        <f t="shared" si="118"/>
        <v>136.73200000000017</v>
      </c>
      <c r="AG41" s="119">
        <f t="shared" si="118"/>
        <v>48.99500000000004</v>
      </c>
      <c r="AH41" s="119">
        <f t="shared" si="118"/>
        <v>32.210000000000008</v>
      </c>
      <c r="AI41" s="119">
        <f t="shared" si="118"/>
        <v>46.756999999999984</v>
      </c>
      <c r="AJ41" s="119">
        <f t="shared" si="118"/>
        <v>53.248000000000076</v>
      </c>
      <c r="AK41" s="151">
        <f t="shared" si="118"/>
        <v>180.33500000000032</v>
      </c>
      <c r="AL41" s="119">
        <f>AL39-AL40-0.011</f>
        <v>59.526520000000019</v>
      </c>
      <c r="AM41" s="119">
        <f>AM39-AM40+0.018</f>
        <v>43.211429999999915</v>
      </c>
      <c r="AN41" s="119">
        <f>AN39-AN40-0.112</f>
        <v>55.555999999999905</v>
      </c>
      <c r="AO41" s="119">
        <f t="shared" ref="AO41:BJ41" si="119">AO39-AO40</f>
        <v>57.68799999999996</v>
      </c>
      <c r="AP41" s="151">
        <f t="shared" si="119"/>
        <v>212.68589999999989</v>
      </c>
      <c r="AQ41" s="119">
        <f t="shared" si="119"/>
        <v>78.363000000000042</v>
      </c>
      <c r="AR41" s="119">
        <f t="shared" si="119"/>
        <v>52.030999999999921</v>
      </c>
      <c r="AS41" s="119">
        <f t="shared" si="119"/>
        <v>68.355100000000022</v>
      </c>
      <c r="AT41" s="119">
        <f t="shared" si="119"/>
        <v>69.595433590999903</v>
      </c>
      <c r="AU41" s="151">
        <f t="shared" si="119"/>
        <v>268.34443359099981</v>
      </c>
      <c r="AV41" s="119">
        <f t="shared" si="119"/>
        <v>110.13499999999986</v>
      </c>
      <c r="AW41" s="119">
        <f t="shared" si="119"/>
        <v>78.884999999999948</v>
      </c>
      <c r="AX41" s="119">
        <f t="shared" si="119"/>
        <v>97.580000000000098</v>
      </c>
      <c r="AY41" s="119">
        <f t="shared" si="119"/>
        <v>102.60300000000004</v>
      </c>
      <c r="AZ41" s="151">
        <f t="shared" si="119"/>
        <v>389.20299999999986</v>
      </c>
      <c r="BA41" s="119">
        <f t="shared" si="119"/>
        <v>144.71000000000009</v>
      </c>
      <c r="BB41" s="119">
        <f t="shared" si="119"/>
        <v>100.46099999999997</v>
      </c>
      <c r="BC41" s="119">
        <f t="shared" si="119"/>
        <v>125.51299999999995</v>
      </c>
      <c r="BD41" s="119">
        <f t="shared" si="119"/>
        <v>123.72199999999998</v>
      </c>
      <c r="BE41" s="151">
        <f t="shared" si="119"/>
        <v>494.46699999999942</v>
      </c>
      <c r="BF41" s="119">
        <f t="shared" si="119"/>
        <v>174.19000000000005</v>
      </c>
      <c r="BG41" s="119">
        <f t="shared" si="119"/>
        <v>127.31600000000005</v>
      </c>
      <c r="BH41" s="119">
        <f t="shared" si="119"/>
        <v>145.49800000000016</v>
      </c>
      <c r="BI41" s="119">
        <f t="shared" si="119"/>
        <v>134.50300000000007</v>
      </c>
      <c r="BJ41" s="151">
        <f t="shared" si="119"/>
        <v>581.50700000000029</v>
      </c>
      <c r="BK41" s="119">
        <f t="shared" ref="BK41:CP41" si="120">BK39-BK40</f>
        <v>205.01300000000003</v>
      </c>
      <c r="BL41" s="119">
        <f t="shared" si="120"/>
        <v>150.83999999999995</v>
      </c>
      <c r="BM41" s="119">
        <f t="shared" si="120"/>
        <v>158.34300000000005</v>
      </c>
      <c r="BN41" s="119">
        <f t="shared" si="120"/>
        <v>158.50299999999993</v>
      </c>
      <c r="BO41" s="151">
        <f t="shared" si="120"/>
        <v>672.69899999999996</v>
      </c>
      <c r="BP41" s="119">
        <f t="shared" si="120"/>
        <v>208.09999999999994</v>
      </c>
      <c r="BQ41" s="119">
        <f t="shared" si="120"/>
        <v>108.66</v>
      </c>
      <c r="BR41" s="119">
        <f t="shared" si="120"/>
        <v>-6.8000000000002458</v>
      </c>
      <c r="BS41" s="119">
        <f t="shared" si="120"/>
        <v>5.5000000000000266</v>
      </c>
      <c r="BT41" s="151">
        <f t="shared" si="120"/>
        <v>315.45999999999964</v>
      </c>
      <c r="BU41" s="119">
        <f t="shared" si="120"/>
        <v>64.299999999999812</v>
      </c>
      <c r="BV41" s="119">
        <f t="shared" si="120"/>
        <v>25.100000000000122</v>
      </c>
      <c r="BW41" s="119">
        <f t="shared" si="120"/>
        <v>148.20000000000005</v>
      </c>
      <c r="BX41" s="119">
        <f t="shared" si="120"/>
        <v>153.50000000000023</v>
      </c>
      <c r="BY41" s="151">
        <f t="shared" si="120"/>
        <v>391.1</v>
      </c>
      <c r="BZ41" s="119">
        <f t="shared" si="120"/>
        <v>243.50000000000017</v>
      </c>
      <c r="CA41" s="119">
        <f t="shared" si="120"/>
        <v>217.80000000000041</v>
      </c>
      <c r="CB41" s="119">
        <f t="shared" si="120"/>
        <v>208.49999999999997</v>
      </c>
      <c r="CC41" s="119">
        <f t="shared" si="120"/>
        <v>278.50000000000023</v>
      </c>
      <c r="CD41" s="563">
        <f t="shared" si="120"/>
        <v>948.29999999999905</v>
      </c>
      <c r="CE41" s="348">
        <f t="shared" si="120"/>
        <v>347.60000000000025</v>
      </c>
      <c r="CF41" s="348">
        <f t="shared" si="120"/>
        <v>262.39999999999975</v>
      </c>
      <c r="CG41" s="348">
        <f t="shared" si="120"/>
        <v>279.8000000000003</v>
      </c>
      <c r="CH41" s="348">
        <f t="shared" si="120"/>
        <v>358.30000000000007</v>
      </c>
      <c r="CI41" s="330">
        <f t="shared" si="120"/>
        <v>1248.1000000000004</v>
      </c>
      <c r="CJ41" s="103">
        <f t="shared" si="120"/>
        <v>382.20000000000016</v>
      </c>
      <c r="CK41" s="103">
        <f t="shared" si="120"/>
        <v>310.09999999999968</v>
      </c>
      <c r="CL41" s="103">
        <f t="shared" si="120"/>
        <v>333.29999999999984</v>
      </c>
      <c r="CM41" s="103">
        <f t="shared" si="120"/>
        <v>359.3</v>
      </c>
      <c r="CN41" s="330">
        <f t="shared" si="120"/>
        <v>1384.8999999999996</v>
      </c>
      <c r="CO41" s="103">
        <f t="shared" si="120"/>
        <v>432.40000000000003</v>
      </c>
      <c r="CP41" s="103">
        <f t="shared" si="120"/>
        <v>390.6999999999997</v>
      </c>
      <c r="CQ41" s="199">
        <f t="shared" ref="CQ41:DR41" si="121">CQ39-CQ40</f>
        <v>417.8000000000003</v>
      </c>
      <c r="CR41" s="103">
        <f t="shared" si="121"/>
        <v>-1232.0999999999999</v>
      </c>
      <c r="CS41" s="330">
        <f t="shared" si="121"/>
        <v>8.7999999999966576</v>
      </c>
      <c r="CT41" s="199">
        <f t="shared" si="121"/>
        <v>540.70000000000039</v>
      </c>
      <c r="CU41" s="103">
        <f t="shared" si="121"/>
        <v>426.90000000000038</v>
      </c>
      <c r="CV41" s="199">
        <f t="shared" si="121"/>
        <v>512.49999999999989</v>
      </c>
      <c r="CW41" s="662">
        <f t="shared" si="121"/>
        <v>587.60000000000048</v>
      </c>
      <c r="CX41" s="330">
        <f t="shared" si="121"/>
        <v>2067.7000000000021</v>
      </c>
      <c r="CY41" s="199">
        <f>CY39-CY40</f>
        <v>984.50000000000091</v>
      </c>
      <c r="CZ41" s="199">
        <f t="shared" si="121"/>
        <v>495.59999999999997</v>
      </c>
      <c r="DA41" s="199">
        <f t="shared" si="121"/>
        <v>626.49999999999966</v>
      </c>
      <c r="DB41" s="199">
        <f t="shared" si="121"/>
        <v>652.49999999999943</v>
      </c>
      <c r="DC41" s="200">
        <f t="shared" si="121"/>
        <v>2759.1000000000013</v>
      </c>
      <c r="DD41" s="832">
        <f t="shared" si="121"/>
        <v>687.69999999999993</v>
      </c>
      <c r="DE41" s="348">
        <f t="shared" si="121"/>
        <v>574.99999999999977</v>
      </c>
      <c r="DF41" s="832">
        <f t="shared" si="121"/>
        <v>754.49999999999989</v>
      </c>
      <c r="DG41" s="832">
        <f t="shared" si="121"/>
        <v>801.80000000000086</v>
      </c>
      <c r="DH41" s="927">
        <f t="shared" si="121"/>
        <v>2819.0000000000018</v>
      </c>
      <c r="DI41" s="832">
        <f t="shared" si="121"/>
        <v>751.49999999999943</v>
      </c>
      <c r="DJ41" s="832">
        <f t="shared" si="121"/>
        <v>652.80000000000018</v>
      </c>
      <c r="DK41" s="832">
        <f>DK39-DK40</f>
        <v>691.30000000000007</v>
      </c>
      <c r="DL41" s="832">
        <f>DL39-DL40</f>
        <v>789.30000000000018</v>
      </c>
      <c r="DM41" s="927">
        <f t="shared" si="121"/>
        <v>2884.9000000000019</v>
      </c>
      <c r="DN41" s="832">
        <f>DN39-DN40</f>
        <v>2250.1000000000013</v>
      </c>
      <c r="DO41" s="348">
        <f t="shared" si="121"/>
        <v>738.64484583115814</v>
      </c>
      <c r="DP41" s="348">
        <f t="shared" si="121"/>
        <v>898.39189352469089</v>
      </c>
      <c r="DQ41" s="348">
        <f t="shared" si="121"/>
        <v>918.38637463422469</v>
      </c>
      <c r="DR41" s="563">
        <f t="shared" si="121"/>
        <v>4805.5231139900761</v>
      </c>
      <c r="DS41" s="348">
        <f t="shared" ref="DS41:EB41" si="122">DS39-DS40</f>
        <v>927.06256434926024</v>
      </c>
      <c r="DT41" s="348">
        <f t="shared" si="122"/>
        <v>845.51603866751259</v>
      </c>
      <c r="DU41" s="348">
        <f t="shared" si="122"/>
        <v>1018.0062247124669</v>
      </c>
      <c r="DV41" s="348">
        <f t="shared" si="122"/>
        <v>1033.7648557923969</v>
      </c>
      <c r="DW41" s="563">
        <f>DW39-DW40</f>
        <v>3824.3496835216347</v>
      </c>
      <c r="DX41" s="348">
        <f t="shared" si="122"/>
        <v>1033.745280655859</v>
      </c>
      <c r="DY41" s="348">
        <f t="shared" si="122"/>
        <v>951.0646494225241</v>
      </c>
      <c r="DZ41" s="348">
        <f t="shared" si="122"/>
        <v>1141.2731421997314</v>
      </c>
      <c r="EA41" s="348">
        <f t="shared" si="122"/>
        <v>1156.8257106101939</v>
      </c>
      <c r="EB41" s="563">
        <f t="shared" si="122"/>
        <v>4282.9087828883148</v>
      </c>
      <c r="EC41" s="345"/>
      <c r="ED41" s="565"/>
      <c r="EE41" s="565"/>
      <c r="EF41" s="345"/>
      <c r="EG41" s="563">
        <f>S41+T41+U41+W41</f>
        <v>87.130000000000095</v>
      </c>
      <c r="EH41" s="563">
        <f>X41+Y41+Z41+AB41</f>
        <v>109.73400000000001</v>
      </c>
      <c r="EI41" s="563">
        <f>AC41+AD41+AE41+AG41</f>
        <v>150.97800000000001</v>
      </c>
      <c r="EJ41" s="563">
        <f>AH41+AI41+AJ41+AL41</f>
        <v>191.74152000000009</v>
      </c>
      <c r="EK41" s="563">
        <f>AM41+AN41+AO41+AQ41</f>
        <v>234.81842999999981</v>
      </c>
      <c r="EL41" s="563">
        <f>AR41+AS41+AT41+AV41</f>
        <v>300.11653359099972</v>
      </c>
      <c r="EM41" s="563">
        <f>AW41+AX41+AY41+BA41</f>
        <v>423.77800000000019</v>
      </c>
      <c r="EN41" s="563">
        <f>BB41+BC41+BD41+BF41</f>
        <v>523.88599999999997</v>
      </c>
      <c r="EO41" s="563">
        <f>SUM(BG41:BI41,BK41)</f>
        <v>612.33000000000027</v>
      </c>
      <c r="EP41" s="563">
        <f>SUM(BL41:BN41,BP41)</f>
        <v>675.78599999999983</v>
      </c>
      <c r="EQ41" s="563">
        <f>SUM(BQ41:BS41,BU41)</f>
        <v>171.6599999999996</v>
      </c>
      <c r="ER41" s="563">
        <f>ER39-ER40</f>
        <v>570.30000000000052</v>
      </c>
      <c r="ES41" s="563">
        <f t="shared" ref="ES41:EZ41" si="123">ES39-ES40</f>
        <v>1052.4000000000008</v>
      </c>
      <c r="ET41" s="563">
        <f t="shared" si="123"/>
        <v>1252.4999999999995</v>
      </c>
      <c r="EU41" s="563">
        <f t="shared" si="123"/>
        <v>1435.0999999999992</v>
      </c>
      <c r="EV41" s="563">
        <f t="shared" si="123"/>
        <v>2881.0000000000023</v>
      </c>
      <c r="EW41" s="563">
        <f t="shared" si="123"/>
        <v>2120.900000000001</v>
      </c>
      <c r="EX41" s="563">
        <f t="shared" si="123"/>
        <v>2523.4000000000005</v>
      </c>
      <c r="EY41" s="563">
        <f t="shared" si="123"/>
        <v>2882.8000000000029</v>
      </c>
      <c r="EZ41" s="563">
        <f t="shared" si="123"/>
        <v>2556.0000000000009</v>
      </c>
      <c r="FA41" s="563">
        <f>FA39-FA40</f>
        <v>3482.4856783393352</v>
      </c>
      <c r="FB41" s="563">
        <f>FB39-FB40</f>
        <v>3931.0323998282365</v>
      </c>
      <c r="FD41" s="43" t="s">
        <v>185</v>
      </c>
      <c r="FE41" s="521">
        <f t="shared" si="109"/>
        <v>2250.1000000000013</v>
      </c>
      <c r="FF41" s="521">
        <v>814.17668855926217</v>
      </c>
      <c r="FG41" s="521">
        <f t="shared" si="68"/>
        <v>1435.9233114407391</v>
      </c>
      <c r="FH41" s="219">
        <f t="shared" si="110"/>
        <v>751.49999999999943</v>
      </c>
      <c r="FI41" s="249">
        <f t="shared" si="52"/>
        <v>1.9941450432468435</v>
      </c>
      <c r="FJ41"/>
      <c r="FK41"/>
      <c r="FL41"/>
      <c r="FM41"/>
      <c r="FN41"/>
      <c r="FO41"/>
      <c r="FP41"/>
      <c r="FQ41"/>
      <c r="FR41"/>
    </row>
    <row r="42" spans="1:174" s="1" customFormat="1" hidden="1" outlineLevel="1" x14ac:dyDescent="0.2">
      <c r="A42" s="1" t="s">
        <v>186</v>
      </c>
      <c r="B42" s="20"/>
      <c r="G42" s="20"/>
      <c r="L42" s="20"/>
      <c r="Q42" s="20"/>
      <c r="V42" s="20"/>
      <c r="AA42" s="20"/>
      <c r="AF42" s="20"/>
      <c r="AK42" s="20"/>
      <c r="AP42" s="20"/>
      <c r="AU42" s="20"/>
      <c r="AZ42" s="20"/>
      <c r="BE42" s="20"/>
      <c r="BF42" s="49">
        <v>0</v>
      </c>
      <c r="BG42" s="49">
        <v>0</v>
      </c>
      <c r="BH42" s="49">
        <v>0</v>
      </c>
      <c r="BI42" s="49">
        <v>17.213999999999999</v>
      </c>
      <c r="BJ42" s="45">
        <f>SUM(BF42:BI42)</f>
        <v>17.213999999999999</v>
      </c>
      <c r="BO42" s="20"/>
      <c r="BT42" s="20"/>
      <c r="BY42" s="20"/>
      <c r="CD42" s="20"/>
      <c r="CI42" s="20"/>
      <c r="CN42" s="20"/>
      <c r="CQ42" s="64"/>
      <c r="CR42" s="576"/>
      <c r="CS42" s="71"/>
      <c r="CT42" s="64"/>
      <c r="CU42" s="64"/>
      <c r="CV42" s="64"/>
      <c r="CW42" s="661"/>
      <c r="CX42" s="71"/>
      <c r="CY42" s="64"/>
      <c r="CZ42" s="64"/>
      <c r="DA42" s="64"/>
      <c r="DB42" s="64"/>
      <c r="DC42" s="71"/>
      <c r="DD42" s="64"/>
      <c r="DE42" s="64"/>
      <c r="DF42" s="64"/>
      <c r="DG42" s="64"/>
      <c r="DH42" s="71"/>
      <c r="DI42" s="64"/>
      <c r="DJ42" s="64"/>
      <c r="DK42" s="64"/>
      <c r="DL42" s="64"/>
      <c r="DM42" s="71"/>
      <c r="DN42" s="64"/>
      <c r="DO42" s="64"/>
      <c r="DP42" s="64"/>
      <c r="DQ42" s="64"/>
      <c r="DR42" s="71"/>
      <c r="DS42" s="64"/>
      <c r="DT42" s="64"/>
      <c r="DU42" s="64"/>
      <c r="DV42" s="64"/>
      <c r="DW42" s="71"/>
      <c r="DX42" s="64"/>
      <c r="DY42" s="64"/>
      <c r="DZ42" s="64"/>
      <c r="EA42" s="64"/>
      <c r="EB42" s="71"/>
      <c r="ED42" s="28"/>
      <c r="EE42" s="28"/>
      <c r="EG42" s="125"/>
      <c r="EH42" s="125"/>
      <c r="EI42" s="125"/>
      <c r="EJ42" s="125"/>
      <c r="EK42" s="125"/>
      <c r="EL42" s="125"/>
      <c r="EM42" s="125"/>
      <c r="EN42" s="125"/>
      <c r="EO42" s="125"/>
      <c r="EP42" s="125"/>
      <c r="EQ42" s="125">
        <f>SUM(BQ42:BS42,BU42)</f>
        <v>0</v>
      </c>
      <c r="ER42" s="125">
        <f>SUM(BV42:BX42,BZ42)</f>
        <v>0</v>
      </c>
      <c r="ES42" s="125">
        <f>SUM(CA42:CC42,CE42)</f>
        <v>0</v>
      </c>
      <c r="ET42" s="125">
        <f>SUM(CF42:CH42,CJ42)</f>
        <v>0</v>
      </c>
      <c r="EU42" s="125">
        <f>SUM(CK42,CL42,CM42,CO42)</f>
        <v>0</v>
      </c>
      <c r="EV42" s="125">
        <f>SUM(CT42,CR42,CQ42,CP42)</f>
        <v>0</v>
      </c>
      <c r="EW42" s="125">
        <f>CU42+CV42+CW42+CY42</f>
        <v>0</v>
      </c>
      <c r="EX42" s="125">
        <f>CZ42+DA42+DB42+DD42</f>
        <v>0</v>
      </c>
      <c r="EY42" s="125">
        <f>DE42+DF42+DG42+DI42</f>
        <v>0</v>
      </c>
      <c r="EZ42" s="125">
        <f>DJ42+DK42+DL42+DN42</f>
        <v>0</v>
      </c>
      <c r="FA42" s="125">
        <f>DO42+DP42+DQ42+DS42</f>
        <v>0</v>
      </c>
      <c r="FB42" s="125">
        <f t="shared" si="86"/>
        <v>0</v>
      </c>
      <c r="FD42" s="20" t="s">
        <v>186</v>
      </c>
      <c r="FE42" s="521">
        <f t="shared" si="109"/>
        <v>0</v>
      </c>
      <c r="FF42" s="521">
        <v>0</v>
      </c>
      <c r="FG42" s="401">
        <f t="shared" si="68"/>
        <v>0</v>
      </c>
      <c r="FH42" s="401">
        <f t="shared" si="110"/>
        <v>0</v>
      </c>
      <c r="FI42" s="249"/>
      <c r="FJ42"/>
      <c r="FK42"/>
      <c r="FL42"/>
      <c r="FM42"/>
      <c r="FN42"/>
      <c r="FO42"/>
      <c r="FP42"/>
      <c r="FQ42"/>
      <c r="FR42"/>
    </row>
    <row r="43" spans="1:174" s="1" customFormat="1" hidden="1" outlineLevel="1" x14ac:dyDescent="0.2">
      <c r="A43" s="1" t="s">
        <v>187</v>
      </c>
      <c r="B43" s="20"/>
      <c r="G43" s="20"/>
      <c r="L43" s="20"/>
      <c r="Q43" s="20"/>
      <c r="V43" s="20"/>
      <c r="AA43" s="20"/>
      <c r="AF43" s="20"/>
      <c r="AK43" s="20"/>
      <c r="AP43" s="20"/>
      <c r="AU43" s="20"/>
      <c r="AZ43" s="20"/>
      <c r="BE43" s="20"/>
      <c r="BJ43" s="20"/>
      <c r="BO43" s="20"/>
      <c r="BT43" s="20"/>
      <c r="BU43" s="1">
        <v>0.4</v>
      </c>
      <c r="BV43" s="1">
        <v>0.1</v>
      </c>
      <c r="BW43" s="1">
        <v>-3.3</v>
      </c>
      <c r="BX43" s="1">
        <v>3.5</v>
      </c>
      <c r="BY43" s="20">
        <f>SUM(BU43:BX43)</f>
        <v>0.70000000000000018</v>
      </c>
      <c r="BZ43" s="1">
        <v>2</v>
      </c>
      <c r="CA43" s="1">
        <v>0.5</v>
      </c>
      <c r="CB43" s="1">
        <v>0.6</v>
      </c>
      <c r="CC43" s="1">
        <v>-0.4</v>
      </c>
      <c r="CD43" s="392">
        <f>SUM(BZ43:CC43)</f>
        <v>2.7</v>
      </c>
      <c r="CE43" s="331">
        <v>1</v>
      </c>
      <c r="CF43" s="331">
        <v>0.8</v>
      </c>
      <c r="CG43" s="331">
        <v>0.7</v>
      </c>
      <c r="CH43" s="331">
        <v>-0.2</v>
      </c>
      <c r="CI43" s="125">
        <f>SUM(CE43:CH43)</f>
        <v>2.2999999999999998</v>
      </c>
      <c r="CJ43" s="111">
        <v>0.1</v>
      </c>
      <c r="CK43" s="111">
        <v>0.2</v>
      </c>
      <c r="CL43" s="111">
        <v>0.2</v>
      </c>
      <c r="CM43" s="111">
        <v>0.3</v>
      </c>
      <c r="CN43" s="125">
        <f>SUM(CJ43:CM43)</f>
        <v>0.8</v>
      </c>
      <c r="CO43" s="111">
        <v>0.2</v>
      </c>
      <c r="CP43" s="111">
        <v>0.3</v>
      </c>
      <c r="CQ43" s="111">
        <v>0</v>
      </c>
      <c r="CR43" s="117">
        <v>-0.1</v>
      </c>
      <c r="CS43" s="125"/>
      <c r="CT43" s="111"/>
      <c r="CU43" s="111"/>
      <c r="CV43" s="111"/>
      <c r="CW43" s="659"/>
      <c r="CX43" s="125"/>
      <c r="CY43" s="111"/>
      <c r="CZ43" s="111">
        <v>0.7</v>
      </c>
      <c r="DA43" s="111"/>
      <c r="DB43" s="111">
        <v>0</v>
      </c>
      <c r="DC43" s="125">
        <f>SUM(CY43:DB43)</f>
        <v>0.7</v>
      </c>
      <c r="DD43" s="111">
        <v>0.1</v>
      </c>
      <c r="DE43" s="111">
        <v>-0.1</v>
      </c>
      <c r="DF43" s="111">
        <v>0.4</v>
      </c>
      <c r="DG43" s="111">
        <v>0.8</v>
      </c>
      <c r="DH43" s="125">
        <f>SUM(DD43:DG43)</f>
        <v>1.2000000000000002</v>
      </c>
      <c r="DI43" s="111">
        <v>-0.3</v>
      </c>
      <c r="DJ43" s="111">
        <v>0</v>
      </c>
      <c r="DK43" s="111">
        <v>-0.3</v>
      </c>
      <c r="DL43" s="111">
        <v>0.8</v>
      </c>
      <c r="DM43" s="125">
        <f>SUM(DI43:DL43)</f>
        <v>0.20000000000000007</v>
      </c>
      <c r="DN43" s="111">
        <v>-0.1</v>
      </c>
      <c r="DO43" s="111"/>
      <c r="DP43" s="111"/>
      <c r="DQ43" s="111"/>
      <c r="DR43" s="125">
        <f>SUM(DN43:DQ43)</f>
        <v>-0.1</v>
      </c>
      <c r="DS43" s="111"/>
      <c r="DT43" s="111"/>
      <c r="DU43" s="111"/>
      <c r="DV43" s="111"/>
      <c r="DW43" s="125"/>
      <c r="DX43" s="111"/>
      <c r="DY43" s="111"/>
      <c r="DZ43" s="111"/>
      <c r="EA43" s="111"/>
      <c r="EB43" s="125"/>
      <c r="ED43" s="28"/>
      <c r="EE43" s="28"/>
      <c r="EG43" s="125"/>
      <c r="EH43" s="125"/>
      <c r="EI43" s="125"/>
      <c r="EJ43" s="125"/>
      <c r="EK43" s="125"/>
      <c r="EL43" s="125"/>
      <c r="EM43" s="125"/>
      <c r="EN43" s="125"/>
      <c r="EO43" s="125"/>
      <c r="EP43" s="125"/>
      <c r="EQ43" s="125"/>
      <c r="ER43" s="125">
        <f>SUM(BV43:BX43,BZ43)</f>
        <v>2.3000000000000003</v>
      </c>
      <c r="ES43" s="125">
        <f>SUM(CA43:CC43,CE43)</f>
        <v>1.7000000000000002</v>
      </c>
      <c r="ET43" s="125">
        <f>SUM(CF43:CH43,CJ43)</f>
        <v>1.4000000000000001</v>
      </c>
      <c r="EU43" s="125">
        <f>SUM(CK43,CL43,CM43,CO43)</f>
        <v>0.89999999999999991</v>
      </c>
      <c r="EV43" s="125">
        <f>SUM(CT43,CR43,CQ43,CP43)</f>
        <v>0.19999999999999998</v>
      </c>
      <c r="EW43" s="125">
        <f>CU43+CV43+CW43+CY43</f>
        <v>0</v>
      </c>
      <c r="EX43" s="125">
        <f>CZ43+DA43+DB43+DD43</f>
        <v>0.79999999999999993</v>
      </c>
      <c r="EY43" s="125">
        <f>DE43+DF43+DG43+DI43</f>
        <v>0.8</v>
      </c>
      <c r="EZ43" s="125">
        <f>DJ43+DK43+DL43+DN43</f>
        <v>0.4</v>
      </c>
      <c r="FA43" s="125">
        <f>DO43+DP43+DQ43+DS43</f>
        <v>0</v>
      </c>
      <c r="FB43" s="125">
        <f t="shared" si="86"/>
        <v>0</v>
      </c>
      <c r="FD43" s="20" t="s">
        <v>187</v>
      </c>
      <c r="FE43" s="521">
        <f t="shared" si="109"/>
        <v>-0.1</v>
      </c>
      <c r="FF43" s="521">
        <v>0</v>
      </c>
      <c r="FG43" s="401">
        <f t="shared" si="68"/>
        <v>-0.1</v>
      </c>
      <c r="FH43" s="401">
        <f t="shared" si="110"/>
        <v>-0.3</v>
      </c>
      <c r="FI43" s="249"/>
      <c r="FJ43"/>
      <c r="FK43"/>
      <c r="FL43"/>
      <c r="FM43"/>
      <c r="FN43"/>
      <c r="FO43"/>
      <c r="FP43"/>
      <c r="FQ43"/>
      <c r="FR43"/>
    </row>
    <row r="44" spans="1:174" s="1" customFormat="1" hidden="1" outlineLevel="1" x14ac:dyDescent="0.2">
      <c r="A44" s="1" t="s">
        <v>188</v>
      </c>
      <c r="B44" s="20"/>
      <c r="G44" s="20"/>
      <c r="L44" s="20"/>
      <c r="Q44" s="20"/>
      <c r="V44" s="20"/>
      <c r="AA44" s="20"/>
      <c r="AF44" s="20"/>
      <c r="AK44" s="20"/>
      <c r="AP44" s="20"/>
      <c r="AU44" s="20"/>
      <c r="AZ44" s="20"/>
      <c r="BE44" s="20"/>
      <c r="BJ44" s="20"/>
      <c r="BO44" s="20"/>
      <c r="BT44" s="125"/>
      <c r="BU44" s="111">
        <f>BU41-BU43</f>
        <v>63.899999999999814</v>
      </c>
      <c r="BV44" s="111">
        <f>BV41-BV43</f>
        <v>25.000000000000121</v>
      </c>
      <c r="BW44" s="111">
        <f>BW41-BW43</f>
        <v>151.50000000000006</v>
      </c>
      <c r="BX44" s="111">
        <f>BX41-BX43</f>
        <v>150.00000000000023</v>
      </c>
      <c r="BY44" s="125">
        <f>SUM(BU44:BX44)</f>
        <v>390.4000000000002</v>
      </c>
      <c r="BZ44" s="111">
        <f>BZ41-BZ43</f>
        <v>241.50000000000017</v>
      </c>
      <c r="CA44" s="111">
        <f>CA41-CA43</f>
        <v>217.30000000000041</v>
      </c>
      <c r="CB44" s="111">
        <f>CB41-CB43</f>
        <v>207.89999999999998</v>
      </c>
      <c r="CC44" s="111">
        <f>CC41-CC43</f>
        <v>278.9000000000002</v>
      </c>
      <c r="CD44" s="125">
        <f>SUM(BZ44:CC44)</f>
        <v>945.6000000000007</v>
      </c>
      <c r="CE44" s="111">
        <f>CE41-CE43</f>
        <v>346.60000000000025</v>
      </c>
      <c r="CF44" s="111">
        <f>CF41-CF43</f>
        <v>261.59999999999974</v>
      </c>
      <c r="CG44" s="111">
        <f>CG41-CG43</f>
        <v>279.10000000000031</v>
      </c>
      <c r="CH44" s="111">
        <f>CH41-CH43</f>
        <v>358.50000000000006</v>
      </c>
      <c r="CI44" s="125">
        <f>SUM(CE44:CH44)</f>
        <v>1245.8000000000004</v>
      </c>
      <c r="CJ44" s="111">
        <f t="shared" ref="CJ44:DR44" si="124">CJ41-CJ43</f>
        <v>382.10000000000014</v>
      </c>
      <c r="CK44" s="111">
        <f t="shared" si="124"/>
        <v>309.89999999999969</v>
      </c>
      <c r="CL44" s="111">
        <f t="shared" si="124"/>
        <v>333.09999999999985</v>
      </c>
      <c r="CM44" s="111">
        <f t="shared" si="124"/>
        <v>359</v>
      </c>
      <c r="CN44" s="125">
        <f t="shared" si="124"/>
        <v>1384.0999999999997</v>
      </c>
      <c r="CO44" s="111">
        <f t="shared" si="124"/>
        <v>432.20000000000005</v>
      </c>
      <c r="CP44" s="111">
        <f t="shared" si="124"/>
        <v>390.39999999999969</v>
      </c>
      <c r="CQ44" s="111">
        <f t="shared" si="124"/>
        <v>417.8000000000003</v>
      </c>
      <c r="CR44" s="117">
        <f>CR41-CR43</f>
        <v>-1232</v>
      </c>
      <c r="CS44" s="125">
        <f t="shared" si="124"/>
        <v>8.7999999999966576</v>
      </c>
      <c r="CT44" s="111">
        <f t="shared" si="124"/>
        <v>540.70000000000039</v>
      </c>
      <c r="CU44" s="111">
        <f t="shared" si="124"/>
        <v>426.90000000000038</v>
      </c>
      <c r="CV44" s="111">
        <f t="shared" si="124"/>
        <v>512.49999999999989</v>
      </c>
      <c r="CW44" s="659">
        <f t="shared" si="124"/>
        <v>587.60000000000048</v>
      </c>
      <c r="CX44" s="125">
        <f t="shared" si="124"/>
        <v>2067.7000000000021</v>
      </c>
      <c r="CY44" s="111">
        <f>CY41-CY43</f>
        <v>984.50000000000091</v>
      </c>
      <c r="CZ44" s="111">
        <f>CZ41-CZ43</f>
        <v>494.9</v>
      </c>
      <c r="DA44" s="111">
        <f t="shared" si="124"/>
        <v>626.49999999999966</v>
      </c>
      <c r="DB44" s="111">
        <f t="shared" si="124"/>
        <v>652.49999999999943</v>
      </c>
      <c r="DC44" s="125">
        <f t="shared" si="124"/>
        <v>2758.4000000000015</v>
      </c>
      <c r="DD44" s="111">
        <f t="shared" si="124"/>
        <v>687.59999999999991</v>
      </c>
      <c r="DE44" s="111">
        <f t="shared" si="124"/>
        <v>575.0999999999998</v>
      </c>
      <c r="DF44" s="111">
        <f t="shared" si="124"/>
        <v>754.09999999999991</v>
      </c>
      <c r="DG44" s="111">
        <f t="shared" si="124"/>
        <v>801.00000000000091</v>
      </c>
      <c r="DH44" s="125">
        <f>DH41-DH43</f>
        <v>2817.800000000002</v>
      </c>
      <c r="DI44" s="111">
        <f t="shared" si="124"/>
        <v>751.79999999999939</v>
      </c>
      <c r="DJ44" s="111">
        <f t="shared" si="124"/>
        <v>652.80000000000018</v>
      </c>
      <c r="DK44" s="111">
        <f t="shared" si="124"/>
        <v>691.6</v>
      </c>
      <c r="DL44" s="111">
        <f>DL41-DL43</f>
        <v>788.50000000000023</v>
      </c>
      <c r="DM44" s="125">
        <f t="shared" si="124"/>
        <v>2884.7000000000021</v>
      </c>
      <c r="DN44" s="111">
        <f>DN41-DN43</f>
        <v>2250.2000000000012</v>
      </c>
      <c r="DO44" s="111">
        <f t="shared" si="124"/>
        <v>738.64484583115814</v>
      </c>
      <c r="DP44" s="111">
        <f t="shared" si="124"/>
        <v>898.39189352469089</v>
      </c>
      <c r="DQ44" s="111">
        <f t="shared" si="124"/>
        <v>918.38637463422469</v>
      </c>
      <c r="DR44" s="125">
        <f t="shared" si="124"/>
        <v>4805.6231139900765</v>
      </c>
      <c r="DS44" s="111">
        <f t="shared" ref="DS44:EB44" si="125">DS41-DS43</f>
        <v>927.06256434926024</v>
      </c>
      <c r="DT44" s="111">
        <f t="shared" si="125"/>
        <v>845.51603866751259</v>
      </c>
      <c r="DU44" s="111">
        <f t="shared" si="125"/>
        <v>1018.0062247124669</v>
      </c>
      <c r="DV44" s="111">
        <f t="shared" si="125"/>
        <v>1033.7648557923969</v>
      </c>
      <c r="DW44" s="125">
        <f t="shared" si="125"/>
        <v>3824.3496835216347</v>
      </c>
      <c r="DX44" s="111">
        <f t="shared" si="125"/>
        <v>1033.745280655859</v>
      </c>
      <c r="DY44" s="111">
        <f t="shared" si="125"/>
        <v>951.0646494225241</v>
      </c>
      <c r="DZ44" s="111">
        <f t="shared" si="125"/>
        <v>1141.2731421997314</v>
      </c>
      <c r="EA44" s="111">
        <f t="shared" si="125"/>
        <v>1156.8257106101939</v>
      </c>
      <c r="EB44" s="125">
        <f t="shared" si="125"/>
        <v>4282.9087828883148</v>
      </c>
      <c r="ED44" s="28"/>
      <c r="EE44" s="28"/>
      <c r="EG44" s="125">
        <f t="shared" ref="EG44:EZ44" si="126">EG41-EG43</f>
        <v>87.130000000000095</v>
      </c>
      <c r="EH44" s="125">
        <f t="shared" si="126"/>
        <v>109.73400000000001</v>
      </c>
      <c r="EI44" s="125">
        <f t="shared" si="126"/>
        <v>150.97800000000001</v>
      </c>
      <c r="EJ44" s="125">
        <f t="shared" si="126"/>
        <v>191.74152000000009</v>
      </c>
      <c r="EK44" s="125">
        <f t="shared" si="126"/>
        <v>234.81842999999981</v>
      </c>
      <c r="EL44" s="125">
        <f t="shared" si="126"/>
        <v>300.11653359099972</v>
      </c>
      <c r="EM44" s="125">
        <f t="shared" si="126"/>
        <v>423.77800000000019</v>
      </c>
      <c r="EN44" s="125">
        <f t="shared" si="126"/>
        <v>523.88599999999997</v>
      </c>
      <c r="EO44" s="125">
        <f t="shared" si="126"/>
        <v>612.33000000000027</v>
      </c>
      <c r="EP44" s="125">
        <f t="shared" si="126"/>
        <v>675.78599999999983</v>
      </c>
      <c r="EQ44" s="125">
        <f t="shared" si="126"/>
        <v>171.6599999999996</v>
      </c>
      <c r="ER44" s="125">
        <f t="shared" si="126"/>
        <v>568.00000000000057</v>
      </c>
      <c r="ES44" s="125">
        <f t="shared" si="126"/>
        <v>1050.7000000000007</v>
      </c>
      <c r="ET44" s="125">
        <f t="shared" si="126"/>
        <v>1251.0999999999995</v>
      </c>
      <c r="EU44" s="125">
        <f t="shared" si="126"/>
        <v>1434.1999999999991</v>
      </c>
      <c r="EV44" s="125">
        <f t="shared" si="126"/>
        <v>2880.8000000000025</v>
      </c>
      <c r="EW44" s="125">
        <f t="shared" si="126"/>
        <v>2120.900000000001</v>
      </c>
      <c r="EX44" s="125">
        <f t="shared" si="126"/>
        <v>2522.6000000000004</v>
      </c>
      <c r="EY44" s="125">
        <f t="shared" si="126"/>
        <v>2882.0000000000027</v>
      </c>
      <c r="EZ44" s="125">
        <f t="shared" si="126"/>
        <v>2555.6000000000008</v>
      </c>
      <c r="FA44" s="125">
        <f>FA41-FA43</f>
        <v>3482.4856783393352</v>
      </c>
      <c r="FB44" s="125">
        <f>FB41-FB43</f>
        <v>3931.0323998282365</v>
      </c>
      <c r="FD44" s="20" t="s">
        <v>188</v>
      </c>
      <c r="FE44" s="521">
        <f t="shared" si="109"/>
        <v>2250.2000000000012</v>
      </c>
      <c r="FF44" s="521">
        <v>814.17668855926217</v>
      </c>
      <c r="FG44" s="401">
        <f t="shared" si="68"/>
        <v>1436.023311440739</v>
      </c>
      <c r="FH44" s="401">
        <f t="shared" si="110"/>
        <v>751.79999999999939</v>
      </c>
      <c r="FI44" s="249">
        <f t="shared" si="52"/>
        <v>1.9930832668262877</v>
      </c>
      <c r="FJ44"/>
      <c r="FK44"/>
      <c r="FL44"/>
      <c r="FM44"/>
      <c r="FN44"/>
      <c r="FO44"/>
      <c r="FP44"/>
      <c r="FQ44"/>
      <c r="FR44"/>
    </row>
    <row r="45" spans="1:174" s="1" customFormat="1" collapsed="1" x14ac:dyDescent="0.2">
      <c r="A45" s="1" t="s">
        <v>623</v>
      </c>
      <c r="B45" s="20"/>
      <c r="G45" s="20"/>
      <c r="L45" s="20"/>
      <c r="Q45" s="20"/>
      <c r="V45" s="20"/>
      <c r="AA45" s="20"/>
      <c r="AF45" s="20"/>
      <c r="AK45" s="20"/>
      <c r="AP45" s="20"/>
      <c r="AU45" s="20"/>
      <c r="AZ45" s="20"/>
      <c r="BE45" s="20"/>
      <c r="BJ45" s="20"/>
      <c r="BO45" s="20"/>
      <c r="BQ45" s="111">
        <v>-22.178999999999998</v>
      </c>
      <c r="BR45" s="111">
        <f>-(BR26*(1-0.27))</f>
        <v>-122.42099999999999</v>
      </c>
      <c r="BS45" s="111">
        <v>-65.599999999999994</v>
      </c>
      <c r="BT45" s="125">
        <f>SUM(BP45:BS45)</f>
        <v>-210.2</v>
      </c>
      <c r="BU45" s="111">
        <f>-(BU26*(1-0.4))</f>
        <v>-45.3</v>
      </c>
      <c r="BV45" s="111">
        <v>-96.1</v>
      </c>
      <c r="BW45" s="111">
        <v>-28.4</v>
      </c>
      <c r="BX45" s="111">
        <f>-(BX26*(1-0.35))</f>
        <v>-34.580000000000005</v>
      </c>
      <c r="BY45" s="125">
        <f>SUM(BU45:BX45)</f>
        <v>-204.38</v>
      </c>
      <c r="BZ45" s="111">
        <v>-12.8</v>
      </c>
      <c r="CA45" s="111">
        <v>-5.8</v>
      </c>
      <c r="CB45" s="111">
        <v>-13.8</v>
      </c>
      <c r="CC45" s="111">
        <f>-(CC26*(1-CC66))</f>
        <v>-4.3199224430441125</v>
      </c>
      <c r="CD45" s="125">
        <f>SUM(BZ45:CC45)</f>
        <v>-36.719922443044119</v>
      </c>
      <c r="CE45" s="111">
        <f>-(CE26*(1-CE66))</f>
        <v>0</v>
      </c>
      <c r="CF45" s="111">
        <f>-(CF26*(1-CF66))</f>
        <v>0</v>
      </c>
      <c r="CG45" s="111">
        <f>-(CG26*(1-CG66))</f>
        <v>0</v>
      </c>
      <c r="CH45" s="111">
        <v>76.849999999999994</v>
      </c>
      <c r="CI45" s="125">
        <f>SUM(CE45:CH45)</f>
        <v>76.849999999999994</v>
      </c>
      <c r="CJ45" s="111"/>
      <c r="CK45" s="111"/>
      <c r="CL45" s="111"/>
      <c r="CM45" s="111"/>
      <c r="CN45" s="125">
        <f>SUM(CJ45:CM45)</f>
        <v>0</v>
      </c>
      <c r="CO45" s="111"/>
      <c r="CP45" s="111">
        <v>25</v>
      </c>
      <c r="CQ45" s="111">
        <v>0</v>
      </c>
      <c r="CR45" s="117">
        <f>25-1713.1</f>
        <v>-1688.1</v>
      </c>
      <c r="CS45" s="125">
        <f>SUM(CO45:CR45)</f>
        <v>-1663.1</v>
      </c>
      <c r="CT45" s="111">
        <f>-CT26*(1-CT66)</f>
        <v>13.33920371275037</v>
      </c>
      <c r="CU45" s="111">
        <f>-CU26*(1-CU66)</f>
        <v>0</v>
      </c>
      <c r="CV45" s="111"/>
      <c r="CW45" s="659">
        <f>CW54*0.03</f>
        <v>45.647999999999996</v>
      </c>
      <c r="CX45" s="125">
        <f>SUM(CT45:CW45)</f>
        <v>58.987203712750365</v>
      </c>
      <c r="CY45" s="111">
        <f>CY38-19.3*(1-0.342)</f>
        <v>377.9006</v>
      </c>
      <c r="CZ45" s="111">
        <f>-11.9*(1-CZ66)</f>
        <v>-7.740700879380495</v>
      </c>
      <c r="DA45" s="111">
        <f>-11.5*(1-DA66)</f>
        <v>-7.6240740740740733</v>
      </c>
      <c r="DB45" s="111">
        <v>0</v>
      </c>
      <c r="DC45" s="125">
        <f>SUM(CY45:DB45)</f>
        <v>362.53582504654543</v>
      </c>
      <c r="DD45" s="111">
        <f>-12.3*(1-DD66)</f>
        <v>-8.0589843750000014</v>
      </c>
      <c r="DE45" s="111">
        <f>-13.9*(1-DE66)</f>
        <v>-9.2892840539284052</v>
      </c>
      <c r="DF45" s="111">
        <f>DF54*0.02</f>
        <v>29.585999999999999</v>
      </c>
      <c r="DG45" s="111">
        <f>DG54*-0.02</f>
        <v>-29.568000000000001</v>
      </c>
      <c r="DH45" s="125">
        <f>SUM(DD45:DG45)</f>
        <v>-17.330268428928409</v>
      </c>
      <c r="DI45" s="111">
        <f>-14*(1-DI66)</f>
        <v>-9.286786124106273</v>
      </c>
      <c r="DJ45" s="111">
        <f>-13.8*(1-DJ66)</f>
        <v>-9.1887392900856817</v>
      </c>
      <c r="DK45" s="111">
        <f>(-120.2+-14)*(1-0.2)</f>
        <v>-107.36</v>
      </c>
      <c r="DL45" s="111">
        <f>DL54*-0.01</f>
        <v>-14.512</v>
      </c>
      <c r="DM45" s="125">
        <f>SUM(DI45:DL45)</f>
        <v>-140.34752541419195</v>
      </c>
      <c r="DN45" s="111">
        <f>DN54*-(-0.92+-0.11+-0.24+0.02+0.01+0.1+0.22)</f>
        <v>1319.8319999999999</v>
      </c>
      <c r="DO45" s="111">
        <f>-0.0075*DO54</f>
        <v>-10.664159595058834</v>
      </c>
      <c r="DP45" s="111">
        <f t="shared" ref="DP45:DQ45" si="127">-0.0075*DP54</f>
        <v>-10.589321981183463</v>
      </c>
      <c r="DQ45" s="111">
        <f t="shared" si="127"/>
        <v>-10.516392947972315</v>
      </c>
      <c r="DR45" s="125">
        <f>SUM(DN45:DQ45)</f>
        <v>1288.0621254757853</v>
      </c>
      <c r="DS45" s="111">
        <f>-0.0075*DS54</f>
        <v>-10.455922790944985</v>
      </c>
      <c r="DT45" s="111">
        <f>-0.0075*DT54</f>
        <v>-10.400314277235127</v>
      </c>
      <c r="DU45" s="111">
        <f t="shared" ref="DU45:DV45" si="128">-0.0075*DU54</f>
        <v>-10.338884361833305</v>
      </c>
      <c r="DV45" s="111">
        <f t="shared" si="128"/>
        <v>-10.279100131047201</v>
      </c>
      <c r="DW45" s="125">
        <f>SUM(DS45:DV45)</f>
        <v>-41.474221561060617</v>
      </c>
      <c r="DX45" s="111">
        <f>-0.0075*DX54</f>
        <v>-10.239839615631105</v>
      </c>
      <c r="DY45" s="111">
        <f>-0.0075*DY54</f>
        <v>-10.213347448616975</v>
      </c>
      <c r="DZ45" s="111">
        <f t="shared" ref="DZ45:EA45" si="129">-0.0075*DZ54</f>
        <v>-10.158528524631416</v>
      </c>
      <c r="EA45" s="111">
        <f t="shared" si="129"/>
        <v>-10.08329121145818</v>
      </c>
      <c r="EB45" s="125">
        <f>SUM(DX45:EA45)</f>
        <v>-40.69500680033768</v>
      </c>
      <c r="ED45" s="28"/>
      <c r="EE45" s="28"/>
      <c r="EG45" s="125"/>
      <c r="EH45" s="125"/>
      <c r="EI45" s="125"/>
      <c r="EJ45" s="125"/>
      <c r="EK45" s="125"/>
      <c r="EL45" s="125"/>
      <c r="EM45" s="125"/>
      <c r="EN45" s="125"/>
      <c r="EO45" s="125"/>
      <c r="EP45" s="125"/>
      <c r="EQ45" s="125">
        <f>SUM(BQ45:BS45,BU45)</f>
        <v>-255.5</v>
      </c>
      <c r="ER45" s="125">
        <f>SUM(BV45:BX45,BZ45)</f>
        <v>-171.88000000000002</v>
      </c>
      <c r="ES45" s="125">
        <f>SUM(CA45:CC45,CE45)</f>
        <v>-23.919922443044115</v>
      </c>
      <c r="ET45" s="125">
        <f>SUM(CF45:CH45,CJ45)</f>
        <v>76.849999999999994</v>
      </c>
      <c r="EU45" s="125">
        <f>SUM(CK45,CL45,CM45,CO45)</f>
        <v>0</v>
      </c>
      <c r="EV45" s="125">
        <f>SUM(CT45,CR45,CQ45,CP45)</f>
        <v>-1649.7607962872496</v>
      </c>
      <c r="EW45" s="125">
        <f>CU45+CV45+CW45+CY45</f>
        <v>423.54859999999996</v>
      </c>
      <c r="EX45" s="125">
        <f>CZ45+DA45+DB45+DD45</f>
        <v>-23.423759328454569</v>
      </c>
      <c r="EY45" s="125">
        <f>DE45+DF45+DG45+DI45</f>
        <v>-18.558070178034683</v>
      </c>
      <c r="EZ45" s="125">
        <f>DJ45+DK45+DL45+DN45</f>
        <v>1188.7712607099143</v>
      </c>
      <c r="FA45" s="125">
        <f>DO45+DP45+DQ45+DS45</f>
        <v>-42.225797315159596</v>
      </c>
      <c r="FB45" s="125">
        <f t="shared" si="86"/>
        <v>-41.25813838574674</v>
      </c>
      <c r="FD45" s="20" t="s">
        <v>189</v>
      </c>
      <c r="FE45" s="401">
        <f t="shared" si="109"/>
        <v>1319.8319999999999</v>
      </c>
      <c r="FF45" s="401">
        <v>-10.750155191158235</v>
      </c>
      <c r="FG45" s="401">
        <f>FE45-FF45</f>
        <v>1330.5821551911581</v>
      </c>
      <c r="FH45" s="401">
        <f t="shared" si="110"/>
        <v>-9.286786124106273</v>
      </c>
      <c r="FI45" s="29"/>
      <c r="FJ45"/>
      <c r="FK45"/>
      <c r="FL45"/>
      <c r="FM45"/>
      <c r="FN45"/>
      <c r="FO45"/>
      <c r="FP45"/>
      <c r="FQ45"/>
      <c r="FR45"/>
    </row>
    <row r="46" spans="1:174" s="1" customFormat="1" ht="5.25" hidden="1" customHeight="1" outlineLevel="1" x14ac:dyDescent="0.2">
      <c r="B46" s="20"/>
      <c r="G46" s="20"/>
      <c r="L46" s="20"/>
      <c r="Q46" s="20"/>
      <c r="V46" s="20"/>
      <c r="AA46" s="20"/>
      <c r="AF46" s="20"/>
      <c r="AK46" s="20"/>
      <c r="AP46" s="20"/>
      <c r="AU46" s="20"/>
      <c r="AZ46" s="20"/>
      <c r="BE46" s="20"/>
      <c r="BJ46" s="20"/>
      <c r="BO46" s="20"/>
      <c r="BT46" s="20"/>
      <c r="BY46" s="20"/>
      <c r="CD46" s="20"/>
      <c r="CI46" s="20"/>
      <c r="CN46" s="20"/>
      <c r="CR46" s="82"/>
      <c r="CS46" s="20"/>
      <c r="CW46" s="657"/>
      <c r="CX46" s="20"/>
      <c r="DC46" s="20"/>
      <c r="DH46" s="20"/>
      <c r="DM46" s="20"/>
      <c r="DR46" s="20"/>
      <c r="DW46" s="20"/>
      <c r="EB46" s="20"/>
      <c r="ED46" s="28"/>
      <c r="EE46" s="28"/>
      <c r="EG46" s="125"/>
      <c r="EH46" s="125"/>
      <c r="EI46" s="125"/>
      <c r="EJ46" s="125"/>
      <c r="EK46" s="125"/>
      <c r="EL46" s="125"/>
      <c r="EM46" s="125"/>
      <c r="EN46" s="125"/>
      <c r="EO46" s="125"/>
      <c r="EP46" s="125"/>
      <c r="EQ46" s="125"/>
      <c r="ER46" s="125"/>
      <c r="ES46" s="125"/>
      <c r="ET46" s="125"/>
      <c r="EU46" s="125"/>
      <c r="EV46" s="125"/>
      <c r="EW46" s="125"/>
      <c r="EX46" s="125"/>
      <c r="EY46" s="125"/>
      <c r="EZ46" s="125"/>
      <c r="FA46" s="125"/>
      <c r="FB46" s="125"/>
      <c r="FD46" s="20"/>
      <c r="FE46" s="28"/>
      <c r="FF46" s="28"/>
      <c r="FG46" s="28"/>
      <c r="FH46" s="28"/>
      <c r="FI46" s="29"/>
      <c r="FJ46"/>
      <c r="FK46"/>
      <c r="FL46"/>
      <c r="FM46"/>
      <c r="FN46"/>
      <c r="FO46"/>
      <c r="FP46"/>
      <c r="FQ46"/>
      <c r="FR46"/>
    </row>
    <row r="47" spans="1:174" s="1" customFormat="1" hidden="1" outlineLevel="1" x14ac:dyDescent="0.2">
      <c r="A47" s="1" t="s">
        <v>190</v>
      </c>
      <c r="B47" s="20"/>
      <c r="G47" s="20"/>
      <c r="L47" s="20"/>
      <c r="Q47" s="20"/>
      <c r="V47" s="20"/>
      <c r="AA47" s="20"/>
      <c r="AF47" s="20"/>
      <c r="AK47" s="20"/>
      <c r="AP47" s="20"/>
      <c r="AU47" s="20"/>
      <c r="AZ47" s="125">
        <f t="shared" ref="AZ47:BY47" si="130">AZ41-AZ45</f>
        <v>389.20299999999986</v>
      </c>
      <c r="BA47" s="111">
        <f t="shared" si="130"/>
        <v>144.71000000000009</v>
      </c>
      <c r="BB47" s="111">
        <f t="shared" si="130"/>
        <v>100.46099999999997</v>
      </c>
      <c r="BC47" s="111">
        <f t="shared" si="130"/>
        <v>125.51299999999995</v>
      </c>
      <c r="BD47" s="111">
        <f t="shared" si="130"/>
        <v>123.72199999999998</v>
      </c>
      <c r="BE47" s="125">
        <f t="shared" si="130"/>
        <v>494.46699999999942</v>
      </c>
      <c r="BF47" s="111">
        <f t="shared" si="130"/>
        <v>174.19000000000005</v>
      </c>
      <c r="BG47" s="111">
        <f t="shared" si="130"/>
        <v>127.31600000000005</v>
      </c>
      <c r="BH47" s="111">
        <f t="shared" si="130"/>
        <v>145.49800000000016</v>
      </c>
      <c r="BI47" s="111">
        <f t="shared" si="130"/>
        <v>134.50300000000007</v>
      </c>
      <c r="BJ47" s="125">
        <f t="shared" si="130"/>
        <v>581.50700000000029</v>
      </c>
      <c r="BK47" s="111">
        <f t="shared" si="130"/>
        <v>205.01300000000003</v>
      </c>
      <c r="BL47" s="111">
        <f t="shared" si="130"/>
        <v>150.83999999999995</v>
      </c>
      <c r="BM47" s="111">
        <f t="shared" si="130"/>
        <v>158.34300000000005</v>
      </c>
      <c r="BN47" s="111">
        <f t="shared" si="130"/>
        <v>158.50299999999993</v>
      </c>
      <c r="BO47" s="125">
        <f t="shared" si="130"/>
        <v>672.69899999999996</v>
      </c>
      <c r="BP47" s="111">
        <f t="shared" si="130"/>
        <v>208.09999999999994</v>
      </c>
      <c r="BQ47" s="111">
        <f t="shared" si="130"/>
        <v>130.839</v>
      </c>
      <c r="BR47" s="111">
        <f t="shared" si="130"/>
        <v>115.62099999999975</v>
      </c>
      <c r="BS47" s="111">
        <f t="shared" si="130"/>
        <v>71.100000000000023</v>
      </c>
      <c r="BT47" s="125">
        <f t="shared" si="130"/>
        <v>525.65999999999963</v>
      </c>
      <c r="BU47" s="111">
        <f t="shared" si="130"/>
        <v>109.59999999999981</v>
      </c>
      <c r="BV47" s="111">
        <f t="shared" si="130"/>
        <v>121.20000000000012</v>
      </c>
      <c r="BW47" s="111">
        <f t="shared" si="130"/>
        <v>176.60000000000005</v>
      </c>
      <c r="BX47" s="111">
        <f t="shared" si="130"/>
        <v>188.08000000000024</v>
      </c>
      <c r="BY47" s="125">
        <f t="shared" si="130"/>
        <v>595.48</v>
      </c>
      <c r="BZ47" s="111">
        <f t="shared" ref="BZ47:CP47" si="131">BZ44-BZ45</f>
        <v>254.30000000000018</v>
      </c>
      <c r="CA47" s="111">
        <f t="shared" si="131"/>
        <v>223.10000000000042</v>
      </c>
      <c r="CB47" s="111">
        <f t="shared" si="131"/>
        <v>221.7</v>
      </c>
      <c r="CC47" s="111">
        <f t="shared" si="131"/>
        <v>283.21992244304431</v>
      </c>
      <c r="CD47" s="125">
        <f t="shared" si="131"/>
        <v>982.31992244304479</v>
      </c>
      <c r="CE47" s="111">
        <f t="shared" si="131"/>
        <v>346.60000000000025</v>
      </c>
      <c r="CF47" s="111">
        <f t="shared" si="131"/>
        <v>261.59999999999974</v>
      </c>
      <c r="CG47" s="111">
        <f t="shared" si="131"/>
        <v>279.10000000000031</v>
      </c>
      <c r="CH47" s="111">
        <f t="shared" si="131"/>
        <v>281.65000000000009</v>
      </c>
      <c r="CI47" s="125">
        <f t="shared" si="131"/>
        <v>1168.9500000000005</v>
      </c>
      <c r="CJ47" s="111">
        <f t="shared" si="131"/>
        <v>382.10000000000014</v>
      </c>
      <c r="CK47" s="111">
        <f t="shared" si="131"/>
        <v>309.89999999999969</v>
      </c>
      <c r="CL47" s="111">
        <f t="shared" si="131"/>
        <v>333.09999999999985</v>
      </c>
      <c r="CM47" s="111">
        <f t="shared" si="131"/>
        <v>359</v>
      </c>
      <c r="CN47" s="125">
        <f t="shared" si="131"/>
        <v>1384.0999999999997</v>
      </c>
      <c r="CO47" s="111">
        <f t="shared" si="131"/>
        <v>432.20000000000005</v>
      </c>
      <c r="CP47" s="111">
        <f t="shared" si="131"/>
        <v>365.39999999999969</v>
      </c>
      <c r="CQ47" s="111">
        <f t="shared" ref="CQ47:DC47" si="132">CQ41-CQ45</f>
        <v>417.8000000000003</v>
      </c>
      <c r="CR47" s="117">
        <f t="shared" si="132"/>
        <v>456</v>
      </c>
      <c r="CS47" s="125">
        <f t="shared" si="132"/>
        <v>1671.8999999999965</v>
      </c>
      <c r="CT47" s="111">
        <f t="shared" si="132"/>
        <v>527.36079628724997</v>
      </c>
      <c r="CU47" s="111">
        <f t="shared" si="132"/>
        <v>426.90000000000038</v>
      </c>
      <c r="CV47" s="111">
        <f t="shared" si="132"/>
        <v>512.49999999999989</v>
      </c>
      <c r="CW47" s="659">
        <f t="shared" si="132"/>
        <v>541.95200000000045</v>
      </c>
      <c r="CX47" s="125">
        <f t="shared" si="132"/>
        <v>2008.7127962872516</v>
      </c>
      <c r="CY47" s="111">
        <f t="shared" si="132"/>
        <v>606.59940000000097</v>
      </c>
      <c r="CZ47" s="111">
        <f t="shared" si="132"/>
        <v>503.34070087938045</v>
      </c>
      <c r="DA47" s="111">
        <f t="shared" si="132"/>
        <v>634.12407407407375</v>
      </c>
      <c r="DB47" s="111">
        <f>DB41-DB45</f>
        <v>652.49999999999943</v>
      </c>
      <c r="DC47" s="125">
        <f t="shared" si="132"/>
        <v>2396.5641749534557</v>
      </c>
      <c r="DD47" s="111">
        <f>DD41-(DD45/(1-DD66))</f>
        <v>699.99999999999989</v>
      </c>
      <c r="DE47" s="111">
        <f t="shared" ref="DE47:DG47" si="133">DE41-(DE45/(1-DE66))</f>
        <v>588.89999999999975</v>
      </c>
      <c r="DF47" s="111">
        <f>DF41-(DF45/(1-DF66))</f>
        <v>712.40906242544725</v>
      </c>
      <c r="DG47" s="111">
        <f t="shared" si="133"/>
        <v>846.61665053629417</v>
      </c>
      <c r="DH47" s="125">
        <f>DH41-(DH45/(1-DH66))</f>
        <v>2844.8122022180019</v>
      </c>
      <c r="DI47" s="111">
        <f>DI41-(DI45/(1-DI66))</f>
        <v>765.49999999999943</v>
      </c>
      <c r="DJ47" s="111">
        <f t="shared" ref="DJ47:DL47" si="134">DJ41-(DJ45/(1-DJ66))</f>
        <v>666.60000000000014</v>
      </c>
      <c r="DK47" s="111">
        <f t="shared" si="134"/>
        <v>854.73940980760892</v>
      </c>
      <c r="DL47" s="111">
        <f t="shared" si="134"/>
        <v>810.47689294311431</v>
      </c>
      <c r="DM47" s="125">
        <f>DM41-(DM45/(1-DM66))</f>
        <v>3094.9420953848589</v>
      </c>
      <c r="DN47" s="111">
        <f>DN41-(DN45/(1-DN66))</f>
        <v>486.94146980134383</v>
      </c>
      <c r="DO47" s="111">
        <f t="shared" ref="DO47:DQ47" si="135">DO41-(DO45/(1-DO66))</f>
        <v>753.0558723109674</v>
      </c>
      <c r="DP47" s="111">
        <f t="shared" si="135"/>
        <v>912.70178809385777</v>
      </c>
      <c r="DQ47" s="111">
        <f t="shared" si="135"/>
        <v>932.59771645580895</v>
      </c>
      <c r="DR47" s="125">
        <f>DR41-(DR45/(1-DR66))</f>
        <v>3074.2198177473297</v>
      </c>
      <c r="DS47" s="111">
        <f>DS41-(DS45/(1-DS66))</f>
        <v>941.19218974242915</v>
      </c>
      <c r="DT47" s="111">
        <f t="shared" ref="DT47:DV47" si="136">DT41-(DT45/(1-DT66))</f>
        <v>859.57051742053306</v>
      </c>
      <c r="DU47" s="111">
        <f t="shared" si="136"/>
        <v>1031.9776900662957</v>
      </c>
      <c r="DV47" s="111">
        <f t="shared" si="136"/>
        <v>1047.6555316451634</v>
      </c>
      <c r="DW47" s="125">
        <f>DW41-(DW45/(1-DW66))</f>
        <v>3880.3959288744195</v>
      </c>
      <c r="DX47" s="111">
        <f>DX41-(DX45/(1-DX66))</f>
        <v>1047.5829017580631</v>
      </c>
      <c r="DY47" s="111">
        <f t="shared" ref="DY47:EA47" si="137">DY41-(DY45/(1-DY66))</f>
        <v>964.86647029903349</v>
      </c>
      <c r="DZ47" s="111">
        <f t="shared" si="137"/>
        <v>1155.0008834492332</v>
      </c>
      <c r="EA47" s="111">
        <f t="shared" si="137"/>
        <v>1170.4517798148672</v>
      </c>
      <c r="EB47" s="125">
        <f>EB41-(EB45/(1-EB66))</f>
        <v>4337.9020353212036</v>
      </c>
      <c r="ED47" s="28"/>
      <c r="EE47" s="28"/>
      <c r="EG47" s="20"/>
      <c r="EH47" s="20"/>
      <c r="EI47" s="20"/>
      <c r="EJ47" s="20"/>
      <c r="EK47" s="20"/>
      <c r="EL47" s="20"/>
      <c r="EM47" s="20"/>
      <c r="EN47" s="20"/>
      <c r="EO47" s="20"/>
      <c r="EP47" s="20"/>
      <c r="EQ47" s="125">
        <f>EQ41-EQ45</f>
        <v>427.15999999999963</v>
      </c>
      <c r="ER47" s="125">
        <f t="shared" ref="ER47:EZ47" si="138">ER44-ER45</f>
        <v>739.88000000000056</v>
      </c>
      <c r="ES47" s="125">
        <f t="shared" si="138"/>
        <v>1074.6199224430447</v>
      </c>
      <c r="ET47" s="125">
        <f t="shared" si="138"/>
        <v>1174.2499999999995</v>
      </c>
      <c r="EU47" s="125">
        <f t="shared" si="138"/>
        <v>1434.1999999999991</v>
      </c>
      <c r="EV47" s="125">
        <f t="shared" si="138"/>
        <v>4530.5607962872518</v>
      </c>
      <c r="EW47" s="125">
        <f t="shared" si="138"/>
        <v>1697.3514000000009</v>
      </c>
      <c r="EX47" s="125">
        <f t="shared" si="138"/>
        <v>2546.0237593284551</v>
      </c>
      <c r="EY47" s="125">
        <f t="shared" si="138"/>
        <v>2900.5580701780373</v>
      </c>
      <c r="EZ47" s="125">
        <f t="shared" si="138"/>
        <v>1366.8287392900866</v>
      </c>
      <c r="FA47" s="125">
        <f>FA44-FA45</f>
        <v>3524.7114756544947</v>
      </c>
      <c r="FB47" s="125">
        <f>FB44-FB45</f>
        <v>3972.2905382139834</v>
      </c>
      <c r="FD47" s="20" t="s">
        <v>190</v>
      </c>
      <c r="FE47" s="401">
        <f>DN47</f>
        <v>486.94146980134383</v>
      </c>
      <c r="FF47" s="401">
        <v>830.22169630725955</v>
      </c>
      <c r="FG47" s="401">
        <f>FE47-FF47</f>
        <v>-343.28022650591572</v>
      </c>
      <c r="FH47" s="401">
        <f>DI47</f>
        <v>765.49999999999943</v>
      </c>
      <c r="FI47" s="249">
        <f>FE47/FH47-1</f>
        <v>-0.36389096041627145</v>
      </c>
      <c r="FJ47"/>
      <c r="FK47"/>
      <c r="FL47"/>
      <c r="FM47"/>
      <c r="FN47"/>
      <c r="FO47"/>
      <c r="FP47"/>
      <c r="FQ47"/>
      <c r="FR47"/>
    </row>
    <row r="48" spans="1:174" s="100" customFormat="1" hidden="1" outlineLevel="1" x14ac:dyDescent="0.2">
      <c r="A48" s="100" t="s">
        <v>191</v>
      </c>
      <c r="B48" s="167"/>
      <c r="G48" s="167"/>
      <c r="L48" s="167"/>
      <c r="Q48" s="167"/>
      <c r="V48" s="167"/>
      <c r="AA48" s="167"/>
      <c r="AF48" s="167"/>
      <c r="AK48" s="167"/>
      <c r="AP48" s="167"/>
      <c r="AU48" s="167"/>
      <c r="AZ48" s="167"/>
      <c r="BE48" s="167"/>
      <c r="BJ48" s="167"/>
      <c r="BO48" s="167">
        <v>-1.1336429033358071E-4</v>
      </c>
      <c r="BP48" s="100">
        <v>1.1552636375198107E-3</v>
      </c>
      <c r="BQ48" s="100">
        <v>4.6232079057587376E-4</v>
      </c>
      <c r="BR48" s="100">
        <v>4.3345453484847194E-4</v>
      </c>
      <c r="BS48" s="100">
        <v>5.5460505620635578E-2</v>
      </c>
      <c r="BT48" s="167">
        <v>-5.145904935552531E-3</v>
      </c>
      <c r="BU48" s="100">
        <v>2.1128757848209055E-3</v>
      </c>
      <c r="BV48" s="100">
        <v>-5.3947294426737588E-3</v>
      </c>
      <c r="BW48" s="100">
        <v>-2.0008574774775249E-3</v>
      </c>
      <c r="BX48" s="100">
        <v>-2.1736455892348221E-3</v>
      </c>
      <c r="BY48" s="167">
        <v>-2.4424013372549326E-2</v>
      </c>
      <c r="BZ48" s="100">
        <v>0</v>
      </c>
      <c r="CA48" s="100">
        <v>0</v>
      </c>
      <c r="CB48" s="100">
        <v>0</v>
      </c>
      <c r="CC48" s="100">
        <v>0</v>
      </c>
      <c r="CD48" s="167">
        <v>9.378475230728784E-3</v>
      </c>
      <c r="CE48" s="100">
        <v>9.0751976879877895E-4</v>
      </c>
      <c r="CF48" s="100">
        <v>7.5027042329734632E-4</v>
      </c>
      <c r="CG48" s="100">
        <v>8.7691376980100929E-4</v>
      </c>
      <c r="CH48" s="100">
        <v>7.5575440818746406E-4</v>
      </c>
      <c r="CI48" s="167">
        <v>4.0889041316933732E-3</v>
      </c>
      <c r="CJ48" s="100">
        <v>-1.3621478989593492E-3</v>
      </c>
      <c r="CK48" s="100">
        <v>-1.0122921094458931E-4</v>
      </c>
      <c r="CL48" s="100">
        <v>-1.6271889676931918E-3</v>
      </c>
      <c r="CM48" s="100">
        <v>-3.3691623307787296E-4</v>
      </c>
      <c r="CN48" s="167">
        <v>-3.4617691419609577E-3</v>
      </c>
      <c r="CO48" s="100">
        <v>1.0381129369601172E-3</v>
      </c>
      <c r="CP48" s="100">
        <v>2.4489898537935571E-4</v>
      </c>
      <c r="CQ48" s="100">
        <v>1.2297645823899561E-4</v>
      </c>
      <c r="CR48" s="943">
        <v>-1.1877101699064386E-3</v>
      </c>
      <c r="CS48" s="167">
        <v>-1.769364367273861E-4</v>
      </c>
      <c r="CT48" s="100">
        <v>-2.1462485123108738E-3</v>
      </c>
      <c r="CU48" s="100">
        <v>-3.3991570202528232E-3</v>
      </c>
      <c r="CV48" s="100">
        <v>-1.9527053331866344E-3</v>
      </c>
      <c r="CW48" s="944">
        <v>-1.1631687400015629E-3</v>
      </c>
      <c r="CX48" s="167">
        <v>-8.7115872187605269E-3</v>
      </c>
      <c r="CY48" s="100">
        <v>-4.7140800809502593E-3</v>
      </c>
      <c r="CZ48" s="100">
        <v>-5.03249192355547E-3</v>
      </c>
      <c r="DA48" s="100">
        <v>-6.5622688546699802E-3</v>
      </c>
      <c r="DB48" s="100">
        <v>-1.2559245462688336E-2</v>
      </c>
      <c r="DC48" s="167">
        <v>-2.6813485910952048E-2</v>
      </c>
      <c r="DD48" s="100">
        <v>-9.5149919039758182E-3</v>
      </c>
      <c r="DE48" s="100">
        <v>-6.1006746526498278E-3</v>
      </c>
      <c r="DF48" s="100">
        <v>-3.849276351982327E-3</v>
      </c>
      <c r="DG48" s="100">
        <v>-4.2806600153698148E-4</v>
      </c>
      <c r="DH48" s="167">
        <f>SUM(DD48:DG48)</f>
        <v>-1.9893008910144953E-2</v>
      </c>
      <c r="DI48" s="100">
        <v>-1.7564977194807314E-3</v>
      </c>
      <c r="DJ48" s="100">
        <v>1.5292460584463629E-3</v>
      </c>
      <c r="DK48" s="100">
        <v>-2.880872296884999E-4</v>
      </c>
      <c r="DL48" s="100">
        <v>1.8488438756528518E-3</v>
      </c>
      <c r="DM48" s="167">
        <v>1.1292825824110672E-3</v>
      </c>
      <c r="DN48" s="100">
        <v>3.5020903007591643E-3</v>
      </c>
      <c r="DO48" s="100">
        <v>7.5561044700771206E-3</v>
      </c>
      <c r="DP48" s="100">
        <v>8.3691457573779257E-3</v>
      </c>
      <c r="DQ48" s="100">
        <v>2.2553708420554081E-3</v>
      </c>
      <c r="DR48" s="167">
        <v>2.2312930606398169E-2</v>
      </c>
      <c r="DS48" s="100">
        <v>1.6348628754987342E-3</v>
      </c>
      <c r="DT48" s="100">
        <v>1.7433944318088668E-3</v>
      </c>
      <c r="DU48" s="100">
        <v>9.7430725090442115E-4</v>
      </c>
      <c r="DV48" s="100">
        <v>7.8397913214804606E-4</v>
      </c>
      <c r="DW48" s="167">
        <v>5.1461074365416991E-3</v>
      </c>
      <c r="DX48" s="100">
        <v>1.8029110506591148E-3</v>
      </c>
      <c r="DY48" s="100">
        <v>1.9173339689573874E-3</v>
      </c>
      <c r="DZ48" s="100">
        <v>1.0709336468981542E-3</v>
      </c>
      <c r="EA48" s="100">
        <v>8.6313960565935965E-4</v>
      </c>
      <c r="EB48" s="167">
        <v>5.6642149030926309E-3</v>
      </c>
      <c r="ED48" s="164"/>
      <c r="EE48" s="164"/>
      <c r="EG48" s="167"/>
      <c r="EH48" s="167"/>
      <c r="EI48" s="167"/>
      <c r="EJ48" s="167"/>
      <c r="EK48" s="167"/>
      <c r="EL48" s="167"/>
      <c r="EM48" s="167"/>
      <c r="EN48" s="167"/>
      <c r="EO48" s="167"/>
      <c r="EP48" s="167"/>
      <c r="EQ48" s="167"/>
      <c r="ER48" s="167"/>
      <c r="ES48" s="167"/>
      <c r="ET48" s="167"/>
      <c r="EU48" s="167"/>
      <c r="EV48" s="167"/>
      <c r="EW48" s="167"/>
      <c r="EX48" s="167"/>
      <c r="EY48" s="167"/>
      <c r="EZ48" s="167"/>
      <c r="FA48" s="167"/>
      <c r="FB48" s="167"/>
      <c r="FD48" s="167" t="s">
        <v>191</v>
      </c>
      <c r="FE48" s="164">
        <f>DN48</f>
        <v>3.5020903007591643E-3</v>
      </c>
      <c r="FF48" s="164">
        <v>4.402787782788996E-3</v>
      </c>
      <c r="FG48" s="164">
        <f>FE48-FF48</f>
        <v>-9.0069748202983163E-4</v>
      </c>
      <c r="FH48" s="164">
        <f>DI48</f>
        <v>-1.7564977194807314E-3</v>
      </c>
      <c r="FI48" s="945">
        <f>FE48/FH48-1</f>
        <v>-2.9937915443434093</v>
      </c>
      <c r="FJ48" s="946"/>
      <c r="FK48" s="946"/>
      <c r="FL48"/>
      <c r="FM48"/>
      <c r="FN48"/>
      <c r="FO48"/>
      <c r="FP48"/>
      <c r="FQ48"/>
      <c r="FR48" s="946"/>
    </row>
    <row r="49" spans="1:174" s="1" customFormat="1" ht="7.5" hidden="1" customHeight="1" outlineLevel="1" x14ac:dyDescent="0.2">
      <c r="B49" s="20"/>
      <c r="G49" s="20"/>
      <c r="L49" s="20"/>
      <c r="Q49" s="20"/>
      <c r="V49" s="20"/>
      <c r="AA49" s="20"/>
      <c r="AF49" s="20"/>
      <c r="AK49" s="20"/>
      <c r="AP49" s="20"/>
      <c r="AU49" s="20"/>
      <c r="AZ49" s="20"/>
      <c r="BE49" s="20"/>
      <c r="BJ49" s="20"/>
      <c r="BO49" s="20"/>
      <c r="BT49" s="20"/>
      <c r="BY49" s="20"/>
      <c r="CD49" s="20"/>
      <c r="CI49" s="20"/>
      <c r="CN49" s="20"/>
      <c r="CR49" s="82"/>
      <c r="CS49" s="20"/>
      <c r="CW49" s="657"/>
      <c r="CX49" s="20"/>
      <c r="DC49" s="20"/>
      <c r="DH49" s="20"/>
      <c r="DM49" s="20"/>
      <c r="DR49" s="20"/>
      <c r="DW49" s="20"/>
      <c r="EB49" s="20"/>
      <c r="ED49" s="28"/>
      <c r="EE49" s="28"/>
      <c r="EG49" s="20"/>
      <c r="EH49" s="20"/>
      <c r="EI49" s="20"/>
      <c r="EJ49" s="20"/>
      <c r="EK49" s="20"/>
      <c r="EL49" s="20"/>
      <c r="EM49" s="20"/>
      <c r="EN49" s="20"/>
      <c r="EO49" s="20"/>
      <c r="EP49" s="20"/>
      <c r="EQ49" s="20"/>
      <c r="ER49" s="20"/>
      <c r="ES49" s="20"/>
      <c r="ET49" s="20"/>
      <c r="EU49" s="20"/>
      <c r="EV49" s="20"/>
      <c r="EW49" s="20"/>
      <c r="EX49" s="20"/>
      <c r="EY49" s="20"/>
      <c r="EZ49" s="20"/>
      <c r="FA49" s="20"/>
      <c r="FB49" s="20"/>
      <c r="FD49" s="20"/>
      <c r="FE49" s="28"/>
      <c r="FF49" s="28"/>
      <c r="FG49" s="28"/>
      <c r="FH49" s="28"/>
      <c r="FI49" s="29"/>
      <c r="FJ49"/>
      <c r="FK49"/>
      <c r="FL49"/>
      <c r="FM49"/>
      <c r="FN49"/>
      <c r="FO49"/>
      <c r="FP49"/>
      <c r="FQ49"/>
      <c r="FR49"/>
    </row>
    <row r="50" spans="1:174" s="1" customFormat="1" collapsed="1" x14ac:dyDescent="0.2">
      <c r="A50" s="33" t="s">
        <v>325</v>
      </c>
      <c r="B50" s="44">
        <v>0.02</v>
      </c>
      <c r="C50" s="50">
        <f>(C41+1.111)/C54</f>
        <v>4.295417970160028E-2</v>
      </c>
      <c r="D50" s="50">
        <f>(D41+1.111)/(D54)</f>
        <v>-1.8087011227255144E-3</v>
      </c>
      <c r="E50" s="50">
        <f>(E41+1.111)/(E54)</f>
        <v>6.7735080573755897E-3</v>
      </c>
      <c r="F50" s="50">
        <f>(F41+1.111)/F54</f>
        <v>5.6320602291858946E-3</v>
      </c>
      <c r="G50" s="44">
        <f>G41/G54</f>
        <v>2.2685000086915711E-2</v>
      </c>
      <c r="H50" s="50">
        <f>(H41+1.111)/H54</f>
        <v>8.98535607226769E-3</v>
      </c>
      <c r="I50" s="50">
        <f>(I41+1.111)/(I54)</f>
        <v>4.9192728976608473E-3</v>
      </c>
      <c r="J50" s="50">
        <f>(J41+1.111)/(J54)</f>
        <v>8.1664804122431184E-3</v>
      </c>
      <c r="K50" s="50">
        <f>(K41+1.111)/K54</f>
        <v>1.0661497082084113E-2</v>
      </c>
      <c r="L50" s="44">
        <f>SUM(H50:K50)</f>
        <v>3.273260646425577E-2</v>
      </c>
      <c r="M50" s="50">
        <f>(M41+1.111)/M54</f>
        <v>1.0446386777522675E-2</v>
      </c>
      <c r="N50" s="50">
        <f>(N41+1.111)/(N54)</f>
        <v>7.2031350893990414E-3</v>
      </c>
      <c r="O50" s="50">
        <f>(O41+1.111)/(O54)</f>
        <v>1.0648256331508435E-2</v>
      </c>
      <c r="P50" s="50">
        <f>(P41+1.111)/P54</f>
        <v>1.3059506523221829E-2</v>
      </c>
      <c r="Q50" s="44">
        <f>SUM(M50:P50)</f>
        <v>4.1357284721651982E-2</v>
      </c>
      <c r="R50" s="50">
        <f>(R41+0.5555)/R54</f>
        <v>1.4670197616813227E-2</v>
      </c>
      <c r="S50" s="50">
        <f t="shared" ref="S50:BN50" si="139">S41/S54</f>
        <v>9.5311561356561606E-3</v>
      </c>
      <c r="T50" s="50">
        <f t="shared" si="139"/>
        <v>1.4097505779160481E-2</v>
      </c>
      <c r="U50" s="50">
        <f t="shared" si="139"/>
        <v>1.7285089665472601E-2</v>
      </c>
      <c r="V50" s="44">
        <f t="shared" si="139"/>
        <v>5.5335323134017761E-2</v>
      </c>
      <c r="W50" s="50">
        <f t="shared" si="139"/>
        <v>1.8017453333764689E-2</v>
      </c>
      <c r="X50" s="50">
        <f t="shared" si="139"/>
        <v>1.1917339838969586E-2</v>
      </c>
      <c r="Y50" s="50">
        <f t="shared" si="139"/>
        <v>1.6094112174687928E-2</v>
      </c>
      <c r="Z50" s="50">
        <f t="shared" si="139"/>
        <v>2.1518212061305587E-2</v>
      </c>
      <c r="AA50" s="44">
        <f t="shared" si="139"/>
        <v>6.7441163522179229E-2</v>
      </c>
      <c r="AB50" s="50">
        <f t="shared" si="139"/>
        <v>2.2940873560790127E-2</v>
      </c>
      <c r="AC50" s="50">
        <f t="shared" si="139"/>
        <v>1.5211714111242475E-2</v>
      </c>
      <c r="AD50" s="50">
        <f t="shared" si="139"/>
        <v>2.2476415945863713E-2</v>
      </c>
      <c r="AE50" s="50">
        <f t="shared" si="139"/>
        <v>2.7973849683041948E-2</v>
      </c>
      <c r="AF50" s="44">
        <f t="shared" si="139"/>
        <v>8.8557224241513688E-2</v>
      </c>
      <c r="AG50" s="50">
        <f t="shared" si="139"/>
        <v>3.1115048519026595E-2</v>
      </c>
      <c r="AH50" s="50">
        <f t="shared" si="139"/>
        <v>2.0349961208083887E-2</v>
      </c>
      <c r="AI50" s="50">
        <f t="shared" si="139"/>
        <v>2.9631897019382368E-2</v>
      </c>
      <c r="AJ50" s="50">
        <f t="shared" si="139"/>
        <v>3.3824145947937492E-2</v>
      </c>
      <c r="AK50" s="44">
        <f t="shared" si="139"/>
        <v>0.11432449429312634</v>
      </c>
      <c r="AL50" s="50">
        <f t="shared" si="139"/>
        <v>3.7963438682241543E-2</v>
      </c>
      <c r="AM50" s="50">
        <f t="shared" si="139"/>
        <v>2.7152340892924863E-2</v>
      </c>
      <c r="AN50" s="50">
        <f t="shared" si="139"/>
        <v>3.461942067494031E-2</v>
      </c>
      <c r="AO50" s="50">
        <f t="shared" si="139"/>
        <v>3.6124811197639418E-2</v>
      </c>
      <c r="AP50" s="44">
        <f t="shared" si="139"/>
        <v>0.13376471698113201</v>
      </c>
      <c r="AQ50" s="50">
        <f t="shared" si="139"/>
        <v>4.9072812348140642E-2</v>
      </c>
      <c r="AR50" s="50">
        <f t="shared" si="139"/>
        <v>3.2550134877459148E-2</v>
      </c>
      <c r="AS50" s="50">
        <f t="shared" si="139"/>
        <v>4.2439291816502113E-2</v>
      </c>
      <c r="AT50" s="50">
        <f t="shared" si="139"/>
        <v>4.3013246966007355E-2</v>
      </c>
      <c r="AU50" s="44">
        <f t="shared" si="139"/>
        <v>0.16702711926301125</v>
      </c>
      <c r="AV50" s="50">
        <f t="shared" si="139"/>
        <v>6.754345079664896E-2</v>
      </c>
      <c r="AW50" s="50">
        <f t="shared" si="139"/>
        <v>4.7918402950731208E-2</v>
      </c>
      <c r="AX50" s="50">
        <f t="shared" si="139"/>
        <v>5.9169660117053872E-2</v>
      </c>
      <c r="AY50" s="50">
        <f t="shared" si="139"/>
        <v>6.205171066605062E-2</v>
      </c>
      <c r="AZ50" s="44">
        <f t="shared" si="139"/>
        <v>0.23647394067539151</v>
      </c>
      <c r="BA50" s="50">
        <f t="shared" si="139"/>
        <v>8.7105958550782278E-2</v>
      </c>
      <c r="BB50" s="50">
        <f t="shared" si="139"/>
        <v>6.0660312875122857E-2</v>
      </c>
      <c r="BC50" s="50">
        <f t="shared" si="139"/>
        <v>7.7665283068370519E-2</v>
      </c>
      <c r="BD50" s="50">
        <f t="shared" si="139"/>
        <v>7.781825592307362E-2</v>
      </c>
      <c r="BE50" s="44">
        <f t="shared" si="139"/>
        <v>0.30319885408324782</v>
      </c>
      <c r="BF50" s="50">
        <f t="shared" si="139"/>
        <v>0.10983682431026463</v>
      </c>
      <c r="BG50" s="50">
        <f t="shared" si="139"/>
        <v>8.0111953869367883E-2</v>
      </c>
      <c r="BH50" s="50">
        <f t="shared" si="139"/>
        <v>9.1134581633279518E-2</v>
      </c>
      <c r="BI50" s="50">
        <f t="shared" si="139"/>
        <v>8.5758534856081939E-2</v>
      </c>
      <c r="BJ50" s="44">
        <f t="shared" si="139"/>
        <v>0.36687942052045797</v>
      </c>
      <c r="BK50" s="50">
        <f t="shared" si="139"/>
        <v>0.13095454057672556</v>
      </c>
      <c r="BL50" s="50">
        <f t="shared" si="139"/>
        <v>9.7434936793897045E-2</v>
      </c>
      <c r="BM50" s="50">
        <f t="shared" si="139"/>
        <v>0.10368746881380486</v>
      </c>
      <c r="BN50" s="50">
        <f t="shared" si="139"/>
        <v>0.10440013542120864</v>
      </c>
      <c r="BO50" s="44">
        <f>BO53</f>
        <v>0.43688973275128906</v>
      </c>
      <c r="BP50" s="50">
        <f>BP41/BP54</f>
        <v>0.13968317895019461</v>
      </c>
      <c r="BQ50" s="50">
        <f t="shared" ref="BQ50:BY50" si="140">(BQ41-BQ45)/BQ54</f>
        <v>8.8488435006086844E-2</v>
      </c>
      <c r="BR50" s="50">
        <f t="shared" si="140"/>
        <v>7.900847341806734E-2</v>
      </c>
      <c r="BS50" s="50">
        <f t="shared" si="140"/>
        <v>4.7917509098261236E-2</v>
      </c>
      <c r="BT50" s="44">
        <f t="shared" si="140"/>
        <v>0.35543985394549982</v>
      </c>
      <c r="BU50" s="50">
        <f t="shared" si="140"/>
        <v>7.4144229468272094E-2</v>
      </c>
      <c r="BV50" s="50">
        <f t="shared" si="140"/>
        <v>8.1902959859440544E-2</v>
      </c>
      <c r="BW50" s="50">
        <f t="shared" si="140"/>
        <v>0.11825364939065224</v>
      </c>
      <c r="BX50" s="50">
        <f t="shared" si="140"/>
        <v>0.12407969389101481</v>
      </c>
      <c r="BY50" s="44">
        <f t="shared" si="140"/>
        <v>0.39916878938195471</v>
      </c>
      <c r="BZ50" s="50">
        <f>(BZ44-BZ45)/BZ54</f>
        <v>0.1666666666666668</v>
      </c>
      <c r="CA50" s="50">
        <f>(CA44-CA45)/CA54</f>
        <v>0.14545573086451977</v>
      </c>
      <c r="CB50" s="50">
        <f>(CB44-CB45)/CB54</f>
        <v>0.14458067040563452</v>
      </c>
      <c r="CC50" s="50">
        <f>(CC44-CC45)/CC54</f>
        <v>0.18610850469381279</v>
      </c>
      <c r="CD50" s="44">
        <f>(CD41-CD45)/CD54</f>
        <v>0.64447783462643493</v>
      </c>
      <c r="CE50" s="50">
        <f>(CE44-CE45)/CE54</f>
        <v>0.22603365071083881</v>
      </c>
      <c r="CF50" s="50">
        <f>(CF44-CF45)/CF54</f>
        <v>0.16947395698367437</v>
      </c>
      <c r="CG50" s="50">
        <v>0.36</v>
      </c>
      <c r="CH50" s="50">
        <f t="shared" ref="CH50:DQ50" si="141">(CH44-CH45)/CH54</f>
        <v>0.18324658425504234</v>
      </c>
      <c r="CI50" s="44">
        <f t="shared" si="141"/>
        <v>0.75935429388073306</v>
      </c>
      <c r="CJ50" s="50">
        <f t="shared" si="141"/>
        <v>0.24860117111255703</v>
      </c>
      <c r="CK50" s="50">
        <f t="shared" si="141"/>
        <v>0.20037501616448966</v>
      </c>
      <c r="CL50" s="50">
        <f t="shared" si="141"/>
        <v>0.21440525231719867</v>
      </c>
      <c r="CM50" s="50">
        <f t="shared" si="141"/>
        <v>0.23206205559146736</v>
      </c>
      <c r="CN50" s="44">
        <f t="shared" si="141"/>
        <v>0.89527813712807225</v>
      </c>
      <c r="CO50" s="50">
        <f t="shared" si="141"/>
        <v>0.28385656114540919</v>
      </c>
      <c r="CP50" s="50">
        <f t="shared" si="141"/>
        <v>0.23998423748850631</v>
      </c>
      <c r="CQ50" s="542">
        <f t="shared" si="141"/>
        <v>0.27418296364352296</v>
      </c>
      <c r="CR50" s="50">
        <f>(CR44-CR45)/CR54</f>
        <v>0.29845569951577011</v>
      </c>
      <c r="CS50" s="516">
        <f t="shared" si="141"/>
        <v>1.0966155057064126</v>
      </c>
      <c r="CT50" s="542">
        <f t="shared" si="141"/>
        <v>0.344140430884397</v>
      </c>
      <c r="CU50" s="50">
        <f t="shared" si="141"/>
        <v>0.27916557677216869</v>
      </c>
      <c r="CV50" s="517">
        <f t="shared" si="141"/>
        <v>0.33672798948751637</v>
      </c>
      <c r="CW50" s="667">
        <f t="shared" si="141"/>
        <v>0.35617245005257653</v>
      </c>
      <c r="CX50" s="516">
        <f t="shared" si="141"/>
        <v>1.316153057454627</v>
      </c>
      <c r="CY50" s="542">
        <f>(CY44-CY45)/CY54</f>
        <v>0.39992049050632977</v>
      </c>
      <c r="CZ50" s="542">
        <f>(CZ44-CZ45)/CZ54</f>
        <v>0.33144787397255554</v>
      </c>
      <c r="DA50" s="542">
        <f t="shared" si="141"/>
        <v>0.41837043879004665</v>
      </c>
      <c r="DB50" s="542">
        <f t="shared" ref="DB50:DH50" si="142">(DB44-DB45)/DB54</f>
        <v>0.43369890329012922</v>
      </c>
      <c r="DC50" s="370">
        <f t="shared" si="142"/>
        <v>1.5831265713742171</v>
      </c>
      <c r="DD50" s="542">
        <f t="shared" si="142"/>
        <v>0.46275459613849529</v>
      </c>
      <c r="DE50" s="542">
        <f t="shared" si="142"/>
        <v>0.39310459037665024</v>
      </c>
      <c r="DF50" s="542">
        <f t="shared" si="142"/>
        <v>0.48976813357669163</v>
      </c>
      <c r="DG50" s="542">
        <f t="shared" si="142"/>
        <v>0.56180194805194861</v>
      </c>
      <c r="DH50" s="370">
        <f t="shared" si="142"/>
        <v>1.9067390331756877</v>
      </c>
      <c r="DI50" s="542">
        <f t="shared" si="141"/>
        <v>0.51757006876851797</v>
      </c>
      <c r="DJ50" s="542">
        <f t="shared" si="141"/>
        <v>0.45193114369885706</v>
      </c>
      <c r="DK50" s="542">
        <f>(DK44-DK45)/DK54</f>
        <v>0.54745785939427161</v>
      </c>
      <c r="DL50" s="542">
        <f t="shared" si="141"/>
        <v>0.55334343991179724</v>
      </c>
      <c r="DM50" s="370">
        <f t="shared" si="141"/>
        <v>2.069859234960703</v>
      </c>
      <c r="DN50" s="542">
        <f>(DN44-DN45)/DN54</f>
        <v>0.64852084204656446</v>
      </c>
      <c r="DO50" s="230">
        <f t="shared" si="141"/>
        <v>0.52698175515870294</v>
      </c>
      <c r="DP50" s="230">
        <f t="shared" si="141"/>
        <v>0.64379562057023676</v>
      </c>
      <c r="DQ50" s="230">
        <f t="shared" si="141"/>
        <v>0.66246771030077878</v>
      </c>
      <c r="DR50" s="231">
        <f>(DR44-DR45)/DR54</f>
        <v>2.481269260034515</v>
      </c>
      <c r="DS50" s="230">
        <f t="shared" ref="DS50:EB50" si="143">(DS44-DS45)/DS54</f>
        <v>0.67247901444345459</v>
      </c>
      <c r="DT50" s="230">
        <f t="shared" si="143"/>
        <v>0.61722871789910627</v>
      </c>
      <c r="DU50" s="230">
        <f t="shared" si="143"/>
        <v>0.74597877760668219</v>
      </c>
      <c r="DV50" s="230">
        <f t="shared" si="143"/>
        <v>0.76177190314305288</v>
      </c>
      <c r="DW50" s="231">
        <f t="shared" si="143"/>
        <v>2.7963084727638958</v>
      </c>
      <c r="DX50" s="230">
        <f t="shared" si="143"/>
        <v>0.76464951561192995</v>
      </c>
      <c r="DY50" s="230">
        <f t="shared" si="143"/>
        <v>0.70589833674069646</v>
      </c>
      <c r="DZ50" s="230">
        <f t="shared" si="143"/>
        <v>0.85009728618604774</v>
      </c>
      <c r="EA50" s="230">
        <f t="shared" si="143"/>
        <v>0.86795247009401399</v>
      </c>
      <c r="EB50" s="231">
        <f t="shared" si="143"/>
        <v>3.1873225707283406</v>
      </c>
      <c r="EC50" s="163"/>
      <c r="ED50" s="28"/>
      <c r="EE50" s="28"/>
      <c r="EF50" s="29"/>
      <c r="EG50" s="44">
        <f t="shared" ref="EG50:EP50" si="144">EG41/EG54</f>
        <v>5.8989441072845553E-2</v>
      </c>
      <c r="EH50" s="44">
        <f t="shared" si="144"/>
        <v>7.2460667435290949E-2</v>
      </c>
      <c r="EI50" s="44">
        <f t="shared" si="144"/>
        <v>9.6976898792108399E-2</v>
      </c>
      <c r="EJ50" s="44">
        <f t="shared" si="144"/>
        <v>0.12168293514123783</v>
      </c>
      <c r="EK50" s="44">
        <f t="shared" si="144"/>
        <v>0.14699146852857928</v>
      </c>
      <c r="EL50" s="44">
        <f t="shared" si="144"/>
        <v>0.1858961662598152</v>
      </c>
      <c r="EM50" s="44">
        <f t="shared" si="144"/>
        <v>0.25643844900540241</v>
      </c>
      <c r="EN50" s="44">
        <f t="shared" si="144"/>
        <v>0.32499222237282921</v>
      </c>
      <c r="EO50" s="44">
        <f t="shared" si="144"/>
        <v>0.38757123796455012</v>
      </c>
      <c r="EP50" s="44">
        <f t="shared" si="144"/>
        <v>0.44435823327449409</v>
      </c>
      <c r="EQ50" s="44">
        <f>EQ47/EQ54</f>
        <v>0.28940379403794014</v>
      </c>
      <c r="ER50" s="44">
        <f>ER47/ER54</f>
        <v>0.4920396355656052</v>
      </c>
      <c r="ES50" s="44">
        <f t="shared" ref="ES50:EZ50" si="145">ES47/ES54</f>
        <v>0.70209063272118433</v>
      </c>
      <c r="ET50" s="44">
        <f t="shared" si="145"/>
        <v>0.76232674392183575</v>
      </c>
      <c r="EU50" s="44">
        <f t="shared" si="145"/>
        <v>0.92981944309377895</v>
      </c>
      <c r="EV50" s="44">
        <f>CP50+CQ50+CR50+CT50</f>
        <v>1.1567633315321963</v>
      </c>
      <c r="EW50" s="44">
        <f t="shared" si="145"/>
        <v>1.1149181555438787</v>
      </c>
      <c r="EX50" s="44">
        <f t="shared" si="145"/>
        <v>1.6861084498863941</v>
      </c>
      <c r="EY50" s="44">
        <f t="shared" si="145"/>
        <v>1.9615595253790745</v>
      </c>
      <c r="EZ50" s="44">
        <f t="shared" si="145"/>
        <v>0.94101806491572215</v>
      </c>
      <c r="FA50" s="44">
        <f>FA47/FA54</f>
        <v>2.5041882212528956</v>
      </c>
      <c r="FB50" s="44">
        <f>FB47/FB54</f>
        <v>2.8883687148518602</v>
      </c>
      <c r="FD50" s="8" t="s">
        <v>15</v>
      </c>
      <c r="FE50" s="50">
        <f>DN50</f>
        <v>0.64852084204656446</v>
      </c>
      <c r="FF50" s="542">
        <v>0.57552204764604542</v>
      </c>
      <c r="FG50" s="50">
        <f>FE50-FF50</f>
        <v>7.299879440051904E-2</v>
      </c>
      <c r="FH50" s="50">
        <f>DI50</f>
        <v>0.51757006876851797</v>
      </c>
      <c r="FI50" s="250">
        <f>FE50/FH50-1</f>
        <v>0.25301071522475138</v>
      </c>
      <c r="FJ50"/>
      <c r="FK50"/>
      <c r="FL50"/>
      <c r="FM50"/>
      <c r="FN50"/>
      <c r="FO50"/>
      <c r="FP50"/>
      <c r="FQ50"/>
      <c r="FR50"/>
    </row>
    <row r="51" spans="1:174" s="1" customFormat="1" hidden="1" outlineLevel="1" x14ac:dyDescent="0.2">
      <c r="A51" s="7" t="s">
        <v>192</v>
      </c>
      <c r="B51" s="20"/>
      <c r="G51" s="20"/>
      <c r="L51" s="20"/>
      <c r="Q51" s="20"/>
      <c r="V51" s="20"/>
      <c r="AA51" s="20"/>
      <c r="AF51" s="20"/>
      <c r="AK51" s="20"/>
      <c r="AP51" s="72">
        <f>37.447/AP54</f>
        <v>2.3551572327044027E-2</v>
      </c>
      <c r="AU51" s="72">
        <f>37.436/AU54</f>
        <v>2.3301497828944747E-2</v>
      </c>
      <c r="AV51" s="105">
        <f>8.332/AV54</f>
        <v>5.1098382170761333E-3</v>
      </c>
      <c r="AW51" s="105">
        <f>12.407/AW54</f>
        <v>7.5365864918517144E-3</v>
      </c>
      <c r="AX51" s="105">
        <f>11.299/AX54</f>
        <v>6.8513833742835728E-3</v>
      </c>
      <c r="AY51" s="105">
        <f>(13.018)/AY54</f>
        <v>7.8729585826013537E-3</v>
      </c>
      <c r="AZ51" s="72">
        <f>45.056/AZ54</f>
        <v>2.7375353918316261E-2</v>
      </c>
      <c r="BA51" s="105">
        <f>12.074/BA54</f>
        <v>7.2677585760634678E-3</v>
      </c>
      <c r="BB51" s="105">
        <f>15.983/BB54</f>
        <v>9.6508474003154359E-3</v>
      </c>
      <c r="BC51" s="105">
        <f>15.276/BC54</f>
        <v>9.4525257475514771E-3</v>
      </c>
      <c r="BD51" s="105">
        <f>15.409/BD54</f>
        <v>9.6919020507156492E-3</v>
      </c>
      <c r="BE51" s="72">
        <f>58.742/BE54</f>
        <v>3.6019607145791659E-2</v>
      </c>
      <c r="BF51" s="105">
        <f>15.097/BF54</f>
        <v>9.5195277375972488E-3</v>
      </c>
      <c r="BG51" s="105">
        <f>18/BG54</f>
        <v>1.1326268258888288E-2</v>
      </c>
      <c r="BH51" s="105">
        <f>17/BH54</f>
        <v>1.0648173086679888E-2</v>
      </c>
      <c r="BI51" s="105">
        <f>18.2236/BI54</f>
        <v>1.1619289055287198E-2</v>
      </c>
      <c r="BJ51" s="72">
        <f>SUM(BF51:BI51)</f>
        <v>4.3113258138452619E-2</v>
      </c>
      <c r="BK51" s="105"/>
      <c r="BL51" s="105"/>
      <c r="BM51" s="105"/>
      <c r="BN51" s="105"/>
      <c r="BO51" s="72"/>
      <c r="BP51" s="105"/>
      <c r="BQ51" s="105"/>
      <c r="BR51" s="105"/>
      <c r="BS51" s="105"/>
      <c r="BT51" s="72"/>
      <c r="BU51" s="105"/>
      <c r="BV51" s="105"/>
      <c r="BW51" s="105"/>
      <c r="BX51" s="105"/>
      <c r="BY51" s="72"/>
      <c r="CD51" s="20"/>
      <c r="CI51" s="20"/>
      <c r="CN51" s="20"/>
      <c r="CR51" s="82"/>
      <c r="CS51" s="233"/>
      <c r="CU51" s="82"/>
      <c r="CV51" s="232"/>
      <c r="CW51" s="657"/>
      <c r="CX51" s="233"/>
      <c r="DC51" s="20"/>
      <c r="DD51" s="100"/>
      <c r="DH51" s="20"/>
      <c r="DM51" s="20"/>
      <c r="DO51" s="232"/>
      <c r="DP51" s="232"/>
      <c r="DQ51" s="232"/>
      <c r="DR51" s="233"/>
      <c r="DS51" s="232"/>
      <c r="DT51" s="232"/>
      <c r="DU51" s="232"/>
      <c r="DV51" s="232"/>
      <c r="DW51" s="233"/>
      <c r="DX51" s="232"/>
      <c r="DY51" s="232"/>
      <c r="DZ51" s="232"/>
      <c r="EA51" s="232"/>
      <c r="EB51" s="233"/>
      <c r="EC51" s="27"/>
      <c r="ED51" s="28"/>
      <c r="EE51" s="28"/>
      <c r="EF51" s="29"/>
      <c r="EG51" s="20"/>
      <c r="EH51" s="20"/>
      <c r="EI51" s="20"/>
      <c r="EJ51" s="20"/>
      <c r="EK51" s="20"/>
      <c r="EL51" s="20"/>
      <c r="EM51" s="20"/>
      <c r="EN51" s="72">
        <f>BB51+BC51+BD51+BF51</f>
        <v>3.8314802936179809E-2</v>
      </c>
      <c r="EO51" s="20"/>
      <c r="EP51" s="20"/>
      <c r="EQ51" s="20"/>
      <c r="ER51" s="20"/>
      <c r="ES51" s="20"/>
      <c r="ET51" s="20"/>
      <c r="EU51" s="20"/>
      <c r="EV51" s="20"/>
      <c r="EW51" s="20"/>
      <c r="EX51" s="20"/>
      <c r="EY51" s="20"/>
      <c r="EZ51" s="20"/>
      <c r="FA51" s="20"/>
      <c r="FB51" s="20"/>
      <c r="FD51" s="20" t="s">
        <v>192</v>
      </c>
      <c r="FE51" s="248">
        <f>DN51</f>
        <v>0</v>
      </c>
      <c r="FF51" s="850">
        <v>0</v>
      </c>
      <c r="FG51" s="248">
        <f>FE51-FF51</f>
        <v>0</v>
      </c>
      <c r="FH51" s="248">
        <f>DI51</f>
        <v>0</v>
      </c>
      <c r="FI51" s="29"/>
      <c r="FJ51"/>
      <c r="FK51"/>
      <c r="FL51"/>
      <c r="FM51"/>
      <c r="FN51"/>
      <c r="FO51"/>
      <c r="FP51"/>
      <c r="FQ51"/>
      <c r="FR51"/>
    </row>
    <row r="52" spans="1:174" s="1" customFormat="1" collapsed="1" x14ac:dyDescent="0.2">
      <c r="A52" s="7" t="s">
        <v>189</v>
      </c>
      <c r="B52" s="20"/>
      <c r="G52" s="20"/>
      <c r="L52" s="20"/>
      <c r="Q52" s="20"/>
      <c r="V52" s="20"/>
      <c r="AA52" s="20"/>
      <c r="AF52" s="20"/>
      <c r="AK52" s="20"/>
      <c r="AP52" s="20"/>
      <c r="AU52" s="20"/>
      <c r="AV52" s="105"/>
      <c r="AW52" s="105"/>
      <c r="AX52" s="105"/>
      <c r="AY52" s="105"/>
      <c r="AZ52" s="20"/>
      <c r="BA52" s="105"/>
      <c r="BB52" s="105"/>
      <c r="BC52" s="105"/>
      <c r="BD52" s="105"/>
      <c r="BE52" s="20"/>
      <c r="BF52" s="105"/>
      <c r="BG52" s="105"/>
      <c r="BH52" s="105"/>
      <c r="BI52" s="105">
        <f>BI42/BI54</f>
        <v>1.0975572433422256E-2</v>
      </c>
      <c r="BJ52" s="72">
        <f>BJ42/BJ54</f>
        <v>1.0860509580863447E-2</v>
      </c>
      <c r="BK52" s="105">
        <f t="shared" ref="BK52:CN52" si="146">BK45/BK54</f>
        <v>0</v>
      </c>
      <c r="BL52" s="105">
        <f t="shared" si="146"/>
        <v>0</v>
      </c>
      <c r="BM52" s="105">
        <f t="shared" si="146"/>
        <v>0</v>
      </c>
      <c r="BN52" s="105">
        <f t="shared" si="146"/>
        <v>0</v>
      </c>
      <c r="BO52" s="72">
        <f t="shared" si="146"/>
        <v>0</v>
      </c>
      <c r="BP52" s="105">
        <f t="shared" si="146"/>
        <v>0</v>
      </c>
      <c r="BQ52" s="105">
        <f t="shared" si="146"/>
        <v>-1.4999999999999999E-2</v>
      </c>
      <c r="BR52" s="105">
        <f t="shared" si="146"/>
        <v>-8.3655186551865504E-2</v>
      </c>
      <c r="BS52" s="105">
        <f t="shared" si="146"/>
        <v>-4.4210810082221323E-2</v>
      </c>
      <c r="BT52" s="72">
        <f t="shared" si="146"/>
        <v>-0.14213266617080264</v>
      </c>
      <c r="BU52" s="105">
        <f t="shared" si="146"/>
        <v>-3.0645379515627111E-2</v>
      </c>
      <c r="BV52" s="105">
        <f t="shared" si="146"/>
        <v>-6.4941208271388023E-2</v>
      </c>
      <c r="BW52" s="105">
        <f t="shared" si="146"/>
        <v>-1.9017008169278156E-2</v>
      </c>
      <c r="BX52" s="105">
        <f t="shared" si="146"/>
        <v>-2.2813036020583193E-2</v>
      </c>
      <c r="BY52" s="72">
        <f t="shared" si="146"/>
        <v>-0.13700227912588819</v>
      </c>
      <c r="BZ52" s="105">
        <f t="shared" si="146"/>
        <v>-8.3890418141302926E-3</v>
      </c>
      <c r="CA52" s="105">
        <f t="shared" si="146"/>
        <v>-3.7814578171860738E-3</v>
      </c>
      <c r="CB52" s="105">
        <f t="shared" si="146"/>
        <v>-8.9996087126646661E-3</v>
      </c>
      <c r="CC52" s="105">
        <f t="shared" si="146"/>
        <v>-2.8386926291523937E-3</v>
      </c>
      <c r="CD52" s="72">
        <f t="shared" si="146"/>
        <v>-2.4025073569120727E-2</v>
      </c>
      <c r="CE52" s="105">
        <f t="shared" si="146"/>
        <v>0</v>
      </c>
      <c r="CF52" s="105">
        <f t="shared" si="146"/>
        <v>0</v>
      </c>
      <c r="CG52" s="105">
        <f t="shared" si="146"/>
        <v>0</v>
      </c>
      <c r="CH52" s="105">
        <f t="shared" si="146"/>
        <v>4.9999999999999996E-2</v>
      </c>
      <c r="CI52" s="72">
        <f t="shared" si="146"/>
        <v>4.9922047550993887E-2</v>
      </c>
      <c r="CJ52" s="105">
        <f t="shared" si="146"/>
        <v>0</v>
      </c>
      <c r="CK52" s="105">
        <f t="shared" si="146"/>
        <v>0</v>
      </c>
      <c r="CL52" s="105">
        <f t="shared" si="146"/>
        <v>0</v>
      </c>
      <c r="CM52" s="105">
        <f t="shared" si="146"/>
        <v>0</v>
      </c>
      <c r="CN52" s="72">
        <f t="shared" si="146"/>
        <v>0</v>
      </c>
      <c r="CO52" s="105">
        <f t="shared" ref="CO52:CT52" si="147">CO45/CO54</f>
        <v>0</v>
      </c>
      <c r="CP52" s="105">
        <f>CP45/CP54</f>
        <v>1.6419282805727048E-2</v>
      </c>
      <c r="CQ52" s="550">
        <f t="shared" si="147"/>
        <v>0</v>
      </c>
      <c r="CR52" s="105">
        <f>CR45/CR54</f>
        <v>-1.1046329014526894</v>
      </c>
      <c r="CS52" s="518">
        <f t="shared" si="147"/>
        <v>-1.090843499934409</v>
      </c>
      <c r="CT52" s="550">
        <f t="shared" si="147"/>
        <v>8.7047792435071582E-3</v>
      </c>
      <c r="CU52" s="105">
        <f t="shared" ref="CU52:CZ52" si="148">CU45/CU54</f>
        <v>0</v>
      </c>
      <c r="CV52" s="105">
        <f t="shared" si="148"/>
        <v>0</v>
      </c>
      <c r="CW52" s="668">
        <f>CW45/CW54</f>
        <v>0.03</v>
      </c>
      <c r="CX52" s="518">
        <f t="shared" si="148"/>
        <v>3.8649720687164435E-2</v>
      </c>
      <c r="CY52" s="550">
        <f t="shared" si="148"/>
        <v>0.24914332805907174</v>
      </c>
      <c r="CZ52" s="550">
        <f t="shared" si="148"/>
        <v>-5.1043197358262415E-3</v>
      </c>
      <c r="DA52" s="550">
        <f t="shared" ref="DA52:DR52" si="149">DA45/DA54</f>
        <v>-5.0300680042713423E-3</v>
      </c>
      <c r="DB52" s="550">
        <f t="shared" si="149"/>
        <v>0</v>
      </c>
      <c r="DC52" s="802">
        <f t="shared" si="149"/>
        <v>0.23955452220800888</v>
      </c>
      <c r="DD52" s="550">
        <f>DD45/DD54</f>
        <v>-5.3608623528237885E-3</v>
      </c>
      <c r="DE52" s="550">
        <f>DE45/DE54</f>
        <v>-6.2486775554476022E-3</v>
      </c>
      <c r="DF52" s="550">
        <f>DF45/DF54</f>
        <v>0.02</v>
      </c>
      <c r="DG52" s="550">
        <f t="shared" si="149"/>
        <v>-0.02</v>
      </c>
      <c r="DH52" s="802">
        <f>SUM(DD52:DG52)</f>
        <v>-1.1609539908271391E-2</v>
      </c>
      <c r="DI52" s="550">
        <f>DI45/DI54</f>
        <v>-6.3153934880015462E-3</v>
      </c>
      <c r="DJ52" s="550">
        <f t="shared" si="149"/>
        <v>-6.2730333766286743E-3</v>
      </c>
      <c r="DK52" s="550">
        <f t="shared" si="149"/>
        <v>-7.3564478552829923E-2</v>
      </c>
      <c r="DL52" s="550">
        <f t="shared" si="149"/>
        <v>-0.01</v>
      </c>
      <c r="DM52" s="802">
        <f t="shared" si="149"/>
        <v>-9.6031424016279399E-2</v>
      </c>
      <c r="DN52" s="550">
        <f t="shared" si="149"/>
        <v>0.91999999999999993</v>
      </c>
      <c r="DO52" s="234">
        <f t="shared" si="149"/>
        <v>-7.4999999999999989E-3</v>
      </c>
      <c r="DP52" s="234">
        <f t="shared" si="149"/>
        <v>-7.4999999999999997E-3</v>
      </c>
      <c r="DQ52" s="234">
        <f t="shared" si="149"/>
        <v>-7.4999999999999997E-3</v>
      </c>
      <c r="DR52" s="235">
        <f t="shared" si="149"/>
        <v>0.90859233639263481</v>
      </c>
      <c r="DS52" s="234">
        <f t="shared" ref="DS52:EB52" si="150">DS45/DS54</f>
        <v>-7.4999999999999989E-3</v>
      </c>
      <c r="DT52" s="234">
        <f t="shared" si="150"/>
        <v>-7.4999999999999989E-3</v>
      </c>
      <c r="DU52" s="234">
        <f t="shared" si="150"/>
        <v>-7.5000000000000006E-3</v>
      </c>
      <c r="DV52" s="234">
        <f t="shared" si="150"/>
        <v>-7.4999999999999997E-3</v>
      </c>
      <c r="DW52" s="235">
        <f t="shared" si="150"/>
        <v>-0.03</v>
      </c>
      <c r="DX52" s="234">
        <f t="shared" si="150"/>
        <v>-7.4999999999999997E-3</v>
      </c>
      <c r="DY52" s="234">
        <f t="shared" si="150"/>
        <v>-7.4999999999999997E-3</v>
      </c>
      <c r="DZ52" s="234">
        <f t="shared" si="150"/>
        <v>-7.5000000000000006E-3</v>
      </c>
      <c r="EA52" s="234">
        <f t="shared" si="150"/>
        <v>-7.4999999999999997E-3</v>
      </c>
      <c r="EB52" s="235">
        <f t="shared" si="150"/>
        <v>-3.0000000000000006E-2</v>
      </c>
      <c r="EC52" s="27"/>
      <c r="ED52" s="28"/>
      <c r="EE52" s="28"/>
      <c r="EF52" s="29"/>
      <c r="EG52" s="20"/>
      <c r="EH52" s="20"/>
      <c r="EI52" s="20"/>
      <c r="EJ52" s="20"/>
      <c r="EK52" s="20"/>
      <c r="EL52" s="20"/>
      <c r="EM52" s="20"/>
      <c r="EN52" s="20"/>
      <c r="EO52" s="20"/>
      <c r="EP52" s="20"/>
      <c r="EQ52" s="20"/>
      <c r="ER52" s="20"/>
      <c r="ES52" s="20"/>
      <c r="ET52" s="20"/>
      <c r="EU52" s="20"/>
      <c r="EV52" s="20"/>
      <c r="EW52" s="20"/>
      <c r="EX52" s="20"/>
      <c r="EY52" s="20"/>
      <c r="EZ52" s="20"/>
      <c r="FA52" s="20"/>
      <c r="FB52" s="20"/>
      <c r="FD52" s="20" t="s">
        <v>189</v>
      </c>
      <c r="FE52" s="248">
        <f>DN52</f>
        <v>0.91999999999999993</v>
      </c>
      <c r="FF52" s="850">
        <v>-7.4999999999999997E-3</v>
      </c>
      <c r="FG52" s="248">
        <f>FE52-FF52</f>
        <v>0.92749999999999988</v>
      </c>
      <c r="FH52" s="248">
        <f>DI52</f>
        <v>-6.3153934880015462E-3</v>
      </c>
      <c r="FI52" s="29"/>
      <c r="FJ52"/>
      <c r="FK52"/>
      <c r="FL52"/>
      <c r="FM52"/>
      <c r="FN52"/>
      <c r="FO52"/>
      <c r="FP52"/>
      <c r="FQ52"/>
      <c r="FR52"/>
    </row>
    <row r="53" spans="1:174" s="1" customFormat="1" x14ac:dyDescent="0.2">
      <c r="A53" s="223" t="s">
        <v>621</v>
      </c>
      <c r="B53" s="5"/>
      <c r="C53" s="3"/>
      <c r="D53" s="3"/>
      <c r="E53" s="3"/>
      <c r="F53" s="3"/>
      <c r="G53" s="5"/>
      <c r="H53" s="3"/>
      <c r="I53" s="3"/>
      <c r="J53" s="3"/>
      <c r="K53" s="3"/>
      <c r="L53" s="5"/>
      <c r="M53" s="3"/>
      <c r="N53" s="3"/>
      <c r="O53" s="3"/>
      <c r="P53" s="3"/>
      <c r="Q53" s="5"/>
      <c r="R53" s="3"/>
      <c r="S53" s="3"/>
      <c r="T53" s="3"/>
      <c r="U53" s="3"/>
      <c r="V53" s="5"/>
      <c r="W53" s="3"/>
      <c r="X53" s="3"/>
      <c r="Y53" s="3"/>
      <c r="Z53" s="3"/>
      <c r="AA53" s="5"/>
      <c r="AB53" s="3"/>
      <c r="AC53" s="3"/>
      <c r="AD53" s="3"/>
      <c r="AE53" s="3"/>
      <c r="AF53" s="5"/>
      <c r="AG53" s="3"/>
      <c r="AH53" s="3"/>
      <c r="AI53" s="3"/>
      <c r="AJ53" s="3"/>
      <c r="AK53" s="44">
        <f>AK50-AK51</f>
        <v>0.11432449429312634</v>
      </c>
      <c r="AL53" s="3"/>
      <c r="AM53" s="3"/>
      <c r="AN53" s="3"/>
      <c r="AO53" s="3"/>
      <c r="AP53" s="44">
        <f>AP50-AP51</f>
        <v>0.11021314465408799</v>
      </c>
      <c r="AQ53" s="3"/>
      <c r="AR53" s="3"/>
      <c r="AS53" s="3"/>
      <c r="AT53" s="3"/>
      <c r="AU53" s="44">
        <f t="shared" ref="AU53:BE53" si="151">AU50-AU51</f>
        <v>0.1437256214340665</v>
      </c>
      <c r="AV53" s="50">
        <f t="shared" si="151"/>
        <v>6.2433612579572827E-2</v>
      </c>
      <c r="AW53" s="50">
        <f t="shared" si="151"/>
        <v>4.0381816458879491E-2</v>
      </c>
      <c r="AX53" s="50">
        <f t="shared" si="151"/>
        <v>5.23182767427703E-2</v>
      </c>
      <c r="AY53" s="50">
        <f t="shared" si="151"/>
        <v>5.4178752083449265E-2</v>
      </c>
      <c r="AZ53" s="44">
        <f t="shared" si="151"/>
        <v>0.20909858675707527</v>
      </c>
      <c r="BA53" s="50">
        <f t="shared" si="151"/>
        <v>7.9838199974718804E-2</v>
      </c>
      <c r="BB53" s="50">
        <f t="shared" si="151"/>
        <v>5.1009465474807419E-2</v>
      </c>
      <c r="BC53" s="50">
        <f t="shared" si="151"/>
        <v>6.8212757320819037E-2</v>
      </c>
      <c r="BD53" s="50">
        <f t="shared" si="151"/>
        <v>6.8126353872357964E-2</v>
      </c>
      <c r="BE53" s="44">
        <f t="shared" si="151"/>
        <v>0.26717924693745615</v>
      </c>
      <c r="BF53" s="50">
        <f>(BF41-BF42)/BF54</f>
        <v>0.10983682431026463</v>
      </c>
      <c r="BG53" s="50">
        <f>(BG41-BG42)/BG54</f>
        <v>8.0111953869367883E-2</v>
      </c>
      <c r="BH53" s="50">
        <f>(BH41-BH42)/BH54</f>
        <v>9.1134581633279518E-2</v>
      </c>
      <c r="BI53" s="50">
        <f>(BI41-BI42)/BI54</f>
        <v>7.478296242265968E-2</v>
      </c>
      <c r="BJ53" s="44">
        <f>(BJ41-BJ42)/BJ54</f>
        <v>0.35601891093959459</v>
      </c>
      <c r="BK53" s="50">
        <f t="shared" ref="BK53:BT53" si="152">BK41/BK54</f>
        <v>0.13095454057672556</v>
      </c>
      <c r="BL53" s="50">
        <f t="shared" si="152"/>
        <v>9.7434936793897045E-2</v>
      </c>
      <c r="BM53" s="50">
        <f t="shared" si="152"/>
        <v>0.10368746881380486</v>
      </c>
      <c r="BN53" s="50">
        <f t="shared" si="152"/>
        <v>0.10440013542120864</v>
      </c>
      <c r="BO53" s="44">
        <f t="shared" si="152"/>
        <v>0.43688973275128906</v>
      </c>
      <c r="BP53" s="50">
        <f t="shared" si="152"/>
        <v>0.13968317895019461</v>
      </c>
      <c r="BQ53" s="50">
        <f t="shared" si="152"/>
        <v>7.3488435006086844E-2</v>
      </c>
      <c r="BR53" s="50">
        <f t="shared" si="152"/>
        <v>-4.6467131337981724E-3</v>
      </c>
      <c r="BS53" s="50">
        <f t="shared" si="152"/>
        <v>3.7066990160399154E-3</v>
      </c>
      <c r="BT53" s="44">
        <f t="shared" si="152"/>
        <v>0.21330718777469718</v>
      </c>
      <c r="BU53" s="50">
        <f t="shared" ref="BU53:CY53" si="153">BU44/BU54</f>
        <v>4.3228250575023552E-2</v>
      </c>
      <c r="BV53" s="50">
        <f t="shared" si="153"/>
        <v>1.689417488849853E-2</v>
      </c>
      <c r="BW53" s="50">
        <f t="shared" si="153"/>
        <v>0.1014463640016071</v>
      </c>
      <c r="BX53" s="50">
        <f t="shared" si="153"/>
        <v>9.8957646127457596E-2</v>
      </c>
      <c r="BY53" s="44">
        <f t="shared" si="153"/>
        <v>0.26169727845555718</v>
      </c>
      <c r="BZ53" s="50">
        <f t="shared" si="153"/>
        <v>0.15827762485253649</v>
      </c>
      <c r="CA53" s="50">
        <f t="shared" si="153"/>
        <v>0.14167427304733368</v>
      </c>
      <c r="CB53" s="50">
        <f t="shared" si="153"/>
        <v>0.13558106169296985</v>
      </c>
      <c r="CC53" s="50">
        <f t="shared" si="153"/>
        <v>0.18326981206466042</v>
      </c>
      <c r="CD53" s="44">
        <f t="shared" si="153"/>
        <v>0.61868620779900596</v>
      </c>
      <c r="CE53" s="50">
        <f t="shared" si="153"/>
        <v>0.22603365071083881</v>
      </c>
      <c r="CF53" s="50">
        <f t="shared" si="153"/>
        <v>0.16947395698367437</v>
      </c>
      <c r="CG53" s="50">
        <f t="shared" si="153"/>
        <v>0.18078766679621733</v>
      </c>
      <c r="CH53" s="50">
        <f t="shared" si="153"/>
        <v>0.23324658425504233</v>
      </c>
      <c r="CI53" s="44">
        <f t="shared" si="153"/>
        <v>0.80927634143172689</v>
      </c>
      <c r="CJ53" s="50">
        <f t="shared" si="153"/>
        <v>0.24860117111255703</v>
      </c>
      <c r="CK53" s="50">
        <f t="shared" si="153"/>
        <v>0.20037501616448966</v>
      </c>
      <c r="CL53" s="50">
        <f t="shared" si="153"/>
        <v>0.21440525231719867</v>
      </c>
      <c r="CM53" s="50">
        <f t="shared" si="153"/>
        <v>0.23206205559146736</v>
      </c>
      <c r="CN53" s="44">
        <f t="shared" si="153"/>
        <v>0.89527813712807225</v>
      </c>
      <c r="CO53" s="50">
        <f t="shared" si="153"/>
        <v>0.28385656114540919</v>
      </c>
      <c r="CP53" s="50">
        <f t="shared" si="153"/>
        <v>0.25640352029423336</v>
      </c>
      <c r="CQ53" s="542">
        <f t="shared" si="153"/>
        <v>0.27418296364352296</v>
      </c>
      <c r="CR53" s="50">
        <f>CR44/CR54</f>
        <v>-0.80617720193691922</v>
      </c>
      <c r="CS53" s="516">
        <f t="shared" si="153"/>
        <v>5.7720057720035802E-3</v>
      </c>
      <c r="CT53" s="542">
        <f t="shared" si="153"/>
        <v>0.35284521012790415</v>
      </c>
      <c r="CU53" s="50">
        <f t="shared" si="153"/>
        <v>0.27916557677216869</v>
      </c>
      <c r="CV53" s="50">
        <f t="shared" si="153"/>
        <v>0.33672798948751637</v>
      </c>
      <c r="CW53" s="667">
        <f t="shared" si="153"/>
        <v>0.38617245005257655</v>
      </c>
      <c r="CX53" s="516">
        <f t="shared" si="153"/>
        <v>1.3548027781417913</v>
      </c>
      <c r="CY53" s="542">
        <f t="shared" si="153"/>
        <v>0.64906381856540152</v>
      </c>
      <c r="CZ53" s="542">
        <f>CZ44/CZ54</f>
        <v>0.32634355423672928</v>
      </c>
      <c r="DA53" s="542">
        <f t="shared" ref="DA53:DR53" si="154">DA44/DA54</f>
        <v>0.41334037078577529</v>
      </c>
      <c r="DB53" s="542">
        <f t="shared" si="154"/>
        <v>0.43369890329012922</v>
      </c>
      <c r="DC53" s="370">
        <f t="shared" si="154"/>
        <v>1.8226810935822262</v>
      </c>
      <c r="DD53" s="542">
        <f t="shared" si="154"/>
        <v>0.4573937337856715</v>
      </c>
      <c r="DE53" s="542">
        <f t="shared" si="154"/>
        <v>0.38685591282120263</v>
      </c>
      <c r="DF53" s="542">
        <f>DF44/DF54</f>
        <v>0.5097681335766916</v>
      </c>
      <c r="DG53" s="542">
        <f t="shared" si="154"/>
        <v>0.54180194805194859</v>
      </c>
      <c r="DH53" s="370">
        <f>DH44/DH54</f>
        <v>1.8950837312529436</v>
      </c>
      <c r="DI53" s="542">
        <f t="shared" si="154"/>
        <v>0.51125467528051638</v>
      </c>
      <c r="DJ53" s="542">
        <f t="shared" si="154"/>
        <v>0.44565811032222841</v>
      </c>
      <c r="DK53" s="542">
        <f t="shared" si="154"/>
        <v>0.47389338084144167</v>
      </c>
      <c r="DL53" s="542">
        <f t="shared" si="154"/>
        <v>0.54334343991179723</v>
      </c>
      <c r="DM53" s="370">
        <f t="shared" si="154"/>
        <v>1.9738278109444238</v>
      </c>
      <c r="DN53" s="542">
        <f t="shared" si="154"/>
        <v>1.5685208420465644</v>
      </c>
      <c r="DO53" s="230">
        <f t="shared" si="154"/>
        <v>0.51948175515870287</v>
      </c>
      <c r="DP53" s="230">
        <f t="shared" si="154"/>
        <v>0.63629562057023681</v>
      </c>
      <c r="DQ53" s="230">
        <f t="shared" si="154"/>
        <v>0.65496771030077883</v>
      </c>
      <c r="DR53" s="231">
        <f t="shared" si="154"/>
        <v>3.3898615964271497</v>
      </c>
      <c r="DS53" s="230">
        <f t="shared" ref="DS53:EB53" si="155">DS44/DS54</f>
        <v>0.66497901444345453</v>
      </c>
      <c r="DT53" s="230">
        <f t="shared" si="155"/>
        <v>0.60972871789910621</v>
      </c>
      <c r="DU53" s="230">
        <f t="shared" si="155"/>
        <v>0.73847877760668224</v>
      </c>
      <c r="DV53" s="230">
        <f t="shared" si="155"/>
        <v>0.75427190314305281</v>
      </c>
      <c r="DW53" s="231">
        <f t="shared" si="155"/>
        <v>2.766308472763896</v>
      </c>
      <c r="DX53" s="230">
        <f t="shared" si="155"/>
        <v>0.75714951561193</v>
      </c>
      <c r="DY53" s="230">
        <f t="shared" si="155"/>
        <v>0.6983983367406964</v>
      </c>
      <c r="DZ53" s="230">
        <f t="shared" si="155"/>
        <v>0.84259728618604768</v>
      </c>
      <c r="EA53" s="230">
        <f t="shared" si="155"/>
        <v>0.86045247009401404</v>
      </c>
      <c r="EB53" s="231">
        <f t="shared" si="155"/>
        <v>3.1573225707283408</v>
      </c>
      <c r="EC53" s="163"/>
      <c r="ED53" s="28"/>
      <c r="EE53" s="28"/>
      <c r="EF53" s="29"/>
      <c r="EG53" s="5"/>
      <c r="EH53" s="5"/>
      <c r="EI53" s="5"/>
      <c r="EJ53" s="5"/>
      <c r="EK53" s="5"/>
      <c r="EL53" s="5"/>
      <c r="EM53" s="5"/>
      <c r="EN53" s="44">
        <f>EN50-EN51</f>
        <v>0.28667741943664937</v>
      </c>
      <c r="EO53" s="44">
        <f>EO50-EO51</f>
        <v>0.38757123796455012</v>
      </c>
      <c r="EP53" s="44">
        <f>EP50-EP51</f>
        <v>0.44435823327449409</v>
      </c>
      <c r="EQ53" s="44">
        <f t="shared" ref="EQ53:EZ53" si="156">EQ41/EQ54</f>
        <v>0.11630081300812981</v>
      </c>
      <c r="ER53" s="44">
        <f t="shared" si="156"/>
        <v>0.37926448094699772</v>
      </c>
      <c r="ES53" s="44">
        <f t="shared" si="156"/>
        <v>0.68757350058800526</v>
      </c>
      <c r="ET53" s="44">
        <f t="shared" si="156"/>
        <v>0.81312688674651845</v>
      </c>
      <c r="EU53" s="44">
        <f t="shared" si="156"/>
        <v>0.93040293040292998</v>
      </c>
      <c r="EV53" s="44">
        <f t="shared" si="156"/>
        <v>1.8870149009333566</v>
      </c>
      <c r="EW53" s="44">
        <f t="shared" si="156"/>
        <v>1.3931292695743571</v>
      </c>
      <c r="EX53" s="44">
        <f t="shared" si="156"/>
        <v>1.67112582781457</v>
      </c>
      <c r="EY53" s="44">
        <f t="shared" si="156"/>
        <v>1.9495502806519263</v>
      </c>
      <c r="EZ53" s="44">
        <f t="shared" si="156"/>
        <v>1.7597246127366613</v>
      </c>
      <c r="FA53" s="44">
        <f>FA41/FA54</f>
        <v>2.4741882212528958</v>
      </c>
      <c r="FB53" s="44">
        <f>FB41/FB54</f>
        <v>2.8583687148518599</v>
      </c>
      <c r="FD53" s="8" t="s">
        <v>16</v>
      </c>
      <c r="FE53" s="50">
        <f>DN53</f>
        <v>1.5685208420465644</v>
      </c>
      <c r="FF53" s="542">
        <v>0.56802204764604547</v>
      </c>
      <c r="FG53" s="50">
        <f>FE53-FF53</f>
        <v>1.000498794400519</v>
      </c>
      <c r="FH53" s="50">
        <f>DI53</f>
        <v>0.51125467528051638</v>
      </c>
      <c r="FI53" s="250">
        <f>FE53/FH53-1</f>
        <v>2.0679833708825153</v>
      </c>
      <c r="FJ53"/>
      <c r="FK53"/>
      <c r="FL53"/>
      <c r="FM53"/>
      <c r="FN53"/>
      <c r="FO53"/>
      <c r="FP53"/>
      <c r="FQ53"/>
      <c r="FR53"/>
    </row>
    <row r="54" spans="1:174" s="1" customFormat="1" x14ac:dyDescent="0.2">
      <c r="A54" s="49" t="s">
        <v>193</v>
      </c>
      <c r="B54" s="795">
        <f>(239.03*2)*2</f>
        <v>956.12</v>
      </c>
      <c r="C54" s="796">
        <f>(66.488*2*2*2)*2</f>
        <v>1063.808</v>
      </c>
      <c r="D54" s="796">
        <f>(72.324*2*2*2)*2</f>
        <v>1157.184</v>
      </c>
      <c r="E54" s="796">
        <f>(73.411*2*2*2)*2</f>
        <v>1174.576</v>
      </c>
      <c r="F54" s="796">
        <f>(73.652*2*2*2)*2</f>
        <v>1178.432</v>
      </c>
      <c r="G54" s="795">
        <f>(287.635*2)*2</f>
        <v>1150.54</v>
      </c>
      <c r="H54" s="796">
        <f>(74.058*2*2*2)*2</f>
        <v>1184.9280000000001</v>
      </c>
      <c r="I54" s="796">
        <f>(74.429*2*2*2)*2</f>
        <v>1190.864</v>
      </c>
      <c r="J54" s="796">
        <f>(80.535*2*2*2)*2</f>
        <v>1288.56</v>
      </c>
      <c r="K54" s="796">
        <f>(81.051*2*2*2)*2</f>
        <v>1296.816</v>
      </c>
      <c r="L54" s="795">
        <f>(2*323.665)*2</f>
        <v>1294.6600000000001</v>
      </c>
      <c r="M54" s="796">
        <f>(89.726*2*2*2)*2</f>
        <v>1435.616</v>
      </c>
      <c r="N54" s="796">
        <f>(89.822*2*2*2)*2</f>
        <v>1437.152</v>
      </c>
      <c r="O54" s="796">
        <f>(89.868*2*2*2)*2</f>
        <v>1437.8879999999999</v>
      </c>
      <c r="P54" s="796">
        <f>(90.906*2*2*2)*2</f>
        <v>1454.4960000000001</v>
      </c>
      <c r="Q54" s="795">
        <f>(2*360.635)*2</f>
        <v>1442.54</v>
      </c>
      <c r="R54" s="796">
        <f>((89.825+1.817)*2*2*2)*2</f>
        <v>1466.2719999999999</v>
      </c>
      <c r="S54" s="796">
        <f>((89.738+1.817)*2*2*2)*2</f>
        <v>1464.8799999999999</v>
      </c>
      <c r="T54" s="796">
        <f>(92.574*2*2*2)*2</f>
        <v>1481.184</v>
      </c>
      <c r="U54" s="796">
        <f>(92.399*2*2*2)*2</f>
        <v>1478.384</v>
      </c>
      <c r="V54" s="795">
        <f>(2*367.541)*2</f>
        <v>1470.164</v>
      </c>
      <c r="W54" s="796">
        <f>(370.932*2)*2</f>
        <v>1483.7280000000001</v>
      </c>
      <c r="X54" s="796">
        <f>(2*376.699)*2</f>
        <v>1506.796</v>
      </c>
      <c r="Y54" s="796">
        <f>(2*382.671)*2</f>
        <v>1530.684</v>
      </c>
      <c r="Z54" s="796">
        <f>(2*376.344)*2</f>
        <v>1505.376</v>
      </c>
      <c r="AA54" s="795">
        <f>(2*377.062)*2</f>
        <v>1508.248</v>
      </c>
      <c r="AB54" s="796">
        <f>(2*378.68)*2</f>
        <v>1514.72</v>
      </c>
      <c r="AC54" s="796">
        <f>(2*384.835)*2</f>
        <v>1539.34</v>
      </c>
      <c r="AD54" s="796">
        <f>(2*387.762)*2</f>
        <v>1551.048</v>
      </c>
      <c r="AE54" s="796">
        <f>(2*390.588)*2</f>
        <v>1562.3520000000001</v>
      </c>
      <c r="AF54" s="795">
        <f>(2*385.999)*2</f>
        <v>1543.9960000000001</v>
      </c>
      <c r="AG54" s="796">
        <f>(2*393.66)*2</f>
        <v>1574.64</v>
      </c>
      <c r="AH54" s="796">
        <f>(2*395.701)*2</f>
        <v>1582.8040000000001</v>
      </c>
      <c r="AI54" s="796">
        <f>(2*394.482)*2</f>
        <v>1577.9280000000001</v>
      </c>
      <c r="AJ54" s="796">
        <f>(2*393.565)*2</f>
        <v>1574.26</v>
      </c>
      <c r="AK54" s="795">
        <f>(2*394.349)*2</f>
        <v>1577.396</v>
      </c>
      <c r="AL54" s="796">
        <f>(2*391.999)*2</f>
        <v>1567.9960000000001</v>
      </c>
      <c r="AM54" s="796">
        <f>(2*397.861)*2</f>
        <v>1591.444</v>
      </c>
      <c r="AN54" s="796">
        <f>(2*401.191)*2</f>
        <v>1604.7639999999999</v>
      </c>
      <c r="AO54" s="796">
        <f>(2*399.227)*2</f>
        <v>1596.9079999999999</v>
      </c>
      <c r="AP54" s="795">
        <f>(2*397.5)*2</f>
        <v>1590</v>
      </c>
      <c r="AQ54" s="796">
        <f>(2*399.218)*2</f>
        <v>1596.8720000000001</v>
      </c>
      <c r="AR54" s="796">
        <f>(2*399.622)*2</f>
        <v>1598.4880000000001</v>
      </c>
      <c r="AS54" s="796">
        <f>(2*402.664)*2</f>
        <v>1610.6559999999999</v>
      </c>
      <c r="AT54" s="796">
        <f>(2*404.5)*2</f>
        <v>1618</v>
      </c>
      <c r="AU54" s="795">
        <f>(2*401.648)*2</f>
        <v>1606.5920000000001</v>
      </c>
      <c r="AV54" s="796">
        <f>(2*407.645)*2</f>
        <v>1630.58</v>
      </c>
      <c r="AW54" s="796">
        <f>(2*411.559)*2</f>
        <v>1646.2360000000001</v>
      </c>
      <c r="AX54" s="796">
        <f>(2*412.289)*2</f>
        <v>1649.1559999999999</v>
      </c>
      <c r="AY54" s="796">
        <v>1653.508</v>
      </c>
      <c r="AZ54" s="796">
        <v>1645.86</v>
      </c>
      <c r="BA54" s="796">
        <v>1661.31</v>
      </c>
      <c r="BB54" s="796">
        <f>(2*414.031)*2</f>
        <v>1656.124</v>
      </c>
      <c r="BC54" s="796">
        <f>(2*404.019)*2</f>
        <v>1616.076</v>
      </c>
      <c r="BD54" s="796">
        <v>1589.884</v>
      </c>
      <c r="BE54" s="796">
        <v>1630.8340000000001</v>
      </c>
      <c r="BF54" s="796">
        <v>1585.8979999999999</v>
      </c>
      <c r="BG54" s="796">
        <v>1589.2260000000001</v>
      </c>
      <c r="BH54" s="796">
        <v>1596.518</v>
      </c>
      <c r="BI54" s="796">
        <v>1568.3920000000001</v>
      </c>
      <c r="BJ54" s="796">
        <f>(AVERAGE(BF54:BI54))</f>
        <v>1585.0084999999999</v>
      </c>
      <c r="BK54" s="796">
        <v>1565.528</v>
      </c>
      <c r="BL54" s="796">
        <v>1548.11</v>
      </c>
      <c r="BM54" s="796">
        <v>1527.1179999999999</v>
      </c>
      <c r="BN54" s="796">
        <v>1518.2260000000001</v>
      </c>
      <c r="BO54" s="796">
        <f>(AVERAGE(BK54:BN54))</f>
        <v>1539.7455</v>
      </c>
      <c r="BP54" s="796">
        <v>1489.8</v>
      </c>
      <c r="BQ54" s="796">
        <v>1478.6</v>
      </c>
      <c r="BR54" s="796">
        <v>1463.4</v>
      </c>
      <c r="BS54" s="796">
        <v>1483.8</v>
      </c>
      <c r="BT54" s="796">
        <f>(AVERAGE(BP54:BS54))</f>
        <v>1478.8999999999999</v>
      </c>
      <c r="BU54" s="796">
        <v>1478.2</v>
      </c>
      <c r="BV54" s="796">
        <v>1479.8</v>
      </c>
      <c r="BW54" s="796">
        <v>1493.4</v>
      </c>
      <c r="BX54" s="796">
        <v>1515.8</v>
      </c>
      <c r="BY54" s="796">
        <f>(AVERAGE(BU54:BX54))</f>
        <v>1491.8</v>
      </c>
      <c r="BZ54" s="796">
        <v>1525.8</v>
      </c>
      <c r="CA54" s="796">
        <v>1533.8</v>
      </c>
      <c r="CB54" s="796">
        <v>1533.4</v>
      </c>
      <c r="CC54" s="796">
        <v>1521.8</v>
      </c>
      <c r="CD54" s="796">
        <v>1528.4</v>
      </c>
      <c r="CE54" s="796">
        <v>1533.4</v>
      </c>
      <c r="CF54" s="796">
        <v>1543.6</v>
      </c>
      <c r="CG54" s="796">
        <v>1543.8</v>
      </c>
      <c r="CH54" s="796">
        <v>1537</v>
      </c>
      <c r="CI54" s="331">
        <f>769.7*2</f>
        <v>1539.4</v>
      </c>
      <c r="CJ54" s="331">
        <v>1537</v>
      </c>
      <c r="CK54" s="331">
        <v>1546.6</v>
      </c>
      <c r="CL54" s="331">
        <v>1553.6</v>
      </c>
      <c r="CM54" s="331">
        <v>1547</v>
      </c>
      <c r="CN54" s="947">
        <f>773*2</f>
        <v>1546</v>
      </c>
      <c r="CO54" s="391">
        <v>1522.6</v>
      </c>
      <c r="CP54" s="391">
        <v>1522.6</v>
      </c>
      <c r="CQ54" s="391">
        <v>1523.8</v>
      </c>
      <c r="CR54" s="391">
        <v>1528.2</v>
      </c>
      <c r="CS54" s="947">
        <f>762.3*2</f>
        <v>1524.6</v>
      </c>
      <c r="CT54" s="391">
        <v>1532.4</v>
      </c>
      <c r="CU54" s="391">
        <v>1529.2</v>
      </c>
      <c r="CV54" s="391">
        <v>1522</v>
      </c>
      <c r="CW54" s="391">
        <v>1521.6</v>
      </c>
      <c r="CX54" s="947">
        <f>763.1*2</f>
        <v>1526.2</v>
      </c>
      <c r="CY54" s="391">
        <v>1516.8</v>
      </c>
      <c r="CZ54" s="391">
        <v>1516.5</v>
      </c>
      <c r="DA54" s="391">
        <v>1515.7</v>
      </c>
      <c r="DB54" s="391">
        <v>1504.5</v>
      </c>
      <c r="DC54" s="948">
        <f>AVERAGE(CY54:DB54)</f>
        <v>1513.375</v>
      </c>
      <c r="DD54" s="391">
        <v>1503.3</v>
      </c>
      <c r="DE54" s="391">
        <v>1486.6</v>
      </c>
      <c r="DF54" s="391">
        <v>1479.3</v>
      </c>
      <c r="DG54" s="391">
        <v>1478.4</v>
      </c>
      <c r="DH54" s="948">
        <f>AVERAGE(DD54:DG54)</f>
        <v>1486.9</v>
      </c>
      <c r="DI54" s="391">
        <v>1470.5</v>
      </c>
      <c r="DJ54" s="391">
        <v>1464.8</v>
      </c>
      <c r="DK54" s="391">
        <v>1459.4</v>
      </c>
      <c r="DL54" s="391">
        <v>1451.2</v>
      </c>
      <c r="DM54" s="948">
        <f>AVERAGE(DI54:DL54)</f>
        <v>1461.4750000000001</v>
      </c>
      <c r="DN54" s="111">
        <v>1434.6</v>
      </c>
      <c r="DO54" s="111">
        <f>DO124</f>
        <v>1421.8879460078447</v>
      </c>
      <c r="DP54" s="111">
        <f>DP124</f>
        <v>1411.9095974911286</v>
      </c>
      <c r="DQ54" s="111">
        <f>DQ124</f>
        <v>1402.1857263963088</v>
      </c>
      <c r="DR54" s="948">
        <f>AVERAGE(DN54:DQ54)</f>
        <v>1417.6458174738204</v>
      </c>
      <c r="DS54" s="391">
        <f>DS124</f>
        <v>1394.1230387926648</v>
      </c>
      <c r="DT54" s="391">
        <f>DT124</f>
        <v>1386.7085702980171</v>
      </c>
      <c r="DU54" s="391">
        <f>DU124</f>
        <v>1378.5179149111073</v>
      </c>
      <c r="DV54" s="391">
        <f>DV124</f>
        <v>1370.5466841396269</v>
      </c>
      <c r="DW54" s="948">
        <f>AVERAGE(DS54:DV54)</f>
        <v>1382.4740520353539</v>
      </c>
      <c r="DX54" s="391">
        <f>DX124</f>
        <v>1365.3119487508141</v>
      </c>
      <c r="DY54" s="391">
        <f>DY124</f>
        <v>1361.7796598155967</v>
      </c>
      <c r="DZ54" s="391">
        <f>DZ124</f>
        <v>1354.4704699508554</v>
      </c>
      <c r="EA54" s="391">
        <f>EA124</f>
        <v>1344.4388281944241</v>
      </c>
      <c r="EB54" s="948">
        <f>AVERAGE(DX54:EA54)</f>
        <v>1356.5002266779225</v>
      </c>
      <c r="ED54" s="28"/>
      <c r="EE54" s="28"/>
      <c r="EG54" s="45">
        <f>AVERAGE(S54,T54,U54,W54)</f>
        <v>1477.0440000000001</v>
      </c>
      <c r="EH54" s="45">
        <f>AVERAGE(X54,Y54,Z54,AB54)</f>
        <v>1514.394</v>
      </c>
      <c r="EI54" s="45">
        <f>AVERAGE(AC54,AD54,AE54,AG54)</f>
        <v>1556.845</v>
      </c>
      <c r="EJ54" s="45">
        <f>AVERAGE(AH54:AJ54,AL54)</f>
        <v>1575.7470000000001</v>
      </c>
      <c r="EK54" s="45">
        <f>AVERAGE(AM54:AO54,AQ54)</f>
        <v>1597.4970000000001</v>
      </c>
      <c r="EL54" s="45">
        <f>AVERAGE(AR54:AT54,AV54)</f>
        <v>1614.431</v>
      </c>
      <c r="EM54" s="45">
        <f>AVERAGE(AW54:AY54,BA54)</f>
        <v>1652.5524999999998</v>
      </c>
      <c r="EN54" s="45">
        <f>AVERAGE(BB54:BD54,BF54)</f>
        <v>1611.9955</v>
      </c>
      <c r="EO54" s="45">
        <f>AVERAGE(BG54:BI54,BK54)</f>
        <v>1579.9160000000002</v>
      </c>
      <c r="EP54" s="45">
        <f>AVERAGE(BL54,BM54,BN54,BP54)</f>
        <v>1520.8135</v>
      </c>
      <c r="EQ54" s="20">
        <f>AVERAGE(BQ54,BR54,BS54,BU54)</f>
        <v>1476</v>
      </c>
      <c r="ER54" s="20">
        <f>AVERAGE(BV54,BW54,BX54,BZ54)</f>
        <v>1503.7</v>
      </c>
      <c r="ES54" s="20">
        <f>AVERAGE(CA54,CB54,CC54,CE54)</f>
        <v>1530.6</v>
      </c>
      <c r="ET54" s="45">
        <f>AVERAGE(CF54,CG54,CH54,CJ54)</f>
        <v>1540.35</v>
      </c>
      <c r="EU54" s="45">
        <f>AVERAGE(CO54,CM54,CL54,CK54)</f>
        <v>1542.4499999999998</v>
      </c>
      <c r="EV54" s="45">
        <f>AVERAGE(CT54,CR54,CQ54,CP54)</f>
        <v>1526.75</v>
      </c>
      <c r="EW54" s="45">
        <f>AVERAGE(CY54,CW54,CV54,CU54)</f>
        <v>1522.3999999999999</v>
      </c>
      <c r="EX54" s="45">
        <f>AVERAGE(DD54,DB54,DA54,CZ54)</f>
        <v>1510</v>
      </c>
      <c r="EY54" s="45">
        <f>AVERAGE(DI54,DG54,DF54,DE54)</f>
        <v>1478.6999999999998</v>
      </c>
      <c r="EZ54" s="45">
        <f>AVERAGE(DN54,DL54,DK54,DJ54)</f>
        <v>1452.5000000000002</v>
      </c>
      <c r="FA54" s="45">
        <f>AVERAGE(DS54,DQ54,DP54,DO54)</f>
        <v>1407.5265771719869</v>
      </c>
      <c r="FB54" s="45">
        <f>AVERAGE(DV54,DX54,DU54,DT54)</f>
        <v>1375.2712795248913</v>
      </c>
      <c r="FD54" s="20" t="s">
        <v>193</v>
      </c>
      <c r="FE54" s="521">
        <f>DN54</f>
        <v>1434.6</v>
      </c>
      <c r="FF54" s="521">
        <v>1433.3540254877648</v>
      </c>
      <c r="FG54" s="521">
        <f>FE54-FF54</f>
        <v>1.2459745122350796</v>
      </c>
      <c r="FH54" s="653">
        <f>DI54</f>
        <v>1470.5</v>
      </c>
      <c r="FI54" s="249">
        <f>FE54/FH54-1</f>
        <v>-2.441346480788853E-2</v>
      </c>
      <c r="FJ54" s="626">
        <f>FE54/FF54-1</f>
        <v>8.6927199427311308E-4</v>
      </c>
      <c r="FK54"/>
      <c r="FL54"/>
      <c r="FM54"/>
      <c r="FN54"/>
      <c r="FO54"/>
      <c r="FP54"/>
      <c r="FQ54"/>
      <c r="FR54"/>
    </row>
    <row r="55" spans="1:174" s="1" customFormat="1" x14ac:dyDescent="0.2">
      <c r="A55" s="12" t="s">
        <v>194</v>
      </c>
      <c r="B55" s="23"/>
      <c r="C55" s="10"/>
      <c r="D55" s="10"/>
      <c r="E55" s="10"/>
      <c r="F55" s="10"/>
      <c r="G55" s="23"/>
      <c r="H55" s="10"/>
      <c r="I55" s="10"/>
      <c r="J55" s="10"/>
      <c r="K55" s="10"/>
      <c r="L55" s="23"/>
      <c r="M55" s="10"/>
      <c r="N55" s="10"/>
      <c r="O55" s="10"/>
      <c r="P55" s="10"/>
      <c r="Q55" s="23"/>
      <c r="R55" s="10"/>
      <c r="S55" s="10"/>
      <c r="T55" s="10"/>
      <c r="U55" s="10"/>
      <c r="V55" s="23"/>
      <c r="W55" s="10"/>
      <c r="X55" s="10"/>
      <c r="Y55" s="10"/>
      <c r="Z55" s="10"/>
      <c r="AA55" s="23"/>
      <c r="AB55" s="10"/>
      <c r="AC55" s="10"/>
      <c r="AD55" s="10"/>
      <c r="AE55" s="10"/>
      <c r="AF55" s="23"/>
      <c r="AG55" s="10"/>
      <c r="AH55" s="10"/>
      <c r="AI55" s="10"/>
      <c r="AJ55" s="10"/>
      <c r="AK55" s="23"/>
      <c r="AL55" s="10"/>
      <c r="AM55" s="10"/>
      <c r="AN55" s="10"/>
      <c r="AO55" s="10"/>
      <c r="AP55" s="23"/>
      <c r="AQ55" s="10"/>
      <c r="AR55" s="10"/>
      <c r="AS55" s="10"/>
      <c r="AT55" s="10"/>
      <c r="AU55" s="23"/>
      <c r="AV55" s="10"/>
      <c r="AW55" s="10"/>
      <c r="AX55" s="10"/>
      <c r="AY55" s="10"/>
      <c r="AZ55" s="23"/>
      <c r="BA55" s="10"/>
      <c r="BB55" s="10"/>
      <c r="BC55" s="109">
        <f>BC54/BB54-1</f>
        <v>-2.4181764167417463E-2</v>
      </c>
      <c r="BD55" s="10"/>
      <c r="BE55" s="23"/>
      <c r="BF55" s="10"/>
      <c r="BG55" s="10"/>
      <c r="BH55" s="10"/>
      <c r="BI55" s="10"/>
      <c r="BJ55" s="23"/>
      <c r="BK55" s="10"/>
      <c r="BL55" s="10"/>
      <c r="BM55" s="10"/>
      <c r="BN55" s="10"/>
      <c r="BO55" s="23"/>
      <c r="BP55" s="10"/>
      <c r="BQ55" s="10"/>
      <c r="BR55" s="10"/>
      <c r="BS55" s="10"/>
      <c r="BT55" s="23"/>
      <c r="BU55" s="10"/>
      <c r="BV55" s="10"/>
      <c r="BW55" s="10"/>
      <c r="BX55" s="10"/>
      <c r="BY55" s="23"/>
      <c r="BZ55" s="10"/>
      <c r="CA55" s="10"/>
      <c r="CB55" s="10"/>
      <c r="CC55" s="10"/>
      <c r="CD55" s="23"/>
      <c r="CE55" s="10"/>
      <c r="CF55" s="10"/>
      <c r="CG55" s="10"/>
      <c r="CH55" s="10"/>
      <c r="CI55" s="23"/>
      <c r="CJ55" s="10"/>
      <c r="CK55" s="10"/>
      <c r="CL55" s="10"/>
      <c r="CM55" s="10"/>
      <c r="CN55" s="23"/>
      <c r="CO55" s="10"/>
      <c r="CP55" s="10"/>
      <c r="CQ55" s="10"/>
      <c r="CR55" s="10"/>
      <c r="CS55" s="23"/>
      <c r="CT55" s="10"/>
      <c r="CU55" s="10"/>
      <c r="CV55" s="10"/>
      <c r="CW55" s="10"/>
      <c r="CX55" s="23"/>
      <c r="CY55" s="10"/>
      <c r="CZ55" s="10"/>
      <c r="DA55" s="10"/>
      <c r="DB55" s="10"/>
      <c r="DC55" s="23"/>
      <c r="DD55" s="10"/>
      <c r="DE55" s="10"/>
      <c r="DF55" s="10"/>
      <c r="DG55" s="10"/>
      <c r="DH55" s="23"/>
      <c r="DI55" s="10"/>
      <c r="DJ55" s="10"/>
      <c r="DK55" s="10"/>
      <c r="DL55" s="10"/>
      <c r="DM55" s="951"/>
      <c r="DN55" s="10"/>
      <c r="DO55" s="10"/>
      <c r="DP55" s="10"/>
      <c r="DQ55" s="10"/>
      <c r="DR55" s="23"/>
      <c r="DS55" s="10"/>
      <c r="DT55" s="10"/>
      <c r="DU55" s="10"/>
      <c r="DV55" s="10"/>
      <c r="DW55" s="23"/>
      <c r="DX55" s="10"/>
      <c r="DY55" s="10"/>
      <c r="DZ55" s="10"/>
      <c r="EA55" s="10"/>
      <c r="EB55" s="23"/>
      <c r="ED55" s="28"/>
      <c r="EE55" s="28"/>
      <c r="EG55" s="23"/>
      <c r="EH55" s="23"/>
      <c r="EI55" s="23"/>
      <c r="EJ55" s="23"/>
      <c r="EK55" s="23"/>
      <c r="EL55" s="23"/>
      <c r="EM55" s="23"/>
      <c r="EN55" s="23"/>
      <c r="EO55" s="23"/>
      <c r="EP55" s="23"/>
      <c r="EQ55" s="23"/>
      <c r="ER55" s="23"/>
      <c r="ES55" s="23"/>
      <c r="ET55" s="23"/>
      <c r="EU55" s="23"/>
      <c r="EV55" s="23"/>
      <c r="EW55" s="23"/>
      <c r="EX55" s="23"/>
      <c r="EY55" s="23"/>
      <c r="EZ55" s="23"/>
      <c r="FA55" s="23"/>
      <c r="FB55" s="23"/>
      <c r="FD55" s="15" t="s">
        <v>194</v>
      </c>
      <c r="FE55" s="10"/>
      <c r="FF55" s="10"/>
      <c r="FG55" s="10"/>
      <c r="FH55" s="10"/>
      <c r="FI55" s="11"/>
      <c r="FJ55"/>
      <c r="FK55"/>
      <c r="FL55"/>
      <c r="FM55"/>
      <c r="FN55"/>
      <c r="FO55"/>
      <c r="FP55"/>
      <c r="FQ55"/>
      <c r="FR55"/>
    </row>
    <row r="56" spans="1:174" s="1" customFormat="1" hidden="1" outlineLevel="1" x14ac:dyDescent="0.2">
      <c r="A56" s="1" t="s">
        <v>362</v>
      </c>
      <c r="B56" s="20"/>
      <c r="G56" s="20"/>
      <c r="L56" s="20"/>
      <c r="Q56" s="20"/>
      <c r="V56" s="20"/>
      <c r="AA56" s="20"/>
      <c r="AF56" s="20"/>
      <c r="AK56" s="20"/>
      <c r="AP56" s="20"/>
      <c r="AU56" s="20"/>
      <c r="AZ56" s="20"/>
      <c r="BE56" s="20"/>
      <c r="BF56" s="168"/>
      <c r="BG56" s="168"/>
      <c r="BH56" s="168"/>
      <c r="BI56" s="168"/>
      <c r="BJ56" s="20"/>
      <c r="BO56" s="20"/>
      <c r="BP56" s="65">
        <f t="shared" ref="BP56:CU56" si="157">BP19/BP17</f>
        <v>0.32898540251481428</v>
      </c>
      <c r="BQ56" s="65">
        <f t="shared" si="157"/>
        <v>0.32446555819477435</v>
      </c>
      <c r="BR56" s="65">
        <f t="shared" si="157"/>
        <v>0.33439527565173477</v>
      </c>
      <c r="BS56" s="65">
        <f t="shared" si="157"/>
        <v>0.34915523752733058</v>
      </c>
      <c r="BT56" s="60">
        <f t="shared" si="157"/>
        <v>0.33412308581334871</v>
      </c>
      <c r="BU56" s="65">
        <f t="shared" si="157"/>
        <v>0.34999235240134602</v>
      </c>
      <c r="BV56" s="65">
        <f t="shared" si="157"/>
        <v>0.33116187374105338</v>
      </c>
      <c r="BW56" s="65">
        <f t="shared" si="157"/>
        <v>0.3188568576063896</v>
      </c>
      <c r="BX56" s="65">
        <f t="shared" si="157"/>
        <v>0.31128725951614228</v>
      </c>
      <c r="BY56" s="60">
        <f t="shared" si="157"/>
        <v>0.32824872629058982</v>
      </c>
      <c r="BZ56" s="65">
        <f t="shared" si="157"/>
        <v>0.31567928894112463</v>
      </c>
      <c r="CA56" s="65">
        <f t="shared" si="157"/>
        <v>0.31104272694993484</v>
      </c>
      <c r="CB56" s="65">
        <f t="shared" si="157"/>
        <v>0.30505359877488519</v>
      </c>
      <c r="CC56" s="65">
        <f t="shared" si="157"/>
        <v>0.31046511627906975</v>
      </c>
      <c r="CD56" s="60">
        <f t="shared" si="157"/>
        <v>0.31060761716196278</v>
      </c>
      <c r="CE56" s="65">
        <f t="shared" si="157"/>
        <v>0</v>
      </c>
      <c r="CF56" s="65">
        <f t="shared" si="157"/>
        <v>0</v>
      </c>
      <c r="CG56" s="65">
        <f t="shared" si="157"/>
        <v>0</v>
      </c>
      <c r="CH56" s="65">
        <f t="shared" si="157"/>
        <v>5.5839572545268647E-2</v>
      </c>
      <c r="CI56" s="60">
        <f t="shared" si="157"/>
        <v>5.0894825906363773E-2</v>
      </c>
      <c r="CJ56" s="65">
        <f t="shared" si="157"/>
        <v>0</v>
      </c>
      <c r="CK56" s="65">
        <f t="shared" si="157"/>
        <v>0</v>
      </c>
      <c r="CL56" s="65">
        <f t="shared" si="157"/>
        <v>0</v>
      </c>
      <c r="CM56" s="65">
        <f t="shared" si="157"/>
        <v>0</v>
      </c>
      <c r="CN56" s="60">
        <f t="shared" si="157"/>
        <v>0</v>
      </c>
      <c r="CO56" s="65">
        <f t="shared" si="157"/>
        <v>0</v>
      </c>
      <c r="CP56" s="65">
        <f t="shared" si="157"/>
        <v>0</v>
      </c>
      <c r="CQ56" s="65">
        <f t="shared" si="157"/>
        <v>0</v>
      </c>
      <c r="CR56" s="65">
        <f t="shared" si="157"/>
        <v>0</v>
      </c>
      <c r="CS56" s="60">
        <f t="shared" si="157"/>
        <v>0</v>
      </c>
      <c r="CT56" s="65">
        <f t="shared" si="157"/>
        <v>0</v>
      </c>
      <c r="CU56" s="65">
        <f t="shared" si="157"/>
        <v>0</v>
      </c>
      <c r="CV56" s="65">
        <f t="shared" ref="CV56:DR56" si="158">CV19/CV17</f>
        <v>0</v>
      </c>
      <c r="CW56" s="65">
        <f t="shared" si="158"/>
        <v>0</v>
      </c>
      <c r="CX56" s="60">
        <f t="shared" si="158"/>
        <v>0</v>
      </c>
      <c r="CY56" s="65">
        <f t="shared" si="158"/>
        <v>0</v>
      </c>
      <c r="CZ56" s="65">
        <f t="shared" si="158"/>
        <v>0</v>
      </c>
      <c r="DA56" s="65">
        <f t="shared" si="158"/>
        <v>0</v>
      </c>
      <c r="DB56" s="65">
        <f t="shared" si="158"/>
        <v>0</v>
      </c>
      <c r="DC56" s="60">
        <f t="shared" si="158"/>
        <v>0</v>
      </c>
      <c r="DD56" s="65">
        <f t="shared" ref="DD56:DE56" si="159">DD19/DD17</f>
        <v>0</v>
      </c>
      <c r="DE56" s="65">
        <f t="shared" si="159"/>
        <v>0</v>
      </c>
      <c r="DF56" s="65">
        <f t="shared" ref="DF56:DG56" si="160">DF19/DF17</f>
        <v>0</v>
      </c>
      <c r="DG56" s="65">
        <f t="shared" si="160"/>
        <v>0</v>
      </c>
      <c r="DH56" s="60">
        <f t="shared" si="158"/>
        <v>0</v>
      </c>
      <c r="DI56" s="65">
        <f t="shared" si="158"/>
        <v>0</v>
      </c>
      <c r="DJ56" s="65">
        <f t="shared" ref="DJ56:DK56" si="161">DJ19/DJ17</f>
        <v>0</v>
      </c>
      <c r="DK56" s="65">
        <f t="shared" si="161"/>
        <v>0</v>
      </c>
      <c r="DL56" s="65">
        <f t="shared" ref="DL56" si="162">DL19/DL17</f>
        <v>0</v>
      </c>
      <c r="DM56" s="60">
        <f t="shared" si="158"/>
        <v>0</v>
      </c>
      <c r="DN56" s="65">
        <f t="shared" si="158"/>
        <v>0</v>
      </c>
      <c r="DO56" s="65">
        <f t="shared" si="158"/>
        <v>0</v>
      </c>
      <c r="DP56" s="65">
        <f t="shared" si="158"/>
        <v>0</v>
      </c>
      <c r="DQ56" s="65">
        <f t="shared" si="158"/>
        <v>0</v>
      </c>
      <c r="DR56" s="60">
        <f t="shared" si="158"/>
        <v>0</v>
      </c>
      <c r="DS56" s="65">
        <f t="shared" ref="DS56:EB56" si="163">DS19/DS17</f>
        <v>0</v>
      </c>
      <c r="DT56" s="65">
        <f t="shared" si="163"/>
        <v>0</v>
      </c>
      <c r="DU56" s="65">
        <f t="shared" si="163"/>
        <v>0</v>
      </c>
      <c r="DV56" s="65">
        <f t="shared" si="163"/>
        <v>0</v>
      </c>
      <c r="DW56" s="60">
        <f t="shared" si="163"/>
        <v>0</v>
      </c>
      <c r="DX56" s="65">
        <f t="shared" si="163"/>
        <v>0</v>
      </c>
      <c r="DY56" s="65">
        <f t="shared" si="163"/>
        <v>0</v>
      </c>
      <c r="DZ56" s="65">
        <f t="shared" si="163"/>
        <v>0</v>
      </c>
      <c r="EA56" s="65">
        <f t="shared" si="163"/>
        <v>0</v>
      </c>
      <c r="EB56" s="60">
        <f t="shared" si="163"/>
        <v>0</v>
      </c>
      <c r="ED56" s="28"/>
      <c r="EE56" s="28"/>
      <c r="EG56" s="20"/>
      <c r="EH56" s="20"/>
      <c r="EI56" s="20"/>
      <c r="EJ56" s="20"/>
      <c r="EK56" s="20"/>
      <c r="EL56" s="20"/>
      <c r="EM56" s="20"/>
      <c r="EN56" s="20"/>
      <c r="EO56" s="20"/>
      <c r="EP56" s="20"/>
      <c r="EQ56" s="20"/>
      <c r="ER56" s="20"/>
      <c r="ES56" s="20"/>
      <c r="ET56" s="20"/>
      <c r="EU56" s="20"/>
      <c r="EV56" s="20"/>
      <c r="EW56" s="20"/>
      <c r="EX56" s="20"/>
      <c r="EY56" s="20"/>
      <c r="EZ56" s="20"/>
      <c r="FA56" s="20"/>
      <c r="FB56" s="20"/>
      <c r="FD56" s="20"/>
      <c r="FE56" s="28"/>
      <c r="FF56" s="28"/>
      <c r="FG56" s="28"/>
      <c r="FH56" s="28"/>
      <c r="FI56" s="29"/>
      <c r="FJ56"/>
      <c r="FK56"/>
      <c r="FL56"/>
      <c r="FM56"/>
      <c r="FN56"/>
      <c r="FO56"/>
      <c r="FP56"/>
      <c r="FQ56"/>
      <c r="FR56"/>
    </row>
    <row r="57" spans="1:174" s="1" customFormat="1" hidden="1" outlineLevel="1" x14ac:dyDescent="0.2">
      <c r="A57" s="1" t="s">
        <v>363</v>
      </c>
      <c r="B57" s="20"/>
      <c r="G57" s="20"/>
      <c r="L57" s="20"/>
      <c r="Q57" s="20"/>
      <c r="V57" s="20"/>
      <c r="AA57" s="20"/>
      <c r="AF57" s="20"/>
      <c r="AK57" s="20"/>
      <c r="AP57" s="20"/>
      <c r="AU57" s="20"/>
      <c r="AZ57" s="20"/>
      <c r="BE57" s="20"/>
      <c r="BF57" s="168"/>
      <c r="BG57" s="168"/>
      <c r="BH57" s="168"/>
      <c r="BI57" s="168"/>
      <c r="BJ57" s="20"/>
      <c r="BO57" s="20"/>
      <c r="BP57" s="65">
        <f t="shared" ref="BP57:CU57" si="164">BP20/BP17</f>
        <v>9.9544731897673072E-2</v>
      </c>
      <c r="BQ57" s="65">
        <f t="shared" si="164"/>
        <v>0.11365795724465559</v>
      </c>
      <c r="BR57" s="65">
        <f t="shared" si="164"/>
        <v>0.11748708186021213</v>
      </c>
      <c r="BS57" s="65">
        <f t="shared" si="164"/>
        <v>0.12363347247068178</v>
      </c>
      <c r="BT57" s="60">
        <f t="shared" si="164"/>
        <v>0.11327169411538091</v>
      </c>
      <c r="BU57" s="65">
        <f t="shared" si="164"/>
        <v>0.10767818904863874</v>
      </c>
      <c r="BV57" s="65">
        <f t="shared" si="164"/>
        <v>0.11601594308490119</v>
      </c>
      <c r="BW57" s="65">
        <f t="shared" si="164"/>
        <v>0.11518781979283663</v>
      </c>
      <c r="BX57" s="65">
        <f t="shared" si="164"/>
        <v>0.11856989513665264</v>
      </c>
      <c r="BY57" s="60">
        <f t="shared" si="164"/>
        <v>0.1142143924048043</v>
      </c>
      <c r="BZ57" s="65">
        <f t="shared" si="164"/>
        <v>0.10507951665626032</v>
      </c>
      <c r="CA57" s="65">
        <f t="shared" si="164"/>
        <v>0.1087702686708486</v>
      </c>
      <c r="CB57" s="65">
        <f t="shared" si="164"/>
        <v>0.10689127105666157</v>
      </c>
      <c r="CC57" s="65">
        <f t="shared" si="164"/>
        <v>0.10271317829457365</v>
      </c>
      <c r="CD57" s="60">
        <f t="shared" si="164"/>
        <v>0.10576797355100212</v>
      </c>
      <c r="CE57" s="65">
        <f t="shared" si="164"/>
        <v>0</v>
      </c>
      <c r="CF57" s="65">
        <f t="shared" si="164"/>
        <v>0</v>
      </c>
      <c r="CG57" s="65">
        <f t="shared" si="164"/>
        <v>0</v>
      </c>
      <c r="CH57" s="65">
        <f t="shared" si="164"/>
        <v>0</v>
      </c>
      <c r="CI57" s="60">
        <f t="shared" si="164"/>
        <v>0</v>
      </c>
      <c r="CJ57" s="65">
        <f t="shared" si="164"/>
        <v>0</v>
      </c>
      <c r="CK57" s="65">
        <f t="shared" si="164"/>
        <v>0</v>
      </c>
      <c r="CL57" s="65">
        <f t="shared" si="164"/>
        <v>0</v>
      </c>
      <c r="CM57" s="65">
        <f t="shared" si="164"/>
        <v>0</v>
      </c>
      <c r="CN57" s="60">
        <f t="shared" si="164"/>
        <v>0</v>
      </c>
      <c r="CO57" s="65">
        <f t="shared" si="164"/>
        <v>0</v>
      </c>
      <c r="CP57" s="65">
        <f t="shared" si="164"/>
        <v>0</v>
      </c>
      <c r="CQ57" s="65">
        <f t="shared" si="164"/>
        <v>0</v>
      </c>
      <c r="CR57" s="65">
        <f t="shared" si="164"/>
        <v>0</v>
      </c>
      <c r="CS57" s="60">
        <f t="shared" si="164"/>
        <v>0</v>
      </c>
      <c r="CT57" s="65">
        <f t="shared" si="164"/>
        <v>0</v>
      </c>
      <c r="CU57" s="65">
        <f t="shared" si="164"/>
        <v>0</v>
      </c>
      <c r="CV57" s="65">
        <f t="shared" ref="CV57:DR57" si="165">CV20/CV17</f>
        <v>0</v>
      </c>
      <c r="CW57" s="65">
        <f t="shared" si="165"/>
        <v>0</v>
      </c>
      <c r="CX57" s="60">
        <f t="shared" si="165"/>
        <v>0</v>
      </c>
      <c r="CY57" s="65">
        <f t="shared" si="165"/>
        <v>0</v>
      </c>
      <c r="CZ57" s="65">
        <f t="shared" si="165"/>
        <v>0</v>
      </c>
      <c r="DA57" s="65">
        <f t="shared" si="165"/>
        <v>0</v>
      </c>
      <c r="DB57" s="65">
        <f t="shared" si="165"/>
        <v>0</v>
      </c>
      <c r="DC57" s="60">
        <f t="shared" si="165"/>
        <v>0</v>
      </c>
      <c r="DD57" s="65">
        <f t="shared" ref="DD57:DE57" si="166">DD20/DD17</f>
        <v>0</v>
      </c>
      <c r="DE57" s="65">
        <f t="shared" si="166"/>
        <v>0</v>
      </c>
      <c r="DF57" s="65">
        <f t="shared" ref="DF57:DG57" si="167">DF20/DF17</f>
        <v>0</v>
      </c>
      <c r="DG57" s="65">
        <f t="shared" si="167"/>
        <v>0</v>
      </c>
      <c r="DH57" s="60">
        <f t="shared" si="165"/>
        <v>0</v>
      </c>
      <c r="DI57" s="65">
        <f t="shared" si="165"/>
        <v>0</v>
      </c>
      <c r="DJ57" s="65">
        <f t="shared" ref="DJ57:DK57" si="168">DJ20/DJ17</f>
        <v>0</v>
      </c>
      <c r="DK57" s="65">
        <f t="shared" si="168"/>
        <v>0</v>
      </c>
      <c r="DL57" s="65">
        <f t="shared" ref="DL57" si="169">DL20/DL17</f>
        <v>0</v>
      </c>
      <c r="DM57" s="60">
        <f t="shared" si="165"/>
        <v>0</v>
      </c>
      <c r="DN57" s="65">
        <f t="shared" si="165"/>
        <v>0</v>
      </c>
      <c r="DO57" s="65">
        <f t="shared" si="165"/>
        <v>0</v>
      </c>
      <c r="DP57" s="65">
        <f t="shared" si="165"/>
        <v>0</v>
      </c>
      <c r="DQ57" s="65">
        <f t="shared" si="165"/>
        <v>0</v>
      </c>
      <c r="DR57" s="60">
        <f t="shared" si="165"/>
        <v>0</v>
      </c>
      <c r="DS57" s="65">
        <f t="shared" ref="DS57:EB57" si="170">DS20/DS17</f>
        <v>0</v>
      </c>
      <c r="DT57" s="65">
        <f t="shared" si="170"/>
        <v>0</v>
      </c>
      <c r="DU57" s="65">
        <f t="shared" si="170"/>
        <v>0</v>
      </c>
      <c r="DV57" s="65">
        <f t="shared" si="170"/>
        <v>0</v>
      </c>
      <c r="DW57" s="60">
        <f t="shared" si="170"/>
        <v>0</v>
      </c>
      <c r="DX57" s="65">
        <f t="shared" si="170"/>
        <v>0</v>
      </c>
      <c r="DY57" s="65">
        <f t="shared" si="170"/>
        <v>0</v>
      </c>
      <c r="DZ57" s="65">
        <f t="shared" si="170"/>
        <v>0</v>
      </c>
      <c r="EA57" s="65">
        <f t="shared" si="170"/>
        <v>0</v>
      </c>
      <c r="EB57" s="60">
        <f t="shared" si="170"/>
        <v>0</v>
      </c>
      <c r="ED57" s="28"/>
      <c r="EE57" s="28"/>
      <c r="EG57" s="20"/>
      <c r="EH57" s="20"/>
      <c r="EI57" s="20"/>
      <c r="EJ57" s="20"/>
      <c r="EK57" s="20"/>
      <c r="EL57" s="20"/>
      <c r="EM57" s="20"/>
      <c r="EN57" s="20"/>
      <c r="EO57" s="20"/>
      <c r="EP57" s="20"/>
      <c r="EQ57" s="20"/>
      <c r="ER57" s="20"/>
      <c r="ES57" s="20"/>
      <c r="ET57" s="20"/>
      <c r="EU57" s="20"/>
      <c r="EV57" s="20"/>
      <c r="EW57" s="20"/>
      <c r="EX57" s="20"/>
      <c r="EY57" s="20"/>
      <c r="EZ57" s="20"/>
      <c r="FA57" s="20"/>
      <c r="FB57" s="20"/>
      <c r="FD57" s="20"/>
      <c r="FE57" s="28"/>
      <c r="FF57" s="28"/>
      <c r="FG57" s="28"/>
      <c r="FH57" s="28"/>
      <c r="FI57" s="29"/>
      <c r="FJ57"/>
      <c r="FK57"/>
      <c r="FL57"/>
      <c r="FM57"/>
      <c r="FN57"/>
      <c r="FO57"/>
      <c r="FP57"/>
      <c r="FQ57"/>
      <c r="FR57"/>
    </row>
    <row r="58" spans="1:174" s="1" customFormat="1" collapsed="1" x14ac:dyDescent="0.2">
      <c r="A58" s="1" t="s">
        <v>364</v>
      </c>
      <c r="B58" s="106">
        <f t="shared" ref="B58:G58" si="171">B21/B17</f>
        <v>0.45740077143649344</v>
      </c>
      <c r="C58" s="65">
        <f t="shared" si="171"/>
        <v>0.44989398070016012</v>
      </c>
      <c r="D58" s="78">
        <f t="shared" si="171"/>
        <v>0.45136629315716081</v>
      </c>
      <c r="E58" s="78">
        <f t="shared" si="171"/>
        <v>0.45079463641398293</v>
      </c>
      <c r="F58" s="78">
        <f t="shared" si="171"/>
        <v>0.46324779718658221</v>
      </c>
      <c r="G58" s="106">
        <f t="shared" si="171"/>
        <v>0.45415853417366708</v>
      </c>
      <c r="H58" s="65">
        <f t="shared" ref="H58:AK58" si="172">H21/H17</f>
        <v>0.51117455186773386</v>
      </c>
      <c r="I58" s="78">
        <f t="shared" si="172"/>
        <v>0.50086908970177535</v>
      </c>
      <c r="J58" s="78">
        <f t="shared" si="172"/>
        <v>0.46998587171517381</v>
      </c>
      <c r="K58" s="78">
        <f t="shared" si="172"/>
        <v>0.45411309417725387</v>
      </c>
      <c r="L58" s="106">
        <f t="shared" si="172"/>
        <v>0.48231860254435249</v>
      </c>
      <c r="M58" s="65">
        <f t="shared" si="172"/>
        <v>0.48344395679439028</v>
      </c>
      <c r="N58" s="78">
        <f t="shared" si="172"/>
        <v>0.46224626624127252</v>
      </c>
      <c r="O58" s="78">
        <f t="shared" si="172"/>
        <v>0.42513337236581905</v>
      </c>
      <c r="P58" s="78">
        <f t="shared" si="172"/>
        <v>0.42601146601146589</v>
      </c>
      <c r="Q58" s="106">
        <f t="shared" si="172"/>
        <v>0.44798344804393903</v>
      </c>
      <c r="R58" s="65">
        <f t="shared" si="172"/>
        <v>0.45509997665914581</v>
      </c>
      <c r="S58" s="78">
        <f t="shared" si="172"/>
        <v>0.45217329454042943</v>
      </c>
      <c r="T58" s="78">
        <f t="shared" si="172"/>
        <v>0.42853042050779083</v>
      </c>
      <c r="U58" s="78">
        <f t="shared" si="172"/>
        <v>0.42958862750031446</v>
      </c>
      <c r="V58" s="106">
        <f t="shared" si="172"/>
        <v>0.44067709837686497</v>
      </c>
      <c r="W58" s="65">
        <f t="shared" si="172"/>
        <v>0.45927649776401619</v>
      </c>
      <c r="X58" s="78">
        <f t="shared" si="172"/>
        <v>0.45222738424041165</v>
      </c>
      <c r="Y58" s="78">
        <f t="shared" si="172"/>
        <v>0.4365820968777136</v>
      </c>
      <c r="Z58" s="78">
        <f t="shared" si="172"/>
        <v>0.42060774527765493</v>
      </c>
      <c r="AA58" s="106">
        <f t="shared" si="172"/>
        <v>0.44104594785378692</v>
      </c>
      <c r="AB58" s="65">
        <f t="shared" si="172"/>
        <v>0.45475051574437214</v>
      </c>
      <c r="AC58" s="78">
        <f t="shared" si="172"/>
        <v>0.44455146170667975</v>
      </c>
      <c r="AD58" s="78">
        <f t="shared" si="172"/>
        <v>0.43601628787199309</v>
      </c>
      <c r="AE58" s="78">
        <f t="shared" si="172"/>
        <v>0.43291536694184884</v>
      </c>
      <c r="AF58" s="106">
        <f t="shared" si="172"/>
        <v>0.44172443753765667</v>
      </c>
      <c r="AG58" s="65">
        <f t="shared" si="172"/>
        <v>0.43785689562427799</v>
      </c>
      <c r="AH58" s="78">
        <f t="shared" si="172"/>
        <v>0.43092828720712933</v>
      </c>
      <c r="AI58" s="78">
        <f t="shared" si="172"/>
        <v>0.40941866623212614</v>
      </c>
      <c r="AJ58" s="78">
        <f t="shared" si="172"/>
        <v>0.40322332699090396</v>
      </c>
      <c r="AK58" s="106">
        <f t="shared" si="172"/>
        <v>0.42008055930962102</v>
      </c>
      <c r="AL58" s="65">
        <f t="shared" ref="AL58:BJ58" si="173">AL21/AL17</f>
        <v>0.41849540874294544</v>
      </c>
      <c r="AM58" s="78">
        <f t="shared" si="173"/>
        <v>0.40867473509895735</v>
      </c>
      <c r="AN58" s="78">
        <f t="shared" si="173"/>
        <v>0.40399660902487916</v>
      </c>
      <c r="AO58" s="78">
        <f t="shared" si="173"/>
        <v>0.41088860584513603</v>
      </c>
      <c r="AP58" s="106">
        <f t="shared" si="173"/>
        <v>0.41047393238120372</v>
      </c>
      <c r="AQ58" s="65">
        <f t="shared" si="173"/>
        <v>0.41768823129644872</v>
      </c>
      <c r="AR58" s="78">
        <f t="shared" si="173"/>
        <v>0.41091546269883023</v>
      </c>
      <c r="AS58" s="78">
        <f t="shared" si="173"/>
        <v>0.4106084631588694</v>
      </c>
      <c r="AT58" s="78">
        <f t="shared" si="173"/>
        <v>0.41531415440887393</v>
      </c>
      <c r="AU58" s="106">
        <f t="shared" si="173"/>
        <v>0.41367177349840678</v>
      </c>
      <c r="AV58" s="65">
        <f t="shared" si="173"/>
        <v>0.41266992977627848</v>
      </c>
      <c r="AW58" s="78">
        <f t="shared" si="173"/>
        <v>0.40954081484656762</v>
      </c>
      <c r="AX58" s="78">
        <f t="shared" si="173"/>
        <v>0.40962970096861201</v>
      </c>
      <c r="AY58" s="78">
        <f t="shared" si="173"/>
        <v>0.42268579650271071</v>
      </c>
      <c r="AZ58" s="106">
        <f t="shared" si="173"/>
        <v>0.41392855301235471</v>
      </c>
      <c r="BA58" s="65">
        <f t="shared" si="173"/>
        <v>0.4075099525398479</v>
      </c>
      <c r="BB58" s="78">
        <f t="shared" si="173"/>
        <v>0.41399445320915829</v>
      </c>
      <c r="BC58" s="78">
        <f t="shared" si="173"/>
        <v>0.40568822929718401</v>
      </c>
      <c r="BD58" s="78">
        <f t="shared" si="173"/>
        <v>0.40915454716945882</v>
      </c>
      <c r="BE58" s="106">
        <f t="shared" si="173"/>
        <v>0.40902642362583019</v>
      </c>
      <c r="BF58" s="65">
        <f t="shared" si="173"/>
        <v>0.4022755897858013</v>
      </c>
      <c r="BG58" s="78">
        <f t="shared" si="173"/>
        <v>0.40347021086825796</v>
      </c>
      <c r="BH58" s="78">
        <f t="shared" si="173"/>
        <v>0.40988952845000154</v>
      </c>
      <c r="BI58" s="78">
        <f t="shared" si="173"/>
        <v>0.41679632416621115</v>
      </c>
      <c r="BJ58" s="106">
        <f t="shared" si="173"/>
        <v>0.40822071103136509</v>
      </c>
      <c r="BK58" s="65">
        <f t="shared" ref="BK58:CR58" si="174">BK21/BK17</f>
        <v>0.41805551841196947</v>
      </c>
      <c r="BL58" s="78">
        <f t="shared" si="174"/>
        <v>0.4188457674563773</v>
      </c>
      <c r="BM58" s="78">
        <f t="shared" si="174"/>
        <v>0.42550943204287811</v>
      </c>
      <c r="BN58" s="78">
        <f t="shared" si="174"/>
        <v>0.43658434165596383</v>
      </c>
      <c r="BO58" s="106">
        <f t="shared" si="174"/>
        <v>0.42491901129012738</v>
      </c>
      <c r="BP58" s="65">
        <f t="shared" si="174"/>
        <v>0.42853013441248738</v>
      </c>
      <c r="BQ58" s="78">
        <f t="shared" si="174"/>
        <v>0.43812351543942996</v>
      </c>
      <c r="BR58" s="78">
        <f t="shared" si="174"/>
        <v>0.45188235751194689</v>
      </c>
      <c r="BS58" s="78">
        <f t="shared" si="174"/>
        <v>0.47286821705426357</v>
      </c>
      <c r="BT58" s="106">
        <f t="shared" si="174"/>
        <v>0.44739477992872956</v>
      </c>
      <c r="BU58" s="65">
        <f t="shared" si="174"/>
        <v>0.45763230345671463</v>
      </c>
      <c r="BV58" s="78">
        <f t="shared" si="174"/>
        <v>0.4472206745810654</v>
      </c>
      <c r="BW58" s="78">
        <f t="shared" si="174"/>
        <v>0.43404467739922625</v>
      </c>
      <c r="BX58" s="78">
        <f t="shared" si="174"/>
        <v>0.42985715465279495</v>
      </c>
      <c r="BY58" s="106">
        <f t="shared" si="174"/>
        <v>0.44246311869539423</v>
      </c>
      <c r="BZ58" s="65">
        <f t="shared" si="174"/>
        <v>0.42079553384508023</v>
      </c>
      <c r="CA58" s="78">
        <f t="shared" si="174"/>
        <v>0.41981299562078345</v>
      </c>
      <c r="CB58" s="78">
        <f t="shared" si="174"/>
        <v>0.41202143950995407</v>
      </c>
      <c r="CC58" s="78">
        <f t="shared" si="174"/>
        <v>0.41317829457364336</v>
      </c>
      <c r="CD58" s="106">
        <f t="shared" si="174"/>
        <v>0.41640360871920357</v>
      </c>
      <c r="CE58" s="65">
        <f t="shared" si="174"/>
        <v>0.40405991595499524</v>
      </c>
      <c r="CF58" s="78">
        <f t="shared" si="174"/>
        <v>0.42043292529705284</v>
      </c>
      <c r="CG58" s="78">
        <f t="shared" si="174"/>
        <v>0.4220380601596071</v>
      </c>
      <c r="CH58" s="78">
        <f t="shared" si="174"/>
        <v>0.43355651571621756</v>
      </c>
      <c r="CI58" s="106">
        <f t="shared" si="174"/>
        <v>0.42010666119686169</v>
      </c>
      <c r="CJ58" s="65">
        <f t="shared" si="174"/>
        <v>0.43618075801749268</v>
      </c>
      <c r="CK58" s="78">
        <f t="shared" si="174"/>
        <v>0.44257413328317979</v>
      </c>
      <c r="CL58" s="78">
        <f t="shared" si="174"/>
        <v>0.43845127645382331</v>
      </c>
      <c r="CM58" s="78">
        <f t="shared" si="174"/>
        <v>0.43447967842786961</v>
      </c>
      <c r="CN58" s="106">
        <f t="shared" si="174"/>
        <v>0.43785070310087448</v>
      </c>
      <c r="CO58" s="65">
        <f t="shared" si="174"/>
        <v>0.42726457871981444</v>
      </c>
      <c r="CP58" s="78">
        <f t="shared" si="174"/>
        <v>0.4311471715122831</v>
      </c>
      <c r="CQ58" s="78">
        <f t="shared" si="174"/>
        <v>0.42770326345942755</v>
      </c>
      <c r="CR58" s="78">
        <f t="shared" si="174"/>
        <v>0.4311919341216216</v>
      </c>
      <c r="CS58" s="106">
        <f>CS21/CS17</f>
        <v>0.42930267910593339</v>
      </c>
      <c r="CT58" s="65">
        <f>CT21/CT17</f>
        <v>0.42341258609302757</v>
      </c>
      <c r="CU58" s="78">
        <f>CU21/CU17</f>
        <v>0.42056895038463521</v>
      </c>
      <c r="CV58" s="78">
        <f>CV21/CV17</f>
        <v>0.41204227556154754</v>
      </c>
      <c r="CW58" s="78">
        <f>CW21/CW17</f>
        <v>0.41216991963260619</v>
      </c>
      <c r="CX58" s="106">
        <f t="shared" ref="CX58:DR58" si="175">CX21/CX17</f>
        <v>0.41701372211650117</v>
      </c>
      <c r="CY58" s="65">
        <f t="shared" si="175"/>
        <v>0.41455696202531639</v>
      </c>
      <c r="CZ58" s="78">
        <f>CZ21/CZ17</f>
        <v>0.40753807384682811</v>
      </c>
      <c r="DA58" s="78">
        <f>DA21/DA17</f>
        <v>0.40029091207080231</v>
      </c>
      <c r="DB58" s="78">
        <f>DB21/DB17</f>
        <v>0.40339383087816394</v>
      </c>
      <c r="DC58" s="106">
        <f t="shared" si="175"/>
        <v>0.40638845256670508</v>
      </c>
      <c r="DD58" s="65">
        <f t="shared" ref="DD58:DE58" si="176">DD21/DD17</f>
        <v>0.40684842281566946</v>
      </c>
      <c r="DE58" s="78">
        <f t="shared" si="176"/>
        <v>0.40260754626291756</v>
      </c>
      <c r="DF58" s="78">
        <f t="shared" ref="DF58:DG58" si="177">DF21/DF17</f>
        <v>0.39333715158457427</v>
      </c>
      <c r="DG58" s="78">
        <f t="shared" si="177"/>
        <v>0.39469813699397666</v>
      </c>
      <c r="DH58" s="106">
        <f t="shared" si="175"/>
        <v>0.39927941114379406</v>
      </c>
      <c r="DI58" s="65">
        <f t="shared" si="175"/>
        <v>0.40032095449074639</v>
      </c>
      <c r="DJ58" s="65">
        <f t="shared" ref="DJ58:DK58" si="178">DJ21/DJ17</f>
        <v>0.40445787684170759</v>
      </c>
      <c r="DK58" s="78">
        <f t="shared" si="178"/>
        <v>0.39726220966175041</v>
      </c>
      <c r="DL58" s="78">
        <f t="shared" ref="DL58" si="179">DL21/DL17</f>
        <v>0.41291262306301879</v>
      </c>
      <c r="DM58" s="106">
        <f>DM21/DM17</f>
        <v>0.40373078658310507</v>
      </c>
      <c r="DN58" s="65">
        <f t="shared" si="175"/>
        <v>0.41208818347959231</v>
      </c>
      <c r="DO58" s="78">
        <f t="shared" si="175"/>
        <v>0.41243164076761857</v>
      </c>
      <c r="DP58" s="78">
        <f t="shared" si="175"/>
        <v>0.40447079372093719</v>
      </c>
      <c r="DQ58" s="78">
        <f t="shared" si="175"/>
        <v>0.40696881052386302</v>
      </c>
      <c r="DR58" s="106">
        <f t="shared" si="175"/>
        <v>0.4088981036786023</v>
      </c>
      <c r="DS58" s="65">
        <f t="shared" ref="DS58:EB58" si="180">DS21/DS17</f>
        <v>0.4078262088266611</v>
      </c>
      <c r="DT58" s="78">
        <f t="shared" si="180"/>
        <v>0.40669404036803802</v>
      </c>
      <c r="DU58" s="78">
        <f t="shared" si="180"/>
        <v>0.39911906460476282</v>
      </c>
      <c r="DV58" s="78">
        <f t="shared" si="180"/>
        <v>0.40211054318143385</v>
      </c>
      <c r="DW58" s="106">
        <f t="shared" si="180"/>
        <v>0.40385856402973652</v>
      </c>
      <c r="DX58" s="65">
        <f t="shared" si="180"/>
        <v>0.40436166336838592</v>
      </c>
      <c r="DY58" s="78">
        <f t="shared" si="180"/>
        <v>0.40323338379308021</v>
      </c>
      <c r="DZ58" s="78">
        <f t="shared" si="180"/>
        <v>0.39569044054696678</v>
      </c>
      <c r="EA58" s="78">
        <f t="shared" si="180"/>
        <v>0.39876269675419956</v>
      </c>
      <c r="EB58" s="106">
        <f t="shared" si="180"/>
        <v>0.40043501235828244</v>
      </c>
      <c r="ED58" s="28"/>
      <c r="EE58" s="28"/>
      <c r="EG58" s="20"/>
      <c r="EH58" s="20"/>
      <c r="EI58" s="20"/>
      <c r="EJ58" s="20"/>
      <c r="EK58" s="20"/>
      <c r="EL58" s="20"/>
      <c r="EM58" s="20"/>
      <c r="EN58" s="61">
        <f>EN21/EN17</f>
        <v>0.40744071060292097</v>
      </c>
      <c r="EO58" s="61">
        <f>EO21/EO17</f>
        <v>0.41244391686594001</v>
      </c>
      <c r="EP58" s="61">
        <f t="shared" ref="EP58:EZ58" si="181">EP21/EP17</f>
        <v>0.42758231540405561</v>
      </c>
      <c r="EQ58" s="61">
        <f t="shared" si="181"/>
        <v>0.4551150470158154</v>
      </c>
      <c r="ER58" s="61">
        <f t="shared" si="181"/>
        <v>0.43247892654395315</v>
      </c>
      <c r="ES58" s="61">
        <f t="shared" si="181"/>
        <v>0.41197933336381509</v>
      </c>
      <c r="ET58" s="61">
        <f t="shared" si="181"/>
        <v>0.42852099377658087</v>
      </c>
      <c r="EU58" s="61">
        <f t="shared" si="181"/>
        <v>0.43532672047858889</v>
      </c>
      <c r="EV58" s="61">
        <f t="shared" si="181"/>
        <v>0.42817681361953325</v>
      </c>
      <c r="EW58" s="61">
        <f t="shared" si="181"/>
        <v>0.41472533286306318</v>
      </c>
      <c r="EX58" s="61">
        <f t="shared" si="181"/>
        <v>0.40452541428064659</v>
      </c>
      <c r="EY58" s="61">
        <f t="shared" si="181"/>
        <v>0.39767846350454195</v>
      </c>
      <c r="EZ58" s="61">
        <f t="shared" si="181"/>
        <v>0.40682433175668237</v>
      </c>
      <c r="FA58" s="61">
        <f>FA21/FA17</f>
        <v>0.40785217528433104</v>
      </c>
      <c r="FB58" s="61">
        <f>FB21/FB17</f>
        <v>0.40303244854298687</v>
      </c>
      <c r="FD58" s="20" t="s">
        <v>364</v>
      </c>
      <c r="FE58" s="238">
        <f t="shared" ref="FE58:FE67" si="182">DN58</f>
        <v>0.41208818347959231</v>
      </c>
      <c r="FF58" s="97">
        <v>0.39804178498199488</v>
      </c>
      <c r="FG58" s="97">
        <f>FE58-FF58</f>
        <v>1.4046398497597423E-2</v>
      </c>
      <c r="FH58" s="238">
        <f t="shared" ref="FH58:FH67" si="183">DI58</f>
        <v>0.40032095449074639</v>
      </c>
      <c r="FI58" s="327">
        <f>FE58-FH58</f>
        <v>1.1767228988845913E-2</v>
      </c>
      <c r="FJ58"/>
      <c r="FK58"/>
      <c r="FL58"/>
      <c r="FM58"/>
      <c r="FN58"/>
      <c r="FO58"/>
      <c r="FP58"/>
      <c r="FQ58"/>
      <c r="FR58"/>
    </row>
    <row r="59" spans="1:174" s="1" customFormat="1" x14ac:dyDescent="0.2">
      <c r="A59" s="1" t="s">
        <v>195</v>
      </c>
      <c r="B59" s="106">
        <v>0.36255860278878799</v>
      </c>
      <c r="C59" s="65">
        <v>0.361430187640782</v>
      </c>
      <c r="D59" s="78">
        <v>0.38992335489216701</v>
      </c>
      <c r="E59" s="78">
        <v>0.37894696246589299</v>
      </c>
      <c r="F59" s="78">
        <v>0.35205259415952</v>
      </c>
      <c r="G59" s="106">
        <v>0.36943785622927799</v>
      </c>
      <c r="H59" s="65">
        <f t="shared" ref="H59:AK59" si="184">H22/H10</f>
        <v>0.32319600362308898</v>
      </c>
      <c r="I59" s="78">
        <f t="shared" si="184"/>
        <v>0.35525052720689942</v>
      </c>
      <c r="J59" s="78">
        <f t="shared" si="184"/>
        <v>0.35767433360311202</v>
      </c>
      <c r="K59" s="78">
        <f t="shared" si="184"/>
        <v>0.3654693645453253</v>
      </c>
      <c r="L59" s="106">
        <f t="shared" si="184"/>
        <v>0.35095963964144122</v>
      </c>
      <c r="M59" s="65">
        <f t="shared" si="184"/>
        <v>0.3441531378725467</v>
      </c>
      <c r="N59" s="78">
        <f>N23/N10</f>
        <v>3.7180284954081197E-2</v>
      </c>
      <c r="O59" s="78">
        <f t="shared" si="184"/>
        <v>0.38984361736243422</v>
      </c>
      <c r="P59" s="78">
        <f t="shared" si="184"/>
        <v>0.39021176592564433</v>
      </c>
      <c r="Q59" s="106">
        <f t="shared" si="184"/>
        <v>0.37554347046247011</v>
      </c>
      <c r="R59" s="65">
        <f t="shared" si="184"/>
        <v>0.35676593701927095</v>
      </c>
      <c r="S59" s="78">
        <f t="shared" si="184"/>
        <v>0.37494919842012014</v>
      </c>
      <c r="T59" s="78">
        <f t="shared" si="184"/>
        <v>0.37700285744523226</v>
      </c>
      <c r="U59" s="78">
        <f t="shared" si="184"/>
        <v>0.39054110723836627</v>
      </c>
      <c r="V59" s="106">
        <f t="shared" si="184"/>
        <v>0.37513400461102836</v>
      </c>
      <c r="W59" s="65">
        <f t="shared" si="184"/>
        <v>0.35765837777285087</v>
      </c>
      <c r="X59" s="78">
        <f t="shared" si="184"/>
        <v>0.38228520870460075</v>
      </c>
      <c r="Y59" s="78">
        <f t="shared" si="184"/>
        <v>0.38664029599579713</v>
      </c>
      <c r="Z59" s="78">
        <f t="shared" si="184"/>
        <v>0.39787632421778762</v>
      </c>
      <c r="AA59" s="106">
        <f t="shared" si="184"/>
        <v>0.38188956186282236</v>
      </c>
      <c r="AB59" s="65">
        <f t="shared" si="184"/>
        <v>0.37251721360754103</v>
      </c>
      <c r="AC59" s="78">
        <f t="shared" si="184"/>
        <v>0.39450995382618043</v>
      </c>
      <c r="AD59" s="78">
        <f t="shared" si="184"/>
        <v>0.39750374973216196</v>
      </c>
      <c r="AE59" s="78">
        <f t="shared" si="184"/>
        <v>0.38172228449886464</v>
      </c>
      <c r="AF59" s="106">
        <f t="shared" si="184"/>
        <v>0.3865446728705465</v>
      </c>
      <c r="AG59" s="65">
        <f t="shared" si="184"/>
        <v>0.37284386574135808</v>
      </c>
      <c r="AH59" s="78">
        <f t="shared" si="184"/>
        <v>0.39865692549070564</v>
      </c>
      <c r="AI59" s="78">
        <f t="shared" si="184"/>
        <v>0.40544979603521081</v>
      </c>
      <c r="AJ59" s="78">
        <f t="shared" si="184"/>
        <v>0.3941281047539274</v>
      </c>
      <c r="AK59" s="106">
        <f t="shared" si="184"/>
        <v>0.38928926073536257</v>
      </c>
      <c r="AL59" s="65">
        <f t="shared" ref="AL59:BJ59" si="185">AL22/AL10</f>
        <v>0.38180179255860996</v>
      </c>
      <c r="AM59" s="78">
        <f t="shared" si="185"/>
        <v>0.40795047737188039</v>
      </c>
      <c r="AN59" s="78">
        <f t="shared" si="185"/>
        <v>0.40942832177164901</v>
      </c>
      <c r="AO59" s="78">
        <f t="shared" si="185"/>
        <v>0.40594900502761583</v>
      </c>
      <c r="AP59" s="106">
        <f t="shared" si="185"/>
        <v>0.39735773231016891</v>
      </c>
      <c r="AQ59" s="65">
        <f t="shared" si="185"/>
        <v>0.37703623132105768</v>
      </c>
      <c r="AR59" s="78">
        <f t="shared" si="185"/>
        <v>0.40670466578608877</v>
      </c>
      <c r="AS59" s="78">
        <f t="shared" si="185"/>
        <v>0.41222825529704221</v>
      </c>
      <c r="AT59" s="78">
        <f t="shared" si="185"/>
        <v>0.40923985779779337</v>
      </c>
      <c r="AU59" s="106">
        <f t="shared" si="185"/>
        <v>0.39992022316641562</v>
      </c>
      <c r="AV59" s="65">
        <f t="shared" si="185"/>
        <v>0.37558804066654644</v>
      </c>
      <c r="AW59" s="78">
        <f t="shared" si="185"/>
        <v>0.40550566835573421</v>
      </c>
      <c r="AX59" s="78">
        <f t="shared" si="185"/>
        <v>0.40433823230796301</v>
      </c>
      <c r="AY59" s="78">
        <f t="shared" si="185"/>
        <v>0.41888066371895694</v>
      </c>
      <c r="AZ59" s="106">
        <f t="shared" si="185"/>
        <v>0.40161906842991557</v>
      </c>
      <c r="BA59" s="65">
        <f t="shared" si="185"/>
        <v>0.38347019602387933</v>
      </c>
      <c r="BB59" s="78">
        <f t="shared" si="185"/>
        <v>0.41508255403065702</v>
      </c>
      <c r="BC59" s="78">
        <f t="shared" si="185"/>
        <v>0.40248119386262032</v>
      </c>
      <c r="BD59" s="78">
        <f t="shared" si="185"/>
        <v>0.40636699279249006</v>
      </c>
      <c r="BE59" s="106">
        <f t="shared" si="185"/>
        <v>0.40169516389965965</v>
      </c>
      <c r="BF59" s="65">
        <f t="shared" si="185"/>
        <v>0.3821698383828333</v>
      </c>
      <c r="BG59" s="78">
        <f t="shared" si="185"/>
        <v>0.41583616902648007</v>
      </c>
      <c r="BH59" s="78">
        <f t="shared" si="185"/>
        <v>0.41337237059874998</v>
      </c>
      <c r="BI59" s="78">
        <f t="shared" si="185"/>
        <v>0.42128107636573109</v>
      </c>
      <c r="BJ59" s="106">
        <f t="shared" si="185"/>
        <v>0.40829029128838734</v>
      </c>
      <c r="BK59" s="65">
        <f t="shared" ref="BK59:CR59" si="186">BK22/BK10</f>
        <v>0.3846734944147705</v>
      </c>
      <c r="BL59" s="78">
        <f t="shared" si="186"/>
        <v>0.4061907572924604</v>
      </c>
      <c r="BM59" s="78">
        <f t="shared" si="186"/>
        <v>0.40741168068781541</v>
      </c>
      <c r="BN59" s="78">
        <f t="shared" si="186"/>
        <v>0.40997785689538807</v>
      </c>
      <c r="BO59" s="106">
        <f t="shared" si="186"/>
        <v>0.40207332465228396</v>
      </c>
      <c r="BP59" s="65">
        <f t="shared" si="186"/>
        <v>0.39434403572187965</v>
      </c>
      <c r="BQ59" s="78">
        <f t="shared" si="186"/>
        <v>0.4326566801997293</v>
      </c>
      <c r="BR59" s="78">
        <f t="shared" si="186"/>
        <v>0.43954683056600313</v>
      </c>
      <c r="BS59" s="78">
        <f t="shared" si="186"/>
        <v>0.44457159204691743</v>
      </c>
      <c r="BT59" s="106">
        <f t="shared" si="186"/>
        <v>0.42694741162119954</v>
      </c>
      <c r="BU59" s="65">
        <f t="shared" si="186"/>
        <v>0.4303832368348498</v>
      </c>
      <c r="BV59" s="78">
        <f t="shared" si="186"/>
        <v>0.41777959017229077</v>
      </c>
      <c r="BW59" s="78">
        <f t="shared" si="186"/>
        <v>0.40788558943291292</v>
      </c>
      <c r="BX59" s="78">
        <f t="shared" si="186"/>
        <v>0.41781699861960164</v>
      </c>
      <c r="BY59" s="106">
        <f t="shared" si="186"/>
        <v>0.4187061441040561</v>
      </c>
      <c r="BZ59" s="65">
        <f t="shared" si="186"/>
        <v>0.39081512495093551</v>
      </c>
      <c r="CA59" s="78">
        <f t="shared" si="186"/>
        <v>0.38893325191413403</v>
      </c>
      <c r="CB59" s="78">
        <f t="shared" si="186"/>
        <v>0.40650294965015782</v>
      </c>
      <c r="CC59" s="78">
        <f t="shared" si="186"/>
        <v>0.39847133757961783</v>
      </c>
      <c r="CD59" s="106">
        <f t="shared" si="186"/>
        <v>0.39620683884643276</v>
      </c>
      <c r="CE59" s="65">
        <f t="shared" si="186"/>
        <v>0.36225676171827192</v>
      </c>
      <c r="CF59" s="78">
        <f t="shared" si="186"/>
        <v>0.37811205580989754</v>
      </c>
      <c r="CG59" s="78">
        <f t="shared" si="186"/>
        <v>0.37939022876763329</v>
      </c>
      <c r="CH59" s="78">
        <f t="shared" si="186"/>
        <v>0.373583225388601</v>
      </c>
      <c r="CI59" s="106">
        <f t="shared" si="186"/>
        <v>0.37323643913833382</v>
      </c>
      <c r="CJ59" s="65">
        <f t="shared" si="186"/>
        <v>0.36448495497474193</v>
      </c>
      <c r="CK59" s="78">
        <f t="shared" si="186"/>
        <v>0.37938283357131525</v>
      </c>
      <c r="CL59" s="78">
        <f t="shared" si="186"/>
        <v>0.37314574093898151</v>
      </c>
      <c r="CM59" s="78">
        <f t="shared" si="186"/>
        <v>0.37131925428560708</v>
      </c>
      <c r="CN59" s="106">
        <f>CN22/CN10</f>
        <v>0.37193032417295552</v>
      </c>
      <c r="CO59" s="65">
        <f t="shared" si="186"/>
        <v>0.36443002408348946</v>
      </c>
      <c r="CP59" s="78">
        <f t="shared" si="186"/>
        <v>0.36984008262991064</v>
      </c>
      <c r="CQ59" s="78">
        <f t="shared" si="186"/>
        <v>0.36302447845159558</v>
      </c>
      <c r="CR59" s="78">
        <f t="shared" si="186"/>
        <v>0.3568248272195641</v>
      </c>
      <c r="CS59" s="106">
        <f>CS22/CS10</f>
        <v>0.36342129362683578</v>
      </c>
      <c r="CT59" s="65">
        <f>CT22/CT10</f>
        <v>0.3514265207249237</v>
      </c>
      <c r="CU59" s="78">
        <f>CU22/CU10</f>
        <v>0.36978487614080835</v>
      </c>
      <c r="CV59" s="78">
        <f>CV22/CV10</f>
        <v>0.35754444613280656</v>
      </c>
      <c r="CW59" s="78">
        <f>CW22/CW10</f>
        <v>0.3517110846536618</v>
      </c>
      <c r="CX59" s="106">
        <f t="shared" ref="CX59:DR59" si="187">CX22/CX10</f>
        <v>0.35738942826321468</v>
      </c>
      <c r="CY59" s="65">
        <f t="shared" si="187"/>
        <v>0.34868002544529259</v>
      </c>
      <c r="CZ59" s="78">
        <f>CZ22/CZ10</f>
        <v>0.36561870324877854</v>
      </c>
      <c r="DA59" s="78">
        <f>DA22/DA10</f>
        <v>0.35565772669220946</v>
      </c>
      <c r="DB59" s="78">
        <f>DB22/DB10</f>
        <v>0.354705912622858</v>
      </c>
      <c r="DC59" s="106">
        <f t="shared" si="187"/>
        <v>0.35605666796075619</v>
      </c>
      <c r="DD59" s="65">
        <f t="shared" ref="DD59:DE59" si="188">DD22/DD10</f>
        <v>0.3577162399658006</v>
      </c>
      <c r="DE59" s="78">
        <f t="shared" si="188"/>
        <v>0.37178642056690842</v>
      </c>
      <c r="DF59" s="78">
        <f t="shared" ref="DF59:DG59" si="189">DF22/DF10</f>
        <v>0.36574516931318157</v>
      </c>
      <c r="DG59" s="78">
        <f t="shared" si="189"/>
        <v>0.34657704423443808</v>
      </c>
      <c r="DH59" s="106">
        <f t="shared" si="187"/>
        <v>0.36002303463506724</v>
      </c>
      <c r="DI59" s="65">
        <f t="shared" si="187"/>
        <v>0.36654509654755779</v>
      </c>
      <c r="DJ59" s="65">
        <f t="shared" ref="DJ59:DK59" si="190">DJ22/DJ10</f>
        <v>0.37812842637174054</v>
      </c>
      <c r="DK59" s="78">
        <f t="shared" si="190"/>
        <v>0.36125526724329121</v>
      </c>
      <c r="DL59" s="78">
        <f t="shared" ref="DL59" si="191">DL22/DL10</f>
        <v>0.36627205718114808</v>
      </c>
      <c r="DM59" s="106">
        <f t="shared" si="187"/>
        <v>0.36787776122193455</v>
      </c>
      <c r="DN59" s="65">
        <f t="shared" si="187"/>
        <v>0.36631658863722638</v>
      </c>
      <c r="DO59" s="78">
        <f t="shared" si="187"/>
        <v>0.37421093580464343</v>
      </c>
      <c r="DP59" s="78">
        <f t="shared" si="187"/>
        <v>0.3599524496385525</v>
      </c>
      <c r="DQ59" s="78">
        <f t="shared" si="187"/>
        <v>0.36653036369592829</v>
      </c>
      <c r="DR59" s="106">
        <f t="shared" si="187"/>
        <v>0.3666337065448938</v>
      </c>
      <c r="DS59" s="65">
        <f t="shared" ref="DS59:EB59" si="192">DS22/DS10</f>
        <v>0.36746963628992141</v>
      </c>
      <c r="DT59" s="78">
        <f t="shared" si="192"/>
        <v>0.37302195575668867</v>
      </c>
      <c r="DU59" s="78">
        <f t="shared" si="192"/>
        <v>0.35959203583626981</v>
      </c>
      <c r="DV59" s="78">
        <f t="shared" si="192"/>
        <v>0.36601960228571834</v>
      </c>
      <c r="DW59" s="106">
        <f t="shared" si="192"/>
        <v>0.36639725930185502</v>
      </c>
      <c r="DX59" s="65">
        <f t="shared" si="192"/>
        <v>0.3667059892834138</v>
      </c>
      <c r="DY59" s="78">
        <f t="shared" si="192"/>
        <v>0.37147879056049959</v>
      </c>
      <c r="DZ59" s="78">
        <f t="shared" si="192"/>
        <v>0.35800997023567338</v>
      </c>
      <c r="EA59" s="78">
        <f t="shared" si="192"/>
        <v>0.36450760530019416</v>
      </c>
      <c r="EB59" s="106">
        <f t="shared" si="192"/>
        <v>0.36504261341302602</v>
      </c>
      <c r="EC59" s="331"/>
      <c r="ED59" s="521"/>
      <c r="EE59" s="521"/>
      <c r="EF59" s="331"/>
      <c r="EG59" s="20"/>
      <c r="EH59" s="20"/>
      <c r="EI59" s="20"/>
      <c r="EJ59" s="20"/>
      <c r="EK59" s="20"/>
      <c r="EL59" s="20"/>
      <c r="EM59" s="20"/>
      <c r="EN59" s="61">
        <f>EN22/EN10</f>
        <v>0.40045421072275744</v>
      </c>
      <c r="EO59" s="61">
        <f>EO22/EO10</f>
        <v>0.40759065810237</v>
      </c>
      <c r="EP59" s="61">
        <f t="shared" ref="EP59:EZ59" si="193">EP22/EP10</f>
        <v>0.40408013756278649</v>
      </c>
      <c r="EQ59" s="61">
        <f t="shared" si="193"/>
        <v>0.43673545355140403</v>
      </c>
      <c r="ER59" s="61">
        <f t="shared" si="193"/>
        <v>0.40793549397967915</v>
      </c>
      <c r="ES59" s="61">
        <f t="shared" si="193"/>
        <v>0.38843881208958658</v>
      </c>
      <c r="ET59" s="61">
        <f t="shared" si="193"/>
        <v>0.37353979622717648</v>
      </c>
      <c r="EU59" s="61">
        <f t="shared" si="193"/>
        <v>0.3717372571185012</v>
      </c>
      <c r="EV59" s="61">
        <f t="shared" si="193"/>
        <v>0.35987124816833227</v>
      </c>
      <c r="EW59" s="61">
        <f t="shared" si="193"/>
        <v>0.35642574774371599</v>
      </c>
      <c r="EX59" s="61">
        <f t="shared" si="193"/>
        <v>0.35828360547741939</v>
      </c>
      <c r="EY59" s="61">
        <f t="shared" si="193"/>
        <v>0.36229528325605598</v>
      </c>
      <c r="EZ59" s="61">
        <f t="shared" si="193"/>
        <v>0.36779704517050527</v>
      </c>
      <c r="FA59" s="61">
        <f>FA22/FA10</f>
        <v>0.36692457158896552</v>
      </c>
      <c r="FB59" s="61">
        <f>FB22/FB10</f>
        <v>0.36622293569228254</v>
      </c>
      <c r="FD59" s="20" t="s">
        <v>17</v>
      </c>
      <c r="FE59" s="238">
        <f t="shared" si="182"/>
        <v>0.36631658863722638</v>
      </c>
      <c r="FF59" s="97">
        <v>0.37149835943227899</v>
      </c>
      <c r="FG59" s="97">
        <f t="shared" ref="FG59:FG67" si="194">FE59-FF59</f>
        <v>-5.1817707950526093E-3</v>
      </c>
      <c r="FH59" s="238">
        <f t="shared" si="183"/>
        <v>0.36654509654755779</v>
      </c>
      <c r="FI59" s="327">
        <f t="shared" ref="FI59:FI67" si="195">FE59-FH59</f>
        <v>-2.2850791033141027E-4</v>
      </c>
      <c r="FJ59"/>
      <c r="FK59"/>
      <c r="FL59"/>
      <c r="FM59"/>
      <c r="FN59"/>
      <c r="FO59"/>
      <c r="FP59"/>
      <c r="FQ59"/>
      <c r="FR59"/>
    </row>
    <row r="60" spans="1:174" s="1" customFormat="1" x14ac:dyDescent="0.2">
      <c r="A60" s="1" t="s">
        <v>196</v>
      </c>
      <c r="B60" s="106">
        <f t="shared" ref="B60:G60" si="196">B23/B15</f>
        <v>0.32763167809509453</v>
      </c>
      <c r="C60" s="65">
        <f t="shared" si="196"/>
        <v>0.32287694974003467</v>
      </c>
      <c r="D60" s="78">
        <f t="shared" si="196"/>
        <v>0.25133315849287524</v>
      </c>
      <c r="E60" s="78">
        <f t="shared" si="196"/>
        <v>0.28401745313510024</v>
      </c>
      <c r="F60" s="78">
        <f t="shared" si="196"/>
        <v>0.29850629545632285</v>
      </c>
      <c r="G60" s="106">
        <f t="shared" si="196"/>
        <v>0.2894146483320178</v>
      </c>
      <c r="H60" s="65">
        <f t="shared" ref="H60:AK60" si="197">H23/H15</f>
        <v>0.3490611458834858</v>
      </c>
      <c r="I60" s="78">
        <f t="shared" si="197"/>
        <v>0.2108300044385264</v>
      </c>
      <c r="J60" s="78">
        <f t="shared" si="197"/>
        <v>0.24678922185847396</v>
      </c>
      <c r="K60" s="78">
        <f t="shared" si="197"/>
        <v>0.21937994122273274</v>
      </c>
      <c r="L60" s="106">
        <f t="shared" si="197"/>
        <v>0.20527920044788192</v>
      </c>
      <c r="M60" s="65">
        <f t="shared" si="197"/>
        <v>0.31088641995044364</v>
      </c>
      <c r="N60" s="78">
        <f t="shared" si="197"/>
        <v>0.27182524119538787</v>
      </c>
      <c r="O60" s="78">
        <f t="shared" si="197"/>
        <v>0.25659498207885306</v>
      </c>
      <c r="P60" s="78">
        <f t="shared" si="197"/>
        <v>0.16150706117999036</v>
      </c>
      <c r="Q60" s="106">
        <f t="shared" si="197"/>
        <v>0.20306915670101613</v>
      </c>
      <c r="R60" s="65">
        <f t="shared" si="197"/>
        <v>0.24946491657856051</v>
      </c>
      <c r="S60" s="78">
        <f t="shared" si="197"/>
        <v>0.2284912800698653</v>
      </c>
      <c r="T60" s="78">
        <f t="shared" si="197"/>
        <v>0.2600212765957447</v>
      </c>
      <c r="U60" s="78">
        <f t="shared" si="197"/>
        <v>0.19394157195693515</v>
      </c>
      <c r="V60" s="106">
        <f t="shared" si="197"/>
        <v>0.21094174493518592</v>
      </c>
      <c r="W60" s="65">
        <f t="shared" si="197"/>
        <v>0.20728719172633253</v>
      </c>
      <c r="X60" s="78">
        <f t="shared" si="197"/>
        <v>0.19418853119417101</v>
      </c>
      <c r="Y60" s="78">
        <f t="shared" si="197"/>
        <v>0.1975206733391312</v>
      </c>
      <c r="Z60" s="78">
        <f t="shared" si="197"/>
        <v>0.24719443236189648</v>
      </c>
      <c r="AA60" s="106">
        <f t="shared" si="197"/>
        <v>0.21251387509493486</v>
      </c>
      <c r="AB60" s="65">
        <f t="shared" si="197"/>
        <v>0.2004020463708539</v>
      </c>
      <c r="AC60" s="78">
        <f t="shared" si="197"/>
        <v>0.26021098187719777</v>
      </c>
      <c r="AD60" s="78">
        <f t="shared" si="197"/>
        <v>0.19454665638426794</v>
      </c>
      <c r="AE60" s="78">
        <f t="shared" si="197"/>
        <v>0.23529229881266492</v>
      </c>
      <c r="AF60" s="106">
        <f t="shared" si="197"/>
        <v>0.22158156721604166</v>
      </c>
      <c r="AG60" s="65">
        <f t="shared" si="197"/>
        <v>0.20752524290341018</v>
      </c>
      <c r="AH60" s="78">
        <f t="shared" si="197"/>
        <v>0.22436350944713285</v>
      </c>
      <c r="AI60" s="78">
        <f t="shared" si="197"/>
        <v>0.21853845487197757</v>
      </c>
      <c r="AJ60" s="78">
        <f t="shared" si="197"/>
        <v>0.23970309720123198</v>
      </c>
      <c r="AK60" s="106">
        <f t="shared" si="197"/>
        <v>0.17264763249130874</v>
      </c>
      <c r="AL60" s="65">
        <f t="shared" ref="AL60:BJ60" si="198">AL23/AL15</f>
        <v>0.24640448525229544</v>
      </c>
      <c r="AM60" s="78">
        <f t="shared" si="198"/>
        <v>0.28198058089193395</v>
      </c>
      <c r="AN60" s="78">
        <f t="shared" si="198"/>
        <v>0.23733417664039441</v>
      </c>
      <c r="AO60" s="78">
        <f t="shared" si="198"/>
        <v>0.26054111974283417</v>
      </c>
      <c r="AP60" s="106">
        <f t="shared" si="198"/>
        <v>0.21387730744106903</v>
      </c>
      <c r="AQ60" s="65">
        <f t="shared" si="198"/>
        <v>0.20459620877694104</v>
      </c>
      <c r="AR60" s="78">
        <f t="shared" si="198"/>
        <v>0.25206192326539628</v>
      </c>
      <c r="AS60" s="78">
        <f t="shared" si="198"/>
        <v>0.26377482360931193</v>
      </c>
      <c r="AT60" s="78">
        <f t="shared" si="198"/>
        <v>0.25995105598790097</v>
      </c>
      <c r="AU60" s="106">
        <f t="shared" si="198"/>
        <v>0.22582912870787256</v>
      </c>
      <c r="AV60" s="65">
        <f t="shared" si="198"/>
        <v>0.21773229162514451</v>
      </c>
      <c r="AW60" s="78">
        <f t="shared" si="198"/>
        <v>0.21408595549539056</v>
      </c>
      <c r="AX60" s="78">
        <f t="shared" si="198"/>
        <v>0.21012077707514387</v>
      </c>
      <c r="AY60" s="78">
        <f t="shared" si="198"/>
        <v>0.1825452223877421</v>
      </c>
      <c r="AZ60" s="106">
        <f t="shared" si="198"/>
        <v>0.20510737044866048</v>
      </c>
      <c r="BA60" s="65">
        <f t="shared" si="198"/>
        <v>0.19178978097131449</v>
      </c>
      <c r="BB60" s="78">
        <f t="shared" si="198"/>
        <v>0.19741533166644659</v>
      </c>
      <c r="BC60" s="78">
        <f t="shared" si="198"/>
        <v>0.19765573382709201</v>
      </c>
      <c r="BD60" s="78">
        <f t="shared" si="198"/>
        <v>0.21735884169333691</v>
      </c>
      <c r="BE60" s="106">
        <f t="shared" si="198"/>
        <v>0.20158526990207423</v>
      </c>
      <c r="BF60" s="65">
        <f t="shared" si="198"/>
        <v>0.19322528903103142</v>
      </c>
      <c r="BG60" s="78">
        <f t="shared" si="198"/>
        <v>0.22256257474351174</v>
      </c>
      <c r="BH60" s="78">
        <f t="shared" si="198"/>
        <v>0.22953061817797391</v>
      </c>
      <c r="BI60" s="78">
        <f t="shared" si="198"/>
        <v>0.21941623174713082</v>
      </c>
      <c r="BJ60" s="106">
        <f t="shared" si="198"/>
        <v>0.21604709580311068</v>
      </c>
      <c r="BK60" s="65">
        <f t="shared" ref="BK60:CR60" si="199">BK23/BK15</f>
        <v>0.20789769340120146</v>
      </c>
      <c r="BL60" s="78">
        <f t="shared" si="199"/>
        <v>0.22728597220094385</v>
      </c>
      <c r="BM60" s="78">
        <f t="shared" si="199"/>
        <v>0.21954929076284246</v>
      </c>
      <c r="BN60" s="78">
        <f t="shared" si="199"/>
        <v>0.1945644169856747</v>
      </c>
      <c r="BO60" s="106">
        <f t="shared" si="199"/>
        <v>0.21172461421762315</v>
      </c>
      <c r="BP60" s="65">
        <f t="shared" si="199"/>
        <v>0.20596010574381157</v>
      </c>
      <c r="BQ60" s="78">
        <f t="shared" si="199"/>
        <v>0.21613155833985903</v>
      </c>
      <c r="BR60" s="78">
        <f t="shared" si="199"/>
        <v>0.20218440436880872</v>
      </c>
      <c r="BS60" s="78">
        <f t="shared" si="199"/>
        <v>0.19607843137254902</v>
      </c>
      <c r="BT60" s="106">
        <f t="shared" si="199"/>
        <v>0.20489106821426356</v>
      </c>
      <c r="BU60" s="65">
        <f t="shared" si="199"/>
        <v>0.16537585421412299</v>
      </c>
      <c r="BV60" s="78">
        <f t="shared" si="199"/>
        <v>0.17227456258411844</v>
      </c>
      <c r="BW60" s="78">
        <f t="shared" si="199"/>
        <v>0.17739041271468853</v>
      </c>
      <c r="BX60" s="78">
        <f t="shared" si="199"/>
        <v>0.14880650076180801</v>
      </c>
      <c r="BY60" s="106">
        <f t="shared" si="199"/>
        <v>0.1658304064224787</v>
      </c>
      <c r="BZ60" s="65">
        <f t="shared" si="199"/>
        <v>0.16728711028385296</v>
      </c>
      <c r="CA60" s="78">
        <f t="shared" si="199"/>
        <v>0.15229176934450467</v>
      </c>
      <c r="CB60" s="78">
        <f t="shared" si="199"/>
        <v>0.18151892781565954</v>
      </c>
      <c r="CC60" s="78">
        <f t="shared" si="199"/>
        <v>0.17039337474120081</v>
      </c>
      <c r="CD60" s="106">
        <f t="shared" si="199"/>
        <v>0.16812890647399506</v>
      </c>
      <c r="CE60" s="65">
        <f t="shared" si="199"/>
        <v>0.18038038038038037</v>
      </c>
      <c r="CF60" s="78">
        <f t="shared" si="199"/>
        <v>0.20093457943925233</v>
      </c>
      <c r="CG60" s="78">
        <f t="shared" si="199"/>
        <v>0.19421246844047388</v>
      </c>
      <c r="CH60" s="78">
        <f t="shared" si="199"/>
        <v>0.18468388245770259</v>
      </c>
      <c r="CI60" s="106">
        <f t="shared" si="199"/>
        <v>0.18988443498863689</v>
      </c>
      <c r="CJ60" s="65">
        <f t="shared" si="199"/>
        <v>0.14437124033228299</v>
      </c>
      <c r="CK60" s="78">
        <f t="shared" si="199"/>
        <v>0.14887892376681613</v>
      </c>
      <c r="CL60" s="78">
        <f t="shared" si="199"/>
        <v>0.14723117491942575</v>
      </c>
      <c r="CM60" s="78">
        <f t="shared" si="199"/>
        <v>0.15333525844643373</v>
      </c>
      <c r="CN60" s="106">
        <f t="shared" si="199"/>
        <v>0.14844661610268375</v>
      </c>
      <c r="CO60" s="65">
        <f t="shared" si="199"/>
        <v>0.15691886510701844</v>
      </c>
      <c r="CP60" s="78">
        <f t="shared" si="199"/>
        <v>0.14260682032618949</v>
      </c>
      <c r="CQ60" s="78">
        <f t="shared" si="199"/>
        <v>0.13204272363150868</v>
      </c>
      <c r="CR60" s="78">
        <f t="shared" si="199"/>
        <v>0.12974845995893222</v>
      </c>
      <c r="CS60" s="106">
        <f>CS23/CS15</f>
        <v>0.14051468913687087</v>
      </c>
      <c r="CT60" s="65">
        <f>CT23/CT15</f>
        <v>0.12826523777628937</v>
      </c>
      <c r="CU60" s="78">
        <f>CU23/CU15</f>
        <v>0.13762720277984614</v>
      </c>
      <c r="CV60" s="78">
        <f>CV23/CV15</f>
        <v>0.13971269694161259</v>
      </c>
      <c r="CW60" s="78">
        <f>CW23/CW15</f>
        <v>0.12263838249917136</v>
      </c>
      <c r="CX60" s="106">
        <f t="shared" ref="CX60:DR60" si="200">CX23/CX15</f>
        <v>0.13181936078849535</v>
      </c>
      <c r="CY60" s="65">
        <f t="shared" si="200"/>
        <v>0.12558229813664595</v>
      </c>
      <c r="CZ60" s="78">
        <f>CZ23/CZ15</f>
        <v>0.14193068254305763</v>
      </c>
      <c r="DA60" s="78">
        <f>DA23/DA15</f>
        <v>0.13620368453736284</v>
      </c>
      <c r="DB60" s="78">
        <f>DB23/DB15</f>
        <v>0.12439214160669133</v>
      </c>
      <c r="DC60" s="106">
        <f t="shared" si="200"/>
        <v>0.13173954708226154</v>
      </c>
      <c r="DD60" s="65">
        <f t="shared" ref="DD60:DE60" si="201">DD23/DD15</f>
        <v>0.1257201823028635</v>
      </c>
      <c r="DE60" s="78">
        <f t="shared" si="201"/>
        <v>0.13307912297426119</v>
      </c>
      <c r="DF60" s="78">
        <f>DF23/DF15</f>
        <v>0.13015903067020068</v>
      </c>
      <c r="DG60" s="78">
        <f t="shared" ref="DG60" si="202">DG23/DG15</f>
        <v>0.10146252285191955</v>
      </c>
      <c r="DH60" s="106">
        <f t="shared" si="200"/>
        <v>0.12196703714471004</v>
      </c>
      <c r="DI60" s="65">
        <f t="shared" si="200"/>
        <v>0.11506805951250397</v>
      </c>
      <c r="DJ60" s="65">
        <f t="shared" ref="DJ60:DK60" si="203">DJ23/DJ15</f>
        <v>0.12261059530311305</v>
      </c>
      <c r="DK60" s="78">
        <f t="shared" si="203"/>
        <v>0.12364425162689804</v>
      </c>
      <c r="DL60" s="78">
        <f t="shared" ref="DL60" si="204">DL23/DL15</f>
        <v>0.10734463276836156</v>
      </c>
      <c r="DM60" s="106">
        <f t="shared" si="200"/>
        <v>0.11691300675675677</v>
      </c>
      <c r="DN60" s="65">
        <f t="shared" si="200"/>
        <v>0.10631428785944889</v>
      </c>
      <c r="DO60" s="78">
        <f t="shared" si="200"/>
        <v>0.12747683187815367</v>
      </c>
      <c r="DP60" s="78">
        <f t="shared" si="200"/>
        <v>0.12445170613863286</v>
      </c>
      <c r="DQ60" s="78">
        <f t="shared" si="200"/>
        <v>0.10683093407925008</v>
      </c>
      <c r="DR60" s="106">
        <f t="shared" si="200"/>
        <v>0.1157173607484281</v>
      </c>
      <c r="DS60" s="65">
        <f t="shared" ref="DS60:EB60" si="205">DS23/DS15</f>
        <v>0.10225748149480558</v>
      </c>
      <c r="DT60" s="78">
        <f t="shared" si="205"/>
        <v>0.11919210983321794</v>
      </c>
      <c r="DU60" s="78">
        <f t="shared" si="205"/>
        <v>0.11869506167410383</v>
      </c>
      <c r="DV60" s="78">
        <f t="shared" si="205"/>
        <v>0.10268355496428437</v>
      </c>
      <c r="DW60" s="106">
        <f t="shared" si="205"/>
        <v>0.11027269164923856</v>
      </c>
      <c r="DX60" s="65">
        <f t="shared" si="205"/>
        <v>0.10146946236357664</v>
      </c>
      <c r="DY60" s="78">
        <f t="shared" si="205"/>
        <v>0.11474523431471395</v>
      </c>
      <c r="DZ60" s="78">
        <f t="shared" si="205"/>
        <v>0.11411498989335926</v>
      </c>
      <c r="EA60" s="78">
        <f t="shared" si="205"/>
        <v>9.8780508012136475E-2</v>
      </c>
      <c r="EB60" s="106">
        <f t="shared" si="205"/>
        <v>0.10690743170985577</v>
      </c>
      <c r="ED60" s="28"/>
      <c r="EE60" s="28"/>
      <c r="EG60" s="20"/>
      <c r="EH60" s="20"/>
      <c r="EI60" s="20"/>
      <c r="EJ60" s="20"/>
      <c r="EK60" s="20"/>
      <c r="EL60" s="20"/>
      <c r="EM60" s="20"/>
      <c r="EN60" s="61">
        <f>EN23/EN15</f>
        <v>0.20130268031795581</v>
      </c>
      <c r="EO60" s="61">
        <f>EO23/EO15</f>
        <v>0.21937003819044207</v>
      </c>
      <c r="EP60" s="61">
        <f t="shared" ref="EP60:EZ60" si="206">EP23/EP15</f>
        <v>0.21100633603977248</v>
      </c>
      <c r="EQ60" s="61">
        <f t="shared" si="206"/>
        <v>0.19400244798041616</v>
      </c>
      <c r="ER60" s="61">
        <f t="shared" si="206"/>
        <v>0.16635124905374715</v>
      </c>
      <c r="ES60" s="61">
        <f t="shared" si="206"/>
        <v>0.17170269078076753</v>
      </c>
      <c r="ET60" s="61">
        <f t="shared" si="206"/>
        <v>0.17796011999294159</v>
      </c>
      <c r="EU60" s="61">
        <f t="shared" si="206"/>
        <v>0.15183650537256829</v>
      </c>
      <c r="EV60" s="61">
        <f t="shared" si="206"/>
        <v>0.13288480368931424</v>
      </c>
      <c r="EW60" s="61">
        <f t="shared" si="206"/>
        <v>0.13091968372867249</v>
      </c>
      <c r="EX60" s="61">
        <f t="shared" si="206"/>
        <v>0.13157958954586499</v>
      </c>
      <c r="EY60" s="61">
        <f t="shared" si="206"/>
        <v>0.11910593998775262</v>
      </c>
      <c r="EZ60" s="61">
        <f t="shared" si="206"/>
        <v>0.11445996294985741</v>
      </c>
      <c r="FA60" s="61">
        <f>FA23/FA15</f>
        <v>0.11433900720181264</v>
      </c>
      <c r="FB60" s="61">
        <f>FB23/FB15</f>
        <v>0.10983694148051841</v>
      </c>
      <c r="FD60" s="20" t="s">
        <v>196</v>
      </c>
      <c r="FE60" s="238">
        <f t="shared" si="182"/>
        <v>0.10631428785944889</v>
      </c>
      <c r="FF60" s="97">
        <v>0.11073157725696134</v>
      </c>
      <c r="FG60" s="97">
        <f t="shared" si="194"/>
        <v>-4.4172893975124444E-3</v>
      </c>
      <c r="FH60" s="238">
        <f t="shared" si="183"/>
        <v>0.11506805951250397</v>
      </c>
      <c r="FI60" s="327">
        <f t="shared" si="195"/>
        <v>-8.7537716530550758E-3</v>
      </c>
      <c r="FJ60"/>
      <c r="FK60"/>
      <c r="FL60"/>
      <c r="FM60"/>
      <c r="FN60"/>
      <c r="FO60"/>
      <c r="FP60"/>
      <c r="FQ60"/>
      <c r="FR60"/>
    </row>
    <row r="61" spans="1:174" s="1" customFormat="1" x14ac:dyDescent="0.2">
      <c r="A61" s="1" t="s">
        <v>197</v>
      </c>
      <c r="B61" s="106">
        <f t="shared" ref="B61:G61" si="207">B24/B17</f>
        <v>4.3994342331085942E-2</v>
      </c>
      <c r="C61" s="65">
        <f t="shared" si="207"/>
        <v>3.8634298325327804E-2</v>
      </c>
      <c r="D61" s="78">
        <f t="shared" si="207"/>
        <v>5.095289428659025E-2</v>
      </c>
      <c r="E61" s="78">
        <f t="shared" si="207"/>
        <v>4.9658482554919697E-2</v>
      </c>
      <c r="F61" s="78">
        <f t="shared" si="207"/>
        <v>5.3733189055495442E-2</v>
      </c>
      <c r="G61" s="106">
        <f t="shared" si="207"/>
        <v>4.8334952666741177E-2</v>
      </c>
      <c r="H61" s="65">
        <f t="shared" ref="H61:AK61" si="208">H24/H17</f>
        <v>4.4827972654936675E-2</v>
      </c>
      <c r="I61" s="78">
        <f t="shared" si="208"/>
        <v>5.598630288589862E-2</v>
      </c>
      <c r="J61" s="78">
        <f t="shared" si="208"/>
        <v>5.3687482339643967E-2</v>
      </c>
      <c r="K61" s="78">
        <f t="shared" si="208"/>
        <v>5.2447997555821482E-2</v>
      </c>
      <c r="L61" s="106">
        <f t="shared" si="208"/>
        <v>5.1541729418841879E-2</v>
      </c>
      <c r="M61" s="65">
        <f t="shared" si="208"/>
        <v>4.8202403457781262E-2</v>
      </c>
      <c r="N61" s="78">
        <f t="shared" si="208"/>
        <v>5.7770379618070009E-2</v>
      </c>
      <c r="O61" s="78">
        <f t="shared" si="208"/>
        <v>5.662030535413793E-2</v>
      </c>
      <c r="P61" s="78">
        <f t="shared" si="208"/>
        <v>5.4243334243334239E-2</v>
      </c>
      <c r="Q61" s="106">
        <f t="shared" si="208"/>
        <v>5.4135272050221825E-2</v>
      </c>
      <c r="R61" s="65">
        <f t="shared" si="208"/>
        <v>4.9952540262973619E-2</v>
      </c>
      <c r="S61" s="78">
        <f t="shared" si="208"/>
        <v>5.9053051215439481E-2</v>
      </c>
      <c r="T61" s="78">
        <f t="shared" si="208"/>
        <v>5.6597962497271469E-2</v>
      </c>
      <c r="U61" s="78">
        <f t="shared" si="208"/>
        <v>5.6267035685830497E-2</v>
      </c>
      <c r="V61" s="106">
        <f t="shared" si="208"/>
        <v>5.5429731138181185E-2</v>
      </c>
      <c r="W61" s="65">
        <f t="shared" si="208"/>
        <v>5.3971767931012375E-2</v>
      </c>
      <c r="X61" s="78">
        <f t="shared" si="208"/>
        <v>6.3168201967952906E-2</v>
      </c>
      <c r="Y61" s="78">
        <f t="shared" si="208"/>
        <v>5.9496167931438054E-2</v>
      </c>
      <c r="Z61" s="78">
        <f t="shared" si="208"/>
        <v>5.6647082359382567E-2</v>
      </c>
      <c r="AA61" s="106">
        <f t="shared" si="208"/>
        <v>5.8178513227015657E-2</v>
      </c>
      <c r="AB61" s="65">
        <f t="shared" si="208"/>
        <v>5.5333892528696547E-2</v>
      </c>
      <c r="AC61" s="78">
        <f t="shared" si="208"/>
        <v>6.306101826047826E-2</v>
      </c>
      <c r="AD61" s="78">
        <f t="shared" si="208"/>
        <v>5.9662403358028228E-2</v>
      </c>
      <c r="AE61" s="78">
        <f t="shared" si="208"/>
        <v>6.1172953853634159E-2</v>
      </c>
      <c r="AF61" s="106">
        <f t="shared" si="208"/>
        <v>5.9806169084042377E-2</v>
      </c>
      <c r="AG61" s="65">
        <f t="shared" si="208"/>
        <v>5.6282187096841851E-2</v>
      </c>
      <c r="AH61" s="78">
        <f t="shared" si="208"/>
        <v>6.133439696927321E-2</v>
      </c>
      <c r="AI61" s="78">
        <f t="shared" si="208"/>
        <v>6.3195472328971325E-2</v>
      </c>
      <c r="AJ61" s="78">
        <f t="shared" si="208"/>
        <v>6.5925491925004631E-2</v>
      </c>
      <c r="AK61" s="106">
        <f t="shared" si="208"/>
        <v>6.1722247808590466E-2</v>
      </c>
      <c r="AL61" s="65">
        <f t="shared" ref="AL61:BJ61" si="209">AL24/AL17</f>
        <v>6.2459721730708337E-2</v>
      </c>
      <c r="AM61" s="78">
        <f t="shared" si="209"/>
        <v>6.3803518054383404E-2</v>
      </c>
      <c r="AN61" s="78">
        <f t="shared" si="209"/>
        <v>6.0914222219029215E-2</v>
      </c>
      <c r="AO61" s="78">
        <f t="shared" si="209"/>
        <v>6.2888494887875374E-2</v>
      </c>
      <c r="AP61" s="106">
        <f t="shared" si="209"/>
        <v>6.2500076013071809E-2</v>
      </c>
      <c r="AQ61" s="65">
        <f t="shared" si="209"/>
        <v>5.7183371432329606E-2</v>
      </c>
      <c r="AR61" s="78">
        <f t="shared" si="209"/>
        <v>6.0742648861985771E-2</v>
      </c>
      <c r="AS61" s="78">
        <f t="shared" si="209"/>
        <v>5.7644081267313282E-2</v>
      </c>
      <c r="AT61" s="78">
        <f t="shared" si="209"/>
        <v>5.7998377447819785E-2</v>
      </c>
      <c r="AU61" s="106">
        <f t="shared" si="209"/>
        <v>5.8350085792712149E-2</v>
      </c>
      <c r="AV61" s="65">
        <f t="shared" si="209"/>
        <v>5.3020197613002286E-2</v>
      </c>
      <c r="AW61" s="78">
        <f t="shared" si="209"/>
        <v>5.9807359467813202E-2</v>
      </c>
      <c r="AX61" s="78">
        <f t="shared" si="209"/>
        <v>5.5271477548568995E-2</v>
      </c>
      <c r="AY61" s="78">
        <f t="shared" si="209"/>
        <v>5.1016413025004523E-2</v>
      </c>
      <c r="AZ61" s="106">
        <f t="shared" si="209"/>
        <v>5.4621932070793078E-2</v>
      </c>
      <c r="BA61" s="65">
        <f t="shared" si="209"/>
        <v>4.9422350057626588E-2</v>
      </c>
      <c r="BB61" s="78">
        <f t="shared" si="209"/>
        <v>5.7793557189099218E-2</v>
      </c>
      <c r="BC61" s="78">
        <f t="shared" si="209"/>
        <v>5.3291954858256246E-2</v>
      </c>
      <c r="BD61" s="78">
        <f t="shared" si="209"/>
        <v>5.3322573393497386E-2</v>
      </c>
      <c r="BE61" s="106">
        <f t="shared" si="209"/>
        <v>5.3407595811156644E-2</v>
      </c>
      <c r="BF61" s="65">
        <f t="shared" si="209"/>
        <v>4.7199409335233276E-2</v>
      </c>
      <c r="BG61" s="78">
        <f t="shared" si="209"/>
        <v>5.0115016157410396E-2</v>
      </c>
      <c r="BH61" s="78">
        <f t="shared" si="209"/>
        <v>5.0180961901497852E-2</v>
      </c>
      <c r="BI61" s="78">
        <f t="shared" si="209"/>
        <v>5.1351857259447277E-2</v>
      </c>
      <c r="BJ61" s="106">
        <f t="shared" si="209"/>
        <v>4.9725681788820308E-2</v>
      </c>
      <c r="BK61" s="65">
        <f t="shared" ref="BK61:CR61" si="210">BK24/BK17</f>
        <v>4.6777995545316663E-2</v>
      </c>
      <c r="BL61" s="78">
        <f t="shared" si="210"/>
        <v>5.0268355031978275E-2</v>
      </c>
      <c r="BM61" s="78">
        <f t="shared" si="210"/>
        <v>5.0613225841317881E-2</v>
      </c>
      <c r="BN61" s="78">
        <f t="shared" si="210"/>
        <v>5.0869851102139138E-2</v>
      </c>
      <c r="BO61" s="106">
        <f t="shared" si="210"/>
        <v>4.9637161867022862E-2</v>
      </c>
      <c r="BP61" s="65">
        <f t="shared" si="210"/>
        <v>4.8128342245989303E-2</v>
      </c>
      <c r="BQ61" s="78">
        <f t="shared" si="210"/>
        <v>5.4671417260490893E-2</v>
      </c>
      <c r="BR61" s="78">
        <f t="shared" si="210"/>
        <v>5.4314464431407604E-2</v>
      </c>
      <c r="BS61" s="78">
        <f t="shared" si="210"/>
        <v>5.4939375869608426E-2</v>
      </c>
      <c r="BT61" s="106">
        <f t="shared" si="210"/>
        <v>5.2903785033227388E-2</v>
      </c>
      <c r="BU61" s="65">
        <f t="shared" si="210"/>
        <v>5.1353624961762018E-2</v>
      </c>
      <c r="BV61" s="78">
        <f t="shared" si="210"/>
        <v>5.7472249603565756E-2</v>
      </c>
      <c r="BW61" s="78">
        <f t="shared" si="210"/>
        <v>5.561795415782686E-2</v>
      </c>
      <c r="BX61" s="78">
        <f t="shared" si="210"/>
        <v>5.4743621501114684E-2</v>
      </c>
      <c r="BY61" s="106">
        <f t="shared" si="210"/>
        <v>5.4703005749595884E-2</v>
      </c>
      <c r="BZ61" s="65">
        <f t="shared" si="210"/>
        <v>4.7967091490064999E-2</v>
      </c>
      <c r="CA61" s="78">
        <f t="shared" si="210"/>
        <v>5.0696334871976952E-2</v>
      </c>
      <c r="CB61" s="78">
        <f t="shared" si="210"/>
        <v>4.7932618683001534E-2</v>
      </c>
      <c r="CC61" s="78">
        <f t="shared" si="210"/>
        <v>4.4432699083861875E-2</v>
      </c>
      <c r="CD61" s="106">
        <f t="shared" si="210"/>
        <v>4.7667967947400865E-2</v>
      </c>
      <c r="CE61" s="65">
        <f t="shared" si="210"/>
        <v>4.3310288735258232E-2</v>
      </c>
      <c r="CF61" s="78">
        <f t="shared" si="210"/>
        <v>4.6307929784255304E-2</v>
      </c>
      <c r="CG61" s="78">
        <f t="shared" si="210"/>
        <v>4.4164790941954843E-2</v>
      </c>
      <c r="CH61" s="78">
        <f t="shared" si="210"/>
        <v>4.5219169497674724E-2</v>
      </c>
      <c r="CI61" s="106">
        <f t="shared" si="210"/>
        <v>4.4732748747927452E-2</v>
      </c>
      <c r="CJ61" s="65">
        <f t="shared" si="210"/>
        <v>3.9300291545189506E-2</v>
      </c>
      <c r="CK61" s="78">
        <f t="shared" si="210"/>
        <v>4.2975362046266695E-2</v>
      </c>
      <c r="CL61" s="78">
        <f t="shared" si="210"/>
        <v>4.1446849796858892E-2</v>
      </c>
      <c r="CM61" s="78">
        <f t="shared" si="210"/>
        <v>4.2191454518386177E-2</v>
      </c>
      <c r="CN61" s="106">
        <f t="shared" si="210"/>
        <v>4.1447928356770025E-2</v>
      </c>
      <c r="CO61" s="65">
        <f t="shared" si="210"/>
        <v>3.9254455341136772E-2</v>
      </c>
      <c r="CP61" s="78">
        <f t="shared" si="210"/>
        <v>4.3131620464277667E-2</v>
      </c>
      <c r="CQ61" s="78">
        <f t="shared" si="210"/>
        <v>4.1040880250582286E-2</v>
      </c>
      <c r="CR61" s="78">
        <f t="shared" si="210"/>
        <v>4.3839738175675672E-2</v>
      </c>
      <c r="CS61" s="106">
        <f>CS24/CS17</f>
        <v>4.1797550262664046E-2</v>
      </c>
      <c r="CT61" s="65">
        <f>CT24/CT17</f>
        <v>4.0027361071799217E-2</v>
      </c>
      <c r="CU61" s="78">
        <f>CU24/CU17</f>
        <v>4.5020393412153442E-2</v>
      </c>
      <c r="CV61" s="78">
        <f>CV24/CV17</f>
        <v>4.3358932999494428E-2</v>
      </c>
      <c r="CW61" s="78">
        <f>CW24/CW17</f>
        <v>4.4345579793340986E-2</v>
      </c>
      <c r="CX61" s="106">
        <f t="shared" ref="CX61:DR61" si="211">CX24/CX17</f>
        <v>4.3142285641328069E-2</v>
      </c>
      <c r="CY61" s="65">
        <f t="shared" si="211"/>
        <v>4.2888074616922046E-2</v>
      </c>
      <c r="CZ61" s="78">
        <f>CZ24/CZ17</f>
        <v>4.7573134655417987E-2</v>
      </c>
      <c r="DA61" s="78">
        <f>DA24/DA17</f>
        <v>4.8451200524461197E-2</v>
      </c>
      <c r="DB61" s="78">
        <f>DB24/DB17</f>
        <v>4.7672336615935548E-2</v>
      </c>
      <c r="DC61" s="106">
        <f t="shared" si="211"/>
        <v>4.6647914959791682E-2</v>
      </c>
      <c r="DD61" s="65">
        <f t="shared" ref="DD61:DE61" si="212">DD24/DD17</f>
        <v>4.3826184051363168E-2</v>
      </c>
      <c r="DE61" s="78">
        <f t="shared" si="212"/>
        <v>4.962749339101178E-2</v>
      </c>
      <c r="DF61" s="78">
        <f t="shared" ref="DF61:DG61" si="213">DF24/DF17</f>
        <v>4.7269950362733869E-2</v>
      </c>
      <c r="DG61" s="78">
        <f t="shared" si="213"/>
        <v>4.3756128309287011E-2</v>
      </c>
      <c r="DH61" s="106">
        <f t="shared" si="211"/>
        <v>4.6012600922316203E-2</v>
      </c>
      <c r="DI61" s="65">
        <f t="shared" si="211"/>
        <v>4.3555617575747003E-2</v>
      </c>
      <c r="DJ61" s="65">
        <f t="shared" ref="DJ61:DK61" si="214">DJ24/DJ17</f>
        <v>4.7903286739705328E-2</v>
      </c>
      <c r="DK61" s="78">
        <f t="shared" si="214"/>
        <v>4.4617150931731873E-2</v>
      </c>
      <c r="DL61" s="78">
        <f t="shared" ref="DL61" si="215">DL24/DL17</f>
        <v>4.4820385027113351E-2</v>
      </c>
      <c r="DM61" s="106">
        <f t="shared" si="211"/>
        <v>4.5174143576319867E-2</v>
      </c>
      <c r="DN61" s="65">
        <f t="shared" si="211"/>
        <v>4.260994122198989E-2</v>
      </c>
      <c r="DO61" s="78">
        <f t="shared" si="211"/>
        <v>4.8191006782731104E-2</v>
      </c>
      <c r="DP61" s="78">
        <f t="shared" si="211"/>
        <v>4.505630189701932E-2</v>
      </c>
      <c r="DQ61" s="78">
        <f t="shared" si="211"/>
        <v>4.4627847105761634E-2</v>
      </c>
      <c r="DR61" s="106">
        <f t="shared" si="211"/>
        <v>4.509871301602425E-2</v>
      </c>
      <c r="DS61" s="65">
        <f t="shared" ref="DS61:EB61" si="216">DS24/DS17</f>
        <v>4.3029211076791751E-2</v>
      </c>
      <c r="DT61" s="78">
        <f t="shared" si="216"/>
        <v>4.6333050836862802E-2</v>
      </c>
      <c r="DU61" s="78">
        <f t="shared" si="216"/>
        <v>4.3239911988537959E-2</v>
      </c>
      <c r="DV61" s="78">
        <f t="shared" si="216"/>
        <v>4.3010952233043416E-2</v>
      </c>
      <c r="DW61" s="106">
        <f t="shared" si="216"/>
        <v>4.3868930564097998E-2</v>
      </c>
      <c r="DX61" s="65">
        <f t="shared" si="216"/>
        <v>4.2122949615096009E-2</v>
      </c>
      <c r="DY61" s="78">
        <f t="shared" si="216"/>
        <v>4.5575547736267367E-2</v>
      </c>
      <c r="DZ61" s="78">
        <f t="shared" si="216"/>
        <v>4.2552354082231528E-2</v>
      </c>
      <c r="EA61" s="78">
        <f t="shared" si="216"/>
        <v>4.2378277096313768E-2</v>
      </c>
      <c r="EB61" s="106">
        <f t="shared" si="216"/>
        <v>4.3125312629352881E-2</v>
      </c>
      <c r="ED61" s="28"/>
      <c r="EE61" s="28"/>
      <c r="EG61" s="20"/>
      <c r="EH61" s="20"/>
      <c r="EI61" s="20"/>
      <c r="EJ61" s="20"/>
      <c r="EK61" s="20"/>
      <c r="EL61" s="20"/>
      <c r="EM61" s="20"/>
      <c r="EN61" s="61">
        <f>EN24/EN17</f>
        <v>5.256270323665356E-2</v>
      </c>
      <c r="EO61" s="61">
        <f>EO24/EO17</f>
        <v>4.9474981826926556E-2</v>
      </c>
      <c r="EP61" s="61">
        <f t="shared" ref="EP61:EZ61" si="217">EP24/EP17</f>
        <v>4.9897723531650125E-2</v>
      </c>
      <c r="EQ61" s="61">
        <f t="shared" si="217"/>
        <v>5.3799386155259719E-2</v>
      </c>
      <c r="ER61" s="61">
        <f t="shared" si="217"/>
        <v>5.373351817933434E-2</v>
      </c>
      <c r="ES61" s="61">
        <f t="shared" si="217"/>
        <v>4.6417630652462162E-2</v>
      </c>
      <c r="ET61" s="61">
        <f t="shared" si="217"/>
        <v>4.3547513095453134E-2</v>
      </c>
      <c r="EU61" s="61">
        <f t="shared" si="217"/>
        <v>4.1377995762494416E-2</v>
      </c>
      <c r="EV61" s="61">
        <f t="shared" si="217"/>
        <v>4.193740082150809E-2</v>
      </c>
      <c r="EW61" s="61">
        <f t="shared" si="217"/>
        <v>4.3846809511213003E-2</v>
      </c>
      <c r="EX61" s="61">
        <f t="shared" si="217"/>
        <v>4.6794709370090719E-2</v>
      </c>
      <c r="EY61" s="61">
        <f t="shared" si="217"/>
        <v>4.5904785631571417E-2</v>
      </c>
      <c r="EZ61" s="61">
        <f t="shared" si="217"/>
        <v>4.4897151028489721E-2</v>
      </c>
      <c r="FA61" s="61">
        <f>FA24/FA17</f>
        <v>4.5144946389236711E-2</v>
      </c>
      <c r="FB61" s="61">
        <f>FB24/FB17</f>
        <v>4.3609895605475478E-2</v>
      </c>
      <c r="FD61" s="20" t="s">
        <v>197</v>
      </c>
      <c r="FE61" s="238">
        <f t="shared" si="182"/>
        <v>4.260994122198989E-2</v>
      </c>
      <c r="FF61" s="97">
        <v>4.248598330981386E-2</v>
      </c>
      <c r="FG61" s="97">
        <f t="shared" si="194"/>
        <v>1.2395791217603008E-4</v>
      </c>
      <c r="FH61" s="238">
        <f t="shared" si="183"/>
        <v>4.3555617575747003E-2</v>
      </c>
      <c r="FI61" s="327">
        <f t="shared" si="195"/>
        <v>-9.4567635375711334E-4</v>
      </c>
      <c r="FJ61"/>
      <c r="FK61"/>
      <c r="FL61"/>
      <c r="FM61"/>
      <c r="FN61"/>
      <c r="FO61"/>
      <c r="FP61"/>
      <c r="FQ61"/>
      <c r="FR61"/>
    </row>
    <row r="62" spans="1:174" s="1" customFormat="1" x14ac:dyDescent="0.2">
      <c r="A62" s="1" t="s">
        <v>521</v>
      </c>
      <c r="B62" s="106">
        <v>7.0099640955626596E-2</v>
      </c>
      <c r="C62" s="65">
        <v>4.9738197239170903E-2</v>
      </c>
      <c r="D62" s="78">
        <v>6.4175724189767899E-2</v>
      </c>
      <c r="E62" s="78">
        <v>5.3761726551093403E-2</v>
      </c>
      <c r="F62" s="78">
        <v>7.7283969701654007E-2</v>
      </c>
      <c r="G62" s="106">
        <v>6.1567629381873198E-2</v>
      </c>
      <c r="H62" s="65">
        <f t="shared" ref="H62:AK62" si="218">H25/H17</f>
        <v>3.8929555200339742E-2</v>
      </c>
      <c r="I62" s="78">
        <f t="shared" si="218"/>
        <v>6.31473416271182E-2</v>
      </c>
      <c r="J62" s="78">
        <f t="shared" si="218"/>
        <v>5.6513139304888389E-2</v>
      </c>
      <c r="K62" s="78">
        <f t="shared" si="218"/>
        <v>5.5503220714413021E-2</v>
      </c>
      <c r="L62" s="106">
        <f t="shared" si="218"/>
        <v>5.3551713295899778E-2</v>
      </c>
      <c r="M62" s="65">
        <f t="shared" si="218"/>
        <v>5.3798812428691591E-2</v>
      </c>
      <c r="N62" s="78">
        <f t="shared" si="218"/>
        <v>6.1201276182549599E-2</v>
      </c>
      <c r="O62" s="78">
        <f t="shared" si="218"/>
        <v>5.8081976408547301E-2</v>
      </c>
      <c r="P62" s="78">
        <f t="shared" si="218"/>
        <v>6.1155701155701146E-2</v>
      </c>
      <c r="Q62" s="106">
        <f t="shared" si="218"/>
        <v>5.8586993632049125E-2</v>
      </c>
      <c r="R62" s="65">
        <f t="shared" si="218"/>
        <v>5.5342721543608503E-2</v>
      </c>
      <c r="S62" s="78">
        <f t="shared" si="218"/>
        <v>6.5393591041955274E-2</v>
      </c>
      <c r="T62" s="78">
        <f t="shared" si="218"/>
        <v>6.1561646866748997E-2</v>
      </c>
      <c r="U62" s="78">
        <f t="shared" si="218"/>
        <v>5.562404774884331E-2</v>
      </c>
      <c r="V62" s="106">
        <f t="shared" si="218"/>
        <v>5.927629055354084E-2</v>
      </c>
      <c r="W62" s="65">
        <f t="shared" si="218"/>
        <v>5.0190070949960308E-2</v>
      </c>
      <c r="X62" s="78">
        <f t="shared" si="218"/>
        <v>5.9525520060028411E-2</v>
      </c>
      <c r="Y62" s="78">
        <f t="shared" si="218"/>
        <v>5.8233756182278093E-2</v>
      </c>
      <c r="Z62" s="78">
        <f t="shared" si="218"/>
        <v>4.6909680544148923E-2</v>
      </c>
      <c r="AA62" s="106">
        <f t="shared" si="218"/>
        <v>5.3380052162878652E-2</v>
      </c>
      <c r="AB62" s="65">
        <f t="shared" si="218"/>
        <v>4.9392441794563716E-2</v>
      </c>
      <c r="AC62" s="78">
        <f t="shared" si="218"/>
        <v>5.649064081410312E-2</v>
      </c>
      <c r="AD62" s="78">
        <f t="shared" si="218"/>
        <v>5.0314815147003422E-2</v>
      </c>
      <c r="AE62" s="78">
        <f t="shared" si="218"/>
        <v>4.688425572421067E-2</v>
      </c>
      <c r="AF62" s="106">
        <f t="shared" si="218"/>
        <v>5.0607374832841043E-2</v>
      </c>
      <c r="AG62" s="65">
        <f t="shared" si="218"/>
        <v>5.2259034113640211E-2</v>
      </c>
      <c r="AH62" s="78">
        <f t="shared" si="218"/>
        <v>6.7430175054982777E-2</v>
      </c>
      <c r="AI62" s="78">
        <f t="shared" si="218"/>
        <v>5.3790989017289591E-2</v>
      </c>
      <c r="AJ62" s="78">
        <f t="shared" si="218"/>
        <v>5.5769386950064961E-2</v>
      </c>
      <c r="AK62" s="106">
        <f t="shared" si="218"/>
        <v>6.7894812342864042E-2</v>
      </c>
      <c r="AL62" s="65">
        <f t="shared" ref="AL62:BJ62" si="219">AL25/AL17</f>
        <v>5.1070672453078531E-2</v>
      </c>
      <c r="AM62" s="78">
        <f t="shared" si="219"/>
        <v>6.2963393286917926E-2</v>
      </c>
      <c r="AN62" s="78">
        <f t="shared" si="219"/>
        <v>5.6273184235797302E-2</v>
      </c>
      <c r="AO62" s="78">
        <f t="shared" si="219"/>
        <v>5.4000355987877918E-2</v>
      </c>
      <c r="AP62" s="106">
        <f t="shared" si="219"/>
        <v>7.1324889598614494E-2</v>
      </c>
      <c r="AQ62" s="65">
        <f t="shared" si="219"/>
        <v>6.072887000436461E-2</v>
      </c>
      <c r="AR62" s="78">
        <f t="shared" si="219"/>
        <v>6.2410003709890735E-2</v>
      </c>
      <c r="AS62" s="78">
        <f t="shared" si="219"/>
        <v>4.7575368256981256E-2</v>
      </c>
      <c r="AT62" s="78">
        <f t="shared" si="219"/>
        <v>5.2793999702131243E-2</v>
      </c>
      <c r="AU62" s="106">
        <f t="shared" si="219"/>
        <v>6.0004598185115478E-2</v>
      </c>
      <c r="AV62" s="65">
        <f t="shared" si="219"/>
        <v>5.4962140695649607E-2</v>
      </c>
      <c r="AW62" s="78">
        <f t="shared" si="219"/>
        <v>6.4446106095717562E-2</v>
      </c>
      <c r="AX62" s="78">
        <f t="shared" si="219"/>
        <v>5.5628649926328454E-2</v>
      </c>
      <c r="AY62" s="78">
        <f t="shared" si="219"/>
        <v>5.541675239128685E-2</v>
      </c>
      <c r="AZ62" s="106">
        <f t="shared" si="219"/>
        <v>5.7476162332433682E-2</v>
      </c>
      <c r="BA62" s="65">
        <f t="shared" si="219"/>
        <v>5.2593070717136488E-2</v>
      </c>
      <c r="BB62" s="78">
        <f t="shared" si="219"/>
        <v>5.3946228261241735E-2</v>
      </c>
      <c r="BC62" s="78">
        <f t="shared" si="219"/>
        <v>5.6584502799664628E-2</v>
      </c>
      <c r="BD62" s="78">
        <f t="shared" si="219"/>
        <v>6.0840468623906956E-2</v>
      </c>
      <c r="BE62" s="106">
        <f t="shared" si="219"/>
        <v>5.6068013753473707E-2</v>
      </c>
      <c r="BF62" s="65">
        <f t="shared" si="219"/>
        <v>6.3763771320081986E-2</v>
      </c>
      <c r="BG62" s="78">
        <f t="shared" si="219"/>
        <v>6.3426452761713464E-2</v>
      </c>
      <c r="BH62" s="78">
        <f t="shared" si="219"/>
        <v>5.8695108605149628E-2</v>
      </c>
      <c r="BI62" s="78">
        <f t="shared" si="219"/>
        <v>5.731834847044083E-2</v>
      </c>
      <c r="BJ62" s="106">
        <f t="shared" si="219"/>
        <v>6.074566883893575E-2</v>
      </c>
      <c r="BK62" s="65">
        <f t="shared" ref="BK62:CR62" si="220">BK25/BK17</f>
        <v>4.8914070117751535E-2</v>
      </c>
      <c r="BL62" s="78">
        <f t="shared" si="220"/>
        <v>5.5907224438440602E-2</v>
      </c>
      <c r="BM62" s="78">
        <f t="shared" si="220"/>
        <v>5.066239411337102E-2</v>
      </c>
      <c r="BN62" s="78">
        <f t="shared" si="220"/>
        <v>5.0518346453305801E-2</v>
      </c>
      <c r="BO62" s="106">
        <f t="shared" si="220"/>
        <v>5.1444419522207789E-2</v>
      </c>
      <c r="BP62" s="65">
        <f t="shared" si="220"/>
        <v>4.5490677843619022E-2</v>
      </c>
      <c r="BQ62" s="78">
        <f t="shared" si="220"/>
        <v>4.655581947743468E-2</v>
      </c>
      <c r="BR62" s="78">
        <f t="shared" si="220"/>
        <v>4.5106647499902876E-2</v>
      </c>
      <c r="BS62" s="78">
        <f t="shared" si="220"/>
        <v>3.8322401113098793E-2</v>
      </c>
      <c r="BT62" s="106">
        <f t="shared" si="220"/>
        <v>4.3917942791100839E-2</v>
      </c>
      <c r="BU62" s="65">
        <f t="shared" si="220"/>
        <v>4.0226368920159072E-2</v>
      </c>
      <c r="BV62" s="78">
        <f t="shared" si="220"/>
        <v>4.4700638580551143E-2</v>
      </c>
      <c r="BW62" s="78">
        <f t="shared" si="220"/>
        <v>4.5883772203502642E-2</v>
      </c>
      <c r="BX62" s="78">
        <f t="shared" si="220"/>
        <v>5.4991330195689858E-2</v>
      </c>
      <c r="BY62" s="106">
        <f t="shared" si="220"/>
        <v>4.6344607451967341E-2</v>
      </c>
      <c r="BZ62" s="65">
        <f t="shared" si="220"/>
        <v>5.0280971094869058E-2</v>
      </c>
      <c r="CA62" s="78">
        <f t="shared" si="220"/>
        <v>5.4838836943227991E-2</v>
      </c>
      <c r="CB62" s="78">
        <f t="shared" si="220"/>
        <v>5.0803981623277178E-2</v>
      </c>
      <c r="CC62" s="78">
        <f t="shared" si="220"/>
        <v>5.6694855532064839E-2</v>
      </c>
      <c r="CD62" s="106">
        <f t="shared" si="220"/>
        <v>5.318751517642005E-2</v>
      </c>
      <c r="CE62" s="65">
        <f t="shared" si="220"/>
        <v>6.2762640639826478E-2</v>
      </c>
      <c r="CF62" s="78">
        <f t="shared" si="220"/>
        <v>6.5190077897835375E-2</v>
      </c>
      <c r="CG62" s="78">
        <f t="shared" si="220"/>
        <v>6.4865970943319001E-2</v>
      </c>
      <c r="CH62" s="78">
        <f t="shared" si="220"/>
        <v>6.3425574722121444E-2</v>
      </c>
      <c r="CI62" s="106">
        <f t="shared" si="220"/>
        <v>6.4039450968326403E-2</v>
      </c>
      <c r="CJ62" s="65">
        <f t="shared" si="220"/>
        <v>5.5830903790087462E-2</v>
      </c>
      <c r="CK62" s="78">
        <f t="shared" si="220"/>
        <v>6.485486803335215E-2</v>
      </c>
      <c r="CL62" s="78">
        <f t="shared" si="220"/>
        <v>6.0335940816202784E-2</v>
      </c>
      <c r="CM62" s="78">
        <f t="shared" si="220"/>
        <v>6.0681852017269618E-2</v>
      </c>
      <c r="CN62" s="106">
        <f t="shared" si="220"/>
        <v>6.0345411956104218E-2</v>
      </c>
      <c r="CO62" s="65">
        <f t="shared" si="220"/>
        <v>6.1135716545397033E-2</v>
      </c>
      <c r="CP62" s="78">
        <f t="shared" si="220"/>
        <v>6.4880549921117872E-2</v>
      </c>
      <c r="CQ62" s="78">
        <f t="shared" si="220"/>
        <v>6.6821942012689733E-2</v>
      </c>
      <c r="CR62" s="78">
        <f t="shared" si="220"/>
        <v>5.9675886824324322E-2</v>
      </c>
      <c r="CS62" s="106">
        <f>CS25/CS17</f>
        <v>6.3086453800052483E-2</v>
      </c>
      <c r="CT62" s="65">
        <f>CT25/CT17</f>
        <v>5.7222379469761289E-2</v>
      </c>
      <c r="CU62" s="78">
        <f>CU25/CU17</f>
        <v>6.2109556507821774E-2</v>
      </c>
      <c r="CV62" s="78">
        <f>CV25/CV17</f>
        <v>6.485783759058189E-2</v>
      </c>
      <c r="CW62" s="78">
        <f>CW25/CW17</f>
        <v>5.707041714504401E-2</v>
      </c>
      <c r="CX62" s="106">
        <f t="shared" ref="CX62:DR62" si="221">CX25/CX17</f>
        <v>6.0263012299442476E-2</v>
      </c>
      <c r="CY62" s="65">
        <f t="shared" si="221"/>
        <v>6.2125249833444356E-2</v>
      </c>
      <c r="CZ62" s="78">
        <f>CZ25/CZ17</f>
        <v>6.7031883422811439E-2</v>
      </c>
      <c r="DA62" s="78">
        <f>DA25/DA17</f>
        <v>5.9104318610177828E-2</v>
      </c>
      <c r="DB62" s="78">
        <f>DB25/DB17</f>
        <v>6.1833645316187846E-2</v>
      </c>
      <c r="DC62" s="106">
        <f t="shared" si="221"/>
        <v>6.2449446059271385E-2</v>
      </c>
      <c r="DD62" s="65">
        <f t="shared" ref="DD62:DE62" si="222">DD25/DD17</f>
        <v>5.6853075276821437E-2</v>
      </c>
      <c r="DE62" s="78">
        <f t="shared" si="222"/>
        <v>6.6190018425058075E-2</v>
      </c>
      <c r="DF62" s="78">
        <f t="shared" ref="DF62:DG62" si="223">DF25/DF17</f>
        <v>6.174112256586483E-2</v>
      </c>
      <c r="DG62" s="78">
        <f t="shared" si="223"/>
        <v>7.0247933884297509E-2</v>
      </c>
      <c r="DH62" s="106">
        <f t="shared" si="221"/>
        <v>6.3830286312095655E-2</v>
      </c>
      <c r="DI62" s="65">
        <f t="shared" si="221"/>
        <v>6.2167489403268848E-2</v>
      </c>
      <c r="DJ62" s="65">
        <f t="shared" ref="DJ62:DK62" si="224">DJ25/DJ17</f>
        <v>6.1730260672459389E-2</v>
      </c>
      <c r="DK62" s="78">
        <f t="shared" si="224"/>
        <v>5.7405281285878303E-2</v>
      </c>
      <c r="DL62" s="78">
        <f t="shared" ref="DL62" si="225">DL25/DL17</f>
        <v>6.7599108506045655E-2</v>
      </c>
      <c r="DM62" s="106">
        <f t="shared" si="221"/>
        <v>6.2242313516507573E-2</v>
      </c>
      <c r="DN62" s="65">
        <f t="shared" si="221"/>
        <v>6.2416648830202343E-2</v>
      </c>
      <c r="DO62" s="78">
        <f t="shared" si="221"/>
        <v>5.7032231718610264E-2</v>
      </c>
      <c r="DP62" s="78">
        <f t="shared" si="221"/>
        <v>5.6706403511925157E-2</v>
      </c>
      <c r="DQ62" s="78">
        <f t="shared" si="221"/>
        <v>5.6331364155349284E-2</v>
      </c>
      <c r="DR62" s="106">
        <f t="shared" si="221"/>
        <v>5.8088080512306191E-2</v>
      </c>
      <c r="DS62" s="65">
        <f t="shared" ref="DS62:EB62" si="226">DS25/DS17</f>
        <v>6.3727185601014855E-2</v>
      </c>
      <c r="DT62" s="78">
        <f t="shared" si="226"/>
        <v>5.8425476460852784E-2</v>
      </c>
      <c r="DU62" s="78">
        <f t="shared" si="226"/>
        <v>5.8074924338488647E-2</v>
      </c>
      <c r="DV62" s="78">
        <f t="shared" si="226"/>
        <v>5.7602907940503531E-2</v>
      </c>
      <c r="DW62" s="106">
        <f t="shared" si="226"/>
        <v>5.9435494815422395E-2</v>
      </c>
      <c r="DX62" s="65">
        <f t="shared" si="226"/>
        <v>6.4822299613438356E-2</v>
      </c>
      <c r="DY62" s="78">
        <f t="shared" si="226"/>
        <v>5.9421036461628926E-2</v>
      </c>
      <c r="DZ62" s="78">
        <f t="shared" si="226"/>
        <v>5.9088456057397473E-2</v>
      </c>
      <c r="EA62" s="78">
        <f t="shared" si="226"/>
        <v>5.8568650059113013E-2</v>
      </c>
      <c r="EB62" s="106">
        <f t="shared" si="226"/>
        <v>6.0452765338343838E-2</v>
      </c>
      <c r="ED62" s="28"/>
      <c r="EE62" s="28"/>
      <c r="EG62" s="20"/>
      <c r="EH62" s="20"/>
      <c r="EI62" s="20"/>
      <c r="EJ62" s="20"/>
      <c r="EK62" s="20"/>
      <c r="EL62" s="20"/>
      <c r="EM62" s="20"/>
      <c r="EN62" s="61">
        <f>ES66</f>
        <v>0.33219112887873581</v>
      </c>
      <c r="EO62" s="61">
        <f>EO25/EO17</f>
        <v>5.6639077218415428E-2</v>
      </c>
      <c r="EP62" s="61">
        <f t="shared" ref="EP62:EZ62" si="227">EP25/EP17</f>
        <v>5.0373832860277946E-2</v>
      </c>
      <c r="EQ62" s="61">
        <f t="shared" si="227"/>
        <v>4.2548824115887639E-2</v>
      </c>
      <c r="ER62" s="61">
        <f t="shared" si="227"/>
        <v>4.904827921190838E-2</v>
      </c>
      <c r="ES62" s="61">
        <f t="shared" si="227"/>
        <v>5.6494901924923409E-2</v>
      </c>
      <c r="ET62" s="61">
        <f t="shared" si="227"/>
        <v>6.2037143467051997E-2</v>
      </c>
      <c r="EU62" s="61">
        <f t="shared" si="227"/>
        <v>6.1700427416221296E-2</v>
      </c>
      <c r="EV62" s="61">
        <f t="shared" si="227"/>
        <v>6.1946151384743971E-2</v>
      </c>
      <c r="EW62" s="61">
        <f t="shared" si="227"/>
        <v>6.1546600828851071E-2</v>
      </c>
      <c r="EX62" s="61">
        <f t="shared" si="227"/>
        <v>6.1004408858257739E-2</v>
      </c>
      <c r="EY62" s="61">
        <f t="shared" si="227"/>
        <v>6.5120205948706586E-2</v>
      </c>
      <c r="EZ62" s="61">
        <f t="shared" si="227"/>
        <v>6.2307776922230773E-2</v>
      </c>
      <c r="FA62" s="61">
        <f>FA25/FA17</f>
        <v>5.8548015759657603E-2</v>
      </c>
      <c r="FB62" s="61">
        <f>FB25/FB17</f>
        <v>5.9823450307718851E-2</v>
      </c>
      <c r="FD62" s="20" t="s">
        <v>521</v>
      </c>
      <c r="FE62" s="238">
        <f t="shared" si="182"/>
        <v>6.2416648830202343E-2</v>
      </c>
      <c r="FF62" s="97">
        <v>6.6707534584314304E-2</v>
      </c>
      <c r="FG62" s="97">
        <f t="shared" si="194"/>
        <v>-4.2908857541119616E-3</v>
      </c>
      <c r="FH62" s="238">
        <f t="shared" si="183"/>
        <v>6.2167489403268848E-2</v>
      </c>
      <c r="FI62" s="327">
        <f t="shared" si="195"/>
        <v>2.491594269334943E-4</v>
      </c>
      <c r="FJ62"/>
      <c r="FK62"/>
      <c r="FL62"/>
      <c r="FM62"/>
      <c r="FN62"/>
      <c r="FO62"/>
      <c r="FP62"/>
      <c r="FQ62"/>
      <c r="FR62"/>
    </row>
    <row r="63" spans="1:174" s="1" customFormat="1" x14ac:dyDescent="0.2">
      <c r="A63" s="1" t="s">
        <v>522</v>
      </c>
      <c r="B63" s="106">
        <f>B29/B17</f>
        <v>8.1779989681422693E-2</v>
      </c>
      <c r="C63" s="65">
        <f>C29/C17</f>
        <v>0.12258427452507678</v>
      </c>
      <c r="D63" s="78">
        <f>D29/D17</f>
        <v>6.9981110242995442E-2</v>
      </c>
      <c r="E63" s="78">
        <f>E29/E17</f>
        <v>8.6486985416282011E-2</v>
      </c>
      <c r="F63" s="78">
        <f>F29/F17</f>
        <v>6.6223527593136447E-2</v>
      </c>
      <c r="G63" s="106">
        <v>8.6229503968083404E-2</v>
      </c>
      <c r="H63" s="65">
        <f t="shared" ref="H63:AK63" si="228">H29/H17</f>
        <v>9.3041636928812052E-2</v>
      </c>
      <c r="I63" s="78">
        <f t="shared" si="228"/>
        <v>4.9287476645248525E-2</v>
      </c>
      <c r="J63" s="78">
        <f t="shared" si="228"/>
        <v>8.2430064990110158E-2</v>
      </c>
      <c r="K63" s="78">
        <f t="shared" si="228"/>
        <v>9.6769101509789401E-2</v>
      </c>
      <c r="L63" s="106">
        <f t="shared" si="228"/>
        <v>8.1802036687948526E-2</v>
      </c>
      <c r="M63" s="65">
        <f t="shared" si="228"/>
        <v>8.6452859415208555E-2</v>
      </c>
      <c r="N63" s="78">
        <f t="shared" si="228"/>
        <v>6.2801128219355365E-2</v>
      </c>
      <c r="O63" s="78">
        <f t="shared" si="228"/>
        <v>9.240053881207487E-2</v>
      </c>
      <c r="P63" s="78">
        <f t="shared" si="228"/>
        <v>0.10661206661206681</v>
      </c>
      <c r="Q63" s="106">
        <f t="shared" si="228"/>
        <v>8.8341349234584615E-2</v>
      </c>
      <c r="R63" s="65">
        <f t="shared" si="228"/>
        <v>0.10419668559869281</v>
      </c>
      <c r="S63" s="78">
        <f t="shared" si="228"/>
        <v>7.2279444389875436E-2</v>
      </c>
      <c r="T63" s="78">
        <f t="shared" si="228"/>
        <v>9.7210469187779883E-2</v>
      </c>
      <c r="U63" s="78">
        <f t="shared" si="228"/>
        <v>0.10468402734096544</v>
      </c>
      <c r="V63" s="106">
        <f t="shared" si="228"/>
        <v>9.5344089028671225E-2</v>
      </c>
      <c r="W63" s="65">
        <f t="shared" si="228"/>
        <v>0.10151169269151315</v>
      </c>
      <c r="X63" s="78">
        <f t="shared" si="228"/>
        <v>7.1222546843984685E-2</v>
      </c>
      <c r="Y63" s="78">
        <f t="shared" si="228"/>
        <v>9.0171593611960602E-2</v>
      </c>
      <c r="Z63" s="78">
        <f t="shared" si="228"/>
        <v>0.10651125571208955</v>
      </c>
      <c r="AA63" s="106">
        <f t="shared" si="228"/>
        <v>9.3289058770732014E-2</v>
      </c>
      <c r="AB63" s="65">
        <f t="shared" si="228"/>
        <v>0.10321121715671831</v>
      </c>
      <c r="AC63" s="78">
        <f t="shared" si="228"/>
        <v>6.9507053928805435E-2</v>
      </c>
      <c r="AD63" s="78">
        <f t="shared" si="228"/>
        <v>9.7332591888352776E-2</v>
      </c>
      <c r="AE63" s="78">
        <f t="shared" si="228"/>
        <v>0.11660029652558296</v>
      </c>
      <c r="AF63" s="106">
        <f t="shared" si="228"/>
        <v>9.745551000014703E-2</v>
      </c>
      <c r="AG63" s="65">
        <f t="shared" si="228"/>
        <v>0.11396236366605889</v>
      </c>
      <c r="AH63" s="78">
        <f t="shared" si="228"/>
        <v>8.0811965268684616E-2</v>
      </c>
      <c r="AI63" s="78">
        <f t="shared" si="228"/>
        <v>0.1075895221411985</v>
      </c>
      <c r="AJ63" s="78">
        <f t="shared" si="228"/>
        <v>0.1201909689994432</v>
      </c>
      <c r="AK63" s="106">
        <f t="shared" si="228"/>
        <v>0.10578373562654315</v>
      </c>
      <c r="AL63" s="65">
        <f t="shared" ref="AL63:BJ63" si="229">AL29/AL17</f>
        <v>0.11425183308809382</v>
      </c>
      <c r="AM63" s="78">
        <f t="shared" si="229"/>
        <v>8.4811744382463444E-2</v>
      </c>
      <c r="AN63" s="78">
        <f t="shared" si="229"/>
        <v>0.10441497297517345</v>
      </c>
      <c r="AO63" s="78">
        <f t="shared" si="229"/>
        <v>0.10264817995418386</v>
      </c>
      <c r="AP63" s="106">
        <f t="shared" si="229"/>
        <v>9.618329244843575E-2</v>
      </c>
      <c r="AQ63" s="65">
        <f t="shared" si="229"/>
        <v>0.12041043281389825</v>
      </c>
      <c r="AR63" s="78">
        <f t="shared" si="229"/>
        <v>8.9597005258822429E-2</v>
      </c>
      <c r="AS63" s="78">
        <f t="shared" si="229"/>
        <v>0.10225747895398814</v>
      </c>
      <c r="AT63" s="78">
        <f t="shared" si="229"/>
        <v>0.1039441708841613</v>
      </c>
      <c r="AU63" s="106">
        <f t="shared" si="229"/>
        <v>0.10421048008340524</v>
      </c>
      <c r="AV63" s="65">
        <f t="shared" si="229"/>
        <v>0.13632705818258159</v>
      </c>
      <c r="AW63" s="78">
        <f t="shared" si="229"/>
        <v>9.9719757499186143E-2</v>
      </c>
      <c r="AX63" s="78">
        <f t="shared" si="229"/>
        <v>0.11613638069873843</v>
      </c>
      <c r="AY63" s="78">
        <f t="shared" si="229"/>
        <v>0.10682537705644478</v>
      </c>
      <c r="AZ63" s="106">
        <f t="shared" si="229"/>
        <v>0.11461818838448602</v>
      </c>
      <c r="BA63" s="65">
        <f t="shared" si="229"/>
        <v>0.14292841217355423</v>
      </c>
      <c r="BB63" s="78">
        <f t="shared" si="229"/>
        <v>0.10355984924106941</v>
      </c>
      <c r="BC63" s="78">
        <f t="shared" si="229"/>
        <v>0.12459116281131399</v>
      </c>
      <c r="BD63" s="78">
        <f t="shared" si="229"/>
        <v>0.11843668279653166</v>
      </c>
      <c r="BE63" s="106">
        <f t="shared" si="229"/>
        <v>0.12255899392397901</v>
      </c>
      <c r="BF63" s="65">
        <f t="shared" si="229"/>
        <v>0.14470924857762713</v>
      </c>
      <c r="BG63" s="78">
        <f t="shared" si="229"/>
        <v>0.10705888466673952</v>
      </c>
      <c r="BH63" s="78">
        <f t="shared" si="229"/>
        <v>0.1092712483188393</v>
      </c>
      <c r="BI63" s="78">
        <f t="shared" si="229"/>
        <v>9.8653508739090207E-2</v>
      </c>
      <c r="BJ63" s="106">
        <f t="shared" si="229"/>
        <v>0.11480578640498416</v>
      </c>
      <c r="BK63" s="65">
        <f t="shared" ref="BK63:CR63" si="230">BK29/BK17</f>
        <v>0.13572223898989824</v>
      </c>
      <c r="BL63" s="78">
        <f t="shared" si="230"/>
        <v>0.10683394263329303</v>
      </c>
      <c r="BM63" s="78">
        <f t="shared" si="230"/>
        <v>0.10393748847618627</v>
      </c>
      <c r="BN63" s="78">
        <f t="shared" si="230"/>
        <v>0.10161393072736469</v>
      </c>
      <c r="BO63" s="106">
        <f t="shared" si="230"/>
        <v>0.11198484151883595</v>
      </c>
      <c r="BP63" s="65">
        <f t="shared" si="230"/>
        <v>0.1203569880040468</v>
      </c>
      <c r="BQ63" s="78">
        <f t="shared" si="230"/>
        <v>7.0530482977038789E-2</v>
      </c>
      <c r="BR63" s="78">
        <f t="shared" si="230"/>
        <v>-8.4307859668208748E-3</v>
      </c>
      <c r="BS63" s="78">
        <f t="shared" si="230"/>
        <v>5.6847545219638343E-3</v>
      </c>
      <c r="BT63" s="106">
        <f t="shared" si="230"/>
        <v>4.8527400558605376E-2</v>
      </c>
      <c r="BU63" s="65">
        <f t="shared" si="230"/>
        <v>4.500611807892315E-2</v>
      </c>
      <c r="BV63" s="78">
        <f t="shared" si="230"/>
        <v>1.7528821840312053E-2</v>
      </c>
      <c r="BW63" s="78">
        <f t="shared" si="230"/>
        <v>8.4862099088980417E-2</v>
      </c>
      <c r="BX63" s="78">
        <f t="shared" si="230"/>
        <v>8.2321856163818097E-2</v>
      </c>
      <c r="BY63" s="106">
        <f t="shared" si="230"/>
        <v>5.7495958913919752E-2</v>
      </c>
      <c r="BZ63" s="65">
        <f t="shared" si="230"/>
        <v>0.12950380137363651</v>
      </c>
      <c r="CA63" s="78">
        <f t="shared" si="230"/>
        <v>0.13405925750581937</v>
      </c>
      <c r="CB63" s="78">
        <f t="shared" si="230"/>
        <v>0.12545941807044411</v>
      </c>
      <c r="CC63" s="78">
        <f t="shared" si="230"/>
        <v>0.14069767441860473</v>
      </c>
      <c r="CD63" s="106">
        <f t="shared" si="230"/>
        <v>0.13256252685058925</v>
      </c>
      <c r="CE63" s="65">
        <f t="shared" si="230"/>
        <v>0.17008946726311516</v>
      </c>
      <c r="CF63" s="78">
        <f t="shared" si="230"/>
        <v>0.1350109487740962</v>
      </c>
      <c r="CG63" s="78">
        <f t="shared" si="230"/>
        <v>0.13716663256258108</v>
      </c>
      <c r="CH63" s="78">
        <f t="shared" si="230"/>
        <v>0.14786107721230912</v>
      </c>
      <c r="CI63" s="106">
        <f t="shared" si="230"/>
        <v>0.14772746696750597</v>
      </c>
      <c r="CJ63" s="65">
        <f t="shared" si="230"/>
        <v>0.16209912536443152</v>
      </c>
      <c r="CK63" s="78">
        <f t="shared" si="230"/>
        <v>0.13491317158798813</v>
      </c>
      <c r="CL63" s="78">
        <f t="shared" si="230"/>
        <v>0.14905099751379536</v>
      </c>
      <c r="CM63" s="78">
        <f t="shared" si="230"/>
        <v>0.15471192496650291</v>
      </c>
      <c r="CN63" s="106">
        <f t="shared" si="230"/>
        <v>0.15045680844172959</v>
      </c>
      <c r="CO63" s="65">
        <f t="shared" si="230"/>
        <v>0.16624485922176527</v>
      </c>
      <c r="CP63" s="78">
        <f t="shared" si="230"/>
        <v>0.15328487716925843</v>
      </c>
      <c r="CQ63" s="78">
        <f t="shared" si="230"/>
        <v>0.16469895322999498</v>
      </c>
      <c r="CR63" s="78">
        <f t="shared" si="230"/>
        <v>-0.55827702702702697</v>
      </c>
      <c r="CS63" s="106">
        <f>CS29/CS17</f>
        <v>-2.1880822498301825E-2</v>
      </c>
      <c r="CT63" s="65">
        <f>CT29/CT17</f>
        <v>0.19188130955750551</v>
      </c>
      <c r="CU63" s="78">
        <f>CU29/CU17</f>
        <v>0.16627084516495438</v>
      </c>
      <c r="CV63" s="78">
        <f>CV29/CV17</f>
        <v>0.18501576907335626</v>
      </c>
      <c r="CW63" s="78">
        <f>CW29/CW17</f>
        <v>0.20448239571373908</v>
      </c>
      <c r="CX63" s="106">
        <f t="shared" ref="CX63:DR63" si="231">CX29/CX17</f>
        <v>0.18731874585813399</v>
      </c>
      <c r="CY63" s="65">
        <f t="shared" si="231"/>
        <v>0.19060209860093286</v>
      </c>
      <c r="CZ63" s="78">
        <f>CZ29/CZ17</f>
        <v>0.17037361674153609</v>
      </c>
      <c r="DA63" s="78">
        <f>DA29/DA17</f>
        <v>0.19228878144718506</v>
      </c>
      <c r="DB63" s="78">
        <f>DB29/DB17</f>
        <v>0.19724098640839902</v>
      </c>
      <c r="DC63" s="106">
        <f t="shared" si="231"/>
        <v>0.18791715154962513</v>
      </c>
      <c r="DD63" s="65">
        <f t="shared" ref="DD63:DE63" si="232">DD29/DD17</f>
        <v>0.1968921559504978</v>
      </c>
      <c r="DE63" s="78">
        <f t="shared" si="232"/>
        <v>0.17307538252022744</v>
      </c>
      <c r="DF63" s="78">
        <f t="shared" ref="DF63:DG63" si="233">DF29/DF17</f>
        <v>0.19516991218022142</v>
      </c>
      <c r="DG63" s="78">
        <f t="shared" si="233"/>
        <v>0.21492856142316863</v>
      </c>
      <c r="DH63" s="106">
        <f t="shared" si="231"/>
        <v>0.19572244193301722</v>
      </c>
      <c r="DI63" s="65">
        <f t="shared" si="231"/>
        <v>0.19756144359748112</v>
      </c>
      <c r="DJ63" s="65">
        <f t="shared" ref="DJ63:DK63" si="234">DJ29/DJ17</f>
        <v>0.17669059312429169</v>
      </c>
      <c r="DK63" s="78">
        <f t="shared" si="234"/>
        <v>0.18443875298065884</v>
      </c>
      <c r="DL63" s="78">
        <f t="shared" ref="DL63" si="235">DL29/DL17</f>
        <v>0.17943948195075729</v>
      </c>
      <c r="DM63" s="106">
        <f t="shared" si="231"/>
        <v>0.18469448377831488</v>
      </c>
      <c r="DN63" s="65">
        <f t="shared" si="231"/>
        <v>0.18375948762698202</v>
      </c>
      <c r="DO63" s="78">
        <f t="shared" si="231"/>
        <v>0.16903039008138579</v>
      </c>
      <c r="DP63" s="78">
        <f t="shared" si="231"/>
        <v>0.19263698117354749</v>
      </c>
      <c r="DQ63" s="78">
        <f t="shared" si="231"/>
        <v>0.19489175164433095</v>
      </c>
      <c r="DR63" s="106">
        <f t="shared" si="231"/>
        <v>0.18537085238048184</v>
      </c>
      <c r="DS63" s="65">
        <f t="shared" ref="DS63:EB63" si="236">DS29/DS17</f>
        <v>0.18763434395597373</v>
      </c>
      <c r="DT63" s="78">
        <f t="shared" si="236"/>
        <v>0.1777951946780269</v>
      </c>
      <c r="DU63" s="78">
        <f t="shared" si="236"/>
        <v>0.20005918297957698</v>
      </c>
      <c r="DV63" s="78">
        <f t="shared" si="236"/>
        <v>0.2010251086330706</v>
      </c>
      <c r="DW63" s="106">
        <f t="shared" si="236"/>
        <v>0.1919060134389145</v>
      </c>
      <c r="DX63" s="65">
        <f t="shared" si="236"/>
        <v>0.19203176056442847</v>
      </c>
      <c r="DY63" s="78">
        <f t="shared" si="236"/>
        <v>0.18315972724975133</v>
      </c>
      <c r="DZ63" s="78">
        <f t="shared" si="236"/>
        <v>0.20544050571391595</v>
      </c>
      <c r="EA63" s="78">
        <f t="shared" si="236"/>
        <v>0.20626644460678162</v>
      </c>
      <c r="EB63" s="106">
        <f t="shared" si="236"/>
        <v>0.19699921068337498</v>
      </c>
      <c r="ED63" s="28"/>
      <c r="EE63" s="28"/>
      <c r="EG63" s="20"/>
      <c r="EH63" s="20"/>
      <c r="EI63" s="20"/>
      <c r="EJ63" s="20"/>
      <c r="EK63" s="20"/>
      <c r="EL63" s="20"/>
      <c r="EM63" s="20"/>
      <c r="EN63" s="61">
        <f>EN29/EN17</f>
        <v>0.12410826101514362</v>
      </c>
      <c r="EO63" s="61">
        <f>EO29/EO17</f>
        <v>0.11376264790481856</v>
      </c>
      <c r="EP63" s="61">
        <f t="shared" ref="EP63:EZ63" si="237">EP29/EP17</f>
        <v>0.10865116201419187</v>
      </c>
      <c r="EQ63" s="61">
        <f t="shared" si="237"/>
        <v>2.8195804742634802E-2</v>
      </c>
      <c r="ER63" s="61">
        <f t="shared" si="237"/>
        <v>8.0640754495502009E-2</v>
      </c>
      <c r="ES63" s="61">
        <f t="shared" si="237"/>
        <v>0.14345023089936454</v>
      </c>
      <c r="ET63" s="61">
        <f t="shared" si="237"/>
        <v>0.14387756777615393</v>
      </c>
      <c r="EU63" s="61">
        <f t="shared" si="237"/>
        <v>0.15191970733352389</v>
      </c>
      <c r="EV63" s="61">
        <f t="shared" si="237"/>
        <v>0.17119105614074054</v>
      </c>
      <c r="EW63" s="61">
        <f t="shared" si="237"/>
        <v>0.18710872057137826</v>
      </c>
      <c r="EX63" s="61">
        <f t="shared" si="237"/>
        <v>0.18970759641210155</v>
      </c>
      <c r="EY63" s="61">
        <f t="shared" si="237"/>
        <v>0.19591885694777017</v>
      </c>
      <c r="EZ63" s="61">
        <f t="shared" si="237"/>
        <v>0.18119898801011997</v>
      </c>
      <c r="FA63" s="61">
        <f>FA29/FA17</f>
        <v>0.18635535682106941</v>
      </c>
      <c r="FB63" s="61">
        <f>FB29/FB17</f>
        <v>0.19297204961031708</v>
      </c>
      <c r="FD63" s="20" t="s">
        <v>531</v>
      </c>
      <c r="FE63" s="238">
        <f t="shared" si="182"/>
        <v>0.18375948762698202</v>
      </c>
      <c r="FF63" s="97">
        <v>0.19583561427767962</v>
      </c>
      <c r="FG63" s="97">
        <f t="shared" si="194"/>
        <v>-1.2076126650697599E-2</v>
      </c>
      <c r="FH63" s="238">
        <f t="shared" si="183"/>
        <v>0.19756144359748112</v>
      </c>
      <c r="FI63" s="327">
        <f t="shared" si="195"/>
        <v>-1.3801955970499102E-2</v>
      </c>
      <c r="FJ63"/>
      <c r="FK63"/>
      <c r="FL63"/>
      <c r="FM63"/>
      <c r="FN63"/>
      <c r="FO63"/>
      <c r="FP63"/>
      <c r="FQ63"/>
      <c r="FR63"/>
    </row>
    <row r="64" spans="1:174" s="16" customFormat="1" x14ac:dyDescent="0.2">
      <c r="A64" s="34" t="s">
        <v>523</v>
      </c>
      <c r="B64" s="56">
        <f t="shared" ref="B64:G64" si="238">B30/B17</f>
        <v>8.1779989681422693E-2</v>
      </c>
      <c r="C64" s="107">
        <f t="shared" si="238"/>
        <v>0.12258427452507678</v>
      </c>
      <c r="D64" s="57">
        <f t="shared" si="238"/>
        <v>6.9981110242995442E-2</v>
      </c>
      <c r="E64" s="57">
        <f t="shared" si="238"/>
        <v>8.6486985416282011E-2</v>
      </c>
      <c r="F64" s="57">
        <f t="shared" si="238"/>
        <v>6.6223527593136447E-2</v>
      </c>
      <c r="G64" s="56">
        <f t="shared" si="238"/>
        <v>8.6229503968083376E-2</v>
      </c>
      <c r="H64" s="107">
        <f t="shared" ref="H64:AK64" si="239">H30/H17</f>
        <v>9.3041636928812052E-2</v>
      </c>
      <c r="I64" s="57">
        <f t="shared" si="239"/>
        <v>4.9287476645248525E-2</v>
      </c>
      <c r="J64" s="57">
        <f t="shared" si="239"/>
        <v>8.2430064990110158E-2</v>
      </c>
      <c r="K64" s="57">
        <f t="shared" si="239"/>
        <v>9.6769101509789401E-2</v>
      </c>
      <c r="L64" s="56">
        <f t="shared" si="239"/>
        <v>8.1802036687948526E-2</v>
      </c>
      <c r="M64" s="107">
        <f t="shared" si="239"/>
        <v>8.6452859415208555E-2</v>
      </c>
      <c r="N64" s="57">
        <f t="shared" si="239"/>
        <v>6.2801128219355365E-2</v>
      </c>
      <c r="O64" s="57">
        <f t="shared" si="239"/>
        <v>9.240053881207487E-2</v>
      </c>
      <c r="P64" s="57">
        <f t="shared" si="239"/>
        <v>0.10661206661206681</v>
      </c>
      <c r="Q64" s="56">
        <f t="shared" si="239"/>
        <v>8.8341349234584615E-2</v>
      </c>
      <c r="R64" s="107">
        <f t="shared" si="239"/>
        <v>0.10419668559869281</v>
      </c>
      <c r="S64" s="57">
        <f t="shared" si="239"/>
        <v>7.2279444389875436E-2</v>
      </c>
      <c r="T64" s="57">
        <f t="shared" si="239"/>
        <v>9.7210469187779883E-2</v>
      </c>
      <c r="U64" s="57">
        <f t="shared" si="239"/>
        <v>0.10468402734096544</v>
      </c>
      <c r="V64" s="56">
        <f t="shared" si="239"/>
        <v>9.5344089028671225E-2</v>
      </c>
      <c r="W64" s="107">
        <f t="shared" si="239"/>
        <v>0.10151169269151315</v>
      </c>
      <c r="X64" s="57">
        <f t="shared" si="239"/>
        <v>7.1222546843984685E-2</v>
      </c>
      <c r="Y64" s="57">
        <f t="shared" si="239"/>
        <v>9.0171593611960602E-2</v>
      </c>
      <c r="Z64" s="57">
        <f t="shared" si="239"/>
        <v>0.10651125571208955</v>
      </c>
      <c r="AA64" s="56">
        <f t="shared" si="239"/>
        <v>9.3289058770732014E-2</v>
      </c>
      <c r="AB64" s="107">
        <f t="shared" si="239"/>
        <v>0.10321121715671831</v>
      </c>
      <c r="AC64" s="57">
        <f t="shared" si="239"/>
        <v>6.9507053928805435E-2</v>
      </c>
      <c r="AD64" s="57">
        <f t="shared" si="239"/>
        <v>9.7332591888352776E-2</v>
      </c>
      <c r="AE64" s="57">
        <f t="shared" si="239"/>
        <v>0.11660029652558296</v>
      </c>
      <c r="AF64" s="56">
        <f t="shared" si="239"/>
        <v>9.745551000014703E-2</v>
      </c>
      <c r="AG64" s="107">
        <f t="shared" si="239"/>
        <v>0.11396236366605889</v>
      </c>
      <c r="AH64" s="57">
        <f t="shared" si="239"/>
        <v>8.0811965268684616E-2</v>
      </c>
      <c r="AI64" s="57">
        <f t="shared" si="239"/>
        <v>0.1075895221411985</v>
      </c>
      <c r="AJ64" s="57">
        <f t="shared" si="239"/>
        <v>0.1201909689994432</v>
      </c>
      <c r="AK64" s="56">
        <f t="shared" si="239"/>
        <v>0.10578373562654315</v>
      </c>
      <c r="AL64" s="107">
        <f t="shared" ref="AL64:BJ64" si="240">AL30/AL17</f>
        <v>0.11425183308809382</v>
      </c>
      <c r="AM64" s="57">
        <f t="shared" si="240"/>
        <v>8.4811744382463444E-2</v>
      </c>
      <c r="AN64" s="57">
        <f t="shared" si="240"/>
        <v>0.10441497297517345</v>
      </c>
      <c r="AO64" s="57">
        <f t="shared" si="240"/>
        <v>0.10264817995418386</v>
      </c>
      <c r="AP64" s="56">
        <f t="shared" si="240"/>
        <v>9.618329244843575E-2</v>
      </c>
      <c r="AQ64" s="107">
        <f t="shared" si="240"/>
        <v>0.12041043281389825</v>
      </c>
      <c r="AR64" s="57">
        <f t="shared" si="240"/>
        <v>8.9597005258822429E-2</v>
      </c>
      <c r="AS64" s="57">
        <f t="shared" si="240"/>
        <v>0.10225747895398814</v>
      </c>
      <c r="AT64" s="57">
        <f t="shared" si="240"/>
        <v>0.1039441708841613</v>
      </c>
      <c r="AU64" s="56">
        <f t="shared" si="240"/>
        <v>0.10421048008340524</v>
      </c>
      <c r="AV64" s="107">
        <f t="shared" si="240"/>
        <v>0.13632705818258159</v>
      </c>
      <c r="AW64" s="57">
        <f t="shared" si="240"/>
        <v>9.9719757499186143E-2</v>
      </c>
      <c r="AX64" s="57">
        <f t="shared" si="240"/>
        <v>0.11613638069873843</v>
      </c>
      <c r="AY64" s="57">
        <f t="shared" si="240"/>
        <v>0.10682537705644478</v>
      </c>
      <c r="AZ64" s="56">
        <f t="shared" si="240"/>
        <v>0.11461818838448602</v>
      </c>
      <c r="BA64" s="107">
        <f t="shared" si="240"/>
        <v>0.14292841217355423</v>
      </c>
      <c r="BB64" s="57">
        <f t="shared" si="240"/>
        <v>0.10355984924106941</v>
      </c>
      <c r="BC64" s="57">
        <f t="shared" si="240"/>
        <v>0.12459116281131399</v>
      </c>
      <c r="BD64" s="57">
        <f t="shared" si="240"/>
        <v>0.11843668279653166</v>
      </c>
      <c r="BE64" s="56">
        <f t="shared" si="240"/>
        <v>0.12255899392397901</v>
      </c>
      <c r="BF64" s="107">
        <f t="shared" si="240"/>
        <v>0.14470924857762713</v>
      </c>
      <c r="BG64" s="57">
        <f t="shared" si="240"/>
        <v>0.10705888466673952</v>
      </c>
      <c r="BH64" s="57">
        <f t="shared" si="240"/>
        <v>0.1092712483188393</v>
      </c>
      <c r="BI64" s="57">
        <f t="shared" si="240"/>
        <v>9.8653508739090207E-2</v>
      </c>
      <c r="BJ64" s="56">
        <f t="shared" si="240"/>
        <v>0.11480578640498416</v>
      </c>
      <c r="BK64" s="107">
        <f t="shared" ref="BK64:CR64" si="241">BK30/BK17</f>
        <v>0.13572223898989824</v>
      </c>
      <c r="BL64" s="57">
        <f t="shared" si="241"/>
        <v>0.10683394263329303</v>
      </c>
      <c r="BM64" s="57">
        <f t="shared" si="241"/>
        <v>0.10393748847618627</v>
      </c>
      <c r="BN64" s="57">
        <f t="shared" si="241"/>
        <v>0.10161393072736469</v>
      </c>
      <c r="BO64" s="56">
        <f t="shared" si="241"/>
        <v>0.11198484151883595</v>
      </c>
      <c r="BP64" s="107">
        <f t="shared" si="241"/>
        <v>0.1203569880040468</v>
      </c>
      <c r="BQ64" s="57">
        <f t="shared" si="241"/>
        <v>8.4425969912905782E-2</v>
      </c>
      <c r="BR64" s="57">
        <f t="shared" si="241"/>
        <v>5.6723260421927719E-2</v>
      </c>
      <c r="BS64" s="57">
        <f t="shared" si="241"/>
        <v>4.5120254422580018E-2</v>
      </c>
      <c r="BT64" s="56">
        <f t="shared" si="241"/>
        <v>7.7613406529904616E-2</v>
      </c>
      <c r="BU64" s="107">
        <f t="shared" si="241"/>
        <v>7.3875802997858606E-2</v>
      </c>
      <c r="BV64" s="57">
        <f t="shared" si="241"/>
        <v>8.2715467363819531E-2</v>
      </c>
      <c r="BW64" s="57">
        <f t="shared" si="241"/>
        <v>0.10632721827031075</v>
      </c>
      <c r="BX64" s="57">
        <f t="shared" si="241"/>
        <v>0.10428536041615068</v>
      </c>
      <c r="BY64" s="56">
        <f t="shared" si="241"/>
        <v>9.1502465574038835E-2</v>
      </c>
      <c r="BZ64" s="107">
        <f t="shared" si="241"/>
        <v>0.13622507070187687</v>
      </c>
      <c r="CA64" s="57">
        <f t="shared" si="241"/>
        <v>0.1371759971594273</v>
      </c>
      <c r="CB64" s="57">
        <f t="shared" si="241"/>
        <v>0.13326952526799385</v>
      </c>
      <c r="CC64" s="57">
        <f t="shared" si="241"/>
        <v>0.14295278365045813</v>
      </c>
      <c r="CD64" s="56">
        <f t="shared" si="241"/>
        <v>0.13751237461942201</v>
      </c>
      <c r="CE64" s="107">
        <f t="shared" si="241"/>
        <v>0.17008946726311516</v>
      </c>
      <c r="CF64" s="57">
        <f t="shared" si="241"/>
        <v>0.1350109487740962</v>
      </c>
      <c r="CG64" s="57">
        <f t="shared" si="241"/>
        <v>0.13716663256258108</v>
      </c>
      <c r="CH64" s="57">
        <f t="shared" si="241"/>
        <v>0.13790032652791978</v>
      </c>
      <c r="CI64" s="56">
        <f t="shared" si="241"/>
        <v>0.14514640274857701</v>
      </c>
      <c r="CJ64" s="107">
        <f t="shared" si="241"/>
        <v>0.16209912536443152</v>
      </c>
      <c r="CK64" s="57">
        <f t="shared" si="241"/>
        <v>0.13491317158798813</v>
      </c>
      <c r="CL64" s="57">
        <f t="shared" si="241"/>
        <v>0.14905099751379536</v>
      </c>
      <c r="CM64" s="57">
        <f t="shared" si="241"/>
        <v>0.15471192496650291</v>
      </c>
      <c r="CN64" s="56">
        <f t="shared" si="241"/>
        <v>0.15045680844172959</v>
      </c>
      <c r="CO64" s="107">
        <f t="shared" si="241"/>
        <v>0.16624485922176527</v>
      </c>
      <c r="CP64" s="57">
        <f t="shared" si="241"/>
        <v>0.15328487716925843</v>
      </c>
      <c r="CQ64" s="57">
        <f t="shared" si="241"/>
        <v>0.16469895322999498</v>
      </c>
      <c r="CR64" s="57">
        <f t="shared" si="241"/>
        <v>0.17654666385135137</v>
      </c>
      <c r="CS64" s="56">
        <f>CS30/CS17</f>
        <v>0.16538753876060219</v>
      </c>
      <c r="CT64" s="107">
        <f>CT30/CT17</f>
        <v>0.18711670912350228</v>
      </c>
      <c r="CU64" s="57">
        <f>CU30/CU17</f>
        <v>0.16627084516495438</v>
      </c>
      <c r="CV64" s="57">
        <f>CV30/CV17</f>
        <v>0.18501576907335626</v>
      </c>
      <c r="CW64" s="57">
        <f>CW30/CW17</f>
        <v>0.20505644852659788</v>
      </c>
      <c r="CX64" s="56">
        <f t="shared" ref="CX64:DR64" si="242">CX30/CX17</f>
        <v>0.18609062555098232</v>
      </c>
      <c r="CY64" s="107">
        <f t="shared" si="242"/>
        <v>0.19462025316455708</v>
      </c>
      <c r="CZ64" s="584">
        <f>CZ30/CZ17</f>
        <v>0.17298126438040975</v>
      </c>
      <c r="DA64" s="584">
        <f>DA30/DA17</f>
        <v>0.19464475948537238</v>
      </c>
      <c r="DB64" s="584">
        <f>DB30/DB17</f>
        <v>0.19966224464881574</v>
      </c>
      <c r="DC64" s="803">
        <f t="shared" si="242"/>
        <v>0.19076643687998035</v>
      </c>
      <c r="DD64" s="107">
        <f t="shared" ref="DD64:DE64" si="243">DD30/DD17</f>
        <v>0.1991811668372569</v>
      </c>
      <c r="DE64" s="57">
        <f t="shared" si="243"/>
        <v>0.17585916846911795</v>
      </c>
      <c r="DF64" s="903">
        <f t="shared" ref="DF64:DG64" si="244">DF30/DF17</f>
        <v>0.19847269950362728</v>
      </c>
      <c r="DG64" s="903">
        <f t="shared" si="244"/>
        <v>0.21785264042583008</v>
      </c>
      <c r="DH64" s="803">
        <f t="shared" si="242"/>
        <v>0.19693337847419068</v>
      </c>
      <c r="DI64" s="387">
        <f t="shared" si="242"/>
        <v>0.20000348863576889</v>
      </c>
      <c r="DJ64" s="387">
        <f t="shared" ref="DJ64:DK64" si="245">DJ30/DJ17</f>
        <v>0.17929731771817153</v>
      </c>
      <c r="DK64" s="584">
        <f t="shared" si="245"/>
        <v>0.20814271836085846</v>
      </c>
      <c r="DL64" s="584">
        <f t="shared" ref="DL64" si="246">DL30/DL17</f>
        <v>0.19976133232718529</v>
      </c>
      <c r="DM64" s="803">
        <f t="shared" si="242"/>
        <v>0.19710363742757978</v>
      </c>
      <c r="DN64" s="387">
        <f>DN30/DN17</f>
        <v>0.19222220392841263</v>
      </c>
      <c r="DO64" s="57">
        <f t="shared" si="242"/>
        <v>0.17145207028718876</v>
      </c>
      <c r="DP64" s="57">
        <f t="shared" si="242"/>
        <v>0.19489631386218639</v>
      </c>
      <c r="DQ64" s="57">
        <f t="shared" si="242"/>
        <v>0.19710967908052751</v>
      </c>
      <c r="DR64" s="56">
        <f t="shared" si="242"/>
        <v>0.18917983963709253</v>
      </c>
      <c r="DS64" s="107">
        <f t="shared" ref="DS64:EB64" si="247">DS30/DS17</f>
        <v>0.18973193333135016</v>
      </c>
      <c r="DT64" s="57">
        <f t="shared" si="247"/>
        <v>0.17995229065240803</v>
      </c>
      <c r="DU64" s="57">
        <f t="shared" si="247"/>
        <v>0.20207091017459572</v>
      </c>
      <c r="DV64" s="57">
        <f t="shared" si="247"/>
        <v>0.20300157964631679</v>
      </c>
      <c r="DW64" s="56">
        <f t="shared" si="247"/>
        <v>0.19396467397297029</v>
      </c>
      <c r="DX64" s="107">
        <f t="shared" si="247"/>
        <v>0.19390848202821823</v>
      </c>
      <c r="DY64" s="57">
        <f t="shared" si="247"/>
        <v>0.18509343438022366</v>
      </c>
      <c r="DZ64" s="57">
        <f t="shared" si="247"/>
        <v>0.20724610609158559</v>
      </c>
      <c r="EA64" s="57">
        <f t="shared" si="247"/>
        <v>0.20803929533663124</v>
      </c>
      <c r="EB64" s="56">
        <f t="shared" si="247"/>
        <v>0.19884464529665655</v>
      </c>
      <c r="ED64" s="80"/>
      <c r="EE64" s="80"/>
      <c r="EG64" s="43"/>
      <c r="EH64" s="43"/>
      <c r="EI64" s="43"/>
      <c r="EJ64" s="43"/>
      <c r="EK64" s="43"/>
      <c r="EL64" s="43"/>
      <c r="EM64" s="43"/>
      <c r="EN64" s="252"/>
      <c r="EO64" s="56"/>
      <c r="EP64" s="56"/>
      <c r="EQ64" s="56">
        <f t="shared" ref="EQ64:EZ64" si="248">EQ30/EQ17</f>
        <v>6.509491134439814E-2</v>
      </c>
      <c r="ER64" s="56">
        <f t="shared" si="248"/>
        <v>0.10848908632780484</v>
      </c>
      <c r="ES64" s="56">
        <f t="shared" si="248"/>
        <v>0.14662338256138271</v>
      </c>
      <c r="ET64" s="56">
        <f t="shared" si="248"/>
        <v>0.14387756777615399</v>
      </c>
      <c r="EU64" s="56">
        <f t="shared" si="248"/>
        <v>0.15191970733352392</v>
      </c>
      <c r="EV64" s="56">
        <f t="shared" si="248"/>
        <v>0.1711910561407404</v>
      </c>
      <c r="EW64" s="56">
        <f t="shared" si="248"/>
        <v>0.18838432824853782</v>
      </c>
      <c r="EX64" s="56">
        <f t="shared" si="248"/>
        <v>0.1921197993209344</v>
      </c>
      <c r="EY64" s="56">
        <f t="shared" si="248"/>
        <v>0.19877464210414617</v>
      </c>
      <c r="EZ64" s="56">
        <f t="shared" si="248"/>
        <v>0.19506764932350679</v>
      </c>
      <c r="FA64" s="56">
        <f>FA30/FA17</f>
        <v>0.18859940238140285</v>
      </c>
      <c r="FB64" s="56">
        <f>FB30/FB17</f>
        <v>0.19497315030380255</v>
      </c>
      <c r="FD64" s="43" t="s">
        <v>18</v>
      </c>
      <c r="FE64" s="239">
        <f t="shared" si="182"/>
        <v>0.19222220392841263</v>
      </c>
      <c r="FF64" s="851">
        <v>0.19841496921230883</v>
      </c>
      <c r="FG64" s="376">
        <f t="shared" si="194"/>
        <v>-6.1927652838962011E-3</v>
      </c>
      <c r="FH64" s="239">
        <f t="shared" si="183"/>
        <v>0.20000348863576889</v>
      </c>
      <c r="FI64" s="377">
        <f t="shared" si="195"/>
        <v>-7.7812847073562563E-3</v>
      </c>
      <c r="FJ64" s="77"/>
      <c r="FK64" s="77"/>
      <c r="FL64"/>
      <c r="FM64"/>
      <c r="FN64"/>
      <c r="FO64"/>
      <c r="FP64"/>
      <c r="FQ64"/>
      <c r="FR64" s="77"/>
    </row>
    <row r="65" spans="1:174" s="1" customFormat="1" x14ac:dyDescent="0.2">
      <c r="A65" s="1" t="s">
        <v>176</v>
      </c>
      <c r="B65" s="106">
        <f t="shared" ref="B65:G65" si="249">B31/B17</f>
        <v>0.12577433201250865</v>
      </c>
      <c r="C65" s="65">
        <f t="shared" si="249"/>
        <v>0.16121857285040456</v>
      </c>
      <c r="D65" s="78">
        <f t="shared" si="249"/>
        <v>0.12093400452958569</v>
      </c>
      <c r="E65" s="78">
        <f t="shared" si="249"/>
        <v>0.13614546797120169</v>
      </c>
      <c r="F65" s="78">
        <f t="shared" si="249"/>
        <v>0.11995671664863189</v>
      </c>
      <c r="G65" s="106">
        <f t="shared" si="249"/>
        <v>0.13456445663482455</v>
      </c>
      <c r="H65" s="65">
        <f t="shared" ref="H65:AK65" si="250">H31/H17</f>
        <v>0.13786960958374872</v>
      </c>
      <c r="I65" s="78">
        <f t="shared" si="250"/>
        <v>0.10527377953114714</v>
      </c>
      <c r="J65" s="78">
        <f t="shared" si="250"/>
        <v>0.13611754732975412</v>
      </c>
      <c r="K65" s="78">
        <f t="shared" si="250"/>
        <v>0.14921709906561087</v>
      </c>
      <c r="L65" s="106">
        <f t="shared" si="250"/>
        <v>0.13334376610679038</v>
      </c>
      <c r="M65" s="65">
        <f t="shared" si="250"/>
        <v>0.13465526287298982</v>
      </c>
      <c r="N65" s="78">
        <f t="shared" si="250"/>
        <v>0.12057150783742537</v>
      </c>
      <c r="O65" s="78">
        <f t="shared" si="250"/>
        <v>0.14902084416621281</v>
      </c>
      <c r="P65" s="78">
        <f t="shared" si="250"/>
        <v>0.16085540085540104</v>
      </c>
      <c r="Q65" s="106">
        <f t="shared" si="250"/>
        <v>0.14247662128480645</v>
      </c>
      <c r="R65" s="65">
        <f t="shared" si="250"/>
        <v>0.15946782852252384</v>
      </c>
      <c r="S65" s="78">
        <f t="shared" si="250"/>
        <v>0.13796770795581942</v>
      </c>
      <c r="T65" s="78">
        <f t="shared" si="250"/>
        <v>0.16047651369946994</v>
      </c>
      <c r="U65" s="78">
        <f t="shared" si="250"/>
        <v>0.16783382955228485</v>
      </c>
      <c r="V65" s="106">
        <f t="shared" si="250"/>
        <v>0.15716182904893558</v>
      </c>
      <c r="W65" s="65">
        <f t="shared" si="250"/>
        <v>0.16225057810165716</v>
      </c>
      <c r="X65" s="78">
        <f t="shared" si="250"/>
        <v>0.14038294724630282</v>
      </c>
      <c r="Y65" s="78">
        <f t="shared" si="250"/>
        <v>0.15555508362592971</v>
      </c>
      <c r="Z65" s="78">
        <f t="shared" si="250"/>
        <v>0.16794491123886529</v>
      </c>
      <c r="AA65" s="106">
        <f t="shared" si="250"/>
        <v>0.15727964993018353</v>
      </c>
      <c r="AB65" s="65">
        <f t="shared" si="250"/>
        <v>0.16361942977186342</v>
      </c>
      <c r="AC65" s="78">
        <f t="shared" si="250"/>
        <v>0.13980555314328116</v>
      </c>
      <c r="AD65" s="78">
        <f t="shared" si="250"/>
        <v>0.15770893500995575</v>
      </c>
      <c r="AE65" s="78">
        <f t="shared" si="250"/>
        <v>0.18665532153850886</v>
      </c>
      <c r="AF65" s="106">
        <f t="shared" si="250"/>
        <v>0.16274440109332988</v>
      </c>
      <c r="AG65" s="65">
        <f t="shared" si="250"/>
        <v>0.17489252862282309</v>
      </c>
      <c r="AH65" s="78">
        <f t="shared" si="250"/>
        <v>0.14765417424136484</v>
      </c>
      <c r="AI65" s="78">
        <f t="shared" si="250"/>
        <v>0.17607944849562968</v>
      </c>
      <c r="AJ65" s="78">
        <f t="shared" si="250"/>
        <v>0.19120539029144246</v>
      </c>
      <c r="AK65" s="106">
        <f t="shared" si="250"/>
        <v>0.17263474997923739</v>
      </c>
      <c r="AL65" s="65">
        <f t="shared" ref="AL65:BJ65" si="251">AL31/AL17</f>
        <v>0.18133447571507511</v>
      </c>
      <c r="AM65" s="78">
        <f t="shared" si="251"/>
        <v>0.15355642178349024</v>
      </c>
      <c r="AN65" s="78">
        <f t="shared" si="251"/>
        <v>0.17014864253231116</v>
      </c>
      <c r="AO65" s="78">
        <f t="shared" si="251"/>
        <v>0.1701205966726691</v>
      </c>
      <c r="AP65" s="106">
        <f t="shared" si="251"/>
        <v>0.16342171930622565</v>
      </c>
      <c r="AQ65" s="65">
        <f t="shared" si="251"/>
        <v>0.18175612789304915</v>
      </c>
      <c r="AR65" s="78">
        <f t="shared" si="251"/>
        <v>0.15582903482057325</v>
      </c>
      <c r="AS65" s="78">
        <f t="shared" si="251"/>
        <v>0.16581315539711566</v>
      </c>
      <c r="AT65" s="78">
        <f t="shared" si="251"/>
        <v>0.16741889320479947</v>
      </c>
      <c r="AU65" s="106">
        <f t="shared" si="251"/>
        <v>0.16782713179492872</v>
      </c>
      <c r="AV65" s="65">
        <f t="shared" si="251"/>
        <v>0.19254662263472028</v>
      </c>
      <c r="AW65" s="78">
        <f t="shared" si="251"/>
        <v>0.16256562895828428</v>
      </c>
      <c r="AX65" s="78">
        <f t="shared" si="251"/>
        <v>0.1744525442275712</v>
      </c>
      <c r="AY65" s="78">
        <f t="shared" si="251"/>
        <v>0.16677320602739842</v>
      </c>
      <c r="AZ65" s="106">
        <f t="shared" si="251"/>
        <v>0.17393672792372553</v>
      </c>
      <c r="BA65" s="65">
        <f t="shared" si="251"/>
        <v>0.19661173267301824</v>
      </c>
      <c r="BB65" s="78">
        <f t="shared" si="251"/>
        <v>0.1657999257267323</v>
      </c>
      <c r="BC65" s="78">
        <f t="shared" si="251"/>
        <v>0.18198787738037039</v>
      </c>
      <c r="BD65" s="78">
        <f t="shared" si="251"/>
        <v>0.1759400834477933</v>
      </c>
      <c r="BE65" s="106">
        <f t="shared" si="251"/>
        <v>0.18021164021164016</v>
      </c>
      <c r="BF65" s="65">
        <f t="shared" si="251"/>
        <v>0.19524665838026317</v>
      </c>
      <c r="BG65" s="78">
        <f t="shared" si="251"/>
        <v>0.16055757118116135</v>
      </c>
      <c r="BH65" s="78">
        <f t="shared" si="251"/>
        <v>0.16252706025901464</v>
      </c>
      <c r="BI65" s="78">
        <f t="shared" si="251"/>
        <v>0.1532693905972731</v>
      </c>
      <c r="BJ65" s="106">
        <f t="shared" si="251"/>
        <v>0.16779513703839072</v>
      </c>
      <c r="BK65" s="65">
        <f t="shared" ref="BK65:CR65" si="252">BK31/BK17</f>
        <v>0.1850158104327207</v>
      </c>
      <c r="BL65" s="78">
        <f t="shared" si="252"/>
        <v>0.15975082395147353</v>
      </c>
      <c r="BM65" s="78">
        <f t="shared" si="252"/>
        <v>0.15709008602328289</v>
      </c>
      <c r="BN65" s="78">
        <f t="shared" si="252"/>
        <v>0.15501846628443608</v>
      </c>
      <c r="BO65" s="106">
        <f t="shared" si="252"/>
        <v>0.16418036365521874</v>
      </c>
      <c r="BP65" s="65">
        <f t="shared" si="252"/>
        <v>0.170906200317965</v>
      </c>
      <c r="BQ65" s="78">
        <f t="shared" si="252"/>
        <v>0.12848772763262076</v>
      </c>
      <c r="BR65" s="78">
        <f t="shared" si="252"/>
        <v>4.794281052099917E-2</v>
      </c>
      <c r="BS65" s="78">
        <f t="shared" si="252"/>
        <v>7.449811170741405E-2</v>
      </c>
      <c r="BT65" s="106">
        <f t="shared" si="252"/>
        <v>0.10674756814022919</v>
      </c>
      <c r="BU65" s="65">
        <f t="shared" si="252"/>
        <v>9.6359743040685161E-2</v>
      </c>
      <c r="BV65" s="78">
        <f t="shared" si="252"/>
        <v>7.5001071443877812E-2</v>
      </c>
      <c r="BW65" s="78">
        <f t="shared" si="252"/>
        <v>0.14048005324680729</v>
      </c>
      <c r="BX65" s="78">
        <f t="shared" si="252"/>
        <v>0.13706547766493279</v>
      </c>
      <c r="BY65" s="106">
        <f t="shared" si="252"/>
        <v>0.11219896466351562</v>
      </c>
      <c r="BZ65" s="65">
        <f t="shared" si="252"/>
        <v>0.17747089286370152</v>
      </c>
      <c r="CA65" s="78">
        <f t="shared" si="252"/>
        <v>0.18475559237779632</v>
      </c>
      <c r="CB65" s="78">
        <f t="shared" si="252"/>
        <v>0.17339203675344564</v>
      </c>
      <c r="CC65" s="78">
        <f t="shared" si="252"/>
        <v>0.18513037350246661</v>
      </c>
      <c r="CD65" s="106">
        <f t="shared" si="252"/>
        <v>0.18023049479799011</v>
      </c>
      <c r="CE65" s="65">
        <f t="shared" si="252"/>
        <v>0.21339975599837341</v>
      </c>
      <c r="CF65" s="78">
        <f t="shared" si="252"/>
        <v>0.18131887855835149</v>
      </c>
      <c r="CG65" s="78">
        <f t="shared" si="252"/>
        <v>0.18133142350453593</v>
      </c>
      <c r="CH65" s="78">
        <f t="shared" si="252"/>
        <v>0.19308024670998383</v>
      </c>
      <c r="CI65" s="106">
        <f t="shared" si="252"/>
        <v>0.1924602157154334</v>
      </c>
      <c r="CJ65" s="65">
        <f t="shared" si="252"/>
        <v>0.20139941690962104</v>
      </c>
      <c r="CK65" s="78">
        <f t="shared" si="252"/>
        <v>0.1778885336342548</v>
      </c>
      <c r="CL65" s="78">
        <f t="shared" si="252"/>
        <v>0.19049784731065425</v>
      </c>
      <c r="CM65" s="78">
        <f t="shared" si="252"/>
        <v>0.19690337948488906</v>
      </c>
      <c r="CN65" s="106">
        <f t="shared" si="252"/>
        <v>0.19190473679849962</v>
      </c>
      <c r="CO65" s="65">
        <f t="shared" si="252"/>
        <v>0.20549931456290205</v>
      </c>
      <c r="CP65" s="78">
        <f t="shared" si="252"/>
        <v>0.19641649763353611</v>
      </c>
      <c r="CQ65" s="78">
        <f t="shared" si="252"/>
        <v>0.20573983348057726</v>
      </c>
      <c r="CR65" s="78">
        <f t="shared" si="252"/>
        <v>-0.51443728885135132</v>
      </c>
      <c r="CS65" s="106">
        <f>CS31/CS17</f>
        <v>1.9916727764362218E-2</v>
      </c>
      <c r="CT65" s="65">
        <f>CT31/CT17</f>
        <v>0.23190867062930476</v>
      </c>
      <c r="CU65" s="78">
        <f>CU31/CU17</f>
        <v>0.21129123857710783</v>
      </c>
      <c r="CV65" s="78">
        <f>CV31/CV17</f>
        <v>0.22837470207285071</v>
      </c>
      <c r="CW65" s="78">
        <f>CW31/CW17</f>
        <v>0.24882797550708008</v>
      </c>
      <c r="CX65" s="106">
        <f t="shared" ref="CX65:DR65" si="253">CX31/CX17</f>
        <v>0.23046103149946204</v>
      </c>
      <c r="CY65" s="65">
        <f t="shared" si="253"/>
        <v>0.23349017321785492</v>
      </c>
      <c r="CZ65" s="78">
        <f>CZ31/CZ17</f>
        <v>0.2179467513969541</v>
      </c>
      <c r="DA65" s="78">
        <f>DA31/DA17</f>
        <v>0.24073998197164626</v>
      </c>
      <c r="DB65" s="78">
        <f>DB31/DB17</f>
        <v>0.24491332302433458</v>
      </c>
      <c r="DC65" s="106">
        <f t="shared" si="253"/>
        <v>0.2345650665094168</v>
      </c>
      <c r="DD65" s="65">
        <f t="shared" ref="DD65:DE65" si="254">DD31/DD17</f>
        <v>0.24071834000186099</v>
      </c>
      <c r="DE65" s="78">
        <f t="shared" si="254"/>
        <v>0.22270287591123925</v>
      </c>
      <c r="DF65" s="78">
        <f t="shared" ref="DF65:DG65" si="255">DF31/DF17</f>
        <v>0.2424398625429553</v>
      </c>
      <c r="DG65" s="78">
        <f t="shared" si="255"/>
        <v>0.25868468973245567</v>
      </c>
      <c r="DH65" s="106">
        <f t="shared" si="253"/>
        <v>0.24173504285533343</v>
      </c>
      <c r="DI65" s="65">
        <f t="shared" si="253"/>
        <v>0.24111706117322815</v>
      </c>
      <c r="DJ65" s="65">
        <f t="shared" ref="DJ65:DK65" si="256">DJ31/DJ17</f>
        <v>0.22459387986399701</v>
      </c>
      <c r="DK65" s="78">
        <f t="shared" si="256"/>
        <v>0.2290559039123907</v>
      </c>
      <c r="DL65" s="78">
        <f t="shared" ref="DL65" si="257">DL31/DL17</f>
        <v>0.22425986697787065</v>
      </c>
      <c r="DM65" s="106">
        <f t="shared" si="253"/>
        <v>0.22986862735463476</v>
      </c>
      <c r="DN65" s="65">
        <f t="shared" si="253"/>
        <v>0.2263694288489719</v>
      </c>
      <c r="DO65" s="78">
        <f t="shared" si="253"/>
        <v>0.2172213968641169</v>
      </c>
      <c r="DP65" s="78">
        <f t="shared" si="253"/>
        <v>0.23769328307056681</v>
      </c>
      <c r="DQ65" s="78">
        <f t="shared" si="253"/>
        <v>0.23951959875009257</v>
      </c>
      <c r="DR65" s="106">
        <f t="shared" si="253"/>
        <v>0.23046956539650612</v>
      </c>
      <c r="DS65" s="65">
        <f t="shared" ref="DS65:EB65" si="258">DS31/DS17</f>
        <v>0.23066355503276548</v>
      </c>
      <c r="DT65" s="78">
        <f t="shared" si="258"/>
        <v>0.22412824551488972</v>
      </c>
      <c r="DU65" s="78">
        <f t="shared" si="258"/>
        <v>0.24329909496811494</v>
      </c>
      <c r="DV65" s="78">
        <f t="shared" si="258"/>
        <v>0.24403606086611401</v>
      </c>
      <c r="DW65" s="106">
        <f t="shared" si="258"/>
        <v>0.23577494400301249</v>
      </c>
      <c r="DX65" s="65">
        <f t="shared" si="258"/>
        <v>0.23415471017952447</v>
      </c>
      <c r="DY65" s="78">
        <f t="shared" si="258"/>
        <v>0.2287352749860187</v>
      </c>
      <c r="DZ65" s="78">
        <f t="shared" si="258"/>
        <v>0.24799285979614746</v>
      </c>
      <c r="EA65" s="78">
        <f t="shared" si="258"/>
        <v>0.2486447217030954</v>
      </c>
      <c r="EB65" s="106">
        <f t="shared" si="258"/>
        <v>0.24012452331272785</v>
      </c>
      <c r="ED65" s="28"/>
      <c r="EE65" s="28"/>
      <c r="EG65" s="20"/>
      <c r="EH65" s="20"/>
      <c r="EI65" s="20"/>
      <c r="EJ65" s="20"/>
      <c r="EK65" s="20"/>
      <c r="EL65" s="20"/>
      <c r="EM65" s="20"/>
      <c r="EN65" s="61">
        <f t="shared" ref="EN65:EZ65" si="259">EN31/EN17</f>
        <v>0.18065094711706309</v>
      </c>
      <c r="EO65" s="61">
        <f t="shared" si="259"/>
        <v>0.16626909451862099</v>
      </c>
      <c r="EP65" s="61">
        <f t="shared" si="259"/>
        <v>0.16107876988089836</v>
      </c>
      <c r="EQ65" s="61">
        <f t="shared" si="259"/>
        <v>0.11889429749965788</v>
      </c>
      <c r="ER65" s="61">
        <f t="shared" si="259"/>
        <v>0.13437427267483634</v>
      </c>
      <c r="ES65" s="61">
        <f t="shared" si="259"/>
        <v>0.18986786155182672</v>
      </c>
      <c r="ET65" s="61">
        <f t="shared" si="259"/>
        <v>0.18742508087160703</v>
      </c>
      <c r="EU65" s="61">
        <f t="shared" si="259"/>
        <v>0.19329770309601829</v>
      </c>
      <c r="EV65" s="61">
        <f t="shared" si="259"/>
        <v>0.21312845696224864</v>
      </c>
      <c r="EW65" s="61">
        <f t="shared" si="259"/>
        <v>0.23095553008259129</v>
      </c>
      <c r="EX65" s="61">
        <f t="shared" si="259"/>
        <v>0.23650230578219225</v>
      </c>
      <c r="EY65" s="61">
        <f t="shared" si="259"/>
        <v>0.24182364257934158</v>
      </c>
      <c r="EZ65" s="61">
        <f t="shared" si="259"/>
        <v>0.2260961390386097</v>
      </c>
      <c r="FA65" s="61">
        <f>FA31/FA17</f>
        <v>0.23150030321030612</v>
      </c>
      <c r="FB65" s="61">
        <f>FB31/FB17</f>
        <v>0.23658194521579254</v>
      </c>
      <c r="FD65" s="20" t="s">
        <v>176</v>
      </c>
      <c r="FE65" s="238">
        <f t="shared" si="182"/>
        <v>0.2263694288489719</v>
      </c>
      <c r="FF65" s="97">
        <v>0.23832159758749349</v>
      </c>
      <c r="FG65" s="97">
        <f t="shared" si="194"/>
        <v>-1.195216873852159E-2</v>
      </c>
      <c r="FH65" s="238">
        <f t="shared" si="183"/>
        <v>0.24111706117322815</v>
      </c>
      <c r="FI65" s="327">
        <f t="shared" si="195"/>
        <v>-1.4747632324256243E-2</v>
      </c>
      <c r="FJ65"/>
      <c r="FK65"/>
      <c r="FL65"/>
      <c r="FM65"/>
      <c r="FN65"/>
      <c r="FO65"/>
      <c r="FP65"/>
      <c r="FQ65"/>
      <c r="FR65"/>
    </row>
    <row r="66" spans="1:174" s="1" customFormat="1" x14ac:dyDescent="0.2">
      <c r="A66" s="1" t="s">
        <v>524</v>
      </c>
      <c r="B66" s="106">
        <v>0.39319232017808298</v>
      </c>
      <c r="C66" s="65">
        <v>0.39295774647887299</v>
      </c>
      <c r="D66" s="78">
        <v>0.39795798615186001</v>
      </c>
      <c r="E66" s="78">
        <v>0.395157727312892</v>
      </c>
      <c r="F66" s="78">
        <v>0.39441095890410999</v>
      </c>
      <c r="G66" s="106">
        <v>0.395021093134301</v>
      </c>
      <c r="H66" s="65">
        <f t="shared" ref="H66:AK66" si="260">H40/H39</f>
        <v>0.39576732986947133</v>
      </c>
      <c r="I66" s="78">
        <f t="shared" si="260"/>
        <v>0.38500000000000001</v>
      </c>
      <c r="J66" s="78">
        <f t="shared" si="260"/>
        <v>0.39100614687803326</v>
      </c>
      <c r="K66" s="78">
        <f t="shared" si="260"/>
        <v>0.37321305333727711</v>
      </c>
      <c r="L66" s="106">
        <f t="shared" si="260"/>
        <v>0.38502800080966221</v>
      </c>
      <c r="M66" s="65">
        <f t="shared" si="260"/>
        <v>0.39346553682187485</v>
      </c>
      <c r="N66" s="78">
        <f t="shared" si="260"/>
        <v>0.39506415291961222</v>
      </c>
      <c r="O66" s="78">
        <f t="shared" si="260"/>
        <v>0.39188899832983598</v>
      </c>
      <c r="P66" s="78">
        <f t="shared" si="260"/>
        <v>0.39964416395313623</v>
      </c>
      <c r="Q66" s="106">
        <f t="shared" si="260"/>
        <v>0.39534552622932861</v>
      </c>
      <c r="R66" s="65">
        <f t="shared" si="260"/>
        <v>0.39772368005058528</v>
      </c>
      <c r="S66" s="78">
        <f t="shared" si="260"/>
        <v>0.40419902705470689</v>
      </c>
      <c r="T66" s="78">
        <f t="shared" si="260"/>
        <v>0.39601411546916537</v>
      </c>
      <c r="U66" s="78">
        <f t="shared" si="260"/>
        <v>0.34662882565007247</v>
      </c>
      <c r="V66" s="106">
        <f t="shared" si="260"/>
        <v>0.38327647638541407</v>
      </c>
      <c r="W66" s="65">
        <f t="shared" si="260"/>
        <v>0.38000371074725164</v>
      </c>
      <c r="X66" s="78">
        <f t="shared" si="260"/>
        <v>0.38002347742024567</v>
      </c>
      <c r="Y66" s="78">
        <f t="shared" si="260"/>
        <v>0.38000201338903694</v>
      </c>
      <c r="Z66" s="78">
        <f t="shared" si="260"/>
        <v>0.37987211884524114</v>
      </c>
      <c r="AA66" s="106">
        <f t="shared" si="260"/>
        <v>0.37996488918147953</v>
      </c>
      <c r="AB66" s="65">
        <f t="shared" si="260"/>
        <v>0.38000249790354507</v>
      </c>
      <c r="AC66" s="78">
        <f t="shared" si="260"/>
        <v>0.37488987960169795</v>
      </c>
      <c r="AD66" s="78">
        <f t="shared" si="260"/>
        <v>0.37534492026518529</v>
      </c>
      <c r="AE66" s="78">
        <f t="shared" si="260"/>
        <v>0.37568745089636479</v>
      </c>
      <c r="AF66" s="106">
        <f t="shared" si="260"/>
        <v>0.37656676743221096</v>
      </c>
      <c r="AG66" s="65">
        <f t="shared" si="260"/>
        <v>0.37000128584286979</v>
      </c>
      <c r="AH66" s="78">
        <f t="shared" si="260"/>
        <v>0.38546953104132481</v>
      </c>
      <c r="AI66" s="78">
        <f t="shared" si="260"/>
        <v>0.36999609253944521</v>
      </c>
      <c r="AJ66" s="78">
        <f t="shared" si="260"/>
        <v>0.37000272121721195</v>
      </c>
      <c r="AK66" s="106">
        <f t="shared" si="260"/>
        <v>0.37393897523667974</v>
      </c>
      <c r="AL66" s="65">
        <v>0.37</v>
      </c>
      <c r="AM66" s="78">
        <v>0.37</v>
      </c>
      <c r="AN66" s="78">
        <v>0.37</v>
      </c>
      <c r="AO66" s="78">
        <v>0.37</v>
      </c>
      <c r="AP66" s="106">
        <f>AP40/AP39</f>
        <v>0.37260611388234194</v>
      </c>
      <c r="AQ66" s="65">
        <f>AQ40/AQ39</f>
        <v>0.37475165761064688</v>
      </c>
      <c r="AR66" s="65">
        <f>AR40/AR39</f>
        <v>0.40010146080499959</v>
      </c>
      <c r="AS66" s="65">
        <f>AS40/AS39</f>
        <v>0.38492582317959267</v>
      </c>
      <c r="AT66" s="78">
        <v>0.384857</v>
      </c>
      <c r="AU66" s="106">
        <f>AU40/AU39</f>
        <v>0.38500223775593939</v>
      </c>
      <c r="AV66" s="65">
        <f>AV40/AV39</f>
        <v>0.38080834771657823</v>
      </c>
      <c r="AW66" s="65">
        <f>AW40/AW39</f>
        <v>0.38102225291108266</v>
      </c>
      <c r="AX66" s="65">
        <f>AX40/AX39</f>
        <v>0.3807275404259638</v>
      </c>
      <c r="AY66" s="78">
        <f>AY40/AY39</f>
        <v>0.35090971202996096</v>
      </c>
      <c r="AZ66" s="106">
        <f t="shared" ref="AZ66:BJ66" si="261">AZ40/AZ39</f>
        <v>0.37322068999946861</v>
      </c>
      <c r="BA66" s="65">
        <f t="shared" si="261"/>
        <v>0.37709039098113301</v>
      </c>
      <c r="BB66" s="65">
        <f t="shared" si="261"/>
        <v>0.37714827765791242</v>
      </c>
      <c r="BC66" s="65">
        <f t="shared" si="261"/>
        <v>0.38111486403195199</v>
      </c>
      <c r="BD66" s="78">
        <f t="shared" si="261"/>
        <v>0.38130647637431059</v>
      </c>
      <c r="BE66" s="106">
        <f t="shared" si="261"/>
        <v>0.37915660109185356</v>
      </c>
      <c r="BF66" s="65">
        <f t="shared" si="261"/>
        <v>0.37840123613187782</v>
      </c>
      <c r="BG66" s="65">
        <f t="shared" si="261"/>
        <v>0.37881604434100807</v>
      </c>
      <c r="BH66" s="65">
        <f t="shared" si="261"/>
        <v>0.33744381856184602</v>
      </c>
      <c r="BI66" s="78">
        <f t="shared" si="261"/>
        <v>0.33245818651049669</v>
      </c>
      <c r="BJ66" s="106">
        <f t="shared" si="261"/>
        <v>0.35835622000778999</v>
      </c>
      <c r="BK66" s="65">
        <f t="shared" ref="BK66:CV66" si="262">BK40/BK39</f>
        <v>0.37155758006768352</v>
      </c>
      <c r="BL66" s="65">
        <f t="shared" si="262"/>
        <v>0.372498772786648</v>
      </c>
      <c r="BM66" s="65">
        <f t="shared" si="262"/>
        <v>0.34831030608339192</v>
      </c>
      <c r="BN66" s="78">
        <f t="shared" si="262"/>
        <v>0.35788710370028293</v>
      </c>
      <c r="BO66" s="106">
        <f t="shared" si="262"/>
        <v>0.36323070733842916</v>
      </c>
      <c r="BP66" s="65">
        <f t="shared" si="262"/>
        <v>0.36302418120599944</v>
      </c>
      <c r="BQ66" s="65">
        <f t="shared" si="262"/>
        <v>0.34996410624551327</v>
      </c>
      <c r="BR66" s="65">
        <f t="shared" si="262"/>
        <v>0.79579579579578996</v>
      </c>
      <c r="BS66" s="78">
        <f t="shared" si="262"/>
        <v>6.0000000000001465</v>
      </c>
      <c r="BT66" s="106">
        <f t="shared" si="262"/>
        <v>0.31341139598659318</v>
      </c>
      <c r="BU66" s="65">
        <f t="shared" si="262"/>
        <v>0.34587995930824073</v>
      </c>
      <c r="BV66" s="65">
        <f t="shared" si="262"/>
        <v>0.28285714285714192</v>
      </c>
      <c r="BW66" s="65">
        <f t="shared" si="262"/>
        <v>0.30747663551401866</v>
      </c>
      <c r="BX66" s="78">
        <f t="shared" si="262"/>
        <v>0.27662582469368491</v>
      </c>
      <c r="BY66" s="106">
        <f t="shared" si="262"/>
        <v>0.30098302055406612</v>
      </c>
      <c r="BZ66" s="65">
        <f t="shared" si="262"/>
        <v>0.34100135317997277</v>
      </c>
      <c r="CA66" s="65">
        <f t="shared" si="262"/>
        <v>0.3527488855869238</v>
      </c>
      <c r="CB66" s="65">
        <f t="shared" si="262"/>
        <v>0.3451633165829146</v>
      </c>
      <c r="CC66" s="162">
        <f t="shared" si="262"/>
        <v>0.32501211827435755</v>
      </c>
      <c r="CD66" s="106">
        <f t="shared" si="262"/>
        <v>0.34008350730688958</v>
      </c>
      <c r="CE66" s="65">
        <f t="shared" si="262"/>
        <v>0.3162863886703382</v>
      </c>
      <c r="CF66" s="65">
        <f t="shared" si="262"/>
        <v>0.32527642067369522</v>
      </c>
      <c r="CG66" s="65">
        <f t="shared" si="262"/>
        <v>0.31706126433976062</v>
      </c>
      <c r="CH66" s="162">
        <f t="shared" si="262"/>
        <v>0.28936929789765964</v>
      </c>
      <c r="CI66" s="106">
        <f t="shared" si="262"/>
        <v>0.310898851590106</v>
      </c>
      <c r="CJ66" s="65">
        <f t="shared" si="262"/>
        <v>0.33017875920084117</v>
      </c>
      <c r="CK66" s="65">
        <f t="shared" si="262"/>
        <v>0.3212956883344279</v>
      </c>
      <c r="CL66" s="65">
        <f t="shared" si="262"/>
        <v>0.32311129163281893</v>
      </c>
      <c r="CM66" s="65">
        <f t="shared" si="262"/>
        <v>0.33401297497683036</v>
      </c>
      <c r="CN66" s="106">
        <f t="shared" si="262"/>
        <v>0.32752257939205598</v>
      </c>
      <c r="CO66" s="65">
        <f t="shared" si="262"/>
        <v>0.30381581065850904</v>
      </c>
      <c r="CP66" s="65">
        <f t="shared" si="262"/>
        <v>0.33644701086956535</v>
      </c>
      <c r="CQ66" s="65">
        <f t="shared" si="262"/>
        <v>0.3177661659046373</v>
      </c>
      <c r="CR66" s="65">
        <f t="shared" si="262"/>
        <v>0.39961992008576169</v>
      </c>
      <c r="CS66" s="106">
        <v>0.32600000000000001</v>
      </c>
      <c r="CT66" s="65">
        <f t="shared" si="262"/>
        <v>0.3396433805569124</v>
      </c>
      <c r="CU66" s="65">
        <f t="shared" si="262"/>
        <v>0.33834469931804073</v>
      </c>
      <c r="CV66" s="65">
        <f t="shared" si="262"/>
        <v>0.33570965651328588</v>
      </c>
      <c r="CW66" s="115">
        <f>CW40/CW39</f>
        <v>0.36420688162735321</v>
      </c>
      <c r="CX66" s="106">
        <f>CX40/CX39</f>
        <v>0.34560243061050078</v>
      </c>
      <c r="CY66" s="65">
        <f t="shared" ref="CY66:DA66" si="263">CY40/CY39</f>
        <v>0.2424009234320891</v>
      </c>
      <c r="CZ66" s="65">
        <f t="shared" si="263"/>
        <v>0.34952093450584071</v>
      </c>
      <c r="DA66" s="65">
        <f t="shared" si="263"/>
        <v>0.33703703703703713</v>
      </c>
      <c r="DB66" s="65">
        <f t="shared" ref="DB66" si="264">DB40/DB39</f>
        <v>0.27216954824316802</v>
      </c>
      <c r="DC66" s="106">
        <f>DC40/DC39</f>
        <v>0.29306413179943108</v>
      </c>
      <c r="DD66" s="65">
        <f t="shared" ref="DD66" si="265">DD40/DD39</f>
        <v>0.34479801829268292</v>
      </c>
      <c r="DE66" s="65">
        <f t="shared" ref="DE66:DJ66" si="266">DE40/DE39</f>
        <v>0.3317061831706184</v>
      </c>
      <c r="DF66" s="65">
        <f t="shared" si="266"/>
        <v>0.29709334823923983</v>
      </c>
      <c r="DG66" s="65">
        <f t="shared" si="266"/>
        <v>0.34024520694478705</v>
      </c>
      <c r="DH66" s="106">
        <f t="shared" si="266"/>
        <v>0.32860171005311151</v>
      </c>
      <c r="DI66" s="65">
        <f t="shared" si="266"/>
        <v>0.33665813399240901</v>
      </c>
      <c r="DJ66" s="65">
        <f t="shared" si="266"/>
        <v>0.3341493268053855</v>
      </c>
      <c r="DK66" s="65">
        <f t="shared" ref="DK66" si="267">DK40/DK39</f>
        <v>0.34312048650703153</v>
      </c>
      <c r="DL66" s="65">
        <f t="shared" ref="DL66" si="268">DL40/DL39</f>
        <v>0.31472477860739706</v>
      </c>
      <c r="DM66" s="106">
        <f>DM40/DM39</f>
        <v>0.33181239143022567</v>
      </c>
      <c r="DN66" s="65">
        <f>DN40/DN39</f>
        <v>0.25143883695399039</v>
      </c>
      <c r="DO66" s="115">
        <v>0.26</v>
      </c>
      <c r="DP66" s="115">
        <v>0.26</v>
      </c>
      <c r="DQ66" s="115">
        <v>0.26</v>
      </c>
      <c r="DR66" s="106">
        <f>DR40/DR39</f>
        <v>0.25601589954162146</v>
      </c>
      <c r="DS66" s="115">
        <v>0.26</v>
      </c>
      <c r="DT66" s="115">
        <v>0.26</v>
      </c>
      <c r="DU66" s="115">
        <v>0.26</v>
      </c>
      <c r="DV66" s="115">
        <v>0.26</v>
      </c>
      <c r="DW66" s="106">
        <f>DW40/DW39</f>
        <v>0.26000000000000012</v>
      </c>
      <c r="DX66" s="115">
        <f>DS66</f>
        <v>0.26</v>
      </c>
      <c r="DY66" s="115">
        <f>DT66</f>
        <v>0.26</v>
      </c>
      <c r="DZ66" s="115">
        <f>DU66</f>
        <v>0.26</v>
      </c>
      <c r="EA66" s="115">
        <f>DV66</f>
        <v>0.26</v>
      </c>
      <c r="EB66" s="106">
        <f>EB40/EB39</f>
        <v>0.25999999999999968</v>
      </c>
      <c r="ED66" s="164"/>
      <c r="EE66" s="28"/>
      <c r="EG66" s="20"/>
      <c r="EH66" s="20"/>
      <c r="EI66" s="20"/>
      <c r="EJ66" s="20"/>
      <c r="EK66" s="20"/>
      <c r="EL66" s="20"/>
      <c r="EM66" s="20"/>
      <c r="EN66" s="61">
        <f t="shared" ref="EN66:EZ66" si="269">EN40/EN39</f>
        <v>0.37950181156201773</v>
      </c>
      <c r="EO66" s="61">
        <f t="shared" si="269"/>
        <v>0.3569799385049649</v>
      </c>
      <c r="EP66" s="61">
        <f t="shared" si="269"/>
        <v>0.36059668786385862</v>
      </c>
      <c r="EQ66" s="61">
        <f t="shared" si="269"/>
        <v>0.25707608413399158</v>
      </c>
      <c r="ER66" s="61">
        <f t="shared" si="269"/>
        <v>0.31347056699169351</v>
      </c>
      <c r="ES66" s="61">
        <f t="shared" si="269"/>
        <v>0.33219112887873581</v>
      </c>
      <c r="ET66" s="61">
        <f t="shared" si="269"/>
        <v>0.32047526041666674</v>
      </c>
      <c r="EU66" s="61">
        <f t="shared" si="269"/>
        <v>0.31982558415090773</v>
      </c>
      <c r="EV66" s="61">
        <f t="shared" si="269"/>
        <v>-5.465461068199285E-2</v>
      </c>
      <c r="EW66" s="61">
        <f t="shared" si="269"/>
        <v>0.34737522309065166</v>
      </c>
      <c r="EX66" s="61">
        <f t="shared" si="269"/>
        <v>0.32058910637839577</v>
      </c>
      <c r="EY66" s="61">
        <f t="shared" si="269"/>
        <v>0.32676319476879939</v>
      </c>
      <c r="EZ66" s="61">
        <f t="shared" si="269"/>
        <v>0.41416456566582616</v>
      </c>
      <c r="FA66" s="61">
        <f>FA40/FA39</f>
        <v>0.25999999999999995</v>
      </c>
      <c r="FB66" s="61">
        <f>FB40/FB39</f>
        <v>0.25999999999999995</v>
      </c>
      <c r="FD66" s="20" t="s">
        <v>524</v>
      </c>
      <c r="FE66" s="238">
        <f t="shared" si="182"/>
        <v>0.25143883695399039</v>
      </c>
      <c r="FF66" s="97">
        <v>0.33</v>
      </c>
      <c r="FG66" s="97">
        <f t="shared" si="194"/>
        <v>-7.856116304600963E-2</v>
      </c>
      <c r="FH66" s="238">
        <f t="shared" si="183"/>
        <v>0.33665813399240901</v>
      </c>
      <c r="FI66" s="327">
        <f t="shared" si="195"/>
        <v>-8.5219297038418629E-2</v>
      </c>
      <c r="FJ66"/>
      <c r="FK66">
        <f>(FE66-FF66)*FE39/FE54</f>
        <v>-0.16460825317161609</v>
      </c>
      <c r="FL66"/>
      <c r="FM66"/>
      <c r="FN66"/>
      <c r="FO66"/>
      <c r="FP66"/>
      <c r="FQ66"/>
      <c r="FR66"/>
    </row>
    <row r="67" spans="1:174" s="1" customFormat="1" x14ac:dyDescent="0.2">
      <c r="A67" s="2" t="s">
        <v>525</v>
      </c>
      <c r="B67" s="466">
        <v>4.59232634782029E-2</v>
      </c>
      <c r="C67" s="295">
        <v>7.4602968540395498E-2</v>
      </c>
      <c r="D67" s="54">
        <v>5.0735315933658397E-2</v>
      </c>
      <c r="E67" s="54">
        <v>5.7437024854414598E-2</v>
      </c>
      <c r="F67" s="54">
        <v>4.27113927964137E-2</v>
      </c>
      <c r="G67" s="466">
        <v>5.6103453909185502E-2</v>
      </c>
      <c r="H67" s="295">
        <f t="shared" ref="H67:AK67" si="270">H41/H17</f>
        <v>5.6247308847036395E-2</v>
      </c>
      <c r="I67" s="54">
        <f t="shared" si="270"/>
        <v>3.0904341542487668E-2</v>
      </c>
      <c r="J67" s="54">
        <f t="shared" si="270"/>
        <v>5.3190166713760909E-2</v>
      </c>
      <c r="K67" s="54">
        <f t="shared" si="270"/>
        <v>6.4745270769152388E-2</v>
      </c>
      <c r="L67" s="466">
        <f t="shared" si="270"/>
        <v>5.2342851564126339E-2</v>
      </c>
      <c r="M67" s="295">
        <f t="shared" si="270"/>
        <v>5.7821231376533361E-2</v>
      </c>
      <c r="N67" s="54">
        <f t="shared" si="270"/>
        <v>4.2728996162204706E-2</v>
      </c>
      <c r="O67" s="54">
        <f t="shared" si="270"/>
        <v>5.8139296842053545E-2</v>
      </c>
      <c r="P67" s="54">
        <f t="shared" si="270"/>
        <v>6.5097825097825301E-2</v>
      </c>
      <c r="Q67" s="466">
        <f t="shared" si="270"/>
        <v>5.6606172329402807E-2</v>
      </c>
      <c r="R67" s="295">
        <f t="shared" si="270"/>
        <v>6.5214346845094417E-2</v>
      </c>
      <c r="S67" s="54">
        <f t="shared" si="270"/>
        <v>4.7289859539430212E-2</v>
      </c>
      <c r="T67" s="54">
        <f t="shared" si="270"/>
        <v>6.2437767059674951E-2</v>
      </c>
      <c r="U67" s="54">
        <f t="shared" si="270"/>
        <v>7.1438755399002088E-2</v>
      </c>
      <c r="V67" s="466">
        <f t="shared" si="270"/>
        <v>6.2162356288903119E-2</v>
      </c>
      <c r="W67" s="295">
        <f t="shared" si="270"/>
        <v>6.590358891425363E-2</v>
      </c>
      <c r="X67" s="54">
        <f t="shared" si="270"/>
        <v>4.7780598261943197E-2</v>
      </c>
      <c r="Y67" s="54">
        <f t="shared" si="270"/>
        <v>5.8129931664590212E-2</v>
      </c>
      <c r="Z67" s="54">
        <f t="shared" si="270"/>
        <v>6.8214458693958258E-2</v>
      </c>
      <c r="AA67" s="466">
        <f t="shared" si="270"/>
        <v>6.0542032066718848E-2</v>
      </c>
      <c r="AB67" s="295">
        <f t="shared" si="270"/>
        <v>6.5646890798213647E-2</v>
      </c>
      <c r="AC67" s="54">
        <f t="shared" si="270"/>
        <v>4.6215667853505629E-2</v>
      </c>
      <c r="AD67" s="54">
        <f t="shared" si="270"/>
        <v>6.2536100597341604E-2</v>
      </c>
      <c r="AE67" s="54">
        <f t="shared" si="270"/>
        <v>7.4824772555290311E-2</v>
      </c>
      <c r="AF67" s="466">
        <f t="shared" si="270"/>
        <v>6.2791150494496684E-2</v>
      </c>
      <c r="AG67" s="295">
        <f t="shared" si="270"/>
        <v>7.3413177062184365E-2</v>
      </c>
      <c r="AH67" s="54">
        <f t="shared" si="270"/>
        <v>5.1184831110715617E-2</v>
      </c>
      <c r="AI67" s="54">
        <f t="shared" si="270"/>
        <v>7.054795864018984E-2</v>
      </c>
      <c r="AJ67" s="54">
        <f t="shared" si="270"/>
        <v>7.7222944124744855E-2</v>
      </c>
      <c r="AK67" s="466">
        <f t="shared" si="270"/>
        <v>6.8077146675324191E-2</v>
      </c>
      <c r="AL67" s="295">
        <f t="shared" ref="AL67:BJ67" si="271">AL41/AL17</f>
        <v>7.3915227824445748E-2</v>
      </c>
      <c r="AM67" s="54">
        <f t="shared" si="271"/>
        <v>5.5171721247112768E-2</v>
      </c>
      <c r="AN67" s="54">
        <f t="shared" si="271"/>
        <v>6.652154442632402E-2</v>
      </c>
      <c r="AO67" s="54">
        <f t="shared" si="271"/>
        <v>6.6676067212360593E-2</v>
      </c>
      <c r="AP67" s="466">
        <f t="shared" si="271"/>
        <v>6.4667634363746229E-2</v>
      </c>
      <c r="AQ67" s="295">
        <f t="shared" si="271"/>
        <v>7.8087662900612489E-2</v>
      </c>
      <c r="AR67" s="54">
        <f t="shared" si="271"/>
        <v>5.4528057882679337E-2</v>
      </c>
      <c r="AS67" s="54">
        <f t="shared" si="271"/>
        <v>6.5930442062702085E-2</v>
      </c>
      <c r="AT67" s="54">
        <f t="shared" si="271"/>
        <v>6.4379830391493822E-2</v>
      </c>
      <c r="AU67" s="466">
        <f t="shared" si="271"/>
        <v>6.5842976539931902E-2</v>
      </c>
      <c r="AV67" s="295">
        <f t="shared" si="271"/>
        <v>8.5962982880772559E-2</v>
      </c>
      <c r="AW67" s="54">
        <f t="shared" si="271"/>
        <v>6.3562189984755019E-2</v>
      </c>
      <c r="AX67" s="54">
        <f t="shared" si="271"/>
        <v>7.3997623400781601E-2</v>
      </c>
      <c r="AY67" s="54">
        <f t="shared" si="271"/>
        <v>7.060015949940035E-2</v>
      </c>
      <c r="AZ67" s="466">
        <f t="shared" si="271"/>
        <v>7.3514326022189727E-2</v>
      </c>
      <c r="BA67" s="295">
        <f t="shared" si="271"/>
        <v>9.1038687824936015E-2</v>
      </c>
      <c r="BB67" s="54">
        <f t="shared" si="271"/>
        <v>6.6148641352300211E-2</v>
      </c>
      <c r="BC67" s="54">
        <f t="shared" si="271"/>
        <v>7.8357521761469415E-2</v>
      </c>
      <c r="BD67" s="54">
        <f t="shared" si="271"/>
        <v>7.4565418766773472E-2</v>
      </c>
      <c r="BE67" s="466">
        <f t="shared" si="271"/>
        <v>7.7632863893991405E-2</v>
      </c>
      <c r="BF67" s="295">
        <f t="shared" si="271"/>
        <v>9.0062933924549629E-2</v>
      </c>
      <c r="BG67" s="54">
        <f t="shared" si="271"/>
        <v>6.7512204227122202E-2</v>
      </c>
      <c r="BH67" s="54">
        <f t="shared" si="271"/>
        <v>7.4094821286436255E-2</v>
      </c>
      <c r="BI67" s="54">
        <f t="shared" si="271"/>
        <v>6.7138874537962606E-2</v>
      </c>
      <c r="BJ67" s="466">
        <f t="shared" si="271"/>
        <v>7.4677196773778501E-2</v>
      </c>
      <c r="BK67" s="295">
        <f t="shared" ref="BK67:BX67" si="272">BK41/BK17</f>
        <v>8.7027634403535573E-2</v>
      </c>
      <c r="BL67" s="54">
        <f t="shared" si="272"/>
        <v>6.6873737028915636E-2</v>
      </c>
      <c r="BM67" s="54">
        <f t="shared" si="272"/>
        <v>6.7115962945772933E-2</v>
      </c>
      <c r="BN67" s="54">
        <f t="shared" si="272"/>
        <v>6.4935362883485198E-2</v>
      </c>
      <c r="BO67" s="466">
        <f t="shared" si="272"/>
        <v>7.1476301804059436E-2</v>
      </c>
      <c r="BP67" s="295">
        <f t="shared" si="272"/>
        <v>7.5191501662089877E-2</v>
      </c>
      <c r="BQ67" s="54">
        <f t="shared" si="272"/>
        <v>4.3016627078384793E-2</v>
      </c>
      <c r="BR67" s="54">
        <f t="shared" si="272"/>
        <v>-2.6419052799255011E-3</v>
      </c>
      <c r="BS67" s="54">
        <f t="shared" si="272"/>
        <v>2.1864440469091737E-3</v>
      </c>
      <c r="BT67" s="466">
        <f t="shared" si="272"/>
        <v>3.0382355773861083E-2</v>
      </c>
      <c r="BU67" s="295">
        <f t="shared" si="272"/>
        <v>2.4587029672682708E-2</v>
      </c>
      <c r="BV67" s="54">
        <f t="shared" si="272"/>
        <v>1.0757296532807664E-2</v>
      </c>
      <c r="BW67" s="54">
        <f t="shared" si="272"/>
        <v>6.1649819044053429E-2</v>
      </c>
      <c r="BX67" s="54">
        <f t="shared" si="272"/>
        <v>6.3372141028816859E-2</v>
      </c>
      <c r="BY67" s="466">
        <f>BY41/BY40</f>
        <v>2.3224465558194778</v>
      </c>
      <c r="BZ67" s="295">
        <f t="shared" ref="BZ67:CN67" si="273">BZ41/BZ17</f>
        <v>8.9433283138061537E-2</v>
      </c>
      <c r="CA67" s="54">
        <f t="shared" si="273"/>
        <v>8.5927328677950207E-2</v>
      </c>
      <c r="CB67" s="54">
        <f t="shared" si="273"/>
        <v>7.9823889739663076E-2</v>
      </c>
      <c r="CC67" s="54">
        <f t="shared" si="273"/>
        <v>9.8132487667371468E-2</v>
      </c>
      <c r="CD67" s="466">
        <f t="shared" si="273"/>
        <v>8.8564917720454925E-2</v>
      </c>
      <c r="CE67" s="295">
        <f t="shared" si="273"/>
        <v>0.11779856310153186</v>
      </c>
      <c r="CF67" s="54">
        <f t="shared" si="273"/>
        <v>9.4195354847973492E-2</v>
      </c>
      <c r="CG67" s="54">
        <f t="shared" si="273"/>
        <v>9.5423231703158126E-2</v>
      </c>
      <c r="CH67" s="54">
        <f t="shared" si="273"/>
        <v>0.11817672086810253</v>
      </c>
      <c r="CI67" s="466">
        <f t="shared" si="273"/>
        <v>0.10666974343196078</v>
      </c>
      <c r="CJ67" s="295">
        <f t="shared" si="273"/>
        <v>0.11142857142857147</v>
      </c>
      <c r="CK67" s="54">
        <f t="shared" si="273"/>
        <v>9.7203937057237691E-2</v>
      </c>
      <c r="CL67" s="54">
        <f t="shared" si="273"/>
        <v>0.10105512097507727</v>
      </c>
      <c r="CM67" s="54">
        <f t="shared" si="273"/>
        <v>0.1069822837576299</v>
      </c>
      <c r="CN67" s="466">
        <f t="shared" si="273"/>
        <v>0.10430898779082465</v>
      </c>
      <c r="CO67" s="295">
        <f t="shared" ref="CO67:DR67" si="274">CO41/CO17</f>
        <v>0.11399346198460404</v>
      </c>
      <c r="CP67" s="54">
        <f t="shared" si="274"/>
        <v>0.11006874013973397</v>
      </c>
      <c r="CQ67" s="54">
        <f t="shared" si="274"/>
        <v>0.11185179235938218</v>
      </c>
      <c r="CR67" s="54">
        <f t="shared" si="274"/>
        <v>-0.32519531249999994</v>
      </c>
      <c r="CS67" s="466">
        <f t="shared" si="274"/>
        <v>5.9191896091294479E-4</v>
      </c>
      <c r="CT67" s="295">
        <f t="shared" si="274"/>
        <v>0.12753561656760079</v>
      </c>
      <c r="CU67" s="54">
        <f t="shared" si="274"/>
        <v>0.11020186896587339</v>
      </c>
      <c r="CV67" s="54">
        <f t="shared" si="274"/>
        <v>0.12338397091749523</v>
      </c>
      <c r="CW67" s="54">
        <f>CW41/CW17</f>
        <v>0.14054726368159215</v>
      </c>
      <c r="CX67" s="466">
        <f t="shared" si="274"/>
        <v>0.12571209698502556</v>
      </c>
      <c r="CY67" s="295">
        <f t="shared" si="274"/>
        <v>0.204967521652232</v>
      </c>
      <c r="CZ67" s="54">
        <f t="shared" ref="CZ67:DA67" si="275">CZ41/CZ17</f>
        <v>0.10860085460720938</v>
      </c>
      <c r="DA67" s="54">
        <f t="shared" si="275"/>
        <v>0.12834958616733583</v>
      </c>
      <c r="DB67" s="54">
        <f t="shared" ref="DB67" si="276">DB41/DB17</f>
        <v>0.13276226906486521</v>
      </c>
      <c r="DC67" s="466">
        <f t="shared" si="274"/>
        <v>0.14398284166636233</v>
      </c>
      <c r="DD67" s="65">
        <f t="shared" ref="DD67:DE67" si="277">DD41/DD17</f>
        <v>0.12797990136782356</v>
      </c>
      <c r="DE67" s="78">
        <f t="shared" si="277"/>
        <v>0.11515661299367135</v>
      </c>
      <c r="DF67" s="78">
        <f t="shared" ref="DF67:DG67" si="278">DF41/DF17</f>
        <v>0.14404352806414661</v>
      </c>
      <c r="DG67" s="78">
        <f t="shared" si="278"/>
        <v>0.14039081103796064</v>
      </c>
      <c r="DH67" s="106">
        <f t="shared" si="274"/>
        <v>0.13224869698206509</v>
      </c>
      <c r="DI67" s="65">
        <f t="shared" si="274"/>
        <v>0.13108548901951883</v>
      </c>
      <c r="DJ67" s="65">
        <f t="shared" ref="DJ67:DK67" si="279">DJ41/DJ17</f>
        <v>0.12330940687570838</v>
      </c>
      <c r="DK67" s="78">
        <f t="shared" si="279"/>
        <v>0.12210544908593131</v>
      </c>
      <c r="DL67" s="78">
        <f t="shared" ref="DL67" si="280">DL41/DL17</f>
        <v>0.1385149957004721</v>
      </c>
      <c r="DM67" s="106">
        <f t="shared" si="274"/>
        <v>0.12886669317049865</v>
      </c>
      <c r="DN67" s="65">
        <f t="shared" si="274"/>
        <v>0.37046610797372292</v>
      </c>
      <c r="DO67" s="78">
        <f t="shared" si="274"/>
        <v>0.12412451012937073</v>
      </c>
      <c r="DP67" s="78">
        <f t="shared" si="274"/>
        <v>0.14184354485895592</v>
      </c>
      <c r="DQ67" s="78">
        <f t="shared" si="274"/>
        <v>0.14333019097722791</v>
      </c>
      <c r="DR67" s="106">
        <f t="shared" si="274"/>
        <v>0.19403940651411167</v>
      </c>
      <c r="DS67" s="65">
        <f t="shared" ref="DS67:EB67" si="281">DS41/DS17</f>
        <v>0.13762548766709587</v>
      </c>
      <c r="DT67" s="78">
        <f t="shared" si="281"/>
        <v>0.12977067846734611</v>
      </c>
      <c r="DU67" s="78">
        <f t="shared" si="281"/>
        <v>0.14658096019908257</v>
      </c>
      <c r="DV67" s="78">
        <f t="shared" si="281"/>
        <v>0.14709192652993663</v>
      </c>
      <c r="DW67" s="106">
        <f t="shared" si="281"/>
        <v>0.140473955254942</v>
      </c>
      <c r="DX67" s="65">
        <f t="shared" si="281"/>
        <v>0.14020126306169811</v>
      </c>
      <c r="DY67" s="78">
        <f t="shared" si="281"/>
        <v>0.13324912057499666</v>
      </c>
      <c r="DZ67" s="78">
        <f t="shared" si="281"/>
        <v>0.15011087251188057</v>
      </c>
      <c r="EA67" s="78">
        <f t="shared" si="281"/>
        <v>0.15051144057456284</v>
      </c>
      <c r="EB67" s="106">
        <f t="shared" si="281"/>
        <v>0.14372359814717495</v>
      </c>
      <c r="ED67" s="164"/>
      <c r="EE67" s="28"/>
      <c r="EG67" s="19"/>
      <c r="EH67" s="19"/>
      <c r="EI67" s="19"/>
      <c r="EJ67" s="19"/>
      <c r="EK67" s="19"/>
      <c r="EL67" s="19"/>
      <c r="EM67" s="19"/>
      <c r="EN67" s="236">
        <f t="shared" ref="EN67:EZ67" si="282">EN41/EN17</f>
        <v>7.8030661403117846E-2</v>
      </c>
      <c r="EO67" s="236">
        <f t="shared" si="282"/>
        <v>7.4596400616769837E-2</v>
      </c>
      <c r="EP67" s="236">
        <f t="shared" si="282"/>
        <v>6.8793675167004728E-2</v>
      </c>
      <c r="EQ67" s="236">
        <f t="shared" si="282"/>
        <v>1.6779074541082597E-2</v>
      </c>
      <c r="ER67" s="236">
        <f t="shared" si="282"/>
        <v>5.771040568300264E-2</v>
      </c>
      <c r="ES67" s="236">
        <f t="shared" si="282"/>
        <v>9.6237026199076467E-2</v>
      </c>
      <c r="ET67" s="236">
        <f t="shared" si="282"/>
        <v>0.10283420088999816</v>
      </c>
      <c r="EU67" s="236">
        <f t="shared" si="282"/>
        <v>0.10521183862288395</v>
      </c>
      <c r="EV67" s="236">
        <f t="shared" si="282"/>
        <v>0.18813710957141844</v>
      </c>
      <c r="EW67" s="236">
        <f t="shared" si="282"/>
        <v>0.12467448490726867</v>
      </c>
      <c r="EX67" s="236">
        <f t="shared" si="282"/>
        <v>0.12787716008716365</v>
      </c>
      <c r="EY67" s="236">
        <f t="shared" si="282"/>
        <v>0.13299931258160222</v>
      </c>
      <c r="EZ67" s="236">
        <f t="shared" si="282"/>
        <v>0.11246287537124633</v>
      </c>
      <c r="FA67" s="236">
        <f>FA41/FA17</f>
        <v>0.13695404696885824</v>
      </c>
      <c r="FB67" s="236">
        <f>FB41/FB17</f>
        <v>0.14109046256567703</v>
      </c>
      <c r="FD67" s="19" t="s">
        <v>525</v>
      </c>
      <c r="FE67" s="295">
        <f t="shared" si="182"/>
        <v>0.37046610797372292</v>
      </c>
      <c r="FF67" s="54">
        <v>0.1308849887939455</v>
      </c>
      <c r="FG67" s="54">
        <f t="shared" si="194"/>
        <v>0.23958111917977742</v>
      </c>
      <c r="FH67" s="295">
        <f t="shared" si="183"/>
        <v>0.13108548901951883</v>
      </c>
      <c r="FI67" s="328">
        <f t="shared" si="195"/>
        <v>0.23938061895420409</v>
      </c>
      <c r="FJ67"/>
      <c r="FK67"/>
      <c r="FL67"/>
      <c r="FM67"/>
      <c r="FN67"/>
      <c r="FO67"/>
      <c r="FP67"/>
      <c r="FQ67"/>
      <c r="FR67"/>
    </row>
    <row r="68" spans="1:174" s="1" customFormat="1" ht="14.25" customHeight="1" x14ac:dyDescent="0.2">
      <c r="A68" s="12" t="s">
        <v>526</v>
      </c>
      <c r="B68" s="15"/>
      <c r="C68" s="13"/>
      <c r="D68" s="13"/>
      <c r="E68" s="13"/>
      <c r="F68" s="13"/>
      <c r="G68" s="15"/>
      <c r="H68" s="13"/>
      <c r="I68" s="13"/>
      <c r="J68" s="13"/>
      <c r="K68" s="13"/>
      <c r="L68" s="15"/>
      <c r="M68" s="13"/>
      <c r="N68" s="13"/>
      <c r="O68" s="13"/>
      <c r="P68" s="13"/>
      <c r="Q68" s="15"/>
      <c r="R68" s="13"/>
      <c r="S68" s="13"/>
      <c r="T68" s="13"/>
      <c r="U68" s="13"/>
      <c r="V68" s="15"/>
      <c r="W68" s="13"/>
      <c r="X68" s="13"/>
      <c r="Y68" s="13"/>
      <c r="Z68" s="13"/>
      <c r="AA68" s="15"/>
      <c r="AB68" s="13"/>
      <c r="AC68" s="13"/>
      <c r="AD68" s="13"/>
      <c r="AE68" s="13"/>
      <c r="AF68" s="15"/>
      <c r="AG68" s="13"/>
      <c r="AH68" s="13"/>
      <c r="AI68" s="13"/>
      <c r="AJ68" s="13"/>
      <c r="AK68" s="15"/>
      <c r="AL68" s="13"/>
      <c r="AM68" s="13"/>
      <c r="AN68" s="13"/>
      <c r="AO68" s="13"/>
      <c r="AP68" s="15"/>
      <c r="AQ68" s="13"/>
      <c r="AR68" s="13"/>
      <c r="AS68" s="13"/>
      <c r="AT68" s="13"/>
      <c r="AU68" s="15"/>
      <c r="AV68" s="13"/>
      <c r="AW68" s="13"/>
      <c r="AX68" s="13"/>
      <c r="AY68" s="13"/>
      <c r="AZ68" s="15"/>
      <c r="BA68" s="13"/>
      <c r="BB68" s="13"/>
      <c r="BC68" s="13"/>
      <c r="BD68" s="13"/>
      <c r="BE68" s="15"/>
      <c r="BF68" s="13"/>
      <c r="BG68" s="13"/>
      <c r="BH68" s="13"/>
      <c r="BI68" s="13"/>
      <c r="BJ68" s="15"/>
      <c r="BK68" s="13"/>
      <c r="BL68" s="13"/>
      <c r="BM68" s="13"/>
      <c r="BN68" s="13"/>
      <c r="BO68" s="15"/>
      <c r="BP68" s="13"/>
      <c r="BQ68" s="13"/>
      <c r="BR68" s="13"/>
      <c r="BS68" s="13"/>
      <c r="BT68" s="15"/>
      <c r="BU68" s="13"/>
      <c r="BV68" s="13"/>
      <c r="BW68" s="13"/>
      <c r="BX68" s="13"/>
      <c r="BY68" s="15"/>
      <c r="BZ68" s="13"/>
      <c r="CA68" s="13"/>
      <c r="CB68" s="13"/>
      <c r="CC68" s="13"/>
      <c r="CD68" s="15"/>
      <c r="CE68" s="13"/>
      <c r="CF68" s="13"/>
      <c r="CG68" s="13"/>
      <c r="CH68" s="13"/>
      <c r="CI68" s="15"/>
      <c r="CJ68" s="13"/>
      <c r="CK68" s="13"/>
      <c r="CL68" s="13"/>
      <c r="CM68" s="13"/>
      <c r="CN68" s="15"/>
      <c r="CO68" s="13"/>
      <c r="CP68" s="13"/>
      <c r="CQ68" s="13"/>
      <c r="CR68" s="13"/>
      <c r="CS68" s="15"/>
      <c r="CT68" s="13"/>
      <c r="CU68" s="13"/>
      <c r="CV68" s="13"/>
      <c r="CW68" s="13"/>
      <c r="CX68" s="15"/>
      <c r="CY68" s="13"/>
      <c r="CZ68" s="13"/>
      <c r="DA68" s="84"/>
      <c r="DB68" s="84"/>
      <c r="DC68" s="804"/>
      <c r="DD68" s="13"/>
      <c r="DE68" s="13"/>
      <c r="DF68" s="84"/>
      <c r="DG68" s="84"/>
      <c r="DH68" s="804"/>
      <c r="DI68" s="84"/>
      <c r="DJ68" s="84"/>
      <c r="DK68" s="84"/>
      <c r="DL68" s="84"/>
      <c r="DM68" s="804"/>
      <c r="DN68" s="84"/>
      <c r="DO68" s="13"/>
      <c r="DP68" s="13"/>
      <c r="DQ68" s="13"/>
      <c r="DR68" s="15"/>
      <c r="DS68" s="13"/>
      <c r="DT68" s="13"/>
      <c r="DU68" s="13"/>
      <c r="DV68" s="13"/>
      <c r="DW68" s="15"/>
      <c r="DX68" s="13"/>
      <c r="DY68" s="13"/>
      <c r="DZ68" s="13"/>
      <c r="EA68" s="13"/>
      <c r="EB68" s="15"/>
      <c r="ED68" s="28"/>
      <c r="EE68" s="28"/>
      <c r="EG68" s="9"/>
      <c r="EH68" s="10"/>
      <c r="EI68" s="10"/>
      <c r="EJ68" s="10"/>
      <c r="EK68" s="10"/>
      <c r="EL68" s="10"/>
      <c r="EM68" s="10"/>
      <c r="EN68" s="10"/>
      <c r="EO68" s="10"/>
      <c r="EP68" s="10"/>
      <c r="EQ68" s="10"/>
      <c r="ER68" s="10"/>
      <c r="ES68" s="10"/>
      <c r="ET68" s="23"/>
      <c r="EU68" s="23"/>
      <c r="EV68" s="23"/>
      <c r="EW68" s="23"/>
      <c r="EX68" s="23"/>
      <c r="EY68" s="23"/>
      <c r="EZ68" s="23"/>
      <c r="FA68" s="11"/>
      <c r="FB68" s="11"/>
      <c r="FD68" s="15" t="s">
        <v>526</v>
      </c>
      <c r="FE68" s="10"/>
      <c r="FF68" s="10"/>
      <c r="FG68" s="10"/>
      <c r="FH68" s="10"/>
      <c r="FI68" s="11"/>
      <c r="FJ68"/>
      <c r="FK68"/>
      <c r="FL68"/>
      <c r="FM68"/>
      <c r="FN68"/>
      <c r="FO68"/>
      <c r="FP68"/>
      <c r="FQ68"/>
      <c r="FR68"/>
    </row>
    <row r="69" spans="1:174" s="1" customFormat="1" x14ac:dyDescent="0.2">
      <c r="A69" s="1" t="s">
        <v>527</v>
      </c>
      <c r="B69" s="20"/>
      <c r="G69" s="20"/>
      <c r="L69" s="61">
        <f>(L10-G10)/G10</f>
        <v>0.49028076144590282</v>
      </c>
      <c r="Q69" s="61">
        <f t="shared" ref="Q69:AK69" si="283">(Q10-L10)/L10</f>
        <v>0.39365972913114988</v>
      </c>
      <c r="R69" s="65">
        <f t="shared" si="283"/>
        <v>0.3325563363217835</v>
      </c>
      <c r="S69" s="65">
        <f t="shared" si="283"/>
        <v>0.35952386061282304</v>
      </c>
      <c r="T69" s="65">
        <f t="shared" si="283"/>
        <v>0.33684518307521105</v>
      </c>
      <c r="U69" s="65">
        <f t="shared" si="283"/>
        <v>0.25678022481229651</v>
      </c>
      <c r="V69" s="61">
        <f t="shared" si="283"/>
        <v>0.31840792450483824</v>
      </c>
      <c r="W69" s="65">
        <f t="shared" si="283"/>
        <v>0.24662421401373952</v>
      </c>
      <c r="X69" s="65">
        <f t="shared" si="283"/>
        <v>0.25762220985886036</v>
      </c>
      <c r="Y69" s="65">
        <f t="shared" si="283"/>
        <v>0.25569196034853769</v>
      </c>
      <c r="Z69" s="65">
        <f t="shared" si="283"/>
        <v>0.39521933714191415</v>
      </c>
      <c r="AA69" s="61">
        <f t="shared" si="283"/>
        <v>0.29094917892132421</v>
      </c>
      <c r="AB69" s="65">
        <f t="shared" si="283"/>
        <v>0.28588223625097731</v>
      </c>
      <c r="AC69" s="65">
        <f t="shared" si="283"/>
        <v>0.3460725132401295</v>
      </c>
      <c r="AD69" s="65">
        <f t="shared" si="283"/>
        <v>0.31113552146222362</v>
      </c>
      <c r="AE69" s="65">
        <f t="shared" si="283"/>
        <v>0.19998521803399863</v>
      </c>
      <c r="AF69" s="60">
        <f t="shared" si="283"/>
        <v>0.28118046856502921</v>
      </c>
      <c r="AG69" s="65">
        <f t="shared" si="283"/>
        <v>0.2759213675601484</v>
      </c>
      <c r="AH69" s="65">
        <f t="shared" si="283"/>
        <v>0.21967177196985774</v>
      </c>
      <c r="AI69" s="65">
        <f t="shared" si="283"/>
        <v>0.19760017141632735</v>
      </c>
      <c r="AJ69" s="65">
        <f t="shared" si="283"/>
        <v>0.201029001753327</v>
      </c>
      <c r="AK69" s="60">
        <f t="shared" si="283"/>
        <v>0.22263995744657508</v>
      </c>
      <c r="AL69" s="65">
        <f t="shared" ref="AL69:BJ69" si="284">(AL10-AG10)/AG10</f>
        <v>0.21311612408807135</v>
      </c>
      <c r="AM69" s="65">
        <f t="shared" si="284"/>
        <v>0.2694270911964407</v>
      </c>
      <c r="AN69" s="65">
        <f t="shared" si="284"/>
        <v>0.2735883489587061</v>
      </c>
      <c r="AO69" s="65">
        <f t="shared" si="284"/>
        <v>0.25565052394058019</v>
      </c>
      <c r="AP69" s="60">
        <f t="shared" si="284"/>
        <v>0.25265137957852413</v>
      </c>
      <c r="AQ69" s="65">
        <f t="shared" si="284"/>
        <v>0.24509684653323857</v>
      </c>
      <c r="AR69" s="65">
        <f t="shared" si="284"/>
        <v>0.21837016117134517</v>
      </c>
      <c r="AS69" s="65">
        <f t="shared" si="284"/>
        <v>0.23308805142772063</v>
      </c>
      <c r="AT69" s="65">
        <f t="shared" si="284"/>
        <v>0.24303954976087175</v>
      </c>
      <c r="AU69" s="61">
        <f t="shared" si="284"/>
        <v>0.23513840790804108</v>
      </c>
      <c r="AV69" s="65">
        <f t="shared" si="284"/>
        <v>0.27193973767666552</v>
      </c>
      <c r="AW69" s="65">
        <f t="shared" si="284"/>
        <v>0.29798459688848744</v>
      </c>
      <c r="AX69" s="65">
        <f t="shared" si="284"/>
        <v>0.26237533523059997</v>
      </c>
      <c r="AY69" s="65">
        <f t="shared" si="284"/>
        <v>0.33434713372308239</v>
      </c>
      <c r="AZ69" s="61">
        <f t="shared" si="284"/>
        <v>0.29213482168921073</v>
      </c>
      <c r="BA69" s="65">
        <f t="shared" si="284"/>
        <v>0.25744311634945111</v>
      </c>
      <c r="BB69" s="65">
        <f t="shared" si="284"/>
        <v>0.22224676124556264</v>
      </c>
      <c r="BC69" s="65">
        <f t="shared" si="284"/>
        <v>0.22431197007368761</v>
      </c>
      <c r="BD69" s="65">
        <f t="shared" si="284"/>
        <v>0.14311768322161089</v>
      </c>
      <c r="BE69" s="61">
        <f t="shared" si="284"/>
        <v>0.2096633940401734</v>
      </c>
      <c r="BF69" s="65">
        <f t="shared" si="284"/>
        <v>0.19822604755711681</v>
      </c>
      <c r="BG69" s="65">
        <f t="shared" si="284"/>
        <v>0.24603585662025004</v>
      </c>
      <c r="BH69" s="65">
        <f t="shared" si="284"/>
        <v>0.2243630238720925</v>
      </c>
      <c r="BI69" s="65">
        <f t="shared" si="284"/>
        <v>0.21654122813441967</v>
      </c>
      <c r="BJ69" s="61">
        <f t="shared" si="284"/>
        <v>0.22091749387556625</v>
      </c>
      <c r="BK69" s="65">
        <f t="shared" ref="BK69:CP69" si="285">(BK10-BF10)/BF10</f>
        <v>0.2326977615859625</v>
      </c>
      <c r="BL69" s="65">
        <f t="shared" si="285"/>
        <v>0.20180780126062284</v>
      </c>
      <c r="BM69" s="65">
        <f t="shared" si="285"/>
        <v>0.21059593239400656</v>
      </c>
      <c r="BN69" s="65">
        <f t="shared" si="285"/>
        <v>0.21465164841520995</v>
      </c>
      <c r="BO69" s="61">
        <f t="shared" si="285"/>
        <v>0.2149697604380186</v>
      </c>
      <c r="BP69" s="65">
        <f t="shared" si="285"/>
        <v>0.17175957277491508</v>
      </c>
      <c r="BQ69" s="65">
        <f t="shared" si="285"/>
        <v>0.11452354885434853</v>
      </c>
      <c r="BR69" s="65">
        <f t="shared" si="285"/>
        <v>8.4260174699070753E-2</v>
      </c>
      <c r="BS69" s="65">
        <f t="shared" si="285"/>
        <v>1.9107599356066818E-2</v>
      </c>
      <c r="BT69" s="61">
        <f t="shared" si="285"/>
        <v>9.6725352310782442E-2</v>
      </c>
      <c r="BU69" s="65">
        <f t="shared" si="285"/>
        <v>-7.4548160748458506E-2</v>
      </c>
      <c r="BV69" s="65">
        <f t="shared" si="285"/>
        <v>-8.4511643100471379E-2</v>
      </c>
      <c r="BW69" s="65">
        <f t="shared" si="285"/>
        <v>-7.6323273094211483E-2</v>
      </c>
      <c r="BX69" s="65">
        <f t="shared" si="285"/>
        <v>-3.2851761788966809E-2</v>
      </c>
      <c r="BY69" s="61">
        <f t="shared" si="285"/>
        <v>-6.7454029343699651E-2</v>
      </c>
      <c r="BZ69" s="65">
        <f t="shared" si="285"/>
        <v>5.3625585883650531E-2</v>
      </c>
      <c r="CA69" s="65">
        <f t="shared" si="285"/>
        <v>8.5176878377000789E-2</v>
      </c>
      <c r="CB69" s="65">
        <f t="shared" si="285"/>
        <v>8.585758267951131E-2</v>
      </c>
      <c r="CC69" s="65">
        <f t="shared" si="285"/>
        <v>0.1610136067836718</v>
      </c>
      <c r="CD69" s="61">
        <f t="shared" si="285"/>
        <v>9.5755604997432728E-2</v>
      </c>
      <c r="CE69" s="65">
        <f t="shared" si="285"/>
        <v>6.9082820881852719E-2</v>
      </c>
      <c r="CF69" s="65">
        <f t="shared" si="285"/>
        <v>7.7316924233172019E-2</v>
      </c>
      <c r="CG69" s="65">
        <f t="shared" si="285"/>
        <v>0.10545570951662339</v>
      </c>
      <c r="CH69" s="65">
        <f t="shared" si="285"/>
        <v>4.9002123142250567E-2</v>
      </c>
      <c r="CI69" s="61">
        <f t="shared" si="285"/>
        <v>7.4636023874602553E-2</v>
      </c>
      <c r="CJ69" s="65">
        <f t="shared" si="285"/>
        <v>0.11442907844817035</v>
      </c>
      <c r="CK69" s="65">
        <f t="shared" si="285"/>
        <v>9.9280575539568261E-2</v>
      </c>
      <c r="CL69" s="65">
        <f t="shared" si="285"/>
        <v>8.2033673933727597E-2</v>
      </c>
      <c r="CM69" s="65">
        <f t="shared" si="285"/>
        <v>7.9136981865284978E-2</v>
      </c>
      <c r="CN69" s="61">
        <f t="shared" si="285"/>
        <v>9.3641318453153391E-2</v>
      </c>
      <c r="CO69" s="65">
        <f t="shared" si="285"/>
        <v>9.4370012446006193E-2</v>
      </c>
      <c r="CP69" s="65">
        <f t="shared" si="285"/>
        <v>0.11363636363636365</v>
      </c>
      <c r="CQ69" s="65">
        <f t="shared" ref="CQ69:DR69" si="286">(CQ10-CL10)/CL10</f>
        <v>0.14172656369475467</v>
      </c>
      <c r="CR69" s="65">
        <f t="shared" si="286"/>
        <v>0.12892456581267106</v>
      </c>
      <c r="CS69" s="61">
        <f t="shared" si="286"/>
        <v>0.11948360149983378</v>
      </c>
      <c r="CT69" s="65">
        <f t="shared" si="286"/>
        <v>0.11847738827936857</v>
      </c>
      <c r="CU69" s="65">
        <f t="shared" si="286"/>
        <v>9.2709335042917757E-2</v>
      </c>
      <c r="CV69" s="65">
        <f t="shared" si="286"/>
        <v>0.10186518434182762</v>
      </c>
      <c r="CW69" s="65">
        <f t="shared" si="286"/>
        <v>8.8417065390749575E-2</v>
      </c>
      <c r="CX69" s="61">
        <f t="shared" si="286"/>
        <v>0.1004646745582201</v>
      </c>
      <c r="CY69" s="65">
        <f t="shared" si="286"/>
        <v>0.12829714695855016</v>
      </c>
      <c r="CZ69" s="65">
        <f t="shared" si="286"/>
        <v>0.18086701434159064</v>
      </c>
      <c r="DA69" s="65">
        <f t="shared" si="286"/>
        <v>0.18978878589879958</v>
      </c>
      <c r="DB69" s="65">
        <f t="shared" si="286"/>
        <v>0.18649448972738655</v>
      </c>
      <c r="DC69" s="61">
        <f t="shared" si="286"/>
        <v>0.17100477731545702</v>
      </c>
      <c r="DD69" s="65">
        <f t="shared" si="286"/>
        <v>0.11604113655640377</v>
      </c>
      <c r="DE69" s="65">
        <f>(DE10-CZ10)/CZ10</f>
        <v>8.8685859394407721E-2</v>
      </c>
      <c r="DF69" s="65">
        <f t="shared" si="286"/>
        <v>6.8097062579821288E-2</v>
      </c>
      <c r="DG69" s="65">
        <f t="shared" si="286"/>
        <v>0.15983121494365263</v>
      </c>
      <c r="DH69" s="61">
        <f t="shared" si="286"/>
        <v>0.10836793377771048</v>
      </c>
      <c r="DI69" s="65">
        <f t="shared" si="286"/>
        <v>6.1440174796941006E-2</v>
      </c>
      <c r="DJ69" s="65">
        <f t="shared" si="286"/>
        <v>6.3688453932356323E-2</v>
      </c>
      <c r="DK69" s="65">
        <f t="shared" si="286"/>
        <v>7.8295389324660319E-2</v>
      </c>
      <c r="DL69" s="65">
        <f t="shared" si="286"/>
        <v>-6.8326012689117043E-3</v>
      </c>
      <c r="DM69" s="61">
        <f t="shared" si="286"/>
        <v>4.7879982427185615E-2</v>
      </c>
      <c r="DN69" s="65">
        <f t="shared" si="286"/>
        <v>6.0971516792338844E-2</v>
      </c>
      <c r="DO69" s="65">
        <f t="shared" si="286"/>
        <v>0.14506754590245113</v>
      </c>
      <c r="DP69" s="65">
        <f t="shared" si="286"/>
        <v>0.14079346703923434</v>
      </c>
      <c r="DQ69" s="65">
        <f t="shared" si="286"/>
        <v>0.14579941036886487</v>
      </c>
      <c r="DR69" s="61">
        <f t="shared" si="286"/>
        <v>0.12286753982450885</v>
      </c>
      <c r="DS69" s="65">
        <f t="shared" ref="DS69:EB69" si="287">(DS10-DN10)/DN10</f>
        <v>0.11500817967479866</v>
      </c>
      <c r="DT69" s="65">
        <f t="shared" si="287"/>
        <v>9.3690759702972554E-2</v>
      </c>
      <c r="DU69" s="65">
        <f t="shared" si="287"/>
        <v>9.5648206543114192E-2</v>
      </c>
      <c r="DV69" s="65">
        <f t="shared" si="287"/>
        <v>9.615267395636462E-2</v>
      </c>
      <c r="DW69" s="61">
        <f t="shared" si="287"/>
        <v>9.9936192596460888E-2</v>
      </c>
      <c r="DX69" s="65">
        <f t="shared" si="287"/>
        <v>9.2892692321317263E-2</v>
      </c>
      <c r="DY69" s="65">
        <f t="shared" si="287"/>
        <v>9.5010512793982607E-2</v>
      </c>
      <c r="DZ69" s="65">
        <f t="shared" si="287"/>
        <v>9.3842858364539497E-2</v>
      </c>
      <c r="EA69" s="65">
        <f t="shared" si="287"/>
        <v>9.2451168576292653E-2</v>
      </c>
      <c r="EB69" s="61">
        <f t="shared" si="287"/>
        <v>9.3534871741971559E-2</v>
      </c>
      <c r="ED69" s="28"/>
      <c r="EE69" s="28"/>
      <c r="EG69" s="24"/>
      <c r="EH69" s="25"/>
      <c r="EI69" s="25"/>
      <c r="EJ69" s="25"/>
      <c r="EK69" s="25"/>
      <c r="EL69" s="25"/>
      <c r="EM69" s="240">
        <f t="shared" ref="EM69:FB69" si="288">EM10/EL10-1</f>
        <v>0.21446041894803769</v>
      </c>
      <c r="EN69" s="240">
        <f t="shared" si="288"/>
        <v>-0.45111279295966056</v>
      </c>
      <c r="EO69" s="240">
        <f t="shared" si="288"/>
        <v>0.22975089066034715</v>
      </c>
      <c r="EP69" s="240">
        <f t="shared" si="288"/>
        <v>0.19836866981924262</v>
      </c>
      <c r="EQ69" s="240">
        <f t="shared" si="288"/>
        <v>3.0402421012988956E-2</v>
      </c>
      <c r="ER69" s="240">
        <f t="shared" si="288"/>
        <v>-3.4862620105623243E-2</v>
      </c>
      <c r="ES69" s="240">
        <f t="shared" si="288"/>
        <v>9.9434728633586156E-2</v>
      </c>
      <c r="ET69" s="240">
        <f t="shared" si="288"/>
        <v>8.6725353270699967E-2</v>
      </c>
      <c r="EU69" s="240">
        <f t="shared" si="288"/>
        <v>8.8701704832038653E-2</v>
      </c>
      <c r="EV69" s="240">
        <f t="shared" si="288"/>
        <v>0.12556174309461388</v>
      </c>
      <c r="EW69" s="240">
        <f t="shared" si="288"/>
        <v>0.10369297133542976</v>
      </c>
      <c r="EX69" s="240">
        <f t="shared" si="288"/>
        <v>0.16618930409487587</v>
      </c>
      <c r="EY69" s="240">
        <f t="shared" si="288"/>
        <v>9.3878516926658717E-2</v>
      </c>
      <c r="EZ69" s="240">
        <f t="shared" si="288"/>
        <v>4.7962626221283999E-2</v>
      </c>
      <c r="FA69" s="240">
        <f t="shared" si="288"/>
        <v>0.136222542378728</v>
      </c>
      <c r="FB69" s="240">
        <f t="shared" si="288"/>
        <v>9.4598125895756224E-2</v>
      </c>
      <c r="FD69" s="18" t="s">
        <v>527</v>
      </c>
      <c r="FE69" s="238">
        <f t="shared" ref="FE69:FE82" si="289">DN69</f>
        <v>6.0971516792338844E-2</v>
      </c>
      <c r="FF69" s="97">
        <v>8.1786839967987537E-2</v>
      </c>
      <c r="FG69" s="97">
        <f>FE69-FF69</f>
        <v>-2.0815323175648694E-2</v>
      </c>
      <c r="FH69" s="238">
        <f t="shared" ref="FH69:FH82" si="290">DI69</f>
        <v>6.1440174796941006E-2</v>
      </c>
      <c r="FI69" s="29"/>
      <c r="FJ69"/>
      <c r="FK69"/>
      <c r="FL69"/>
      <c r="FM69"/>
      <c r="FN69"/>
      <c r="FO69"/>
      <c r="FP69"/>
      <c r="FQ69"/>
      <c r="FR69"/>
    </row>
    <row r="70" spans="1:174" s="1" customFormat="1" hidden="1" outlineLevel="1" x14ac:dyDescent="0.2">
      <c r="A70" s="21" t="s">
        <v>357</v>
      </c>
      <c r="B70" s="20"/>
      <c r="G70" s="20"/>
      <c r="L70" s="20"/>
      <c r="Q70" s="20"/>
      <c r="V70" s="20"/>
      <c r="AA70" s="20"/>
      <c r="AF70" s="20"/>
      <c r="AK70" s="20"/>
      <c r="AP70" s="20"/>
      <c r="AU70" s="20"/>
      <c r="AZ70" s="20"/>
      <c r="BE70" s="20"/>
      <c r="BJ70" s="20"/>
      <c r="BO70" s="20"/>
      <c r="BT70" s="20"/>
      <c r="BU70" s="65">
        <f t="shared" ref="BU70:CD71" si="291">BU13/BP13-1</f>
        <v>7.6885406464250794E-2</v>
      </c>
      <c r="BV70" s="65">
        <f t="shared" si="291"/>
        <v>5.5586749017406012E-2</v>
      </c>
      <c r="BW70" s="65">
        <f t="shared" si="291"/>
        <v>2.2047244094488105E-2</v>
      </c>
      <c r="BX70" s="65">
        <f t="shared" si="291"/>
        <v>-6.692531522793399E-2</v>
      </c>
      <c r="BY70" s="61">
        <f t="shared" si="291"/>
        <v>2.0539152759948553E-2</v>
      </c>
      <c r="BZ70" s="65">
        <f t="shared" si="291"/>
        <v>-1.5461573442473897E-2</v>
      </c>
      <c r="CA70" s="65">
        <f t="shared" si="291"/>
        <v>0.12180851063829801</v>
      </c>
      <c r="CB70" s="65">
        <f t="shared" si="291"/>
        <v>9.6558808423215181E-2</v>
      </c>
      <c r="CC70" s="65">
        <f t="shared" si="291"/>
        <v>0.21777546777546775</v>
      </c>
      <c r="CD70" s="61">
        <f t="shared" si="291"/>
        <v>0.10088050314465424</v>
      </c>
      <c r="CE70" s="65">
        <f t="shared" ref="CE70:CN71" si="292">CE13/BZ13-1</f>
        <v>0.17413394919168579</v>
      </c>
      <c r="CF70" s="65">
        <f t="shared" si="292"/>
        <v>0.12754860123281175</v>
      </c>
      <c r="CG70" s="65">
        <f t="shared" si="292"/>
        <v>0.16487119437939102</v>
      </c>
      <c r="CH70" s="65">
        <f t="shared" si="292"/>
        <v>0.13871105420401197</v>
      </c>
      <c r="CI70" s="61">
        <f t="shared" si="292"/>
        <v>0.15116544789762343</v>
      </c>
      <c r="CJ70" s="65">
        <f t="shared" si="292"/>
        <v>0.20613690007867835</v>
      </c>
      <c r="CK70" s="65">
        <f t="shared" si="292"/>
        <v>0.2207737594617325</v>
      </c>
      <c r="CL70" s="65">
        <f t="shared" si="292"/>
        <v>0.23924406915963004</v>
      </c>
      <c r="CM70" s="65">
        <f t="shared" si="292"/>
        <v>0.14430284857571207</v>
      </c>
      <c r="CN70" s="61">
        <f t="shared" si="292"/>
        <v>0.20138957816377179</v>
      </c>
      <c r="CO70" s="65">
        <f t="shared" ref="CO70:CX71" si="293">CO13/CJ13-1</f>
        <v>0.14220482713633387</v>
      </c>
      <c r="CP70" s="65">
        <f t="shared" si="293"/>
        <v>0.10954185325525323</v>
      </c>
      <c r="CQ70" s="65">
        <f t="shared" si="293"/>
        <v>0.10966904607397798</v>
      </c>
      <c r="CR70" s="65">
        <f t="shared" si="293"/>
        <v>0.13429413691451031</v>
      </c>
      <c r="CS70" s="61">
        <f t="shared" si="293"/>
        <v>0.12409120951751462</v>
      </c>
      <c r="CT70" s="65">
        <f t="shared" si="293"/>
        <v>0.14734437464306116</v>
      </c>
      <c r="CU70" s="65">
        <f t="shared" si="293"/>
        <v>0.10586774293697587</v>
      </c>
      <c r="CV70" s="65">
        <f t="shared" si="293"/>
        <v>0.19327485380116971</v>
      </c>
      <c r="CW70" s="65">
        <f t="shared" si="293"/>
        <v>0.22032919434016751</v>
      </c>
      <c r="CX70" s="61">
        <f t="shared" si="293"/>
        <v>0.16764662648831385</v>
      </c>
      <c r="CY70" s="65">
        <f t="shared" ref="CY70:DH71" si="294">CY13/CT13-1</f>
        <v>0.20433051269288205</v>
      </c>
      <c r="CZ70" s="65">
        <f t="shared" si="294"/>
        <v>0.18276249298147107</v>
      </c>
      <c r="DA70" s="65">
        <f t="shared" si="294"/>
        <v>0.16442048517520202</v>
      </c>
      <c r="DB70" s="65">
        <f t="shared" si="294"/>
        <v>0.13913866540463782</v>
      </c>
      <c r="DC70" s="61">
        <f t="shared" si="294"/>
        <v>0.1719015547302829</v>
      </c>
      <c r="DD70" s="65">
        <f t="shared" si="294"/>
        <v>0.11717296962182289</v>
      </c>
      <c r="DE70" s="65">
        <f>DE13/CZ13-1</f>
        <v>0.17042487538571094</v>
      </c>
      <c r="DF70" s="65">
        <f t="shared" si="294"/>
        <v>0.10942760942760965</v>
      </c>
      <c r="DG70" s="65">
        <f t="shared" si="294"/>
        <v>0.23223930203572918</v>
      </c>
      <c r="DH70" s="61">
        <f t="shared" si="294"/>
        <v>0.15699860350198747</v>
      </c>
      <c r="DI70" s="65">
        <f t="shared" ref="DI70:DR71" si="295">DI13/DD13-1</f>
        <v>0.11431742508324083</v>
      </c>
      <c r="DJ70" s="65">
        <f t="shared" si="295"/>
        <v>0.10870006083958628</v>
      </c>
      <c r="DK70" s="65">
        <f t="shared" si="295"/>
        <v>0.11589529590288294</v>
      </c>
      <c r="DL70" s="65">
        <f t="shared" si="295"/>
        <v>4.1132838840188812E-2</v>
      </c>
      <c r="DM70" s="61">
        <f t="shared" si="295"/>
        <v>9.3264008170465429E-2</v>
      </c>
      <c r="DN70" s="65">
        <f t="shared" si="295"/>
        <v>0.13280212483399745</v>
      </c>
      <c r="DO70" s="65">
        <f t="shared" si="295"/>
        <v>6.090464856434985E-2</v>
      </c>
      <c r="DP70" s="65">
        <f t="shared" si="295"/>
        <v>5.0239950533535804E-2</v>
      </c>
      <c r="DQ70" s="65">
        <f t="shared" si="295"/>
        <v>7.8329523239750731E-2</v>
      </c>
      <c r="DR70" s="61">
        <f t="shared" si="295"/>
        <v>8.1201294191880713E-2</v>
      </c>
      <c r="DS70" s="65">
        <f t="shared" ref="DS70:EB71" si="296">DS13/DN13-1</f>
        <v>0.10458604756045387</v>
      </c>
      <c r="DT70" s="65">
        <f t="shared" si="296"/>
        <v>0.13418105809495828</v>
      </c>
      <c r="DU70" s="65">
        <f t="shared" si="296"/>
        <v>0.13261561225602247</v>
      </c>
      <c r="DV70" s="65">
        <f t="shared" si="296"/>
        <v>0.13076183858149326</v>
      </c>
      <c r="DW70" s="61">
        <f t="shared" si="296"/>
        <v>0.12497529760971315</v>
      </c>
      <c r="DX70" s="65">
        <f t="shared" si="296"/>
        <v>0.12898868401462948</v>
      </c>
      <c r="DY70" s="65">
        <f t="shared" si="296"/>
        <v>0.1269962968801055</v>
      </c>
      <c r="DZ70" s="65">
        <f t="shared" si="296"/>
        <v>0.12549487330426179</v>
      </c>
      <c r="EA70" s="65">
        <f t="shared" si="296"/>
        <v>0.12354056989015127</v>
      </c>
      <c r="EB70" s="61">
        <f t="shared" si="296"/>
        <v>0.12624527606124958</v>
      </c>
      <c r="ED70" s="28"/>
      <c r="EE70" s="28"/>
      <c r="EG70" s="27"/>
      <c r="EH70" s="28"/>
      <c r="EI70" s="28"/>
      <c r="EJ70" s="28"/>
      <c r="EK70" s="28"/>
      <c r="EL70" s="28"/>
      <c r="EM70" s="61"/>
      <c r="EN70" s="61"/>
      <c r="EO70" s="61"/>
      <c r="EP70" s="61"/>
      <c r="EQ70" s="61"/>
      <c r="ER70" s="61"/>
      <c r="ES70" s="61"/>
      <c r="ET70" s="61"/>
      <c r="EU70" s="61"/>
      <c r="EV70" s="61"/>
      <c r="EW70" s="61"/>
      <c r="EX70" s="61"/>
      <c r="EY70" s="61"/>
      <c r="EZ70" s="61"/>
      <c r="FA70" s="61"/>
      <c r="FB70" s="61"/>
      <c r="FD70" s="241" t="s">
        <v>357</v>
      </c>
      <c r="FE70" s="238">
        <f t="shared" si="289"/>
        <v>0.13280212483399745</v>
      </c>
      <c r="FF70" s="97">
        <v>0.12935445309219151</v>
      </c>
      <c r="FG70" s="97">
        <f t="shared" ref="FG70:FG81" si="297">FE70-FF70</f>
        <v>3.4476717418059355E-3</v>
      </c>
      <c r="FH70" s="238">
        <f t="shared" si="290"/>
        <v>0.11431742508324083</v>
      </c>
      <c r="FI70" s="29"/>
      <c r="FJ70"/>
      <c r="FK70"/>
      <c r="FL70"/>
      <c r="FM70"/>
      <c r="FN70"/>
      <c r="FO70"/>
      <c r="FP70"/>
      <c r="FQ70"/>
      <c r="FR70"/>
    </row>
    <row r="71" spans="1:174" s="1" customFormat="1" hidden="1" outlineLevel="1" x14ac:dyDescent="0.2">
      <c r="A71" s="21" t="s">
        <v>358</v>
      </c>
      <c r="B71" s="20"/>
      <c r="G71" s="20"/>
      <c r="L71" s="20"/>
      <c r="Q71" s="20"/>
      <c r="V71" s="20"/>
      <c r="AA71" s="20"/>
      <c r="AF71" s="20"/>
      <c r="AK71" s="20"/>
      <c r="AP71" s="20"/>
      <c r="AU71" s="20"/>
      <c r="AZ71" s="20"/>
      <c r="BE71" s="20"/>
      <c r="BJ71" s="20"/>
      <c r="BO71" s="20"/>
      <c r="BT71" s="20"/>
      <c r="BU71" s="65">
        <f t="shared" si="291"/>
        <v>3.3978291647003278E-2</v>
      </c>
      <c r="BV71" s="65">
        <f t="shared" si="291"/>
        <v>-0.10487804878048779</v>
      </c>
      <c r="BW71" s="65">
        <f t="shared" si="291"/>
        <v>-3.8385826771653475E-2</v>
      </c>
      <c r="BX71" s="65">
        <f t="shared" si="291"/>
        <v>-4.9999999999999933E-2</v>
      </c>
      <c r="BY71" s="61">
        <f t="shared" si="291"/>
        <v>-3.9298161278692345E-2</v>
      </c>
      <c r="BZ71" s="65">
        <f t="shared" si="291"/>
        <v>-2.6471930625285189E-2</v>
      </c>
      <c r="CA71" s="65">
        <f t="shared" si="291"/>
        <v>6.212534059945507E-2</v>
      </c>
      <c r="CB71" s="65">
        <f t="shared" si="291"/>
        <v>8.3930399181166848E-2</v>
      </c>
      <c r="CC71" s="65">
        <f t="shared" si="291"/>
        <v>0.2348560079443891</v>
      </c>
      <c r="CD71" s="61">
        <f t="shared" si="291"/>
        <v>8.6690017513134876E-2</v>
      </c>
      <c r="CE71" s="65">
        <f t="shared" si="292"/>
        <v>0.15002344116268174</v>
      </c>
      <c r="CF71" s="65">
        <f t="shared" si="292"/>
        <v>0.30528476141611072</v>
      </c>
      <c r="CG71" s="65">
        <f t="shared" si="292"/>
        <v>0.25684608120868724</v>
      </c>
      <c r="CH71" s="65">
        <f t="shared" si="292"/>
        <v>0.18496180136710905</v>
      </c>
      <c r="CI71" s="61">
        <f t="shared" si="292"/>
        <v>0.22090480027627502</v>
      </c>
      <c r="CJ71" s="65">
        <f t="shared" si="292"/>
        <v>0.5964125560538116</v>
      </c>
      <c r="CK71" s="65">
        <f t="shared" si="292"/>
        <v>0.48860062893081757</v>
      </c>
      <c r="CL71" s="65">
        <f t="shared" si="292"/>
        <v>0.40646130728775365</v>
      </c>
      <c r="CM71" s="65">
        <f t="shared" si="292"/>
        <v>0.31421784865965408</v>
      </c>
      <c r="CN71" s="61">
        <f t="shared" si="292"/>
        <v>0.4444653969451251</v>
      </c>
      <c r="CO71" s="65">
        <f t="shared" si="293"/>
        <v>0.157814096016343</v>
      </c>
      <c r="CP71" s="65">
        <f t="shared" si="293"/>
        <v>0.10852917876947465</v>
      </c>
      <c r="CQ71" s="65">
        <f t="shared" si="293"/>
        <v>8.7072649572649707E-2</v>
      </c>
      <c r="CR71" s="65">
        <f t="shared" si="293"/>
        <v>0.11773818745158793</v>
      </c>
      <c r="CS71" s="61">
        <f t="shared" si="293"/>
        <v>0.11821148825065286</v>
      </c>
      <c r="CT71" s="65">
        <f t="shared" si="293"/>
        <v>8.9545655050727868E-2</v>
      </c>
      <c r="CU71" s="65">
        <f t="shared" si="293"/>
        <v>7.0986183897093769E-2</v>
      </c>
      <c r="CV71" s="65">
        <f t="shared" si="293"/>
        <v>0.11818181818181817</v>
      </c>
      <c r="CW71" s="65">
        <f t="shared" si="293"/>
        <v>0.11457611457611461</v>
      </c>
      <c r="CX71" s="61">
        <f t="shared" si="293"/>
        <v>9.8126203957737523E-2</v>
      </c>
      <c r="CY71" s="65">
        <f t="shared" si="294"/>
        <v>0.10627530364372473</v>
      </c>
      <c r="CZ71" s="65">
        <f t="shared" si="294"/>
        <v>0.155026690391459</v>
      </c>
      <c r="DA71" s="65">
        <f t="shared" si="294"/>
        <v>7.8883761810591091E-2</v>
      </c>
      <c r="DB71" s="65">
        <f t="shared" si="294"/>
        <v>0.13326424870466314</v>
      </c>
      <c r="DC71" s="61">
        <f t="shared" si="294"/>
        <v>0.11822241122687638</v>
      </c>
      <c r="DD71" s="65">
        <f t="shared" si="294"/>
        <v>0.13870082342177481</v>
      </c>
      <c r="DE71" s="65">
        <f t="shared" si="294"/>
        <v>7.0479491623339108E-2</v>
      </c>
      <c r="DF71" s="65">
        <f t="shared" si="294"/>
        <v>7.7800407331975574E-2</v>
      </c>
      <c r="DG71" s="65">
        <f t="shared" si="294"/>
        <v>0.11594732991953194</v>
      </c>
      <c r="DH71" s="61">
        <f t="shared" si="294"/>
        <v>0.10173036698992211</v>
      </c>
      <c r="DI71" s="65">
        <f t="shared" si="295"/>
        <v>6.2510043387433933E-2</v>
      </c>
      <c r="DJ71" s="65">
        <f t="shared" si="295"/>
        <v>-7.195538765965126E-3</v>
      </c>
      <c r="DK71" s="65">
        <f t="shared" si="295"/>
        <v>6.6137566137566051E-2</v>
      </c>
      <c r="DL71" s="65">
        <f t="shared" si="295"/>
        <v>-1.0652245165519547E-2</v>
      </c>
      <c r="DM71" s="61">
        <f t="shared" si="295"/>
        <v>2.7355885398688384E-2</v>
      </c>
      <c r="DN71" s="65">
        <f t="shared" si="295"/>
        <v>-1.7695099818511917E-2</v>
      </c>
      <c r="DO71" s="65">
        <f t="shared" si="295"/>
        <v>2.7042942562058414E-2</v>
      </c>
      <c r="DP71" s="65">
        <f t="shared" si="295"/>
        <v>1.3803615739099717E-2</v>
      </c>
      <c r="DQ71" s="65">
        <f t="shared" si="295"/>
        <v>1.3362597316547875E-2</v>
      </c>
      <c r="DR71" s="61">
        <f t="shared" si="295"/>
        <v>8.0134397312052741E-3</v>
      </c>
      <c r="DS71" s="65">
        <f t="shared" si="296"/>
        <v>7.0377596171748547E-2</v>
      </c>
      <c r="DT71" s="65">
        <f t="shared" si="296"/>
        <v>6.4761487231508763E-2</v>
      </c>
      <c r="DU71" s="65">
        <f t="shared" si="296"/>
        <v>6.5371651153520727E-2</v>
      </c>
      <c r="DV71" s="65">
        <f t="shared" si="296"/>
        <v>6.5725758336098616E-2</v>
      </c>
      <c r="DW71" s="61">
        <f t="shared" si="296"/>
        <v>6.6672497880716719E-2</v>
      </c>
      <c r="DX71" s="65">
        <f t="shared" si="296"/>
        <v>7.0201156157820854E-2</v>
      </c>
      <c r="DY71" s="65">
        <f t="shared" si="296"/>
        <v>6.5105963685988533E-2</v>
      </c>
      <c r="DZ71" s="65">
        <f t="shared" si="296"/>
        <v>6.7535063479810864E-2</v>
      </c>
      <c r="EA71" s="65">
        <f t="shared" si="296"/>
        <v>6.9115218954363788E-2</v>
      </c>
      <c r="EB71" s="61">
        <f t="shared" si="296"/>
        <v>6.8088821381368847E-2</v>
      </c>
      <c r="ED71" s="28"/>
      <c r="EE71" s="28"/>
      <c r="EG71" s="27"/>
      <c r="EH71" s="28"/>
      <c r="EI71" s="28"/>
      <c r="EJ71" s="28"/>
      <c r="EK71" s="28"/>
      <c r="EL71" s="28"/>
      <c r="EM71" s="61"/>
      <c r="EN71" s="61"/>
      <c r="EO71" s="61"/>
      <c r="EP71" s="61"/>
      <c r="EQ71" s="61"/>
      <c r="ER71" s="61"/>
      <c r="ES71" s="61"/>
      <c r="ET71" s="61"/>
      <c r="EU71" s="61"/>
      <c r="EV71" s="61"/>
      <c r="EW71" s="61"/>
      <c r="EX71" s="61"/>
      <c r="EY71" s="61"/>
      <c r="EZ71" s="61"/>
      <c r="FA71" s="61"/>
      <c r="FB71" s="61"/>
      <c r="FD71" s="241" t="s">
        <v>358</v>
      </c>
      <c r="FE71" s="238">
        <f t="shared" si="289"/>
        <v>-1.7695099818511917E-2</v>
      </c>
      <c r="FF71" s="97">
        <v>6.6844373865698525E-2</v>
      </c>
      <c r="FG71" s="97">
        <f t="shared" si="297"/>
        <v>-8.4539473684210442E-2</v>
      </c>
      <c r="FH71" s="238">
        <f t="shared" si="290"/>
        <v>6.2510043387433933E-2</v>
      </c>
      <c r="FI71" s="29"/>
      <c r="FJ71"/>
      <c r="FK71"/>
      <c r="FL71"/>
      <c r="FM71"/>
      <c r="FN71"/>
      <c r="FO71"/>
      <c r="FP71"/>
      <c r="FQ71"/>
      <c r="FR71"/>
    </row>
    <row r="72" spans="1:174" s="1" customFormat="1" collapsed="1" x14ac:dyDescent="0.2">
      <c r="A72" s="1" t="s">
        <v>359</v>
      </c>
      <c r="B72" s="20"/>
      <c r="G72" s="20"/>
      <c r="L72" s="61">
        <f>((L15+L16)-(G15+G16))/(G15+G16)</f>
        <v>0.82572693703342548</v>
      </c>
      <c r="Q72" s="61">
        <f t="shared" ref="Q72:AK72" si="298">((Q15+Q16)-(L15+L16))/(L15+L16)</f>
        <v>0.40351276573389827</v>
      </c>
      <c r="R72" s="78">
        <f t="shared" si="298"/>
        <v>0.37119867471305174</v>
      </c>
      <c r="S72" s="78">
        <f t="shared" si="298"/>
        <v>0.40034836202853885</v>
      </c>
      <c r="T72" s="78">
        <f t="shared" si="298"/>
        <v>0.58272509861167221</v>
      </c>
      <c r="U72" s="78">
        <f t="shared" si="298"/>
        <v>0.5443655620562865</v>
      </c>
      <c r="V72" s="61">
        <f t="shared" si="298"/>
        <v>0.38291806510374432</v>
      </c>
      <c r="W72" s="78">
        <f t="shared" si="298"/>
        <v>0.35592854677252322</v>
      </c>
      <c r="X72" s="78">
        <f t="shared" si="298"/>
        <v>0.36568913553078519</v>
      </c>
      <c r="Y72" s="78">
        <f t="shared" si="298"/>
        <v>0.33128593575227122</v>
      </c>
      <c r="Z72" s="78">
        <f t="shared" si="298"/>
        <v>3.2747854993037111E-2</v>
      </c>
      <c r="AA72" s="61">
        <f t="shared" si="298"/>
        <v>0.15822879027783429</v>
      </c>
      <c r="AB72" s="78">
        <f t="shared" si="298"/>
        <v>0.40886237072394582</v>
      </c>
      <c r="AC72" s="78">
        <f t="shared" si="298"/>
        <v>0.35981013766770586</v>
      </c>
      <c r="AD72" s="78">
        <f t="shared" si="298"/>
        <v>0.33798145664126417</v>
      </c>
      <c r="AE72" s="78">
        <f t="shared" si="298"/>
        <v>0.4067565608235465</v>
      </c>
      <c r="AF72" s="61">
        <f t="shared" si="298"/>
        <v>0.37866059083562159</v>
      </c>
      <c r="AG72" s="78">
        <f t="shared" si="298"/>
        <v>0.1855850565236542</v>
      </c>
      <c r="AH72" s="78">
        <f t="shared" si="298"/>
        <v>0.36547007225936079</v>
      </c>
      <c r="AI72" s="78">
        <f t="shared" si="298"/>
        <v>0.14408945686900967</v>
      </c>
      <c r="AJ72" s="78">
        <f t="shared" si="298"/>
        <v>7.7527209762533036E-2</v>
      </c>
      <c r="AK72" s="61">
        <f t="shared" si="298"/>
        <v>0.18477984507511755</v>
      </c>
      <c r="AL72" s="78">
        <f>(AL15-AG15)/AG15</f>
        <v>0.17231853686416448</v>
      </c>
      <c r="AM72" s="78">
        <f>(AM15-AH15)/AH15</f>
        <v>0.12210053673675363</v>
      </c>
      <c r="AN72" s="78">
        <f>(AN15-AI15)/AI15</f>
        <v>0.1875318972739265</v>
      </c>
      <c r="AO72" s="78">
        <f>(AO15-AJ15)/AJ15</f>
        <v>0.24973695789413267</v>
      </c>
      <c r="AP72" s="61">
        <f>((AP15+AP16)-(AK15+AK16))/(AK15+AK16)</f>
        <v>0.18269088620030249</v>
      </c>
      <c r="AQ72" s="78">
        <f>(AQ15-AL15)/AL15</f>
        <v>0.25164540505403432</v>
      </c>
      <c r="AR72" s="78">
        <f>(AR15-AM15)/AM15</f>
        <v>0.21801521583792216</v>
      </c>
      <c r="AS72" s="78">
        <f>(AS15-AN15)/AN15</f>
        <v>0.28946514871395668</v>
      </c>
      <c r="AT72" s="78">
        <f>(AT15-AO15)/AO15</f>
        <v>0.28542344341969311</v>
      </c>
      <c r="AU72" s="61">
        <f>((AU15+AU16)-(AP15+AP16))/(AP15+AP16)</f>
        <v>0.2618809525729629</v>
      </c>
      <c r="AV72" s="78">
        <f>(AV15-AQ15)/AQ15</f>
        <v>0.30288236821604786</v>
      </c>
      <c r="AW72" s="78">
        <f>(AW15-AR15)/AR15</f>
        <v>0.3154000648772507</v>
      </c>
      <c r="AX72" s="78">
        <f>(AX15-AS15)/AS15</f>
        <v>0.32457144294500118</v>
      </c>
      <c r="AY72" s="78">
        <f>(AY15-AT15)/AT15</f>
        <v>0.3989532412010931</v>
      </c>
      <c r="AZ72" s="61">
        <f>((AZ15+AZ16)-(AU15+AU16))/(AU15+AU16)</f>
        <v>0.33706929883143905</v>
      </c>
      <c r="BA72" s="78">
        <f>(BA15-AV15)/AV15</f>
        <v>0.15041156774424994</v>
      </c>
      <c r="BB72" s="78">
        <f>(BB15-AW15)/AW15</f>
        <v>0.23182063834364369</v>
      </c>
      <c r="BC72" s="78">
        <f>(BC15-AX15)/AX15</f>
        <v>0.16406502212347393</v>
      </c>
      <c r="BD72" s="78">
        <f>(BD15-AY15)/AY15</f>
        <v>0.13439880825707598</v>
      </c>
      <c r="BE72" s="61">
        <f>((BE15+BE16)-(AZ15+AZ16))/(AZ15+AZ16)</f>
        <v>0.16789246584590917</v>
      </c>
      <c r="BF72" s="78">
        <f>(BF15-BA15)/BA15</f>
        <v>0.32581870471191066</v>
      </c>
      <c r="BG72" s="78">
        <f>(BG15-BB15)/BB15</f>
        <v>0.21812505058163556</v>
      </c>
      <c r="BH72" s="78">
        <f>(BH15-BC15)/BC15</f>
        <v>0.23451634216171688</v>
      </c>
      <c r="BI72" s="78">
        <f>(BI15-BD15)/BD15</f>
        <v>0.159586083211082</v>
      </c>
      <c r="BJ72" s="61">
        <f>((BJ15+BJ16)-(BE15+BE16))/(BE15+BE16)</f>
        <v>0.23171399250848959</v>
      </c>
      <c r="BK72" s="78">
        <f>(BK15-BF15)/BF15</f>
        <v>0.13982927649954732</v>
      </c>
      <c r="BL72" s="78">
        <f>(BL15-BG15)/BG15</f>
        <v>0.16403709376245726</v>
      </c>
      <c r="BM72" s="78">
        <f>(BM15-BH15)/BH15</f>
        <v>0.15123093797076931</v>
      </c>
      <c r="BN72" s="78">
        <f>(BN15-BI15)/BI15</f>
        <v>0.23910166601415231</v>
      </c>
      <c r="BO72" s="61">
        <f>((BO15+BO16)-(BJ15+BJ16))/(BJ15+BJ16)</f>
        <v>0.17393283515139829</v>
      </c>
      <c r="BP72" s="78">
        <f>(BP15-BK15)/BK15</f>
        <v>0.19256431421103329</v>
      </c>
      <c r="BQ72" s="78">
        <f>(BQ15-BL15)/BL15</f>
        <v>0.15083406180438527</v>
      </c>
      <c r="BR72" s="78">
        <f>(BR15-BM15)/BM15</f>
        <v>0.1297862388190763</v>
      </c>
      <c r="BS72" s="78">
        <f>(BS15-BN15)/BN15</f>
        <v>9.2025757393761246E-2</v>
      </c>
      <c r="BT72" s="61">
        <f>((BT15+BT16)-(BO15+BO16))/(BO15+BO16)</f>
        <v>0.14001098191945832</v>
      </c>
      <c r="BU72" s="78">
        <f>(BU15-BP15)/BP15</f>
        <v>5.5034847392453679E-2</v>
      </c>
      <c r="BV72" s="78">
        <f>(BV15-BQ15)/BQ15</f>
        <v>-3.0279300443748425E-2</v>
      </c>
      <c r="BW72" s="78">
        <f>(BW15-BR15)/BR15</f>
        <v>-9.144018288036489E-3</v>
      </c>
      <c r="BX72" s="78">
        <f>(BX15-BS15)/BS15</f>
        <v>-5.8345289335246242E-2</v>
      </c>
      <c r="BY72" s="61">
        <f>((BY15+BY16)-(BT15+BT16))/(BT15+BT16)</f>
        <v>-1.0365588728198155E-2</v>
      </c>
      <c r="BZ72" s="78">
        <f>(BZ15-BU15)/BU15</f>
        <v>-2.0956719817767627E-2</v>
      </c>
      <c r="CA72" s="78">
        <f>(CA15-BV15)/BV15</f>
        <v>9.2328398384926E-2</v>
      </c>
      <c r="CB72" s="78">
        <f>(CB15-BW15)/BW15</f>
        <v>9.0233273519610316E-2</v>
      </c>
      <c r="CC72" s="78">
        <f>(CC15-BX15)/BX15</f>
        <v>0.22651091924834937</v>
      </c>
      <c r="CD72" s="61">
        <f>((CD15+CD16)-(BY15+BY16))/(BY15+BY16)</f>
        <v>9.3765679879578678E-2</v>
      </c>
      <c r="CE72" s="78">
        <f>(CE15-BZ15)/BZ15</f>
        <v>0.16216845044206604</v>
      </c>
      <c r="CF72" s="78">
        <f>(CF15-CA15)/CA15</f>
        <v>0.21291276490882216</v>
      </c>
      <c r="CG72" s="78">
        <f>(CG15-CB15)/CB15</f>
        <v>0.21067481777568767</v>
      </c>
      <c r="CH72" s="78">
        <f>(CH15-CC15)/CC15</f>
        <v>0.16252587991718426</v>
      </c>
      <c r="CI72" s="61">
        <f>((CI15+CI16)-(CD15+CD16))/(CD15+CD16)</f>
        <v>0.1859051551121052</v>
      </c>
      <c r="CJ72" s="78">
        <f>(CJ15-CE15)/CE15</f>
        <v>0.39779779779779789</v>
      </c>
      <c r="CK72" s="78">
        <f>(CK15-CF15)/CF15</f>
        <v>0.35920357578220224</v>
      </c>
      <c r="CL72" s="78">
        <f>(CL15-CG15)/CG15</f>
        <v>0.3256943095746746</v>
      </c>
      <c r="CM72" s="78">
        <f>(CM15-CH15)/CH15</f>
        <v>0.23348174532502231</v>
      </c>
      <c r="CN72" s="61">
        <f>((CN15+CN16)-(CI15+CI16))/(CI15+CI16)</f>
        <v>0.32604806343987214</v>
      </c>
      <c r="CO72" s="78">
        <f>(CO15-CJ15)/CJ15</f>
        <v>0.15095961042681161</v>
      </c>
      <c r="CP72" s="78">
        <f>(CP15-CK15)/CK15</f>
        <v>0.10896860986547099</v>
      </c>
      <c r="CQ72" s="78">
        <f>(CQ15-CL15)/CL15</f>
        <v>9.727512452387943E-2</v>
      </c>
      <c r="CR72" s="78">
        <f>(CR15-CM15)/CM15</f>
        <v>0.12503609587063244</v>
      </c>
      <c r="CS72" s="61">
        <f>((CS15+CS16)-(CN15+CN16))/(CN15+CN16)</f>
        <v>0.12080659276546081</v>
      </c>
      <c r="CT72" s="78">
        <f>(CT15-CO15)/CO15</f>
        <v>0.11473369835739181</v>
      </c>
      <c r="CU72" s="78">
        <f>(CU15-CP15)/CP15</f>
        <v>8.6130206227254147E-2</v>
      </c>
      <c r="CV72" s="78">
        <f>(CV15-CQ15)/CQ15</f>
        <v>0.15246995994659551</v>
      </c>
      <c r="CW72" s="78">
        <f>(CW15-CR15)/CR15</f>
        <v>0.16157597535934287</v>
      </c>
      <c r="CX72" s="61">
        <f>((CX15+CX16)-(CS15+CS16))/(CS15+CS16)</f>
        <v>0.12890002277385557</v>
      </c>
      <c r="CY72" s="78">
        <f>(CY15-CT15)/CT15</f>
        <v>0.1502567537396742</v>
      </c>
      <c r="CZ72" s="78">
        <f>(CZ15-CU15)/CU15</f>
        <v>0.16728716803176963</v>
      </c>
      <c r="DA72" s="78">
        <f>(DA15-CV15)/CV15</f>
        <v>0.11932344763670064</v>
      </c>
      <c r="DB72" s="78">
        <f>(DB15-CW15)/CW15</f>
        <v>0.1360070710418736</v>
      </c>
      <c r="DC72" s="61">
        <f>((DC15+DC16)-(CX15+CX16))/(CX15+CX16)</f>
        <v>0.14279950430848165</v>
      </c>
      <c r="DD72" s="78">
        <f>(DD15-CY15)/CY15</f>
        <v>0.12859083850931677</v>
      </c>
      <c r="DE72" s="78">
        <f>(DE15-CZ15)/CZ15</f>
        <v>0.1152455879226027</v>
      </c>
      <c r="DF72" s="78">
        <f>(DF15-DA15)/DA15</f>
        <v>9.3355412957979764E-2</v>
      </c>
      <c r="DG72" s="78">
        <f>(DG15-DB15)/DB15</f>
        <v>0.17039486481229363</v>
      </c>
      <c r="DH72" s="61">
        <f>((DH15+DH16)-(DC15+DC16))/(DC15+DC16)</f>
        <v>0.12767942704393015</v>
      </c>
      <c r="DI72" s="78">
        <f>(DI15-DD15)/DD15</f>
        <v>8.6593860177143184E-2</v>
      </c>
      <c r="DJ72" s="78">
        <f>(DJ15-DE15)/DE15</f>
        <v>4.7283126787416502E-2</v>
      </c>
      <c r="DK72" s="78">
        <f>(DK15-DF15)/DF15</f>
        <v>9.0969329799318349E-2</v>
      </c>
      <c r="DL72" s="78">
        <f>(DL15-DG15)/DG15</f>
        <v>1.4874522187136521E-2</v>
      </c>
      <c r="DM72" s="61">
        <f>((DM15+DM16)-(DH15+DH16))/(DH15+DH16)</f>
        <v>5.9105038352304323E-2</v>
      </c>
      <c r="DN72" s="78">
        <f>(DN15-DI15)/DI15</f>
        <v>5.4051915163026425E-2</v>
      </c>
      <c r="DO72" s="78">
        <f>(DO15-DJ15)/DJ15</f>
        <v>4.3893656808784161E-2</v>
      </c>
      <c r="DP72" s="78">
        <f>(DP15-DK15)/DK15</f>
        <v>3.2402744380806224E-2</v>
      </c>
      <c r="DQ72" s="78">
        <f>(DQ15-DL15)/DL15</f>
        <v>4.6215764802153246E-2</v>
      </c>
      <c r="DR72" s="61">
        <f>((DR15+DR16)-(DM15+DM16))/(DM15+DM16)</f>
        <v>4.4406471246173813E-2</v>
      </c>
      <c r="DS72" s="78">
        <f>(DS15-DN15)/DN15</f>
        <v>8.7904322823638636E-2</v>
      </c>
      <c r="DT72" s="78">
        <f>(DT15-DO15)/DO15</f>
        <v>9.9869924404244595E-2</v>
      </c>
      <c r="DU72" s="78">
        <f>(DU15-DP15)/DP15</f>
        <v>0.10028974974190211</v>
      </c>
      <c r="DV72" s="78">
        <f>(DV15-DQ15)/DQ15</f>
        <v>9.9623403121515297E-2</v>
      </c>
      <c r="DW72" s="61">
        <f>((DW15+DW16)-(DR15+DR16))/(DR15+DR16)</f>
        <v>9.6685236834964633E-2</v>
      </c>
      <c r="DX72" s="78">
        <f>(DX15-DS15)/DS15</f>
        <v>0.10078284375561708</v>
      </c>
      <c r="DY72" s="78">
        <f>(DY15-DT15)/DT15</f>
        <v>9.7382985596466742E-2</v>
      </c>
      <c r="DZ72" s="78">
        <f>(DZ15-DU15)/DU15</f>
        <v>9.8516369891850267E-2</v>
      </c>
      <c r="EA72" s="78">
        <f>(EA15-DV15)/DV15</f>
        <v>9.8285698802220406E-2</v>
      </c>
      <c r="EB72" s="61">
        <f>((EB15+EB16)-(DW15+DW16))/(DW15+DW16)</f>
        <v>9.8798490197038083E-2</v>
      </c>
      <c r="ED72" s="28"/>
      <c r="EE72" s="28"/>
      <c r="EG72" s="27"/>
      <c r="EH72" s="28"/>
      <c r="EI72" s="28"/>
      <c r="EJ72" s="28"/>
      <c r="EK72" s="28"/>
      <c r="EL72" s="28"/>
      <c r="EM72" s="61">
        <f t="shared" ref="EM72:FB72" si="299">EM15/EL15-1</f>
        <v>0.19723615848591014</v>
      </c>
      <c r="EN72" s="61">
        <f t="shared" si="299"/>
        <v>-0.43966609902151743</v>
      </c>
      <c r="EO72" s="61">
        <f t="shared" si="299"/>
        <v>0.18435130567291025</v>
      </c>
      <c r="EP72" s="61">
        <f t="shared" si="299"/>
        <v>0.18752140742327228</v>
      </c>
      <c r="EQ72" s="61">
        <f t="shared" si="299"/>
        <v>0.10374083030491343</v>
      </c>
      <c r="ER72" s="61">
        <f t="shared" si="299"/>
        <v>-2.9865361077111352E-2</v>
      </c>
      <c r="ES72" s="61">
        <f t="shared" si="299"/>
        <v>0.14408276558162991</v>
      </c>
      <c r="ET72" s="61">
        <f t="shared" si="299"/>
        <v>0.2498897220996914</v>
      </c>
      <c r="EU72" s="61">
        <f t="shared" si="299"/>
        <v>0.2563084524439736</v>
      </c>
      <c r="EV72" s="61">
        <f t="shared" si="299"/>
        <v>0.11170025984970877</v>
      </c>
      <c r="EW72" s="61">
        <f t="shared" si="299"/>
        <v>0.13853880413152653</v>
      </c>
      <c r="EX72" s="61">
        <f t="shared" si="299"/>
        <v>0.13688444999306415</v>
      </c>
      <c r="EY72" s="61">
        <f t="shared" si="299"/>
        <v>0.11579101491007582</v>
      </c>
      <c r="EZ72" s="61">
        <f t="shared" si="299"/>
        <v>5.0717347563642878E-2</v>
      </c>
      <c r="FA72" s="61">
        <f t="shared" si="299"/>
        <v>5.3928525568903485E-2</v>
      </c>
      <c r="FB72" s="61">
        <f t="shared" si="299"/>
        <v>0.10016761781300909</v>
      </c>
      <c r="FD72" s="20" t="s">
        <v>359</v>
      </c>
      <c r="FE72" s="238">
        <f t="shared" si="289"/>
        <v>5.4051915163026425E-2</v>
      </c>
      <c r="FF72" s="97">
        <v>9.6645000429515932E-2</v>
      </c>
      <c r="FG72" s="97">
        <f t="shared" si="297"/>
        <v>-4.2593085266489507E-2</v>
      </c>
      <c r="FH72" s="238">
        <f t="shared" si="290"/>
        <v>8.6593860177143184E-2</v>
      </c>
      <c r="FI72" s="29"/>
      <c r="FJ72" s="770"/>
      <c r="FK72" s="770"/>
      <c r="FL72"/>
      <c r="FM72"/>
      <c r="FN72"/>
      <c r="FO72"/>
      <c r="FP72"/>
      <c r="FQ72"/>
      <c r="FR72" s="770"/>
    </row>
    <row r="73" spans="1:174" s="1" customFormat="1" x14ac:dyDescent="0.2">
      <c r="A73" s="16" t="s">
        <v>361</v>
      </c>
      <c r="B73" s="56">
        <v>0.61392885465050395</v>
      </c>
      <c r="C73" s="57">
        <v>0.638285503629764</v>
      </c>
      <c r="D73" s="57">
        <v>0.65514814208544803</v>
      </c>
      <c r="E73" s="57">
        <v>0.63321410461977001</v>
      </c>
      <c r="F73" s="57">
        <v>0.61048595897231595</v>
      </c>
      <c r="G73" s="56">
        <v>0.63276393973108502</v>
      </c>
      <c r="H73" s="57">
        <f t="shared" ref="H73:AK73" si="300">H17/C17-1</f>
        <v>0.46728114587390213</v>
      </c>
      <c r="I73" s="57">
        <f t="shared" si="300"/>
        <v>0.51918150979597066</v>
      </c>
      <c r="J73" s="57">
        <f t="shared" si="300"/>
        <v>0.484803732357729</v>
      </c>
      <c r="K73" s="57">
        <f t="shared" si="300"/>
        <v>0.51789302828876171</v>
      </c>
      <c r="L73" s="56">
        <f t="shared" si="300"/>
        <v>0.49721632288075091</v>
      </c>
      <c r="M73" s="57">
        <f t="shared" si="300"/>
        <v>0.41652854539127149</v>
      </c>
      <c r="N73" s="57">
        <f t="shared" si="300"/>
        <v>0.40792531687596445</v>
      </c>
      <c r="O73" s="57">
        <f t="shared" si="300"/>
        <v>0.38028256569652452</v>
      </c>
      <c r="P73" s="57">
        <f t="shared" si="300"/>
        <v>0.3989103037401025</v>
      </c>
      <c r="Q73" s="56">
        <f t="shared" si="300"/>
        <v>0.40031700317146734</v>
      </c>
      <c r="R73" s="57">
        <f t="shared" si="300"/>
        <v>0.33799561947750201</v>
      </c>
      <c r="S73" s="57">
        <f t="shared" si="300"/>
        <v>0.36515929162620808</v>
      </c>
      <c r="T73" s="57">
        <f t="shared" si="300"/>
        <v>0.36925823264726265</v>
      </c>
      <c r="U73" s="57">
        <f t="shared" si="300"/>
        <v>0.30204750204750219</v>
      </c>
      <c r="V73" s="56">
        <f t="shared" si="300"/>
        <v>0.34177267102269671</v>
      </c>
      <c r="W73" s="57">
        <f t="shared" si="300"/>
        <v>0.26239165953473909</v>
      </c>
      <c r="X73" s="57">
        <f t="shared" si="300"/>
        <v>0.27292433690214501</v>
      </c>
      <c r="Y73" s="57">
        <f t="shared" si="300"/>
        <v>0.2672106784997712</v>
      </c>
      <c r="Z73" s="57">
        <f t="shared" si="300"/>
        <v>0.32754644190044857</v>
      </c>
      <c r="AA73" s="56">
        <f t="shared" si="300"/>
        <v>0.28380792571570912</v>
      </c>
      <c r="AB73" s="57">
        <f t="shared" si="300"/>
        <v>0.30493691419442936</v>
      </c>
      <c r="AC73" s="57">
        <f t="shared" si="300"/>
        <v>0.34815950104038618</v>
      </c>
      <c r="AD73" s="57">
        <f t="shared" si="300"/>
        <v>0.31543304262468386</v>
      </c>
      <c r="AE73" s="57">
        <f t="shared" si="300"/>
        <v>0.23001663613199397</v>
      </c>
      <c r="AF73" s="56">
        <f t="shared" si="300"/>
        <v>0.2960773086716324</v>
      </c>
      <c r="AG73" s="57">
        <f t="shared" si="300"/>
        <v>0.26080985090642561</v>
      </c>
      <c r="AH73" s="57">
        <f t="shared" si="300"/>
        <v>0.24201252101968151</v>
      </c>
      <c r="AI73" s="57">
        <f t="shared" si="300"/>
        <v>0.18888729438355423</v>
      </c>
      <c r="AJ73" s="57">
        <f t="shared" si="300"/>
        <v>0.18051422877667811</v>
      </c>
      <c r="AK73" s="56">
        <f t="shared" si="300"/>
        <v>0.21648554717923862</v>
      </c>
      <c r="AL73" s="57">
        <f t="shared" ref="AL73:BJ73" si="301">AL17/AG17-1</f>
        <v>0.20669866209560572</v>
      </c>
      <c r="AM73" s="57">
        <f t="shared" si="301"/>
        <v>0.24460819211553342</v>
      </c>
      <c r="AN73" s="57">
        <f t="shared" si="301"/>
        <v>0.26010419920062633</v>
      </c>
      <c r="AO73" s="57">
        <f t="shared" si="301"/>
        <v>0.2547539214776311</v>
      </c>
      <c r="AP73" s="56">
        <f t="shared" si="301"/>
        <v>0.24157524783124051</v>
      </c>
      <c r="AQ73" s="57">
        <f t="shared" si="301"/>
        <v>0.2460975867185704</v>
      </c>
      <c r="AR73" s="57">
        <f t="shared" si="301"/>
        <v>0.21831625207318051</v>
      </c>
      <c r="AS73" s="57">
        <f t="shared" si="301"/>
        <v>0.24141300209062266</v>
      </c>
      <c r="AT73" s="57">
        <f t="shared" si="301"/>
        <v>0.24944001257515613</v>
      </c>
      <c r="AU73" s="56">
        <f t="shared" si="301"/>
        <v>0.23917148184138926</v>
      </c>
      <c r="AV73" s="57">
        <f t="shared" si="301"/>
        <v>0.27668939319957819</v>
      </c>
      <c r="AW73" s="57">
        <f t="shared" si="301"/>
        <v>0.30062900463841147</v>
      </c>
      <c r="AX73" s="57">
        <f t="shared" si="301"/>
        <v>0.27191505204595789</v>
      </c>
      <c r="AY73" s="57">
        <f t="shared" si="301"/>
        <v>0.34438438760680956</v>
      </c>
      <c r="AZ73" s="56">
        <f t="shared" si="301"/>
        <v>0.29903563249950116</v>
      </c>
      <c r="BA73" s="57">
        <f t="shared" si="301"/>
        <v>0.24067683897248759</v>
      </c>
      <c r="BB73" s="57">
        <f t="shared" si="301"/>
        <v>0.22371699213902851</v>
      </c>
      <c r="BC73" s="57">
        <f t="shared" si="301"/>
        <v>0.21468865716077534</v>
      </c>
      <c r="BD73" s="57">
        <f t="shared" si="301"/>
        <v>0.14170812985920977</v>
      </c>
      <c r="BE73" s="56">
        <f t="shared" si="301"/>
        <v>0.20306060521921254</v>
      </c>
      <c r="BF73" s="57">
        <f t="shared" si="301"/>
        <v>0.21675902019698734</v>
      </c>
      <c r="BG73" s="57">
        <f t="shared" si="301"/>
        <v>0.24172129614753524</v>
      </c>
      <c r="BH73" s="57">
        <f t="shared" si="301"/>
        <v>0.22591723430967314</v>
      </c>
      <c r="BI73" s="57">
        <f t="shared" si="301"/>
        <v>0.20739241617100834</v>
      </c>
      <c r="BJ73" s="56">
        <f t="shared" si="301"/>
        <v>0.22257422322704246</v>
      </c>
      <c r="BK73" s="57">
        <f t="shared" ref="BK73:CP73" si="302">BK17/BF17-1</f>
        <v>0.21799945400735843</v>
      </c>
      <c r="BL73" s="57">
        <f t="shared" si="302"/>
        <v>0.19608001179326573</v>
      </c>
      <c r="BM73" s="57">
        <f t="shared" si="302"/>
        <v>0.2014449452632896</v>
      </c>
      <c r="BN73" s="57">
        <f t="shared" si="302"/>
        <v>0.21842359442035986</v>
      </c>
      <c r="BO73" s="56">
        <f t="shared" si="302"/>
        <v>0.20862554260709776</v>
      </c>
      <c r="BP73" s="57">
        <f t="shared" si="302"/>
        <v>0.17484101483918102</v>
      </c>
      <c r="BQ73" s="57">
        <f t="shared" si="302"/>
        <v>0.11988239018192104</v>
      </c>
      <c r="BR73" s="57">
        <f t="shared" si="302"/>
        <v>9.0984615841084748E-2</v>
      </c>
      <c r="BS73" s="57">
        <f t="shared" si="302"/>
        <v>3.0547720443190762E-2</v>
      </c>
      <c r="BT73" s="56">
        <f t="shared" si="302"/>
        <v>0.10322512985978749</v>
      </c>
      <c r="BU73" s="57">
        <f t="shared" si="302"/>
        <v>-5.5065760948113884E-2</v>
      </c>
      <c r="BV73" s="57">
        <f t="shared" si="302"/>
        <v>-7.6286619160728319E-2</v>
      </c>
      <c r="BW73" s="57">
        <f t="shared" si="302"/>
        <v>-6.6047631998134904E-2</v>
      </c>
      <c r="BX73" s="57">
        <f t="shared" si="302"/>
        <v>-3.7090041741204449E-2</v>
      </c>
      <c r="BY73" s="56">
        <f t="shared" si="302"/>
        <v>-5.8595781566021299E-2</v>
      </c>
      <c r="BZ73" s="57">
        <f t="shared" si="302"/>
        <v>4.1105842765371881E-2</v>
      </c>
      <c r="CA73" s="57">
        <f t="shared" si="302"/>
        <v>8.6315518793125712E-2</v>
      </c>
      <c r="CB73" s="57">
        <f t="shared" si="302"/>
        <v>8.6567660884396158E-2</v>
      </c>
      <c r="CC73" s="57">
        <f t="shared" si="302"/>
        <v>0.17166212534059921</v>
      </c>
      <c r="CD73" s="56">
        <f t="shared" si="302"/>
        <v>9.5431015079900927E-2</v>
      </c>
      <c r="CE73" s="57">
        <f t="shared" si="302"/>
        <v>8.3777132992984837E-2</v>
      </c>
      <c r="CF73" s="57">
        <f t="shared" si="302"/>
        <v>9.9025525703238859E-2</v>
      </c>
      <c r="CG73" s="57">
        <f t="shared" si="302"/>
        <v>0.12258805513016857</v>
      </c>
      <c r="CH73" s="57">
        <f t="shared" si="302"/>
        <v>6.8322762508808976E-2</v>
      </c>
      <c r="CI73" s="56">
        <f t="shared" si="302"/>
        <v>9.2758279320843684E-2</v>
      </c>
      <c r="CJ73" s="57">
        <f t="shared" si="302"/>
        <v>0.16239663819981009</v>
      </c>
      <c r="CK73" s="57">
        <f t="shared" si="302"/>
        <v>0.14520587285063002</v>
      </c>
      <c r="CL73" s="57">
        <f t="shared" si="302"/>
        <v>0.12482095355023515</v>
      </c>
      <c r="CM73" s="57">
        <f t="shared" si="302"/>
        <v>0.10772123091130981</v>
      </c>
      <c r="CN73" s="56">
        <f t="shared" si="302"/>
        <v>0.13471958702972486</v>
      </c>
      <c r="CO73" s="57">
        <f t="shared" si="302"/>
        <v>0.10588921282798824</v>
      </c>
      <c r="CP73" s="57">
        <f t="shared" si="302"/>
        <v>0.1126575136355088</v>
      </c>
      <c r="CQ73" s="57">
        <f t="shared" ref="CQ73:DR73" si="303">CQ17/CL17-1</f>
        <v>0.13252683281790079</v>
      </c>
      <c r="CR73" s="57">
        <f t="shared" si="303"/>
        <v>0.12812267381271414</v>
      </c>
      <c r="CS73" s="56">
        <f t="shared" si="303"/>
        <v>0.11975687095632259</v>
      </c>
      <c r="CT73" s="57">
        <f t="shared" si="303"/>
        <v>0.11768427712749152</v>
      </c>
      <c r="CU73" s="57">
        <f t="shared" si="303"/>
        <v>9.1334234843362783E-2</v>
      </c>
      <c r="CV73" s="57">
        <f t="shared" si="303"/>
        <v>0.11201242202768169</v>
      </c>
      <c r="CW73" s="57">
        <f t="shared" si="303"/>
        <v>0.10346283783783794</v>
      </c>
      <c r="CX73" s="56">
        <f t="shared" si="303"/>
        <v>0.106343622409514</v>
      </c>
      <c r="CY73" s="57">
        <f t="shared" si="303"/>
        <v>0.13293706953486195</v>
      </c>
      <c r="CZ73" s="57">
        <f t="shared" si="303"/>
        <v>0.17804223243326955</v>
      </c>
      <c r="DA73" s="584">
        <f t="shared" si="303"/>
        <v>0.17514505139995662</v>
      </c>
      <c r="DB73" s="584">
        <f t="shared" si="303"/>
        <v>0.17556448526597768</v>
      </c>
      <c r="DC73" s="803">
        <f t="shared" si="303"/>
        <v>0.16505450543838407</v>
      </c>
      <c r="DD73" s="57">
        <f t="shared" si="303"/>
        <v>0.11873334443704175</v>
      </c>
      <c r="DE73" s="57">
        <f t="shared" si="303"/>
        <v>9.4160184069244979E-2</v>
      </c>
      <c r="DF73" s="584">
        <f t="shared" si="303"/>
        <v>7.3096779480455565E-2</v>
      </c>
      <c r="DG73" s="584">
        <f t="shared" si="303"/>
        <v>0.16204118173679527</v>
      </c>
      <c r="DH73" s="803">
        <f t="shared" si="303"/>
        <v>0.11236412405349983</v>
      </c>
      <c r="DI73" s="584">
        <f t="shared" si="303"/>
        <v>6.6883781520424179E-2</v>
      </c>
      <c r="DJ73" s="584">
        <f t="shared" si="303"/>
        <v>6.0241929023471918E-2</v>
      </c>
      <c r="DK73" s="584">
        <f t="shared" si="303"/>
        <v>8.0851470026727768E-2</v>
      </c>
      <c r="DL73" s="584">
        <f t="shared" si="303"/>
        <v>-2.2587197086427757E-3</v>
      </c>
      <c r="DM73" s="803">
        <f t="shared" si="303"/>
        <v>5.0234801251647809E-2</v>
      </c>
      <c r="DN73" s="996">
        <f t="shared" si="303"/>
        <v>5.9446353503462612E-2</v>
      </c>
      <c r="DO73" s="988">
        <f t="shared" si="303"/>
        <v>0.1240721483659375</v>
      </c>
      <c r="DP73" s="988">
        <f t="shared" si="303"/>
        <v>0.11872858885079696</v>
      </c>
      <c r="DQ73" s="988">
        <f t="shared" si="303"/>
        <v>0.1244559383981676</v>
      </c>
      <c r="DR73" s="56">
        <f t="shared" si="303"/>
        <v>0.10626877266423085</v>
      </c>
      <c r="DS73" s="57">
        <f t="shared" ref="DS73:EB73" si="304">DS17/DN17-1</f>
        <v>0.10906458237166206</v>
      </c>
      <c r="DT73" s="57">
        <f t="shared" si="304"/>
        <v>9.4881583487437915E-2</v>
      </c>
      <c r="DU73" s="57">
        <f t="shared" si="304"/>
        <v>9.6520165881154529E-2</v>
      </c>
      <c r="DV73" s="57">
        <f t="shared" si="304"/>
        <v>9.684478629220572E-2</v>
      </c>
      <c r="DW73" s="56">
        <f t="shared" si="304"/>
        <v>9.9286898319871142E-2</v>
      </c>
      <c r="DX73" s="57">
        <f t="shared" si="304"/>
        <v>9.4589909764755342E-2</v>
      </c>
      <c r="DY73" s="57">
        <f t="shared" si="304"/>
        <v>9.5469809306057085E-2</v>
      </c>
      <c r="DZ73" s="57">
        <f t="shared" si="304"/>
        <v>9.4723841507297513E-2</v>
      </c>
      <c r="EA73" s="57">
        <f t="shared" si="304"/>
        <v>9.3617603617158096E-2</v>
      </c>
      <c r="EB73" s="56">
        <f t="shared" si="304"/>
        <v>9.4583655278137835E-2</v>
      </c>
      <c r="ED73" s="28"/>
      <c r="EE73" s="28"/>
      <c r="EG73" s="27"/>
      <c r="EH73" s="28"/>
      <c r="EI73" s="28"/>
      <c r="EJ73" s="28"/>
      <c r="EK73" s="28"/>
      <c r="EL73" s="28"/>
      <c r="EM73" s="252">
        <f t="shared" ref="EM73:FB73" si="305">EM17/EL17-1</f>
        <v>0.28701139808866438</v>
      </c>
      <c r="EN73" s="252">
        <f t="shared" si="305"/>
        <v>0.19834505408203329</v>
      </c>
      <c r="EO73" s="252">
        <f t="shared" si="305"/>
        <v>0.22263313080665514</v>
      </c>
      <c r="EP73" s="252">
        <f t="shared" si="305"/>
        <v>0.19672128151872426</v>
      </c>
      <c r="EQ73" s="252">
        <f t="shared" si="305"/>
        <v>4.1454799542397502E-2</v>
      </c>
      <c r="ER73" s="252">
        <f t="shared" si="305"/>
        <v>-3.406447324692552E-2</v>
      </c>
      <c r="ES73" s="252">
        <f t="shared" si="305"/>
        <v>0.10659677598890904</v>
      </c>
      <c r="ET73" s="252">
        <f t="shared" si="305"/>
        <v>0.11378537789767273</v>
      </c>
      <c r="EU73" s="252">
        <f t="shared" si="305"/>
        <v>0.11989523637498145</v>
      </c>
      <c r="EV73" s="252">
        <f t="shared" si="305"/>
        <v>0.1226677223774022</v>
      </c>
      <c r="EW73" s="252">
        <f t="shared" si="305"/>
        <v>0.11089706333709914</v>
      </c>
      <c r="EX73" s="252">
        <f t="shared" si="305"/>
        <v>0.15998001352026581</v>
      </c>
      <c r="EY73" s="252">
        <f t="shared" si="305"/>
        <v>9.8429027517356937E-2</v>
      </c>
      <c r="EZ73" s="252">
        <f t="shared" si="305"/>
        <v>4.8543734112099779E-2</v>
      </c>
      <c r="FA73" s="252">
        <f t="shared" si="305"/>
        <v>0.11882664995943704</v>
      </c>
      <c r="FB73" s="252">
        <f t="shared" si="305"/>
        <v>9.5707153578929338E-2</v>
      </c>
      <c r="FD73" s="43" t="s">
        <v>361</v>
      </c>
      <c r="FE73" s="239">
        <f t="shared" si="289"/>
        <v>5.9446353503462612E-2</v>
      </c>
      <c r="FF73" s="851">
        <v>8.5061756948780376E-2</v>
      </c>
      <c r="FG73" s="376">
        <f t="shared" si="297"/>
        <v>-2.5615403445317764E-2</v>
      </c>
      <c r="FH73" s="239">
        <f t="shared" si="290"/>
        <v>6.6883781520424179E-2</v>
      </c>
      <c r="FI73" s="246"/>
      <c r="FJ73"/>
      <c r="FK73"/>
      <c r="FL73"/>
      <c r="FM73"/>
      <c r="FN73"/>
      <c r="FO73"/>
      <c r="FP73"/>
      <c r="FQ73"/>
      <c r="FR73"/>
    </row>
    <row r="74" spans="1:174" s="1" customFormat="1" hidden="1" outlineLevel="1" x14ac:dyDescent="0.2">
      <c r="A74" s="80" t="s">
        <v>528</v>
      </c>
      <c r="B74" s="20"/>
      <c r="C74" s="28"/>
      <c r="D74" s="28"/>
      <c r="E74" s="28"/>
      <c r="F74" s="28"/>
      <c r="G74" s="20"/>
      <c r="H74" s="28"/>
      <c r="I74" s="28"/>
      <c r="J74" s="28"/>
      <c r="K74" s="28"/>
      <c r="L74" s="20"/>
      <c r="M74" s="28"/>
      <c r="N74" s="28"/>
      <c r="O74" s="28"/>
      <c r="P74" s="28"/>
      <c r="Q74" s="20"/>
      <c r="R74" s="28"/>
      <c r="S74" s="28"/>
      <c r="T74" s="28"/>
      <c r="U74" s="28"/>
      <c r="V74" s="20"/>
      <c r="W74" s="28"/>
      <c r="X74" s="28"/>
      <c r="Y74" s="28"/>
      <c r="Z74" s="28"/>
      <c r="AA74" s="20"/>
      <c r="AB74" s="28"/>
      <c r="AC74" s="28"/>
      <c r="AD74" s="28"/>
      <c r="AE74" s="28"/>
      <c r="AF74" s="20"/>
      <c r="AG74" s="28"/>
      <c r="AH74" s="28"/>
      <c r="AI74" s="28"/>
      <c r="AJ74" s="28"/>
      <c r="AK74" s="20"/>
      <c r="AL74" s="28"/>
      <c r="AM74" s="28"/>
      <c r="AN74" s="28"/>
      <c r="AO74" s="28"/>
      <c r="AP74" s="20"/>
      <c r="AQ74" s="28"/>
      <c r="AR74" s="28"/>
      <c r="AS74" s="28"/>
      <c r="AT74" s="28"/>
      <c r="AU74" s="20"/>
      <c r="AV74" s="28"/>
      <c r="AW74" s="28"/>
      <c r="AX74" s="28"/>
      <c r="AY74" s="28"/>
      <c r="AZ74" s="56">
        <f t="shared" ref="AZ74:BJ74" si="306">(AZ17/AK17)^(1/3)-1</f>
        <v>0.25962664851894268</v>
      </c>
      <c r="BA74" s="375">
        <f t="shared" si="306"/>
        <v>0.25438829644645455</v>
      </c>
      <c r="BB74" s="375">
        <f t="shared" si="306"/>
        <v>0.24699531258165619</v>
      </c>
      <c r="BC74" s="375">
        <f t="shared" si="306"/>
        <v>0.24245249024229043</v>
      </c>
      <c r="BD74" s="375">
        <f t="shared" si="306"/>
        <v>0.24240918834601666</v>
      </c>
      <c r="BE74" s="61">
        <f t="shared" si="306"/>
        <v>0.24646472733444647</v>
      </c>
      <c r="BF74" s="375">
        <f t="shared" si="306"/>
        <v>0.24446541955507861</v>
      </c>
      <c r="BG74" s="375">
        <f t="shared" si="306"/>
        <v>0.25493004837360145</v>
      </c>
      <c r="BH74" s="375">
        <f t="shared" si="306"/>
        <v>0.23726124928309766</v>
      </c>
      <c r="BI74" s="375">
        <f t="shared" si="306"/>
        <v>0.22831286116791616</v>
      </c>
      <c r="BJ74" s="61">
        <f t="shared" si="306"/>
        <v>0.24087471426435925</v>
      </c>
      <c r="BK74" s="375">
        <f t="shared" ref="BK74:CP74" si="307">(BK17/AV17)^(1/3)-1</f>
        <v>0.22509597869883669</v>
      </c>
      <c r="BL74" s="375">
        <f t="shared" si="307"/>
        <v>0.22036136766091108</v>
      </c>
      <c r="BM74" s="375">
        <f t="shared" si="307"/>
        <v>0.21397571894086909</v>
      </c>
      <c r="BN74" s="375">
        <f t="shared" si="307"/>
        <v>0.18868635983754989</v>
      </c>
      <c r="BO74" s="61">
        <f t="shared" si="307"/>
        <v>0.21139237669188593</v>
      </c>
      <c r="BP74" s="375">
        <f t="shared" si="307"/>
        <v>0.20303128843925822</v>
      </c>
      <c r="BQ74" s="375">
        <f t="shared" si="307"/>
        <v>0.18481968008206917</v>
      </c>
      <c r="BR74" s="375">
        <f t="shared" si="307"/>
        <v>0.17128132044776123</v>
      </c>
      <c r="BS74" s="375">
        <f t="shared" si="307"/>
        <v>0.14878375000271271</v>
      </c>
      <c r="BT74" s="61">
        <f t="shared" si="307"/>
        <v>0.17691125560415144</v>
      </c>
      <c r="BU74" s="375">
        <f t="shared" si="307"/>
        <v>0.10579832138196998</v>
      </c>
      <c r="BV74" s="375">
        <f t="shared" si="307"/>
        <v>7.3552516705230664E-2</v>
      </c>
      <c r="BW74" s="375">
        <f t="shared" si="307"/>
        <v>6.9750281843689477E-2</v>
      </c>
      <c r="BX74" s="375">
        <f t="shared" si="307"/>
        <v>6.5329684668338883E-2</v>
      </c>
      <c r="BY74" s="61">
        <f t="shared" si="307"/>
        <v>7.8724853126007188E-2</v>
      </c>
      <c r="BZ74" s="375">
        <f t="shared" si="307"/>
        <v>4.9442197742197047E-2</v>
      </c>
      <c r="CA74" s="375">
        <f t="shared" si="307"/>
        <v>3.9653319882782423E-2</v>
      </c>
      <c r="CB74" s="375">
        <f t="shared" si="307"/>
        <v>3.4506863655893172E-2</v>
      </c>
      <c r="CC74" s="375">
        <f t="shared" si="307"/>
        <v>5.1522876553405483E-2</v>
      </c>
      <c r="CD74" s="61">
        <f t="shared" si="307"/>
        <v>4.3938961126715803E-2</v>
      </c>
      <c r="CE74" s="375">
        <f t="shared" si="307"/>
        <v>2.1595138617945153E-2</v>
      </c>
      <c r="CF74" s="375">
        <f t="shared" si="307"/>
        <v>3.3158610027435698E-2</v>
      </c>
      <c r="CG74" s="375">
        <f t="shared" si="307"/>
        <v>4.4401066198256567E-2</v>
      </c>
      <c r="CH74" s="375">
        <f t="shared" si="307"/>
        <v>6.421697952316463E-2</v>
      </c>
      <c r="CI74" s="61">
        <f t="shared" si="307"/>
        <v>4.0627007249200764E-2</v>
      </c>
      <c r="CJ74" s="375">
        <f t="shared" si="307"/>
        <v>9.461922337599038E-2</v>
      </c>
      <c r="CK74" s="375">
        <f t="shared" si="307"/>
        <v>0.10989640121351862</v>
      </c>
      <c r="CL74" s="375">
        <f t="shared" si="307"/>
        <v>0.11118626167799639</v>
      </c>
      <c r="CM74" s="375">
        <f t="shared" si="307"/>
        <v>0.11509478381690896</v>
      </c>
      <c r="CN74" s="61">
        <f t="shared" si="307"/>
        <v>0.10747151175035818</v>
      </c>
      <c r="CO74" s="375">
        <f t="shared" si="307"/>
        <v>0.11686834873668506</v>
      </c>
      <c r="CP74" s="375">
        <f t="shared" si="307"/>
        <v>0.11879611672681989</v>
      </c>
      <c r="CQ74" s="375">
        <f t="shared" ref="CQ74:DR74" si="308">(CQ17/CB17)^(1/3)-1</f>
        <v>0.12663724706122048</v>
      </c>
      <c r="CR74" s="375">
        <f t="shared" si="308"/>
        <v>0.10110760756927717</v>
      </c>
      <c r="CS74" s="61">
        <f t="shared" si="308"/>
        <v>0.11560931298319455</v>
      </c>
      <c r="CT74" s="375">
        <f t="shared" si="308"/>
        <v>0.12839642850900868</v>
      </c>
      <c r="CU74" s="375">
        <f t="shared" si="308"/>
        <v>0.11618012103203568</v>
      </c>
      <c r="CV74" s="375">
        <f t="shared" si="308"/>
        <v>0.12308815203732637</v>
      </c>
      <c r="CW74" s="375">
        <f t="shared" si="308"/>
        <v>0.11305042493872519</v>
      </c>
      <c r="CX74" s="61">
        <f t="shared" si="308"/>
        <v>0.12021342924975342</v>
      </c>
      <c r="CY74" s="375">
        <f t="shared" si="308"/>
        <v>0.11878211957158968</v>
      </c>
      <c r="CZ74" s="375">
        <f t="shared" si="308"/>
        <v>0.12674778948870324</v>
      </c>
      <c r="DA74" s="97">
        <f t="shared" si="308"/>
        <v>0.13959325937640665</v>
      </c>
      <c r="DB74" s="97">
        <f t="shared" si="308"/>
        <v>0.13532490713606427</v>
      </c>
      <c r="DC74" s="61">
        <f t="shared" si="308"/>
        <v>0.13010814615919153</v>
      </c>
      <c r="DD74" s="375">
        <f t="shared" si="308"/>
        <v>0.12309674986975905</v>
      </c>
      <c r="DE74" s="375">
        <f t="shared" si="308"/>
        <v>0.12046900849506925</v>
      </c>
      <c r="DF74" s="97">
        <f t="shared" si="308"/>
        <v>0.11930042522286954</v>
      </c>
      <c r="DG74" s="97">
        <f t="shared" si="308"/>
        <v>0.14659109036486262</v>
      </c>
      <c r="DH74" s="61">
        <f t="shared" si="308"/>
        <v>0.12761562377164326</v>
      </c>
      <c r="DI74" s="97">
        <f t="shared" si="308"/>
        <v>0.10581674229388094</v>
      </c>
      <c r="DJ74" s="97">
        <f t="shared" si="308"/>
        <v>0.10972553848791766</v>
      </c>
      <c r="DK74" s="97">
        <f t="shared" si="308"/>
        <v>0.10874615912977159</v>
      </c>
      <c r="DL74" s="97">
        <f t="shared" si="308"/>
        <v>0.10873725130849365</v>
      </c>
      <c r="DM74" s="61">
        <f t="shared" si="308"/>
        <v>0.1082214219644535</v>
      </c>
      <c r="DN74" s="325">
        <f t="shared" si="308"/>
        <v>8.1369763831044661E-2</v>
      </c>
      <c r="DO74" s="989">
        <f t="shared" si="308"/>
        <v>9.2513192095965868E-2</v>
      </c>
      <c r="DP74" s="989">
        <f t="shared" si="308"/>
        <v>9.0711474080789944E-2</v>
      </c>
      <c r="DQ74" s="989">
        <f t="shared" si="308"/>
        <v>9.2430879032427526E-2</v>
      </c>
      <c r="DR74" s="61">
        <f t="shared" si="308"/>
        <v>8.9259469296762539E-2</v>
      </c>
      <c r="DS74" s="375">
        <f t="shared" ref="DS74:EB74" si="309">(DS17/DD17)^(1/3)-1</f>
        <v>7.8245464557316513E-2</v>
      </c>
      <c r="DT74" s="375">
        <f t="shared" si="309"/>
        <v>9.2753243855840051E-2</v>
      </c>
      <c r="DU74" s="375">
        <f t="shared" si="309"/>
        <v>9.8590381695418783E-2</v>
      </c>
      <c r="DV74" s="375">
        <f t="shared" si="309"/>
        <v>7.1606122378998771E-2</v>
      </c>
      <c r="DW74" s="61">
        <f t="shared" si="309"/>
        <v>8.4974097958647965E-2</v>
      </c>
      <c r="DX74" s="375">
        <f t="shared" si="309"/>
        <v>8.7499541314441043E-2</v>
      </c>
      <c r="DY74" s="375">
        <f t="shared" si="309"/>
        <v>0.10472432539181442</v>
      </c>
      <c r="DZ74" s="375">
        <f t="shared" si="309"/>
        <v>0.1032704309931689</v>
      </c>
      <c r="EA74" s="375">
        <f t="shared" si="309"/>
        <v>0.10488659183584104</v>
      </c>
      <c r="EB74" s="61">
        <f t="shared" si="309"/>
        <v>0.10003597433812983</v>
      </c>
      <c r="ED74" s="28"/>
      <c r="EE74" s="28"/>
      <c r="EG74" s="30"/>
      <c r="EH74" s="2"/>
      <c r="EI74" s="2"/>
      <c r="EJ74" s="2"/>
      <c r="EK74" s="2"/>
      <c r="EL74" s="2"/>
      <c r="EM74" s="236"/>
      <c r="EN74" s="236"/>
      <c r="EO74" s="236"/>
      <c r="EP74" s="236"/>
      <c r="EQ74" s="236"/>
      <c r="ER74" s="236"/>
      <c r="ES74" s="236"/>
      <c r="ET74" s="236"/>
      <c r="EU74" s="236"/>
      <c r="EV74" s="236"/>
      <c r="EW74" s="236"/>
      <c r="EX74" s="236"/>
      <c r="EY74" s="236"/>
      <c r="EZ74" s="236"/>
      <c r="FA74" s="236"/>
      <c r="FB74" s="236"/>
      <c r="FD74" s="43" t="s">
        <v>528</v>
      </c>
      <c r="FE74" s="239">
        <f t="shared" si="289"/>
        <v>8.1369763831044661E-2</v>
      </c>
      <c r="FF74" s="851">
        <v>9.001561034286909E-2</v>
      </c>
      <c r="FG74" s="376">
        <f t="shared" si="297"/>
        <v>-8.6458465118244288E-3</v>
      </c>
      <c r="FH74" s="239">
        <f t="shared" si="290"/>
        <v>0.10581674229388094</v>
      </c>
      <c r="FI74" s="246"/>
      <c r="FJ74"/>
      <c r="FK74"/>
      <c r="FL74"/>
      <c r="FM74"/>
      <c r="FN74"/>
      <c r="FO74"/>
      <c r="FP74"/>
      <c r="FQ74"/>
      <c r="FR74"/>
    </row>
    <row r="75" spans="1:174" s="1" customFormat="1" collapsed="1" x14ac:dyDescent="0.2">
      <c r="A75" s="28" t="s">
        <v>529</v>
      </c>
      <c r="B75" s="20"/>
      <c r="C75" s="28"/>
      <c r="D75" s="28"/>
      <c r="E75" s="28"/>
      <c r="F75" s="28"/>
      <c r="G75" s="20"/>
      <c r="H75" s="28"/>
      <c r="I75" s="28"/>
      <c r="J75" s="28"/>
      <c r="K75" s="28"/>
      <c r="L75" s="20"/>
      <c r="M75" s="28"/>
      <c r="N75" s="28"/>
      <c r="O75" s="28"/>
      <c r="P75" s="28"/>
      <c r="Q75" s="20"/>
      <c r="R75" s="28"/>
      <c r="S75" s="28"/>
      <c r="T75" s="28"/>
      <c r="U75" s="28"/>
      <c r="V75" s="20"/>
      <c r="W75" s="28"/>
      <c r="X75" s="28"/>
      <c r="Y75" s="28"/>
      <c r="Z75" s="28"/>
      <c r="AA75" s="20"/>
      <c r="AB75" s="28"/>
      <c r="AC75" s="28"/>
      <c r="AD75" s="28"/>
      <c r="AE75" s="28"/>
      <c r="AF75" s="20"/>
      <c r="AG75" s="28"/>
      <c r="AH75" s="28"/>
      <c r="AI75" s="28"/>
      <c r="AJ75" s="28"/>
      <c r="AK75" s="20"/>
      <c r="AL75" s="28"/>
      <c r="AM75" s="28"/>
      <c r="AN75" s="28"/>
      <c r="AO75" s="28"/>
      <c r="AP75" s="20"/>
      <c r="AQ75" s="28"/>
      <c r="AR75" s="28"/>
      <c r="AS75" s="28"/>
      <c r="AT75" s="28"/>
      <c r="AU75" s="20"/>
      <c r="AV75" s="28"/>
      <c r="AW75" s="28"/>
      <c r="AX75" s="28"/>
      <c r="AY75" s="28"/>
      <c r="AZ75" s="61">
        <f t="shared" ref="AZ75:BJ75" si="310">AZ27/AU27-1</f>
        <v>0.53846754870298974</v>
      </c>
      <c r="BA75" s="375">
        <f t="shared" si="310"/>
        <v>0.27907208283552354</v>
      </c>
      <c r="BB75" s="375">
        <f t="shared" si="310"/>
        <v>0.36419959812458136</v>
      </c>
      <c r="BC75" s="375">
        <f t="shared" si="310"/>
        <v>0.37309124059864773</v>
      </c>
      <c r="BD75" s="375">
        <f t="shared" si="310"/>
        <v>0.22024844720496906</v>
      </c>
      <c r="BE75" s="61">
        <f t="shared" si="310"/>
        <v>0.29919926867667734</v>
      </c>
      <c r="BF75" s="375">
        <f t="shared" si="310"/>
        <v>0.53763524558262654</v>
      </c>
      <c r="BG75" s="375">
        <f t="shared" si="310"/>
        <v>0.22652510126426906</v>
      </c>
      <c r="BH75" s="375">
        <f t="shared" si="310"/>
        <v>0.42005090184795835</v>
      </c>
      <c r="BI75" s="375">
        <f t="shared" si="310"/>
        <v>-3.0642369948081116E-2</v>
      </c>
      <c r="BJ75" s="61">
        <f t="shared" si="310"/>
        <v>0.2244576193888852</v>
      </c>
      <c r="BK75" s="375">
        <f t="shared" ref="BK75:CP75" si="311">BK27/BF27-1</f>
        <v>-5.0673281360737121E-2</v>
      </c>
      <c r="BL75" s="375">
        <f t="shared" si="311"/>
        <v>0.31403552664498369</v>
      </c>
      <c r="BM75" s="375">
        <f t="shared" si="311"/>
        <v>-4.5312865269227731E-2</v>
      </c>
      <c r="BN75" s="375">
        <f t="shared" si="311"/>
        <v>0.34737100049009317</v>
      </c>
      <c r="BO75" s="61">
        <f t="shared" si="311"/>
        <v>0.14935458811761082</v>
      </c>
      <c r="BP75" s="375">
        <f t="shared" si="311"/>
        <v>0.25846531221671198</v>
      </c>
      <c r="BQ75" s="375">
        <f t="shared" si="311"/>
        <v>-6.7057613952248518E-2</v>
      </c>
      <c r="BR75" s="375">
        <f t="shared" si="311"/>
        <v>0.18352854752479297</v>
      </c>
      <c r="BS75" s="375">
        <f t="shared" si="311"/>
        <v>-5.1677102548780107E-2</v>
      </c>
      <c r="BT75" s="61">
        <f t="shared" si="311"/>
        <v>5.1793418884136022E-2</v>
      </c>
      <c r="BU75" s="375">
        <f t="shared" si="311"/>
        <v>-4.2372881355933201E-3</v>
      </c>
      <c r="BV75" s="375">
        <f t="shared" si="311"/>
        <v>2.857142857142847E-2</v>
      </c>
      <c r="BW75" s="375">
        <f t="shared" si="311"/>
        <v>2.4137931034482696E-2</v>
      </c>
      <c r="BX75" s="375">
        <f t="shared" si="311"/>
        <v>0.19178082191780832</v>
      </c>
      <c r="BY75" s="61">
        <f t="shared" si="311"/>
        <v>7.3063380281690238E-2</v>
      </c>
      <c r="BZ75" s="375">
        <f t="shared" si="311"/>
        <v>0.25106382978723407</v>
      </c>
      <c r="CA75" s="375">
        <f t="shared" si="311"/>
        <v>0.36507936507936511</v>
      </c>
      <c r="CB75" s="375">
        <f t="shared" si="311"/>
        <v>0.2222222222222221</v>
      </c>
      <c r="CC75" s="375">
        <f t="shared" si="311"/>
        <v>0.10344827586206895</v>
      </c>
      <c r="CD75" s="61">
        <f t="shared" si="311"/>
        <v>0.21493027071369974</v>
      </c>
      <c r="CE75" s="375">
        <f t="shared" si="311"/>
        <v>0.17346938775510212</v>
      </c>
      <c r="CF75" s="375">
        <f t="shared" si="311"/>
        <v>0.11337209302325579</v>
      </c>
      <c r="CG75" s="375">
        <f t="shared" si="311"/>
        <v>0.22038567493112948</v>
      </c>
      <c r="CH75" s="375">
        <f t="shared" si="311"/>
        <v>0.18125000000000013</v>
      </c>
      <c r="CI75" s="61">
        <f t="shared" si="311"/>
        <v>0.17353139770425408</v>
      </c>
      <c r="CJ75" s="375">
        <f t="shared" si="311"/>
        <v>0.3014492753623188</v>
      </c>
      <c r="CK75" s="375">
        <f t="shared" si="311"/>
        <v>0.36292428198433435</v>
      </c>
      <c r="CL75" s="375">
        <f t="shared" si="311"/>
        <v>0.16704288939051937</v>
      </c>
      <c r="CM75" s="375">
        <f t="shared" si="311"/>
        <v>9.1710758377425039E-2</v>
      </c>
      <c r="CN75" s="61">
        <f t="shared" si="311"/>
        <v>0.21231300345224402</v>
      </c>
      <c r="CO75" s="375">
        <f t="shared" si="311"/>
        <v>0.21380846325167036</v>
      </c>
      <c r="CP75" s="375">
        <f t="shared" si="311"/>
        <v>5.7471264367816577E-3</v>
      </c>
      <c r="CQ75" s="375">
        <f t="shared" ref="CQ75:DR75" si="312">CQ27/CL27-1</f>
        <v>0.22630560928433252</v>
      </c>
      <c r="CR75" s="375">
        <f t="shared" si="312"/>
        <v>0.30856219709208399</v>
      </c>
      <c r="CS75" s="61">
        <f t="shared" si="312"/>
        <v>0.19316563834836242</v>
      </c>
      <c r="CT75" s="375">
        <f t="shared" si="312"/>
        <v>-6.2385321100917435E-2</v>
      </c>
      <c r="CU75" s="375">
        <f t="shared" si="312"/>
        <v>0.14095238095238094</v>
      </c>
      <c r="CV75" s="375">
        <f t="shared" si="312"/>
        <v>0.14984227129337557</v>
      </c>
      <c r="CW75" s="375">
        <f t="shared" si="312"/>
        <v>4.1975308641975406E-2</v>
      </c>
      <c r="CX75" s="61">
        <f t="shared" si="312"/>
        <v>6.722354813046949E-2</v>
      </c>
      <c r="CY75" s="375">
        <f t="shared" si="312"/>
        <v>3.3268101761252389E-2</v>
      </c>
      <c r="CZ75" s="375">
        <f t="shared" si="312"/>
        <v>-8.347245409015025E-2</v>
      </c>
      <c r="DA75" s="97">
        <f t="shared" si="312"/>
        <v>-0.17283950617283961</v>
      </c>
      <c r="DB75" s="97">
        <f t="shared" si="312"/>
        <v>-2.9620853080568721E-2</v>
      </c>
      <c r="DC75" s="61">
        <f t="shared" si="312"/>
        <v>-6.8579947819604969E-2</v>
      </c>
      <c r="DD75" s="375">
        <f t="shared" si="312"/>
        <v>0.21401515151515138</v>
      </c>
      <c r="DE75" s="375">
        <f t="shared" si="312"/>
        <v>0.19489981785063737</v>
      </c>
      <c r="DF75" s="97">
        <f t="shared" si="312"/>
        <v>0.3681592039800996</v>
      </c>
      <c r="DG75" s="97">
        <f t="shared" si="312"/>
        <v>0.2942612942612941</v>
      </c>
      <c r="DH75" s="61">
        <f t="shared" si="312"/>
        <v>0.27330932372949168</v>
      </c>
      <c r="DI75" s="97">
        <f t="shared" si="312"/>
        <v>0.31669266770670856</v>
      </c>
      <c r="DJ75" s="97">
        <f t="shared" si="312"/>
        <v>0.28201219512195119</v>
      </c>
      <c r="DK75" s="97">
        <f t="shared" si="312"/>
        <v>0.22424242424242413</v>
      </c>
      <c r="DL75" s="97">
        <f t="shared" si="312"/>
        <v>0.15000000000000013</v>
      </c>
      <c r="DM75" s="61">
        <f t="shared" si="312"/>
        <v>0.23004399748585791</v>
      </c>
      <c r="DN75" s="325">
        <f t="shared" si="312"/>
        <v>5.9241706161137442E-2</v>
      </c>
      <c r="DO75" s="989">
        <f t="shared" si="312"/>
        <v>-5.5606943141917942E-2</v>
      </c>
      <c r="DP75" s="989">
        <f t="shared" si="312"/>
        <v>-8.557879201290497E-2</v>
      </c>
      <c r="DQ75" s="989">
        <f t="shared" si="312"/>
        <v>-7.6858807725775913E-2</v>
      </c>
      <c r="DR75" s="61">
        <f t="shared" si="312"/>
        <v>-4.5194406165842471E-2</v>
      </c>
      <c r="DS75" s="375">
        <f t="shared" ref="DS75:EB75" si="313">DS27/DN27-1</f>
        <v>-4.7756771485995442E-2</v>
      </c>
      <c r="DT75" s="375">
        <f t="shared" si="313"/>
        <v>7.7094964081483752E-2</v>
      </c>
      <c r="DU75" s="375">
        <f t="shared" si="313"/>
        <v>0.10350448344221541</v>
      </c>
      <c r="DV75" s="375">
        <f t="shared" si="313"/>
        <v>6.9412081285919136E-2</v>
      </c>
      <c r="DW75" s="61">
        <f t="shared" si="313"/>
        <v>5.1440869335055428E-2</v>
      </c>
      <c r="DX75" s="375">
        <f t="shared" si="313"/>
        <v>9.7191408188664896E-2</v>
      </c>
      <c r="DY75" s="375">
        <f t="shared" si="313"/>
        <v>9.1283502501727343E-2</v>
      </c>
      <c r="DZ75" s="375">
        <f t="shared" si="313"/>
        <v>9.2649194215211006E-2</v>
      </c>
      <c r="EA75" s="375">
        <f t="shared" si="313"/>
        <v>9.4242452007290423E-2</v>
      </c>
      <c r="EB75" s="61">
        <f t="shared" si="313"/>
        <v>9.382390923378181E-2</v>
      </c>
      <c r="ED75" s="28"/>
      <c r="EE75" s="28"/>
      <c r="EG75" s="24"/>
      <c r="EH75" s="25"/>
      <c r="EI75" s="25"/>
      <c r="EJ75" s="25"/>
      <c r="EK75" s="25"/>
      <c r="EL75" s="25"/>
      <c r="EM75" s="240">
        <f t="shared" ref="EM75:FB75" si="314">EM27/EL27-1</f>
        <v>0.48435315291198888</v>
      </c>
      <c r="EN75" s="240">
        <f t="shared" si="314"/>
        <v>0.34598415560994478</v>
      </c>
      <c r="EO75" s="240">
        <f t="shared" si="314"/>
        <v>0.11220107427833126</v>
      </c>
      <c r="EP75" s="240">
        <f t="shared" si="314"/>
        <v>0.21386468753361276</v>
      </c>
      <c r="EQ75" s="240">
        <f t="shared" si="314"/>
        <v>5.7331218487768343E-3</v>
      </c>
      <c r="ER75" s="240">
        <f t="shared" si="314"/>
        <v>0.12599118942731291</v>
      </c>
      <c r="ES75" s="240">
        <f t="shared" si="314"/>
        <v>0.19874804381846611</v>
      </c>
      <c r="ET75" s="240">
        <f t="shared" si="314"/>
        <v>0.20234986945169742</v>
      </c>
      <c r="EU75" s="240">
        <f t="shared" si="314"/>
        <v>0.19598262757871865</v>
      </c>
      <c r="EV75" s="240">
        <f t="shared" si="314"/>
        <v>0.12573763050385822</v>
      </c>
      <c r="EW75" s="240">
        <f t="shared" si="314"/>
        <v>8.870967741935476E-2</v>
      </c>
      <c r="EX75" s="240">
        <f t="shared" si="314"/>
        <v>-3.2592592592592617E-2</v>
      </c>
      <c r="EY75" s="240">
        <f t="shared" si="314"/>
        <v>0.29594180704441042</v>
      </c>
      <c r="EZ75" s="240">
        <f t="shared" si="314"/>
        <v>0.17104874446085661</v>
      </c>
      <c r="FA75" s="240">
        <f t="shared" si="314"/>
        <v>-6.8008440827847294E-2</v>
      </c>
      <c r="FB75" s="240">
        <f t="shared" si="314"/>
        <v>8.5987716308967732E-2</v>
      </c>
      <c r="FD75" s="20" t="s">
        <v>529</v>
      </c>
      <c r="FE75" s="238">
        <f t="shared" si="289"/>
        <v>5.9241706161137442E-2</v>
      </c>
      <c r="FF75" s="97">
        <v>0.21459770709271786</v>
      </c>
      <c r="FG75" s="97">
        <f t="shared" si="297"/>
        <v>-0.15535600093158042</v>
      </c>
      <c r="FH75" s="238">
        <f t="shared" si="290"/>
        <v>0.31669266770670856</v>
      </c>
      <c r="FI75" s="29"/>
      <c r="FJ75"/>
      <c r="FK75"/>
      <c r="FL75"/>
      <c r="FM75"/>
      <c r="FN75"/>
      <c r="FO75"/>
      <c r="FP75"/>
      <c r="FQ75"/>
      <c r="FR75"/>
    </row>
    <row r="76" spans="1:174" s="1" customFormat="1" x14ac:dyDescent="0.2">
      <c r="A76" s="1" t="s">
        <v>530</v>
      </c>
      <c r="B76" s="20"/>
      <c r="G76" s="20"/>
      <c r="H76" s="66"/>
      <c r="I76" s="66"/>
      <c r="J76" s="66"/>
      <c r="K76" s="66"/>
      <c r="L76" s="61"/>
      <c r="M76" s="66"/>
      <c r="N76" s="66"/>
      <c r="O76" s="66"/>
      <c r="P76" s="66"/>
      <c r="Q76" s="61"/>
      <c r="R76" s="66"/>
      <c r="S76" s="66"/>
      <c r="T76" s="66"/>
      <c r="U76" s="66"/>
      <c r="V76" s="61"/>
      <c r="W76" s="66"/>
      <c r="X76" s="66"/>
      <c r="Y76" s="66"/>
      <c r="Z76" s="66"/>
      <c r="AA76" s="61"/>
      <c r="AB76" s="66"/>
      <c r="AC76" s="66"/>
      <c r="AD76" s="66"/>
      <c r="AE76" s="66"/>
      <c r="AF76" s="61"/>
      <c r="AG76" s="66"/>
      <c r="AH76" s="66"/>
      <c r="AI76" s="66"/>
      <c r="AJ76" s="66"/>
      <c r="AK76" s="61"/>
      <c r="AL76" s="66"/>
      <c r="AM76" s="66"/>
      <c r="AN76" s="66"/>
      <c r="AO76" s="66"/>
      <c r="AP76" s="61"/>
      <c r="AQ76" s="66"/>
      <c r="AR76" s="66"/>
      <c r="AS76" s="66"/>
      <c r="AT76" s="66"/>
      <c r="AU76" s="61"/>
      <c r="AV76" s="66"/>
      <c r="AW76" s="66"/>
      <c r="AX76" s="66"/>
      <c r="AY76" s="66"/>
      <c r="AZ76" s="61"/>
      <c r="BA76" s="66"/>
      <c r="BB76" s="66"/>
      <c r="BC76" s="66"/>
      <c r="BD76" s="66"/>
      <c r="BE76" s="61"/>
      <c r="BF76" s="66"/>
      <c r="BG76" s="66"/>
      <c r="BH76" s="66"/>
      <c r="BI76" s="66"/>
      <c r="BJ76" s="61">
        <f t="shared" ref="BJ76:BS76" si="315">BJ25/BE25-1</f>
        <v>0.32457142537117001</v>
      </c>
      <c r="BK76" s="66">
        <f t="shared" si="315"/>
        <v>-6.5655787553213107E-2</v>
      </c>
      <c r="BL76" s="66">
        <f t="shared" si="315"/>
        <v>5.4284304955229734E-2</v>
      </c>
      <c r="BM76" s="66">
        <f t="shared" si="315"/>
        <v>3.7021291363723119E-2</v>
      </c>
      <c r="BN76" s="66">
        <f t="shared" si="315"/>
        <v>7.3875066403086276E-2</v>
      </c>
      <c r="BO76" s="61">
        <f t="shared" si="315"/>
        <v>2.3563336243692001E-2</v>
      </c>
      <c r="BP76" s="66">
        <f t="shared" si="315"/>
        <v>9.2616377963689489E-2</v>
      </c>
      <c r="BQ76" s="66">
        <f t="shared" si="315"/>
        <v>-6.7436401700184057E-2</v>
      </c>
      <c r="BR76" s="66">
        <f t="shared" si="315"/>
        <v>-2.8655093076762284E-2</v>
      </c>
      <c r="BS76" s="66">
        <f t="shared" si="315"/>
        <v>-0.21824315557285578</v>
      </c>
      <c r="BT76" s="61">
        <f t="shared" ref="BT76:CY76" si="316">BT25/BO25-1</f>
        <v>-5.8180098271471303E-2</v>
      </c>
      <c r="BU76" s="66">
        <f t="shared" si="316"/>
        <v>-0.16441620333598095</v>
      </c>
      <c r="BV76" s="66">
        <f t="shared" si="316"/>
        <v>-0.11309523809523803</v>
      </c>
      <c r="BW76" s="66">
        <f t="shared" si="316"/>
        <v>-4.9956933677863913E-2</v>
      </c>
      <c r="BX76" s="66">
        <f t="shared" si="316"/>
        <v>0.38174273858921137</v>
      </c>
      <c r="BY76" s="61">
        <f t="shared" si="316"/>
        <v>-6.5789473684210176E-3</v>
      </c>
      <c r="BZ76" s="66">
        <f t="shared" si="316"/>
        <v>0.30133079847908739</v>
      </c>
      <c r="CA76" s="66">
        <f t="shared" si="316"/>
        <v>0.33269415148609793</v>
      </c>
      <c r="CB76" s="66">
        <f t="shared" si="316"/>
        <v>0.20308250226654567</v>
      </c>
      <c r="CC76" s="66">
        <f t="shared" si="316"/>
        <v>0.20795795795795802</v>
      </c>
      <c r="CD76" s="61">
        <f t="shared" si="316"/>
        <v>0.25717439293598243</v>
      </c>
      <c r="CE76" s="66">
        <f t="shared" si="316"/>
        <v>0.35281227173119056</v>
      </c>
      <c r="CF76" s="66">
        <f t="shared" si="316"/>
        <v>0.30647482014388494</v>
      </c>
      <c r="CG76" s="66">
        <f t="shared" si="316"/>
        <v>0.43330821401657871</v>
      </c>
      <c r="CH76" s="66">
        <f t="shared" si="316"/>
        <v>0.19515226848974532</v>
      </c>
      <c r="CI76" s="61">
        <f t="shared" si="316"/>
        <v>0.31571553994732215</v>
      </c>
      <c r="CJ76" s="66">
        <f t="shared" si="316"/>
        <v>3.4017278617710645E-2</v>
      </c>
      <c r="CK76" s="66">
        <f t="shared" si="316"/>
        <v>0.13931718061674014</v>
      </c>
      <c r="CL76" s="66">
        <f t="shared" si="316"/>
        <v>4.6267087276551155E-2</v>
      </c>
      <c r="CM76" s="66">
        <f t="shared" si="316"/>
        <v>5.9802392095683832E-2</v>
      </c>
      <c r="CN76" s="61">
        <f t="shared" si="316"/>
        <v>6.9264647003870472E-2</v>
      </c>
      <c r="CO76" s="66">
        <f t="shared" si="316"/>
        <v>0.2109660574412533</v>
      </c>
      <c r="CP76" s="66">
        <f t="shared" si="316"/>
        <v>0.11309811503141609</v>
      </c>
      <c r="CQ76" s="66">
        <f t="shared" si="316"/>
        <v>0.25427135678391966</v>
      </c>
      <c r="CR76" s="66">
        <f t="shared" si="316"/>
        <v>0.1094210009813541</v>
      </c>
      <c r="CS76" s="61">
        <f t="shared" si="316"/>
        <v>0.17061907139291077</v>
      </c>
      <c r="CT76" s="66">
        <f t="shared" si="316"/>
        <v>4.6140577835273699E-2</v>
      </c>
      <c r="CU76" s="66">
        <f t="shared" si="316"/>
        <v>4.472427268779855E-2</v>
      </c>
      <c r="CV76" s="66">
        <f t="shared" si="316"/>
        <v>7.9326923076922906E-2</v>
      </c>
      <c r="CW76" s="66">
        <f t="shared" si="316"/>
        <v>5.5285272003538166E-2</v>
      </c>
      <c r="CX76" s="61">
        <f t="shared" si="316"/>
        <v>5.6829086256530381E-2</v>
      </c>
      <c r="CY76" s="66">
        <f t="shared" si="316"/>
        <v>0.23000824402308329</v>
      </c>
      <c r="CZ76" s="66">
        <f t="shared" ref="CZ76:DR76" si="317">CZ25/CU25-1</f>
        <v>0.27140482128013299</v>
      </c>
      <c r="DA76" s="78">
        <f t="shared" si="317"/>
        <v>7.0898292501855975E-2</v>
      </c>
      <c r="DB76" s="78">
        <f t="shared" si="317"/>
        <v>0.27367979882648785</v>
      </c>
      <c r="DC76" s="61">
        <f t="shared" si="317"/>
        <v>0.20732445520581111</v>
      </c>
      <c r="DD76" s="66">
        <f t="shared" si="317"/>
        <v>2.3793565683646101E-2</v>
      </c>
      <c r="DE76" s="66">
        <f t="shared" si="317"/>
        <v>8.041843739784249E-2</v>
      </c>
      <c r="DF76" s="78">
        <f t="shared" si="317"/>
        <v>0.12097053726169826</v>
      </c>
      <c r="DG76" s="78">
        <f t="shared" si="317"/>
        <v>0.32017110891740708</v>
      </c>
      <c r="DH76" s="61">
        <f t="shared" si="317"/>
        <v>0.13695997325979792</v>
      </c>
      <c r="DI76" s="78">
        <f t="shared" si="317"/>
        <v>0.16661211129296238</v>
      </c>
      <c r="DJ76" s="78">
        <f t="shared" si="317"/>
        <v>-1.1195158850226927E-2</v>
      </c>
      <c r="DK76" s="78">
        <f t="shared" si="317"/>
        <v>4.9474335188621765E-3</v>
      </c>
      <c r="DL76" s="78">
        <f t="shared" si="317"/>
        <v>-3.9880358923230275E-2</v>
      </c>
      <c r="DM76" s="61">
        <f t="shared" si="317"/>
        <v>2.4107011612523932E-2</v>
      </c>
      <c r="DN76" s="78">
        <f t="shared" si="317"/>
        <v>6.3692480359147208E-2</v>
      </c>
      <c r="DO76" s="66">
        <f t="shared" si="317"/>
        <v>3.8523773197733924E-2</v>
      </c>
      <c r="DP76" s="66">
        <f t="shared" si="317"/>
        <v>0.10510868266237239</v>
      </c>
      <c r="DQ76" s="66">
        <f t="shared" si="317"/>
        <v>-6.297378260709996E-2</v>
      </c>
      <c r="DR76" s="61">
        <f t="shared" si="317"/>
        <v>3.2433177756592046E-2</v>
      </c>
      <c r="DS76" s="66">
        <f t="shared" ref="DS76:EB76" si="318">DS25/DN25-1</f>
        <v>0.13235115644515782</v>
      </c>
      <c r="DT76" s="66">
        <f t="shared" si="318"/>
        <v>0.12162852926887524</v>
      </c>
      <c r="DU76" s="66">
        <f t="shared" si="318"/>
        <v>0.12298297415005899</v>
      </c>
      <c r="DV76" s="66">
        <f t="shared" si="318"/>
        <v>0.1216033944353081</v>
      </c>
      <c r="DW76" s="61">
        <f t="shared" si="318"/>
        <v>0.12478601753608709</v>
      </c>
      <c r="DX76" s="66">
        <f t="shared" si="318"/>
        <v>0.11339979030060121</v>
      </c>
      <c r="DY76" s="66">
        <f t="shared" si="318"/>
        <v>0.11413642514330613</v>
      </c>
      <c r="DZ76" s="66">
        <f t="shared" si="318"/>
        <v>0.11382911541771112</v>
      </c>
      <c r="EA76" s="66">
        <f t="shared" si="318"/>
        <v>0.11195266028750406</v>
      </c>
      <c r="EB76" s="941">
        <f t="shared" si="318"/>
        <v>0.11331804439770354</v>
      </c>
      <c r="ED76" s="28"/>
      <c r="EE76" s="28"/>
      <c r="EG76" s="27"/>
      <c r="EH76" s="28"/>
      <c r="EI76" s="28"/>
      <c r="EJ76" s="28"/>
      <c r="EK76" s="28"/>
      <c r="EL76" s="28"/>
      <c r="EM76" s="60"/>
      <c r="EN76" s="60"/>
      <c r="EO76" s="60"/>
      <c r="EP76" s="60"/>
      <c r="EQ76" s="60"/>
      <c r="ER76" s="60"/>
      <c r="ES76" s="60"/>
      <c r="ET76" s="60"/>
      <c r="EU76" s="60"/>
      <c r="EV76" s="60"/>
      <c r="EW76" s="60"/>
      <c r="EX76" s="60"/>
      <c r="EY76" s="60"/>
      <c r="EZ76" s="60"/>
      <c r="FA76" s="60"/>
      <c r="FB76" s="60"/>
      <c r="FD76" s="20" t="s">
        <v>530</v>
      </c>
      <c r="FE76" s="238">
        <f t="shared" si="289"/>
        <v>6.3692480359147208E-2</v>
      </c>
      <c r="FF76" s="97">
        <v>0.16430300423184985</v>
      </c>
      <c r="FG76" s="97">
        <f t="shared" si="297"/>
        <v>-0.10061052387270264</v>
      </c>
      <c r="FH76" s="238">
        <f t="shared" si="290"/>
        <v>0.16661211129296238</v>
      </c>
      <c r="FI76" s="29"/>
      <c r="FJ76"/>
      <c r="FK76"/>
      <c r="FL76"/>
      <c r="FM76"/>
      <c r="FN76"/>
      <c r="FO76"/>
      <c r="FP76"/>
      <c r="FQ76"/>
      <c r="FR76"/>
    </row>
    <row r="77" spans="1:174" s="1" customFormat="1" x14ac:dyDescent="0.2">
      <c r="A77" s="1" t="s">
        <v>531</v>
      </c>
      <c r="B77" s="106">
        <v>0.84679400808433103</v>
      </c>
      <c r="C77" s="78">
        <v>0.76476451532519296</v>
      </c>
      <c r="D77" s="473" t="s">
        <v>581</v>
      </c>
      <c r="E77" s="78">
        <v>0.83594584966156005</v>
      </c>
      <c r="F77" s="78">
        <v>0.171452009844135</v>
      </c>
      <c r="G77" s="106">
        <v>0.72159993133341904</v>
      </c>
      <c r="H77" s="78">
        <f t="shared" ref="H77:AK77" si="319">H29/C29-1</f>
        <v>0.11366845523863423</v>
      </c>
      <c r="I77" s="78">
        <f t="shared" si="319"/>
        <v>6.9954776710003275E-2</v>
      </c>
      <c r="J77" s="78">
        <f t="shared" si="319"/>
        <v>0.41515474919957351</v>
      </c>
      <c r="K77" s="78">
        <f t="shared" si="319"/>
        <v>1.2180205415499543</v>
      </c>
      <c r="L77" s="61">
        <f t="shared" si="319"/>
        <v>0.4203415181353598</v>
      </c>
      <c r="M77" s="78">
        <f t="shared" si="319"/>
        <v>0.31621655889438194</v>
      </c>
      <c r="N77" s="78">
        <f t="shared" si="319"/>
        <v>0.79395060097741621</v>
      </c>
      <c r="O77" s="78">
        <f t="shared" si="319"/>
        <v>0.54723707664884058</v>
      </c>
      <c r="P77" s="78">
        <f t="shared" si="319"/>
        <v>0.54120185224163708</v>
      </c>
      <c r="Q77" s="61">
        <f t="shared" si="319"/>
        <v>0.51225933271319746</v>
      </c>
      <c r="R77" s="78">
        <f t="shared" si="319"/>
        <v>0.61260957518543391</v>
      </c>
      <c r="S77" s="78">
        <f t="shared" si="319"/>
        <v>0.57119717272861292</v>
      </c>
      <c r="T77" s="78">
        <f t="shared" si="319"/>
        <v>0.44053527118043578</v>
      </c>
      <c r="U77" s="78">
        <f t="shared" si="319"/>
        <v>0.27850046092389569</v>
      </c>
      <c r="V77" s="61">
        <f t="shared" si="319"/>
        <v>0.44813379137459264</v>
      </c>
      <c r="W77" s="78">
        <f t="shared" si="319"/>
        <v>0.22986171261312549</v>
      </c>
      <c r="X77" s="78">
        <f t="shared" si="319"/>
        <v>0.25431115276476213</v>
      </c>
      <c r="Y77" s="78">
        <f t="shared" si="319"/>
        <v>0.17545370655182913</v>
      </c>
      <c r="Z77" s="78">
        <f t="shared" si="319"/>
        <v>0.35071836778293819</v>
      </c>
      <c r="AA77" s="61">
        <f t="shared" si="319"/>
        <v>0.25613694831579292</v>
      </c>
      <c r="AB77" s="78">
        <f t="shared" si="319"/>
        <v>0.32678436991524396</v>
      </c>
      <c r="AC77" s="78">
        <f t="shared" si="319"/>
        <v>0.31568722680912975</v>
      </c>
      <c r="AD77" s="78">
        <f t="shared" si="319"/>
        <v>0.41989846653059115</v>
      </c>
      <c r="AE77" s="78">
        <f t="shared" si="319"/>
        <v>0.34652721485201377</v>
      </c>
      <c r="AF77" s="61">
        <f t="shared" si="319"/>
        <v>0.35396237008492215</v>
      </c>
      <c r="AG77" s="78">
        <f t="shared" si="319"/>
        <v>0.39214394230593275</v>
      </c>
      <c r="AH77" s="78">
        <f t="shared" si="319"/>
        <v>0.44401851378595625</v>
      </c>
      <c r="AI77" s="78">
        <f t="shared" si="319"/>
        <v>0.31417250276446662</v>
      </c>
      <c r="AJ77" s="78">
        <f t="shared" si="319"/>
        <v>0.21686782368660817</v>
      </c>
      <c r="AK77" s="61">
        <f t="shared" si="319"/>
        <v>0.32044237946243492</v>
      </c>
      <c r="AL77" s="78">
        <f t="shared" ref="AL77:BJ77" si="320">AL29/AG29-1</f>
        <v>0.20976372983420299</v>
      </c>
      <c r="AM77" s="78">
        <f t="shared" si="320"/>
        <v>0.30620993432178101</v>
      </c>
      <c r="AN77" s="78">
        <f t="shared" si="320"/>
        <v>0.22292341565344098</v>
      </c>
      <c r="AO77" s="78">
        <f t="shared" si="320"/>
        <v>7.1613012211012572E-2</v>
      </c>
      <c r="AP77" s="61">
        <f t="shared" si="320"/>
        <v>0.12889561378778569</v>
      </c>
      <c r="AQ77" s="78">
        <f t="shared" si="320"/>
        <v>0.31326689200204316</v>
      </c>
      <c r="AR77" s="78">
        <f t="shared" si="320"/>
        <v>0.28705627314605864</v>
      </c>
      <c r="AS77" s="78">
        <f t="shared" si="320"/>
        <v>0.21576207240576739</v>
      </c>
      <c r="AT77" s="78">
        <f t="shared" si="320"/>
        <v>0.2652148945513495</v>
      </c>
      <c r="AU77" s="61">
        <f t="shared" si="320"/>
        <v>0.34258925579601529</v>
      </c>
      <c r="AV77" s="78">
        <f t="shared" si="320"/>
        <v>0.44545040758058341</v>
      </c>
      <c r="AW77" s="78">
        <f t="shared" si="320"/>
        <v>0.44757526843989126</v>
      </c>
      <c r="AX77" s="78">
        <f t="shared" si="320"/>
        <v>0.44454578982268167</v>
      </c>
      <c r="AY77" s="78">
        <f t="shared" si="320"/>
        <v>0.38164909001913605</v>
      </c>
      <c r="AZ77" s="61">
        <f t="shared" si="320"/>
        <v>0.42877290964229942</v>
      </c>
      <c r="BA77" s="78">
        <f t="shared" si="320"/>
        <v>0.30075403209646279</v>
      </c>
      <c r="BB77" s="78">
        <f t="shared" si="320"/>
        <v>0.27084090853998521</v>
      </c>
      <c r="BC77" s="78">
        <f t="shared" si="320"/>
        <v>0.30311855198892457</v>
      </c>
      <c r="BD77" s="78">
        <f t="shared" si="320"/>
        <v>0.26580525478424954</v>
      </c>
      <c r="BE77" s="61">
        <f t="shared" si="320"/>
        <v>0.28640924693935665</v>
      </c>
      <c r="BF77" s="78">
        <f t="shared" si="320"/>
        <v>0.23191939821559782</v>
      </c>
      <c r="BG77" s="78">
        <f t="shared" si="320"/>
        <v>0.28367603860679891</v>
      </c>
      <c r="BH77" s="78">
        <f t="shared" si="320"/>
        <v>7.5176629753972213E-2</v>
      </c>
      <c r="BI77" s="78">
        <f t="shared" si="320"/>
        <v>5.7145764954333877E-3</v>
      </c>
      <c r="BJ77" s="61">
        <f t="shared" si="320"/>
        <v>0.14523292532170262</v>
      </c>
      <c r="BK77" s="78">
        <f t="shared" ref="BK77:CP77" si="321">BK29/BF29-1</f>
        <v>0.14235693026679197</v>
      </c>
      <c r="BL77" s="78">
        <f t="shared" si="321"/>
        <v>0.19356692125570785</v>
      </c>
      <c r="BM77" s="78">
        <f t="shared" si="321"/>
        <v>0.14279988628578555</v>
      </c>
      <c r="BN77" s="78">
        <f t="shared" si="321"/>
        <v>0.25498638925712602</v>
      </c>
      <c r="BO77" s="61">
        <f t="shared" si="321"/>
        <v>0.17892785793066079</v>
      </c>
      <c r="BP77" s="78">
        <f t="shared" si="321"/>
        <v>4.1836083622123654E-2</v>
      </c>
      <c r="BQ77" s="78">
        <f t="shared" si="321"/>
        <v>-0.26066712591399888</v>
      </c>
      <c r="BR77" s="78">
        <f t="shared" si="321"/>
        <v>-1.0884941316564316</v>
      </c>
      <c r="BS77" s="78">
        <f t="shared" si="321"/>
        <v>-0.94234638132829085</v>
      </c>
      <c r="BT77" s="61">
        <f t="shared" si="321"/>
        <v>-0.52192951245083985</v>
      </c>
      <c r="BU77" s="78">
        <f t="shared" si="321"/>
        <v>-0.64665265685980233</v>
      </c>
      <c r="BV77" s="78">
        <f t="shared" si="321"/>
        <v>-0.77043107319263515</v>
      </c>
      <c r="BW77" s="78">
        <f t="shared" si="321"/>
        <v>-10.400921658986071</v>
      </c>
      <c r="BX77" s="78">
        <f t="shared" si="321"/>
        <v>12.944055944055933</v>
      </c>
      <c r="BY77" s="61">
        <f t="shared" si="321"/>
        <v>0.11538919541142456</v>
      </c>
      <c r="BZ77" s="78">
        <f t="shared" si="321"/>
        <v>1.9957519116397684</v>
      </c>
      <c r="CA77" s="78">
        <f t="shared" si="321"/>
        <v>7.3080684596576866</v>
      </c>
      <c r="CB77" s="78">
        <f t="shared" si="321"/>
        <v>0.60637254901960747</v>
      </c>
      <c r="CC77" s="78">
        <f t="shared" si="321"/>
        <v>1.002507522567702</v>
      </c>
      <c r="CD77" s="61">
        <f t="shared" si="321"/>
        <v>1.5256227758007102</v>
      </c>
      <c r="CE77" s="78">
        <f t="shared" si="321"/>
        <v>0.42342597844583096</v>
      </c>
      <c r="CF77" s="78">
        <f t="shared" si="321"/>
        <v>0.10682754561506558</v>
      </c>
      <c r="CG77" s="78">
        <f t="shared" si="321"/>
        <v>0.22734208117180432</v>
      </c>
      <c r="CH77" s="78">
        <f t="shared" si="321"/>
        <v>0.12271475081392391</v>
      </c>
      <c r="CI77" s="61">
        <f t="shared" si="321"/>
        <v>0.2177680710159231</v>
      </c>
      <c r="CJ77" s="78">
        <f t="shared" si="321"/>
        <v>0.10779039649332511</v>
      </c>
      <c r="CK77" s="78">
        <f t="shared" si="321"/>
        <v>0.1443764956128688</v>
      </c>
      <c r="CL77" s="78">
        <f t="shared" si="321"/>
        <v>0.22227747389358399</v>
      </c>
      <c r="CM77" s="78">
        <f t="shared" si="321"/>
        <v>0.15904528217711356</v>
      </c>
      <c r="CN77" s="61">
        <f t="shared" si="321"/>
        <v>0.15568411917847791</v>
      </c>
      <c r="CO77" s="78">
        <f t="shared" si="321"/>
        <v>0.13417266187050347</v>
      </c>
      <c r="CP77" s="78">
        <f t="shared" si="321"/>
        <v>0.26417286245353178</v>
      </c>
      <c r="CQ77" s="78">
        <f t="shared" ref="CQ77:DR77" si="322">CQ29/CL29-1</f>
        <v>0.25142392188771456</v>
      </c>
      <c r="CR77" s="78">
        <f t="shared" si="322"/>
        <v>-5.0708237105465734</v>
      </c>
      <c r="CS77" s="61">
        <f t="shared" si="322"/>
        <v>-1.1628454144973985</v>
      </c>
      <c r="CT77" s="78">
        <f t="shared" si="322"/>
        <v>0.29004123057405717</v>
      </c>
      <c r="CU77" s="78">
        <f t="shared" si="322"/>
        <v>0.18378974453225649</v>
      </c>
      <c r="CV77" s="78">
        <f t="shared" si="322"/>
        <v>0.24918725617685222</v>
      </c>
      <c r="CW77" s="78">
        <f t="shared" si="322"/>
        <v>-1.4041698184568838</v>
      </c>
      <c r="CX77" s="61">
        <f t="shared" si="322"/>
        <v>-10.471257300952875</v>
      </c>
      <c r="CY77" s="78">
        <f t="shared" si="322"/>
        <v>0.12538414259373121</v>
      </c>
      <c r="CZ77" s="78">
        <f t="shared" si="322"/>
        <v>0.20711069709672336</v>
      </c>
      <c r="DA77" s="78">
        <f t="shared" si="322"/>
        <v>0.22134027325959638</v>
      </c>
      <c r="DB77" s="78">
        <f t="shared" si="322"/>
        <v>0.13393379342613043</v>
      </c>
      <c r="DC77" s="61">
        <f t="shared" si="322"/>
        <v>0.16877637130801637</v>
      </c>
      <c r="DD77" s="78">
        <f t="shared" si="322"/>
        <v>0.15565264882577723</v>
      </c>
      <c r="DE77" s="78">
        <f t="shared" si="322"/>
        <v>0.11151125401929218</v>
      </c>
      <c r="DF77" s="78">
        <f t="shared" si="322"/>
        <v>8.9175367568719466E-2</v>
      </c>
      <c r="DG77" s="78">
        <f t="shared" si="322"/>
        <v>0.26624716319372976</v>
      </c>
      <c r="DH77" s="61">
        <f t="shared" si="322"/>
        <v>0.15856706470424897</v>
      </c>
      <c r="DI77" s="78">
        <f t="shared" si="322"/>
        <v>7.0510396975424827E-2</v>
      </c>
      <c r="DJ77" s="78">
        <f t="shared" si="322"/>
        <v>8.2388336033326182E-2</v>
      </c>
      <c r="DK77" s="78">
        <f t="shared" si="322"/>
        <v>2.1422283087156657E-2</v>
      </c>
      <c r="DL77" s="78">
        <f t="shared" si="322"/>
        <v>-0.16700610997963383</v>
      </c>
      <c r="DM77" s="61">
        <f t="shared" si="322"/>
        <v>-8.9405560882070967E-3</v>
      </c>
      <c r="DN77" s="78">
        <f t="shared" si="322"/>
        <v>-1.456825004414497E-2</v>
      </c>
      <c r="DO77" s="78">
        <f t="shared" si="322"/>
        <v>7.5339384843538415E-2</v>
      </c>
      <c r="DP77" s="78">
        <f t="shared" si="322"/>
        <v>0.16845562348472187</v>
      </c>
      <c r="DQ77" s="78">
        <f t="shared" si="322"/>
        <v>0.22128745078203171</v>
      </c>
      <c r="DR77" s="61">
        <f t="shared" si="322"/>
        <v>0.11032003314630345</v>
      </c>
      <c r="DS77" s="78">
        <f t="shared" ref="DS77:EB77" si="323">DS29/DN29-1</f>
        <v>0.13245094446789785</v>
      </c>
      <c r="DT77" s="78">
        <f t="shared" si="323"/>
        <v>0.15165494318392736</v>
      </c>
      <c r="DU77" s="78">
        <f t="shared" si="323"/>
        <v>0.13876851251724909</v>
      </c>
      <c r="DV77" s="78">
        <f t="shared" si="323"/>
        <v>0.13136313085429396</v>
      </c>
      <c r="DW77" s="61">
        <f t="shared" si="323"/>
        <v>0.13804173403266007</v>
      </c>
      <c r="DX77" s="78">
        <f t="shared" si="323"/>
        <v>0.12024282461586555</v>
      </c>
      <c r="DY77" s="78">
        <f t="shared" si="323"/>
        <v>0.12852291562878571</v>
      </c>
      <c r="DZ77" s="78">
        <f t="shared" si="323"/>
        <v>0.12417043930094884</v>
      </c>
      <c r="EA77" s="78">
        <f t="shared" si="323"/>
        <v>0.12213154063875087</v>
      </c>
      <c r="EB77" s="61">
        <f t="shared" si="323"/>
        <v>0.12363397192529524</v>
      </c>
      <c r="ED77" s="28"/>
      <c r="EE77" s="28"/>
      <c r="EG77" s="27"/>
      <c r="EH77" s="28"/>
      <c r="EI77" s="28"/>
      <c r="EJ77" s="28"/>
      <c r="EK77" s="28"/>
      <c r="EL77" s="28"/>
      <c r="EM77" s="60">
        <f t="shared" ref="EM77:FB77" si="324">EM29/EL29-1</f>
        <v>0.37783595496367095</v>
      </c>
      <c r="EN77" s="60">
        <f t="shared" si="324"/>
        <v>0.26374124702167401</v>
      </c>
      <c r="EO77" s="60">
        <f t="shared" si="324"/>
        <v>0.12071494064163724</v>
      </c>
      <c r="EP77" s="60">
        <f t="shared" si="324"/>
        <v>0.14295122554557582</v>
      </c>
      <c r="EQ77" s="60">
        <f t="shared" si="324"/>
        <v>-0.72973454096752555</v>
      </c>
      <c r="ER77" s="60">
        <f t="shared" si="324"/>
        <v>1.7626014005408086</v>
      </c>
      <c r="ES77" s="60">
        <f t="shared" si="324"/>
        <v>0.96850294892709243</v>
      </c>
      <c r="ET77" s="60">
        <f t="shared" si="324"/>
        <v>0.11710333397080275</v>
      </c>
      <c r="EU77" s="60">
        <f t="shared" si="324"/>
        <v>0.18249258160237369</v>
      </c>
      <c r="EV77" s="60">
        <f t="shared" si="324"/>
        <v>0.26508059067657741</v>
      </c>
      <c r="EW77" s="60">
        <f t="shared" si="324"/>
        <v>0.21419034903681045</v>
      </c>
      <c r="EX77" s="60">
        <f t="shared" si="324"/>
        <v>0.17609173735469641</v>
      </c>
      <c r="EY77" s="60">
        <f t="shared" si="324"/>
        <v>0.13439294777614608</v>
      </c>
      <c r="EZ77" s="60">
        <f t="shared" si="324"/>
        <v>-3.0235953468657595E-2</v>
      </c>
      <c r="FA77" s="60">
        <f t="shared" si="324"/>
        <v>0.15066503330839742</v>
      </c>
      <c r="FB77" s="60">
        <f t="shared" si="324"/>
        <v>0.13461109358841283</v>
      </c>
      <c r="FD77" s="20" t="s">
        <v>531</v>
      </c>
      <c r="FE77" s="238">
        <f t="shared" si="289"/>
        <v>-1.456825004414497E-2</v>
      </c>
      <c r="FF77" s="97">
        <v>7.5583027902069944E-2</v>
      </c>
      <c r="FG77" s="97">
        <f t="shared" si="297"/>
        <v>-9.0151277946214914E-2</v>
      </c>
      <c r="FH77" s="238">
        <f t="shared" si="290"/>
        <v>7.0510396975424827E-2</v>
      </c>
      <c r="FI77" s="29"/>
      <c r="FJ77"/>
      <c r="FK77"/>
      <c r="FL77"/>
      <c r="FM77"/>
      <c r="FN77"/>
      <c r="FO77"/>
      <c r="FP77"/>
      <c r="FQ77"/>
      <c r="FR77"/>
    </row>
    <row r="78" spans="1:174" s="83" customFormat="1" x14ac:dyDescent="0.2">
      <c r="A78" s="34" t="s">
        <v>198</v>
      </c>
      <c r="B78" s="803"/>
      <c r="C78" s="584"/>
      <c r="D78" s="998"/>
      <c r="E78" s="584"/>
      <c r="F78" s="584"/>
      <c r="G78" s="803"/>
      <c r="H78" s="584"/>
      <c r="I78" s="584"/>
      <c r="J78" s="584"/>
      <c r="K78" s="584"/>
      <c r="L78" s="386"/>
      <c r="M78" s="584"/>
      <c r="N78" s="584"/>
      <c r="O78" s="584"/>
      <c r="P78" s="584"/>
      <c r="Q78" s="386"/>
      <c r="R78" s="584"/>
      <c r="S78" s="584"/>
      <c r="T78" s="584"/>
      <c r="U78" s="584"/>
      <c r="V78" s="386"/>
      <c r="W78" s="584"/>
      <c r="X78" s="584"/>
      <c r="Y78" s="584"/>
      <c r="Z78" s="584"/>
      <c r="AA78" s="386"/>
      <c r="AB78" s="584"/>
      <c r="AC78" s="584"/>
      <c r="AD78" s="584"/>
      <c r="AE78" s="584"/>
      <c r="AF78" s="386"/>
      <c r="AG78" s="584"/>
      <c r="AH78" s="584"/>
      <c r="AI78" s="584"/>
      <c r="AJ78" s="584"/>
      <c r="AK78" s="386"/>
      <c r="AL78" s="584"/>
      <c r="AM78" s="584"/>
      <c r="AN78" s="584"/>
      <c r="AO78" s="584"/>
      <c r="AP78" s="386"/>
      <c r="AQ78" s="584"/>
      <c r="AR78" s="584"/>
      <c r="AS78" s="584"/>
      <c r="AT78" s="584"/>
      <c r="AU78" s="386"/>
      <c r="AV78" s="584"/>
      <c r="AW78" s="584"/>
      <c r="AX78" s="584"/>
      <c r="AY78" s="584"/>
      <c r="AZ78" s="386"/>
      <c r="BA78" s="584"/>
      <c r="BB78" s="584"/>
      <c r="BC78" s="584"/>
      <c r="BD78" s="584"/>
      <c r="BE78" s="386"/>
      <c r="BF78" s="584"/>
      <c r="BG78" s="584"/>
      <c r="BH78" s="584"/>
      <c r="BI78" s="584"/>
      <c r="BJ78" s="386"/>
      <c r="BK78" s="584"/>
      <c r="BL78" s="584"/>
      <c r="BM78" s="584"/>
      <c r="BN78" s="584"/>
      <c r="BO78" s="386"/>
      <c r="BP78" s="584"/>
      <c r="BQ78" s="584"/>
      <c r="BR78" s="584"/>
      <c r="BS78" s="584"/>
      <c r="BT78" s="386"/>
      <c r="BU78" s="584"/>
      <c r="BV78" s="584"/>
      <c r="BW78" s="584"/>
      <c r="BX78" s="584"/>
      <c r="BY78" s="386"/>
      <c r="BZ78" s="584">
        <f t="shared" ref="BZ78:CR78" si="325">BZ30/BU30-1</f>
        <v>0.91977225672878138</v>
      </c>
      <c r="CA78" s="584">
        <f t="shared" si="325"/>
        <v>0.80155440414507861</v>
      </c>
      <c r="CB78" s="584">
        <f t="shared" si="325"/>
        <v>0.36189358372456937</v>
      </c>
      <c r="CC78" s="584">
        <f t="shared" si="325"/>
        <v>0.60609659540775862</v>
      </c>
      <c r="CD78" s="386">
        <f t="shared" si="325"/>
        <v>0.6462432915921279</v>
      </c>
      <c r="CE78" s="584">
        <f t="shared" si="325"/>
        <v>0.35319493124831491</v>
      </c>
      <c r="CF78" s="584">
        <f t="shared" si="325"/>
        <v>8.1679608858209241E-2</v>
      </c>
      <c r="CG78" s="584">
        <f t="shared" si="325"/>
        <v>0.15541511060040314</v>
      </c>
      <c r="CH78" s="584">
        <f t="shared" si="325"/>
        <v>3.0564456494946768E-2</v>
      </c>
      <c r="CI78" s="386">
        <f t="shared" si="325"/>
        <v>0.15342298288508638</v>
      </c>
      <c r="CJ78" s="584">
        <f t="shared" si="325"/>
        <v>0.10779039649332511</v>
      </c>
      <c r="CK78" s="584">
        <f t="shared" si="325"/>
        <v>0.1443764956128688</v>
      </c>
      <c r="CL78" s="584">
        <f t="shared" si="325"/>
        <v>0.22227747389358399</v>
      </c>
      <c r="CM78" s="584">
        <f t="shared" si="325"/>
        <v>0.24276488878258795</v>
      </c>
      <c r="CN78" s="386">
        <f t="shared" si="325"/>
        <v>0.17623505858799926</v>
      </c>
      <c r="CO78" s="584">
        <f t="shared" si="325"/>
        <v>0.13417266187050347</v>
      </c>
      <c r="CP78" s="584">
        <f t="shared" si="325"/>
        <v>0.26417286245353178</v>
      </c>
      <c r="CQ78" s="584">
        <f t="shared" si="325"/>
        <v>0.25142392188771456</v>
      </c>
      <c r="CR78" s="584">
        <f t="shared" si="325"/>
        <v>0.28733641262509635</v>
      </c>
      <c r="CS78" s="386">
        <f t="shared" ref="CS78:CY78" si="326">CS30/CN30-1</f>
        <v>0.2308770524629542</v>
      </c>
      <c r="CT78" s="584">
        <f t="shared" si="326"/>
        <v>0.25800824611481188</v>
      </c>
      <c r="CU78" s="584">
        <f t="shared" si="326"/>
        <v>0.18378974453225649</v>
      </c>
      <c r="CV78" s="584">
        <f t="shared" si="326"/>
        <v>0.24918725617685222</v>
      </c>
      <c r="CW78" s="584">
        <f t="shared" si="326"/>
        <v>0.28165645088952052</v>
      </c>
      <c r="CX78" s="386">
        <f t="shared" si="326"/>
        <v>0.24483487880267063</v>
      </c>
      <c r="CY78" s="584">
        <f t="shared" si="326"/>
        <v>0.1783688390268503</v>
      </c>
      <c r="CZ78" s="584">
        <f>CZ30/CU30-1</f>
        <v>0.22558608911659617</v>
      </c>
      <c r="DA78" s="584">
        <f>DA30/CV30-1</f>
        <v>0.23630448926480141</v>
      </c>
      <c r="DB78" s="584">
        <f>DB30/CW30-1</f>
        <v>0.14464014930595925</v>
      </c>
      <c r="DC78" s="386">
        <f>DC30/CX30-1</f>
        <v>0.19432828018818493</v>
      </c>
      <c r="DD78" s="584">
        <f t="shared" ref="DD78:EB78" si="327">DD30/CY30-1</f>
        <v>0.14495079161317825</v>
      </c>
      <c r="DE78" s="584">
        <f t="shared" si="327"/>
        <v>0.11236382062325778</v>
      </c>
      <c r="DF78" s="584">
        <f t="shared" si="327"/>
        <v>9.4200610462056744E-2</v>
      </c>
      <c r="DG78" s="584">
        <f t="shared" si="327"/>
        <v>0.26790991541832443</v>
      </c>
      <c r="DH78" s="386">
        <f t="shared" si="327"/>
        <v>0.1483237231146739</v>
      </c>
      <c r="DI78" s="584">
        <f t="shared" si="327"/>
        <v>7.1288423806408874E-2</v>
      </c>
      <c r="DJ78" s="584">
        <f t="shared" si="327"/>
        <v>8.0970276733857816E-2</v>
      </c>
      <c r="DK78" s="584">
        <f t="shared" si="327"/>
        <v>0.13351288957291318</v>
      </c>
      <c r="DL78" s="584">
        <f t="shared" si="327"/>
        <v>-8.5114933290468486E-2</v>
      </c>
      <c r="DM78" s="386">
        <f t="shared" si="327"/>
        <v>5.1142782821147703E-2</v>
      </c>
      <c r="DN78" s="584">
        <f t="shared" si="327"/>
        <v>1.8227803942090226E-2</v>
      </c>
      <c r="DO78" s="584">
        <f t="shared" si="327"/>
        <v>7.4887786622898522E-2</v>
      </c>
      <c r="DP78" s="584">
        <f t="shared" si="327"/>
        <v>4.7531616269444354E-2</v>
      </c>
      <c r="DQ78" s="584">
        <f t="shared" si="327"/>
        <v>0.10952979025407372</v>
      </c>
      <c r="DR78" s="386">
        <f>DR30/DM30-1</f>
        <v>6.1795468310613222E-2</v>
      </c>
      <c r="DS78" s="584">
        <f t="shared" si="327"/>
        <v>9.4696466392968581E-2</v>
      </c>
      <c r="DT78" s="584">
        <f t="shared" si="327"/>
        <v>0.1491634286577781</v>
      </c>
      <c r="DU78" s="584">
        <f t="shared" si="327"/>
        <v>0.13688567810000696</v>
      </c>
      <c r="DV78" s="584">
        <f t="shared" si="327"/>
        <v>0.12963110326600513</v>
      </c>
      <c r="DW78" s="386">
        <f t="shared" si="327"/>
        <v>0.12709063103341856</v>
      </c>
      <c r="DX78" s="584">
        <f t="shared" si="327"/>
        <v>0.11868500003745619</v>
      </c>
      <c r="DY78" s="584">
        <f t="shared" si="327"/>
        <v>0.12676681429947401</v>
      </c>
      <c r="DZ78" s="584">
        <f t="shared" si="327"/>
        <v>0.12276058539044699</v>
      </c>
      <c r="EA78" s="584">
        <f t="shared" si="327"/>
        <v>0.12075697154988529</v>
      </c>
      <c r="EB78" s="386">
        <f t="shared" si="327"/>
        <v>0.12212236498090245</v>
      </c>
      <c r="ED78" s="771"/>
      <c r="EE78" s="771"/>
      <c r="EG78" s="931"/>
      <c r="EH78" s="771"/>
      <c r="EI78" s="771"/>
      <c r="EJ78" s="771"/>
      <c r="EK78" s="771"/>
      <c r="EL78" s="771"/>
      <c r="EM78" s="999"/>
      <c r="EN78" s="999"/>
      <c r="EO78" s="999"/>
      <c r="EP78" s="999"/>
      <c r="EQ78" s="999"/>
      <c r="ER78" s="999"/>
      <c r="ES78" s="999"/>
      <c r="ET78" s="999"/>
      <c r="EU78" s="999"/>
      <c r="EV78" s="999"/>
      <c r="EW78" s="999"/>
      <c r="EX78" s="999"/>
      <c r="EY78" s="999"/>
      <c r="EZ78" s="999"/>
      <c r="FA78" s="999"/>
      <c r="FB78" s="999"/>
      <c r="FD78" s="767"/>
      <c r="FE78" s="409">
        <f t="shared" si="289"/>
        <v>1.8227803942090226E-2</v>
      </c>
      <c r="FF78" s="851">
        <v>0</v>
      </c>
      <c r="FG78" s="851"/>
      <c r="FH78" s="409">
        <f t="shared" si="290"/>
        <v>7.1288423806408874E-2</v>
      </c>
      <c r="FI78" s="971"/>
      <c r="FJ78" s="766"/>
      <c r="FK78" s="766"/>
      <c r="FL78"/>
      <c r="FM78"/>
      <c r="FN78"/>
      <c r="FO78"/>
      <c r="FP78"/>
      <c r="FQ78"/>
      <c r="FR78" s="766"/>
    </row>
    <row r="79" spans="1:174" s="1" customFormat="1" x14ac:dyDescent="0.2">
      <c r="A79" s="1" t="s">
        <v>532</v>
      </c>
      <c r="B79" s="106"/>
      <c r="C79" s="78"/>
      <c r="D79" s="473"/>
      <c r="E79" s="78"/>
      <c r="F79" s="78"/>
      <c r="G79" s="106"/>
      <c r="H79" s="78"/>
      <c r="I79" s="78"/>
      <c r="J79" s="78"/>
      <c r="K79" s="78"/>
      <c r="L79" s="106"/>
      <c r="M79" s="78"/>
      <c r="N79" s="78"/>
      <c r="O79" s="78"/>
      <c r="P79" s="78"/>
      <c r="Q79" s="106"/>
      <c r="R79" s="78"/>
      <c r="S79" s="78"/>
      <c r="T79" s="78"/>
      <c r="U79" s="78"/>
      <c r="V79" s="106"/>
      <c r="W79" s="78"/>
      <c r="X79" s="78"/>
      <c r="Y79" s="78"/>
      <c r="Z79" s="78"/>
      <c r="AA79" s="106"/>
      <c r="AB79" s="78">
        <f t="shared" ref="AB79:AK79" si="328">AB31/W31-1</f>
        <v>0.31594621286940661</v>
      </c>
      <c r="AC79" s="78">
        <f t="shared" si="328"/>
        <v>0.3426145302223309</v>
      </c>
      <c r="AD79" s="78">
        <f t="shared" si="328"/>
        <v>0.33364683039303489</v>
      </c>
      <c r="AE79" s="78">
        <f t="shared" si="328"/>
        <v>0.367050356103922</v>
      </c>
      <c r="AF79" s="61">
        <f t="shared" si="328"/>
        <v>0.34111008934754894</v>
      </c>
      <c r="AG79" s="78">
        <f t="shared" si="328"/>
        <v>0.34767749310117924</v>
      </c>
      <c r="AH79" s="78">
        <f t="shared" si="328"/>
        <v>0.31173854732829853</v>
      </c>
      <c r="AI79" s="78">
        <f t="shared" si="328"/>
        <v>0.32737323415000286</v>
      </c>
      <c r="AJ79" s="78">
        <f t="shared" si="328"/>
        <v>0.20929144691584622</v>
      </c>
      <c r="AK79" s="61">
        <f t="shared" si="328"/>
        <v>0.29041415176064622</v>
      </c>
      <c r="AL79" s="78">
        <f t="shared" ref="AL79:BJ79" si="329">AL31/AG31-1</f>
        <v>0.25114589491179795</v>
      </c>
      <c r="AM79" s="78">
        <f t="shared" si="329"/>
        <v>0.29435948211844831</v>
      </c>
      <c r="AN79" s="78">
        <f t="shared" si="329"/>
        <v>0.21766066838046205</v>
      </c>
      <c r="AO79" s="78">
        <f t="shared" si="329"/>
        <v>0.11638843169527302</v>
      </c>
      <c r="AP79" s="61">
        <f t="shared" si="329"/>
        <v>0.17531587164830453</v>
      </c>
      <c r="AQ79" s="78">
        <f t="shared" si="329"/>
        <v>0.24899510391344548</v>
      </c>
      <c r="AR79" s="78">
        <f t="shared" si="329"/>
        <v>0.23634715801377015</v>
      </c>
      <c r="AS79" s="78">
        <f t="shared" si="329"/>
        <v>0.20978107120991485</v>
      </c>
      <c r="AT79" s="78">
        <f t="shared" si="329"/>
        <v>0.22959752153708135</v>
      </c>
      <c r="AU79" s="61">
        <f t="shared" si="329"/>
        <v>0.27257623088529925</v>
      </c>
      <c r="AV79" s="78">
        <f t="shared" si="329"/>
        <v>0.35248386760747041</v>
      </c>
      <c r="AW79" s="78">
        <f t="shared" si="329"/>
        <v>0.35685607257907259</v>
      </c>
      <c r="AX79" s="78">
        <f t="shared" si="329"/>
        <v>0.33818584140291175</v>
      </c>
      <c r="AY79" s="78">
        <f t="shared" si="329"/>
        <v>0.33919947840116804</v>
      </c>
      <c r="AZ79" s="61">
        <f t="shared" si="329"/>
        <v>0.34632585897602763</v>
      </c>
      <c r="BA79" s="78">
        <f t="shared" si="329"/>
        <v>0.26687043200142813</v>
      </c>
      <c r="BB79" s="78">
        <f t="shared" si="329"/>
        <v>0.24806324502490673</v>
      </c>
      <c r="BC79" s="78">
        <f t="shared" si="329"/>
        <v>0.26715612760759577</v>
      </c>
      <c r="BD79" s="78">
        <f t="shared" si="329"/>
        <v>0.20446340527538354</v>
      </c>
      <c r="BE79" s="61">
        <f t="shared" si="329"/>
        <v>0.24646201827848579</v>
      </c>
      <c r="BF79" s="78">
        <f t="shared" si="329"/>
        <v>0.20831106830537216</v>
      </c>
      <c r="BG79" s="78">
        <f t="shared" si="329"/>
        <v>0.20245985949333445</v>
      </c>
      <c r="BH79" s="78">
        <f t="shared" si="329"/>
        <v>9.4824155769310581E-2</v>
      </c>
      <c r="BI79" s="78">
        <f t="shared" si="329"/>
        <v>5.1814323443874821E-2</v>
      </c>
      <c r="BJ79" s="61">
        <f t="shared" si="329"/>
        <v>0.13833939408723728</v>
      </c>
      <c r="BK79" s="78">
        <f t="shared" ref="BK79:CP79" si="330">BK31/BF31-1</f>
        <v>0.15417676266137059</v>
      </c>
      <c r="BL79" s="78">
        <f t="shared" si="330"/>
        <v>0.19007011622184833</v>
      </c>
      <c r="BM79" s="78">
        <f t="shared" si="330"/>
        <v>0.16125332915556934</v>
      </c>
      <c r="BN79" s="78">
        <f t="shared" si="330"/>
        <v>0.23232796943850054</v>
      </c>
      <c r="BO79" s="61">
        <f t="shared" si="330"/>
        <v>0.18258839088297862</v>
      </c>
      <c r="BP79" s="78">
        <f t="shared" si="330"/>
        <v>8.5245706052137216E-2</v>
      </c>
      <c r="BQ79" s="78">
        <f t="shared" si="330"/>
        <v>-9.9277612652740599E-2</v>
      </c>
      <c r="BR79" s="78">
        <f t="shared" si="330"/>
        <v>-0.66703902173150564</v>
      </c>
      <c r="BS79" s="78">
        <f t="shared" si="330"/>
        <v>-0.50474378286952604</v>
      </c>
      <c r="BT79" s="61">
        <f t="shared" si="330"/>
        <v>-0.28269984849690966</v>
      </c>
      <c r="BU79" s="78">
        <f t="shared" si="330"/>
        <v>-0.46723044397463021</v>
      </c>
      <c r="BV79" s="78">
        <f t="shared" si="330"/>
        <v>-0.46080847917180146</v>
      </c>
      <c r="BW79" s="78">
        <f t="shared" si="330"/>
        <v>1.7366288492706703</v>
      </c>
      <c r="BX79" s="78">
        <f t="shared" si="330"/>
        <v>0.77161152614727935</v>
      </c>
      <c r="BY79" s="61">
        <f t="shared" si="330"/>
        <v>-1.0520047637951446E-2</v>
      </c>
      <c r="BZ79" s="78">
        <f t="shared" si="330"/>
        <v>0.91746031746031931</v>
      </c>
      <c r="CA79" s="78">
        <f t="shared" si="330"/>
        <v>1.6760000000000006</v>
      </c>
      <c r="CB79" s="78">
        <f t="shared" si="330"/>
        <v>0.34113118152206079</v>
      </c>
      <c r="CC79" s="78">
        <f t="shared" si="330"/>
        <v>0.58253012048192732</v>
      </c>
      <c r="CD79" s="61">
        <f t="shared" si="330"/>
        <v>0.75964256405580333</v>
      </c>
      <c r="CE79" s="78">
        <f t="shared" si="330"/>
        <v>0.30318708609271527</v>
      </c>
      <c r="CF79" s="78">
        <f t="shared" si="330"/>
        <v>7.8582105487933651E-2</v>
      </c>
      <c r="CG79" s="78">
        <f t="shared" si="330"/>
        <v>0.17398984323250222</v>
      </c>
      <c r="CH79" s="78">
        <f t="shared" si="330"/>
        <v>0.11419870574800095</v>
      </c>
      <c r="CI79" s="61">
        <f t="shared" si="330"/>
        <v>0.16690848792621038</v>
      </c>
      <c r="CJ79" s="78">
        <f t="shared" si="330"/>
        <v>9.7030331904081057E-2</v>
      </c>
      <c r="CK79" s="78">
        <f t="shared" si="330"/>
        <v>0.12353989309047697</v>
      </c>
      <c r="CL79" s="78">
        <f t="shared" si="330"/>
        <v>0.18168139928531035</v>
      </c>
      <c r="CM79" s="78">
        <f t="shared" si="330"/>
        <v>0.12965493679535367</v>
      </c>
      <c r="CN79" s="61">
        <f t="shared" si="330"/>
        <v>0.1314445579288599</v>
      </c>
      <c r="CO79" s="78">
        <f t="shared" si="330"/>
        <v>0.12840185292414552</v>
      </c>
      <c r="CP79" s="78">
        <f t="shared" si="330"/>
        <v>0.22854625550660823</v>
      </c>
      <c r="CQ79" s="78">
        <f t="shared" ref="CQ79:DR79" si="331">CQ31/CL31-1</f>
        <v>0.22314181123667098</v>
      </c>
      <c r="CR79" s="78">
        <f t="shared" si="331"/>
        <v>-3.9473763798578556</v>
      </c>
      <c r="CS79" s="61">
        <f t="shared" si="331"/>
        <v>-0.88378664782762406</v>
      </c>
      <c r="CT79" s="78">
        <f t="shared" si="331"/>
        <v>0.26132135984605576</v>
      </c>
      <c r="CU79" s="78">
        <f t="shared" si="331"/>
        <v>0.17398164084911172</v>
      </c>
      <c r="CV79" s="78">
        <f t="shared" si="331"/>
        <v>0.23435263500325254</v>
      </c>
      <c r="CW79" s="78">
        <f t="shared" si="331"/>
        <v>-1.5337335180339646</v>
      </c>
      <c r="CX79" s="61">
        <f t="shared" si="331"/>
        <v>11.801756163458444</v>
      </c>
      <c r="CY79" s="78">
        <f t="shared" si="331"/>
        <v>0.14066314076484976</v>
      </c>
      <c r="CZ79" s="78">
        <f t="shared" si="331"/>
        <v>0.21514966401954738</v>
      </c>
      <c r="DA79" s="78">
        <f t="shared" si="331"/>
        <v>0.23877292852624898</v>
      </c>
      <c r="DB79" s="78">
        <f t="shared" si="331"/>
        <v>0.15707007593963174</v>
      </c>
      <c r="DC79" s="61">
        <f t="shared" si="331"/>
        <v>0.18580172004431983</v>
      </c>
      <c r="DD79" s="78">
        <f t="shared" si="331"/>
        <v>0.1533660276415505</v>
      </c>
      <c r="DE79" s="78">
        <f t="shared" si="331"/>
        <v>0.11803740197064116</v>
      </c>
      <c r="DF79" s="78">
        <f t="shared" si="331"/>
        <v>8.067398519274982E-2</v>
      </c>
      <c r="DG79" s="78">
        <f t="shared" si="331"/>
        <v>0.22738223809919567</v>
      </c>
      <c r="DH79" s="61">
        <f t="shared" si="331"/>
        <v>0.14636588133217665</v>
      </c>
      <c r="DI79" s="78">
        <f t="shared" si="331"/>
        <v>6.8650947042906418E-2</v>
      </c>
      <c r="DJ79" s="78">
        <f t="shared" si="331"/>
        <v>6.9244604316547109E-2</v>
      </c>
      <c r="DK79" s="78">
        <f t="shared" si="331"/>
        <v>2.1182770296873876E-2</v>
      </c>
      <c r="DL79" s="78">
        <f t="shared" si="331"/>
        <v>-0.13503452010288386</v>
      </c>
      <c r="DM79" s="61">
        <f t="shared" si="331"/>
        <v>-1.3196708585623274E-3</v>
      </c>
      <c r="DN79" s="78">
        <f t="shared" si="331"/>
        <v>-5.353396513056996E-3</v>
      </c>
      <c r="DO79" s="78">
        <f t="shared" si="331"/>
        <v>8.7173534701643129E-2</v>
      </c>
      <c r="DP79" s="78">
        <f t="shared" si="331"/>
        <v>0.16091428601881885</v>
      </c>
      <c r="DQ79" s="78">
        <f t="shared" si="331"/>
        <v>0.20096938791043062</v>
      </c>
      <c r="DR79" s="61">
        <f t="shared" si="331"/>
        <v>0.10916085497088979</v>
      </c>
      <c r="DS79" s="78">
        <f t="shared" ref="DS79:EB79" si="332">DS31/DN31-1</f>
        <v>0.13010303834558101</v>
      </c>
      <c r="DT79" s="78">
        <f t="shared" si="332"/>
        <v>0.1296948270114946</v>
      </c>
      <c r="DU79" s="78">
        <f t="shared" si="332"/>
        <v>0.12238074432237678</v>
      </c>
      <c r="DV79" s="78">
        <f t="shared" si="332"/>
        <v>0.1175272605043185</v>
      </c>
      <c r="DW79" s="61">
        <f t="shared" si="332"/>
        <v>0.12459233586311114</v>
      </c>
      <c r="DX79" s="78">
        <f t="shared" si="332"/>
        <v>0.11115682340884137</v>
      </c>
      <c r="DY79" s="78">
        <f t="shared" si="332"/>
        <v>0.11798754991751315</v>
      </c>
      <c r="DZ79" s="78">
        <f t="shared" si="332"/>
        <v>0.1158434279338274</v>
      </c>
      <c r="EA79" s="78">
        <f t="shared" si="332"/>
        <v>0.11427075054362401</v>
      </c>
      <c r="EB79" s="61">
        <f t="shared" si="332"/>
        <v>0.11477654914089519</v>
      </c>
      <c r="ED79" s="28"/>
      <c r="EE79" s="28"/>
      <c r="EG79" s="27"/>
      <c r="EH79" s="28"/>
      <c r="EI79" s="28"/>
      <c r="EJ79" s="28"/>
      <c r="EK79" s="28"/>
      <c r="EL79" s="28"/>
      <c r="EM79" s="60">
        <f t="shared" ref="EM79:FB79" si="333">EM31/EL31-1</f>
        <v>0.31863000653102147</v>
      </c>
      <c r="EN79" s="60">
        <f t="shared" si="333"/>
        <v>0.22921400469039122</v>
      </c>
      <c r="EO79" s="60">
        <f t="shared" si="333"/>
        <v>0.12529774591194598</v>
      </c>
      <c r="EP79" s="60">
        <f t="shared" si="333"/>
        <v>0.15936393636725965</v>
      </c>
      <c r="EQ79" s="60">
        <f t="shared" si="333"/>
        <v>-0.23128891001095231</v>
      </c>
      <c r="ER79" s="60">
        <f t="shared" si="333"/>
        <v>9.1699825709494753E-2</v>
      </c>
      <c r="ES79" s="60">
        <f t="shared" si="333"/>
        <v>0.56359665637472722</v>
      </c>
      <c r="ET79" s="60">
        <f t="shared" si="333"/>
        <v>9.9455762654721447E-2</v>
      </c>
      <c r="EU79" s="60">
        <f t="shared" si="333"/>
        <v>0.1549851060101628</v>
      </c>
      <c r="EV79" s="60">
        <f t="shared" si="333"/>
        <v>0.23784419327922457</v>
      </c>
      <c r="EW79" s="60">
        <f t="shared" si="333"/>
        <v>0.20381775285718629</v>
      </c>
      <c r="EX79" s="60">
        <f t="shared" si="333"/>
        <v>0.18783883529741097</v>
      </c>
      <c r="EY79" s="60">
        <f t="shared" si="333"/>
        <v>0.12314384280786039</v>
      </c>
      <c r="EZ79" s="60">
        <f t="shared" si="333"/>
        <v>-1.9650488400488553E-2</v>
      </c>
      <c r="FA79" s="60">
        <f t="shared" si="333"/>
        <v>0.14556891509390435</v>
      </c>
      <c r="FB79" s="60">
        <f t="shared" si="333"/>
        <v>0.11975892120136922</v>
      </c>
      <c r="FD79" s="20" t="s">
        <v>532</v>
      </c>
      <c r="FE79" s="238">
        <f t="shared" si="289"/>
        <v>-5.353396513056996E-3</v>
      </c>
      <c r="FF79" s="97">
        <v>7.2481765242410123E-2</v>
      </c>
      <c r="FG79" s="97">
        <f t="shared" si="297"/>
        <v>-7.7835161755467119E-2</v>
      </c>
      <c r="FH79" s="238">
        <f t="shared" si="290"/>
        <v>6.8650947042906418E-2</v>
      </c>
      <c r="FI79" s="29"/>
      <c r="FJ79"/>
      <c r="FK79"/>
      <c r="FL79"/>
      <c r="FM79"/>
      <c r="FN79"/>
      <c r="FO79"/>
      <c r="FP79"/>
      <c r="FQ79"/>
      <c r="FR79"/>
    </row>
    <row r="80" spans="1:174" s="1" customFormat="1" x14ac:dyDescent="0.2">
      <c r="A80" s="1" t="s">
        <v>525</v>
      </c>
      <c r="B80" s="106">
        <v>0.58007414563458504</v>
      </c>
      <c r="C80" s="78">
        <v>0.84424475823705603</v>
      </c>
      <c r="D80" s="473" t="s">
        <v>581</v>
      </c>
      <c r="E80" s="78">
        <v>1.1726061815644899</v>
      </c>
      <c r="F80" s="78">
        <v>0.37977528089887602</v>
      </c>
      <c r="G80" s="106">
        <v>0.99471225473254998</v>
      </c>
      <c r="H80" s="78">
        <f t="shared" ref="H80:AK80" si="334">H41/C41-1</f>
        <v>-0.78611160954602521</v>
      </c>
      <c r="I80" s="78">
        <f t="shared" si="334"/>
        <v>-2.4816432584269617</v>
      </c>
      <c r="J80" s="78">
        <f t="shared" si="334"/>
        <v>0.3750182615047486</v>
      </c>
      <c r="K80" s="78">
        <f t="shared" si="334"/>
        <v>1.3009410061527338</v>
      </c>
      <c r="L80" s="61">
        <f t="shared" si="334"/>
        <v>0.39685823754789129</v>
      </c>
      <c r="M80" s="62">
        <f t="shared" si="334"/>
        <v>0.45616610738254804</v>
      </c>
      <c r="N80" s="78">
        <f t="shared" si="334"/>
        <v>0.94662731703104774</v>
      </c>
      <c r="O80" s="78">
        <f t="shared" si="334"/>
        <v>0.5087122821929464</v>
      </c>
      <c r="P80" s="78">
        <f t="shared" si="334"/>
        <v>0.40652772316162555</v>
      </c>
      <c r="Q80" s="61">
        <f t="shared" si="334"/>
        <v>0.514372702836142</v>
      </c>
      <c r="R80" s="62">
        <f t="shared" si="334"/>
        <v>0.50907388736857073</v>
      </c>
      <c r="S80" s="78">
        <f t="shared" si="334"/>
        <v>0.51087544638025961</v>
      </c>
      <c r="T80" s="78">
        <f t="shared" si="334"/>
        <v>0.47049295774648137</v>
      </c>
      <c r="U80" s="78">
        <f t="shared" si="334"/>
        <v>0.42887497204204661</v>
      </c>
      <c r="V80" s="61">
        <f t="shared" si="334"/>
        <v>0.47347448877941134</v>
      </c>
      <c r="W80" s="62">
        <f t="shared" si="334"/>
        <v>0.27573371510379685</v>
      </c>
      <c r="X80" s="78">
        <f t="shared" si="334"/>
        <v>0.28613379172038544</v>
      </c>
      <c r="Y80" s="78">
        <f t="shared" si="334"/>
        <v>0.17978066184569585</v>
      </c>
      <c r="Z80" s="78">
        <f t="shared" si="334"/>
        <v>0.26762933395945465</v>
      </c>
      <c r="AA80" s="61">
        <f t="shared" si="334"/>
        <v>0.25034418330218888</v>
      </c>
      <c r="AB80" s="78">
        <f t="shared" si="334"/>
        <v>0.29985411289417585</v>
      </c>
      <c r="AC80" s="78">
        <f t="shared" si="334"/>
        <v>0.30400400957843576</v>
      </c>
      <c r="AD80" s="78">
        <f t="shared" si="334"/>
        <v>0.41514105946823632</v>
      </c>
      <c r="AE80" s="78">
        <f t="shared" si="334"/>
        <v>0.3492112493439945</v>
      </c>
      <c r="AF80" s="61">
        <f t="shared" si="334"/>
        <v>0.34422619398730259</v>
      </c>
      <c r="AG80" s="78">
        <f t="shared" si="334"/>
        <v>0.40996863219085466</v>
      </c>
      <c r="AH80" s="78">
        <f t="shared" si="334"/>
        <v>0.37555517594807064</v>
      </c>
      <c r="AI80" s="78">
        <f t="shared" si="334"/>
        <v>0.34120245539555838</v>
      </c>
      <c r="AJ80" s="78">
        <f t="shared" si="334"/>
        <v>0.21835030316897686</v>
      </c>
      <c r="AK80" s="61">
        <f t="shared" si="334"/>
        <v>0.31889389462598428</v>
      </c>
      <c r="AL80" s="78">
        <f t="shared" ref="AL80:BJ80" si="335">AL41/AG41-1</f>
        <v>0.21495091335850547</v>
      </c>
      <c r="AM80" s="78">
        <f t="shared" si="335"/>
        <v>0.34155324433405476</v>
      </c>
      <c r="AN80" s="78">
        <f t="shared" si="335"/>
        <v>0.18818572620142282</v>
      </c>
      <c r="AO80" s="78">
        <f t="shared" si="335"/>
        <v>8.3383413461536104E-2</v>
      </c>
      <c r="AP80" s="61">
        <f t="shared" si="335"/>
        <v>0.17939335126292466</v>
      </c>
      <c r="AQ80" s="78">
        <f t="shared" si="335"/>
        <v>0.31643845465852904</v>
      </c>
      <c r="AR80" s="78">
        <f t="shared" si="335"/>
        <v>0.20410271078740094</v>
      </c>
      <c r="AS80" s="78">
        <f t="shared" si="335"/>
        <v>0.23038195694434704</v>
      </c>
      <c r="AT80" s="78">
        <f t="shared" si="335"/>
        <v>0.20641092759325952</v>
      </c>
      <c r="AU80" s="61">
        <f t="shared" si="335"/>
        <v>0.26169357531928505</v>
      </c>
      <c r="AV80" s="78">
        <f t="shared" si="335"/>
        <v>0.40544644794099005</v>
      </c>
      <c r="AW80" s="78">
        <f t="shared" si="335"/>
        <v>0.51611539274663309</v>
      </c>
      <c r="AX80" s="78">
        <f t="shared" si="335"/>
        <v>0.42754527460277392</v>
      </c>
      <c r="AY80" s="78">
        <f t="shared" si="335"/>
        <v>0.47427776085108952</v>
      </c>
      <c r="AZ80" s="61">
        <f t="shared" si="335"/>
        <v>0.45038596400776476</v>
      </c>
      <c r="BA80" s="78">
        <f t="shared" si="335"/>
        <v>0.31393290053116885</v>
      </c>
      <c r="BB80" s="78">
        <f t="shared" si="335"/>
        <v>0.27351207453888615</v>
      </c>
      <c r="BC80" s="78">
        <f t="shared" si="335"/>
        <v>0.28625742980118685</v>
      </c>
      <c r="BD80" s="78">
        <f t="shared" si="335"/>
        <v>0.20583218814264637</v>
      </c>
      <c r="BE80" s="61">
        <f t="shared" si="335"/>
        <v>0.27046040241210778</v>
      </c>
      <c r="BF80" s="78">
        <f t="shared" si="335"/>
        <v>0.20371778038836252</v>
      </c>
      <c r="BG80" s="78">
        <f t="shared" si="335"/>
        <v>0.26731766556176106</v>
      </c>
      <c r="BH80" s="78">
        <f t="shared" si="335"/>
        <v>0.15922653430322131</v>
      </c>
      <c r="BI80" s="78">
        <f t="shared" si="335"/>
        <v>8.7138908197410991E-2</v>
      </c>
      <c r="BJ80" s="61">
        <f t="shared" si="335"/>
        <v>0.17602792501825393</v>
      </c>
      <c r="BK80" s="78">
        <f t="shared" ref="BK80:CP80" si="336">BK41/BF41-1</f>
        <v>0.17695045639818563</v>
      </c>
      <c r="BL80" s="78">
        <f t="shared" si="336"/>
        <v>0.18476860724496436</v>
      </c>
      <c r="BM80" s="78">
        <f t="shared" si="336"/>
        <v>8.8283000453613703E-2</v>
      </c>
      <c r="BN80" s="78">
        <f t="shared" si="336"/>
        <v>0.17843468175430921</v>
      </c>
      <c r="BO80" s="61">
        <f t="shared" si="336"/>
        <v>0.1568201242633358</v>
      </c>
      <c r="BP80" s="78">
        <f t="shared" si="336"/>
        <v>1.5057581714329915E-2</v>
      </c>
      <c r="BQ80" s="78">
        <f t="shared" si="336"/>
        <v>-0.27963404932378655</v>
      </c>
      <c r="BR80" s="78">
        <f t="shared" si="336"/>
        <v>-1.042944746531266</v>
      </c>
      <c r="BS80" s="78">
        <f t="shared" si="336"/>
        <v>-0.96530034131846065</v>
      </c>
      <c r="BT80" s="61">
        <f t="shared" si="336"/>
        <v>-0.53105326453584789</v>
      </c>
      <c r="BU80" s="78">
        <f t="shared" si="336"/>
        <v>-0.69101393560788171</v>
      </c>
      <c r="BV80" s="78">
        <f t="shared" si="336"/>
        <v>-0.76900423338855028</v>
      </c>
      <c r="BW80" s="78">
        <f t="shared" si="336"/>
        <v>-22.794117647058041</v>
      </c>
      <c r="BX80" s="78">
        <f t="shared" si="336"/>
        <v>26.909090909090814</v>
      </c>
      <c r="BY80" s="61">
        <f t="shared" si="336"/>
        <v>0.23977683382996418</v>
      </c>
      <c r="BZ80" s="78">
        <f t="shared" si="336"/>
        <v>2.7869362363919268</v>
      </c>
      <c r="CA80" s="78">
        <f t="shared" si="336"/>
        <v>7.677290836653361</v>
      </c>
      <c r="CB80" s="78">
        <f t="shared" si="336"/>
        <v>0.40688259109311686</v>
      </c>
      <c r="CC80" s="78">
        <f t="shared" si="336"/>
        <v>0.81433224755700206</v>
      </c>
      <c r="CD80" s="61">
        <f t="shared" si="336"/>
        <v>1.4246995653285577</v>
      </c>
      <c r="CE80" s="78">
        <f t="shared" si="336"/>
        <v>0.42751540041067759</v>
      </c>
      <c r="CF80" s="78">
        <f t="shared" si="336"/>
        <v>0.20477502295683769</v>
      </c>
      <c r="CG80" s="78">
        <f t="shared" si="336"/>
        <v>0.34196642685851475</v>
      </c>
      <c r="CH80" s="78">
        <f t="shared" si="336"/>
        <v>0.28653500897665984</v>
      </c>
      <c r="CI80" s="61">
        <f t="shared" si="336"/>
        <v>0.31614467995360296</v>
      </c>
      <c r="CJ80" s="78">
        <f t="shared" si="336"/>
        <v>9.9539700805523212E-2</v>
      </c>
      <c r="CK80" s="78">
        <f t="shared" si="336"/>
        <v>0.18178353658536572</v>
      </c>
      <c r="CL80" s="78">
        <f t="shared" si="336"/>
        <v>0.19120800571836849</v>
      </c>
      <c r="CM80" s="78">
        <f t="shared" si="336"/>
        <v>2.7909572983531028E-3</v>
      </c>
      <c r="CN80" s="61">
        <f t="shared" si="336"/>
        <v>0.10960660203509276</v>
      </c>
      <c r="CO80" s="78">
        <f t="shared" si="336"/>
        <v>0.13134484563055948</v>
      </c>
      <c r="CP80" s="78">
        <f t="shared" si="336"/>
        <v>0.25991615607868468</v>
      </c>
      <c r="CQ80" s="78">
        <f t="shared" ref="CQ80:DR80" si="337">CQ41/CL41-1</f>
        <v>0.25352535253525499</v>
      </c>
      <c r="CR80" s="78">
        <f t="shared" si="337"/>
        <v>-4.4291678263289729</v>
      </c>
      <c r="CS80" s="61">
        <f t="shared" si="337"/>
        <v>-0.99364575059571325</v>
      </c>
      <c r="CT80" s="78">
        <f t="shared" si="337"/>
        <v>0.2504625346901026</v>
      </c>
      <c r="CU80" s="78">
        <f t="shared" si="337"/>
        <v>9.2654210391606595E-2</v>
      </c>
      <c r="CV80" s="78">
        <f t="shared" si="337"/>
        <v>0.22666347534705489</v>
      </c>
      <c r="CW80" s="78">
        <f t="shared" si="337"/>
        <v>-1.4769093417742072</v>
      </c>
      <c r="CX80" s="61">
        <f t="shared" si="337"/>
        <v>233.96590909099857</v>
      </c>
      <c r="CY80" s="78">
        <f t="shared" si="337"/>
        <v>0.82078786757906452</v>
      </c>
      <c r="CZ80" s="78">
        <f t="shared" si="337"/>
        <v>0.16092761770906416</v>
      </c>
      <c r="DA80" s="78">
        <f t="shared" si="337"/>
        <v>0.22243902439024343</v>
      </c>
      <c r="DB80" s="78">
        <f t="shared" si="337"/>
        <v>0.11044928522804431</v>
      </c>
      <c r="DC80" s="61">
        <f t="shared" si="337"/>
        <v>0.33438119649852416</v>
      </c>
      <c r="DD80" s="78">
        <f t="shared" si="337"/>
        <v>-0.30147282884713122</v>
      </c>
      <c r="DE80" s="78">
        <f t="shared" si="337"/>
        <v>0.16020984665052418</v>
      </c>
      <c r="DF80" s="78">
        <f t="shared" si="337"/>
        <v>0.20430965682362379</v>
      </c>
      <c r="DG80" s="78">
        <f t="shared" si="337"/>
        <v>0.22881226053640091</v>
      </c>
      <c r="DH80" s="61">
        <f t="shared" si="337"/>
        <v>2.1709977891341659E-2</v>
      </c>
      <c r="DI80" s="78">
        <f t="shared" si="337"/>
        <v>9.2773011487566448E-2</v>
      </c>
      <c r="DJ80" s="78">
        <f t="shared" si="337"/>
        <v>0.1353043478260878</v>
      </c>
      <c r="DK80" s="78">
        <f t="shared" si="337"/>
        <v>-8.3764082173624743E-2</v>
      </c>
      <c r="DL80" s="78">
        <f t="shared" si="337"/>
        <v>-1.5589922673984402E-2</v>
      </c>
      <c r="DM80" s="61">
        <f t="shared" si="337"/>
        <v>2.3377084072366161E-2</v>
      </c>
      <c r="DN80" s="78">
        <f t="shared" si="337"/>
        <v>1.9941450432468435</v>
      </c>
      <c r="DO80" s="78">
        <f t="shared" si="337"/>
        <v>0.13150252118743566</v>
      </c>
      <c r="DP80" s="78">
        <f t="shared" si="337"/>
        <v>0.2995687740846098</v>
      </c>
      <c r="DQ80" s="78">
        <f t="shared" si="337"/>
        <v>0.16354538785534589</v>
      </c>
      <c r="DR80" s="61">
        <f t="shared" si="337"/>
        <v>0.66575032548444413</v>
      </c>
      <c r="DS80" s="78">
        <f t="shared" ref="DS80:EB80" si="338">DS41/DN41-1</f>
        <v>-0.58799050515565543</v>
      </c>
      <c r="DT80" s="78">
        <f t="shared" si="338"/>
        <v>0.14468549187004465</v>
      </c>
      <c r="DU80" s="78">
        <f t="shared" si="338"/>
        <v>0.13314270982398235</v>
      </c>
      <c r="DV80" s="78">
        <f t="shared" si="338"/>
        <v>0.12563174318012416</v>
      </c>
      <c r="DW80" s="61">
        <f t="shared" si="338"/>
        <v>-0.20417619626300432</v>
      </c>
      <c r="DX80" s="78">
        <f t="shared" si="338"/>
        <v>0.1150760697380584</v>
      </c>
      <c r="DY80" s="78">
        <f t="shared" si="338"/>
        <v>0.1248333632101768</v>
      </c>
      <c r="DZ80" s="78">
        <f t="shared" si="338"/>
        <v>0.12108660487030032</v>
      </c>
      <c r="EA80" s="78">
        <f t="shared" si="338"/>
        <v>0.11904143783594678</v>
      </c>
      <c r="EB80" s="61">
        <f t="shared" si="338"/>
        <v>0.11990511781454516</v>
      </c>
      <c r="ED80" s="28"/>
      <c r="EE80" s="28"/>
      <c r="EG80" s="27"/>
      <c r="EH80" s="28"/>
      <c r="EI80" s="28"/>
      <c r="EJ80" s="28"/>
      <c r="EK80" s="28"/>
      <c r="EL80" s="28"/>
      <c r="EM80" s="60">
        <f t="shared" ref="EM80:FB80" si="339">EM41/EL41-1</f>
        <v>0.41204483115057866</v>
      </c>
      <c r="EN80" s="60">
        <f t="shared" si="339"/>
        <v>0.23622745871659157</v>
      </c>
      <c r="EO80" s="60">
        <f t="shared" si="339"/>
        <v>0.16882298820735864</v>
      </c>
      <c r="EP80" s="60">
        <f t="shared" si="339"/>
        <v>0.10363039537504215</v>
      </c>
      <c r="EQ80" s="60">
        <f t="shared" si="339"/>
        <v>-0.74598467562216486</v>
      </c>
      <c r="ER80" s="60">
        <f t="shared" si="339"/>
        <v>2.3222649423278683</v>
      </c>
      <c r="ES80" s="60">
        <f t="shared" si="339"/>
        <v>0.84534455549710641</v>
      </c>
      <c r="ET80" s="60">
        <f t="shared" si="339"/>
        <v>0.19013683010262117</v>
      </c>
      <c r="EU80" s="60">
        <f t="shared" si="339"/>
        <v>0.14578842315369234</v>
      </c>
      <c r="EV80" s="60">
        <f t="shared" si="339"/>
        <v>1.0075256079715724</v>
      </c>
      <c r="EW80" s="60">
        <f t="shared" si="339"/>
        <v>-0.26383200277681385</v>
      </c>
      <c r="EX80" s="60">
        <f t="shared" si="339"/>
        <v>0.18977792446602826</v>
      </c>
      <c r="EY80" s="60">
        <f t="shared" si="339"/>
        <v>0.14242688436236906</v>
      </c>
      <c r="EZ80" s="60">
        <f t="shared" si="339"/>
        <v>-0.11336200915776384</v>
      </c>
      <c r="FA80" s="60">
        <f t="shared" si="339"/>
        <v>0.36247483503103828</v>
      </c>
      <c r="FB80" s="60">
        <f t="shared" si="339"/>
        <v>0.1288007368641344</v>
      </c>
      <c r="FD80" s="20" t="s">
        <v>525</v>
      </c>
      <c r="FE80" s="238">
        <f t="shared" si="289"/>
        <v>1.9941450432468435</v>
      </c>
      <c r="FF80" s="97">
        <v>8.3402113851314352E-2</v>
      </c>
      <c r="FG80" s="97">
        <f t="shared" si="297"/>
        <v>1.9107429293955291</v>
      </c>
      <c r="FH80" s="238">
        <f t="shared" si="290"/>
        <v>9.2773011487566448E-2</v>
      </c>
      <c r="FI80" s="29"/>
      <c r="FJ80"/>
      <c r="FK80"/>
      <c r="FL80"/>
      <c r="FM80"/>
      <c r="FN80"/>
      <c r="FO80"/>
      <c r="FP80"/>
      <c r="FQ80"/>
      <c r="FR80"/>
    </row>
    <row r="81" spans="1:174" s="1" customFormat="1" x14ac:dyDescent="0.2">
      <c r="A81" s="80" t="s">
        <v>323</v>
      </c>
      <c r="B81" s="20"/>
      <c r="C81" s="28"/>
      <c r="D81" s="28"/>
      <c r="E81" s="28"/>
      <c r="F81" s="28"/>
      <c r="G81" s="252">
        <f t="shared" ref="G81:AK81" si="340">G50/B50-1</f>
        <v>0.13425000434578549</v>
      </c>
      <c r="H81" s="239">
        <f t="shared" si="340"/>
        <v>-0.7908153261291837</v>
      </c>
      <c r="I81" s="581">
        <f t="shared" si="340"/>
        <v>-3.7197820777863186</v>
      </c>
      <c r="J81" s="581">
        <f t="shared" si="340"/>
        <v>0.20565006242972395</v>
      </c>
      <c r="K81" s="581">
        <f t="shared" si="340"/>
        <v>0.89300125499993377</v>
      </c>
      <c r="L81" s="252">
        <f t="shared" si="340"/>
        <v>0.44291850733275218</v>
      </c>
      <c r="M81" s="239">
        <f t="shared" si="340"/>
        <v>0.16260131412758305</v>
      </c>
      <c r="N81" s="581">
        <f t="shared" si="340"/>
        <v>0.46426824436273662</v>
      </c>
      <c r="O81" s="581">
        <f t="shared" si="340"/>
        <v>0.303897859786042</v>
      </c>
      <c r="P81" s="581">
        <f t="shared" si="340"/>
        <v>0.22492239341953213</v>
      </c>
      <c r="Q81" s="252">
        <f t="shared" si="340"/>
        <v>0.26348889346207183</v>
      </c>
      <c r="R81" s="239">
        <f t="shared" si="340"/>
        <v>0.40433222790284384</v>
      </c>
      <c r="S81" s="581">
        <f t="shared" si="340"/>
        <v>0.32319552769228244</v>
      </c>
      <c r="T81" s="581">
        <f t="shared" si="340"/>
        <v>0.32392622230981027</v>
      </c>
      <c r="U81" s="581">
        <f t="shared" si="340"/>
        <v>0.32356376825855016</v>
      </c>
      <c r="V81" s="252">
        <f t="shared" si="340"/>
        <v>0.33798249828156113</v>
      </c>
      <c r="W81" s="239">
        <f t="shared" si="340"/>
        <v>0.22816705025944839</v>
      </c>
      <c r="X81" s="581">
        <f t="shared" si="340"/>
        <v>0.25035616554288564</v>
      </c>
      <c r="Y81" s="581">
        <f t="shared" si="340"/>
        <v>0.14162834382227496</v>
      </c>
      <c r="Z81" s="581">
        <f t="shared" si="340"/>
        <v>0.24490022775460374</v>
      </c>
      <c r="AA81" s="252">
        <f t="shared" si="340"/>
        <v>0.2187723808685833</v>
      </c>
      <c r="AB81" s="239">
        <f t="shared" si="340"/>
        <v>0.27325838651120327</v>
      </c>
      <c r="AC81" s="581">
        <f t="shared" si="340"/>
        <v>0.27643537205344404</v>
      </c>
      <c r="AD81" s="581">
        <f t="shared" si="340"/>
        <v>0.39656140717184618</v>
      </c>
      <c r="AE81" s="581">
        <f t="shared" si="340"/>
        <v>0.30000808632911458</v>
      </c>
      <c r="AF81" s="252">
        <f t="shared" si="340"/>
        <v>0.31310344627120901</v>
      </c>
      <c r="AG81" s="239">
        <f t="shared" si="340"/>
        <v>0.35631489518374448</v>
      </c>
      <c r="AH81" s="581">
        <f t="shared" si="340"/>
        <v>0.33778225512691584</v>
      </c>
      <c r="AI81" s="581">
        <f t="shared" si="340"/>
        <v>0.3183550745258148</v>
      </c>
      <c r="AJ81" s="581">
        <f t="shared" si="340"/>
        <v>0.20913447134314356</v>
      </c>
      <c r="AK81" s="252">
        <f t="shared" si="340"/>
        <v>0.29096745378265276</v>
      </c>
      <c r="AL81" s="239">
        <f t="shared" ref="AL81:BE81" si="341">AL50/AG50-1</f>
        <v>0.22009897105020459</v>
      </c>
      <c r="AM81" s="581">
        <f t="shared" si="341"/>
        <v>0.33426990917991417</v>
      </c>
      <c r="AN81" s="581">
        <f t="shared" si="341"/>
        <v>0.16831604309017334</v>
      </c>
      <c r="AO81" s="581">
        <f t="shared" si="341"/>
        <v>6.8018428410376863E-2</v>
      </c>
      <c r="AP81" s="252">
        <f t="shared" si="341"/>
        <v>0.17004424824448572</v>
      </c>
      <c r="AQ81" s="239">
        <f t="shared" si="341"/>
        <v>0.29263349294793506</v>
      </c>
      <c r="AR81" s="239">
        <f t="shared" si="341"/>
        <v>0.19879663436093642</v>
      </c>
      <c r="AS81" s="239">
        <f t="shared" si="341"/>
        <v>0.22588105141870018</v>
      </c>
      <c r="AT81" s="239">
        <f t="shared" si="341"/>
        <v>0.19068433965457143</v>
      </c>
      <c r="AU81" s="252">
        <f t="shared" si="341"/>
        <v>0.24866349686644962</v>
      </c>
      <c r="AV81" s="239">
        <f t="shared" si="341"/>
        <v>0.37639249850753997</v>
      </c>
      <c r="AW81" s="239">
        <f t="shared" si="341"/>
        <v>0.47214145597640922</v>
      </c>
      <c r="AX81" s="239">
        <f t="shared" si="341"/>
        <v>0.39421883788471512</v>
      </c>
      <c r="AY81" s="239">
        <f t="shared" si="341"/>
        <v>0.44261861270526826</v>
      </c>
      <c r="AZ81" s="252">
        <f t="shared" si="341"/>
        <v>0.41578171089106197</v>
      </c>
      <c r="BA81" s="239">
        <f t="shared" si="341"/>
        <v>0.28962849134003488</v>
      </c>
      <c r="BB81" s="239">
        <f t="shared" si="341"/>
        <v>0.26590848483603757</v>
      </c>
      <c r="BC81" s="239">
        <f t="shared" si="341"/>
        <v>0.31258626320866489</v>
      </c>
      <c r="BD81" s="239">
        <f t="shared" si="341"/>
        <v>0.25408719740016927</v>
      </c>
      <c r="BE81" s="252">
        <f t="shared" si="341"/>
        <v>0.28216603156053366</v>
      </c>
      <c r="BF81" s="239">
        <f>BF50/BA53-1</f>
        <v>0.37574274401282914</v>
      </c>
      <c r="BG81" s="239">
        <f>BG50/BB53-1</f>
        <v>0.5705311381655942</v>
      </c>
      <c r="BH81" s="239">
        <f>BH50/BC53-1</f>
        <v>0.33603427295358101</v>
      </c>
      <c r="BI81" s="239">
        <f>BI50/BD53-1</f>
        <v>0.25881586172598881</v>
      </c>
      <c r="BJ81" s="252">
        <f>BJ53/BE53-1</f>
        <v>0.33250959803376823</v>
      </c>
      <c r="BK81" s="239">
        <f>BK53/BF50-1</f>
        <v>0.19226444681983956</v>
      </c>
      <c r="BL81" s="239">
        <f>BL53/BG50-1</f>
        <v>0.21623468268888257</v>
      </c>
      <c r="BM81" s="239">
        <f>BM53/BH50-1</f>
        <v>0.13774010870031161</v>
      </c>
      <c r="BN81" s="239">
        <f>BN53/BI50-1</f>
        <v>0.21737312322803337</v>
      </c>
      <c r="BO81" s="252">
        <f>BO53/BJ50-1</f>
        <v>0.19082649043523325</v>
      </c>
      <c r="BP81" s="239">
        <f t="shared" ref="BP81:CT81" si="342">BP50/BK50-1</f>
        <v>6.6653957434603006E-2</v>
      </c>
      <c r="BQ81" s="239">
        <f t="shared" si="342"/>
        <v>-9.18202657300905E-2</v>
      </c>
      <c r="BR81" s="239">
        <f t="shared" si="342"/>
        <v>-0.23801328818291856</v>
      </c>
      <c r="BS81" s="239">
        <f t="shared" si="342"/>
        <v>-0.54102062315402988</v>
      </c>
      <c r="BT81" s="252">
        <f t="shared" si="342"/>
        <v>-0.18643120380253186</v>
      </c>
      <c r="BU81" s="239">
        <f t="shared" si="342"/>
        <v>-0.46919715011133201</v>
      </c>
      <c r="BV81" s="239">
        <f t="shared" si="342"/>
        <v>-7.4421873843664499E-2</v>
      </c>
      <c r="BW81" s="239">
        <f t="shared" si="342"/>
        <v>0.49672110186108798</v>
      </c>
      <c r="BX81" s="239">
        <f t="shared" si="342"/>
        <v>1.5894437383331605</v>
      </c>
      <c r="BY81" s="252">
        <f t="shared" si="342"/>
        <v>0.1230276654433915</v>
      </c>
      <c r="BZ81" s="239">
        <f t="shared" si="342"/>
        <v>1.2478710462287159</v>
      </c>
      <c r="CA81" s="239">
        <f t="shared" si="342"/>
        <v>0.77595206710656894</v>
      </c>
      <c r="CB81" s="239">
        <f t="shared" si="342"/>
        <v>0.22263178473258516</v>
      </c>
      <c r="CC81" s="239">
        <f t="shared" si="342"/>
        <v>0.4999110560127662</v>
      </c>
      <c r="CD81" s="252">
        <f t="shared" si="342"/>
        <v>0.61454966362550478</v>
      </c>
      <c r="CE81" s="239">
        <f t="shared" si="342"/>
        <v>0.35620190426503173</v>
      </c>
      <c r="CF81" s="239">
        <f t="shared" si="342"/>
        <v>0.16512395885952169</v>
      </c>
      <c r="CG81" s="239">
        <f t="shared" si="342"/>
        <v>1.4899594046008122</v>
      </c>
      <c r="CH81" s="239">
        <f t="shared" si="342"/>
        <v>-1.5377698313566612E-2</v>
      </c>
      <c r="CI81" s="252">
        <f t="shared" si="342"/>
        <v>0.17824733929117231</v>
      </c>
      <c r="CJ81" s="239">
        <f t="shared" si="342"/>
        <v>9.9841418880538768E-2</v>
      </c>
      <c r="CK81" s="239">
        <f t="shared" si="342"/>
        <v>0.18233514889719626</v>
      </c>
      <c r="CL81" s="239">
        <f t="shared" si="342"/>
        <v>-0.40442985467444814</v>
      </c>
      <c r="CM81" s="239">
        <f t="shared" si="342"/>
        <v>0.26639225792325671</v>
      </c>
      <c r="CN81" s="252">
        <f t="shared" si="342"/>
        <v>0.17899924230715936</v>
      </c>
      <c r="CO81" s="239">
        <f t="shared" si="342"/>
        <v>0.14181506014261647</v>
      </c>
      <c r="CP81" s="239">
        <f t="shared" si="342"/>
        <v>0.19767544917626401</v>
      </c>
      <c r="CQ81" s="239">
        <f t="shared" si="342"/>
        <v>0.27880712193508694</v>
      </c>
      <c r="CR81" s="239">
        <f>CR50/CM50-1</f>
        <v>0.28610297256517092</v>
      </c>
      <c r="CS81" s="252">
        <f t="shared" si="342"/>
        <v>0.22488806576267195</v>
      </c>
      <c r="CT81" s="239">
        <f t="shared" si="342"/>
        <v>0.21237441014480063</v>
      </c>
      <c r="CU81" s="239">
        <f>CU50/CP50-1</f>
        <v>0.16326630321101376</v>
      </c>
      <c r="CV81" s="239">
        <f t="shared" ref="CV81:DR81" si="343">CV50/CQ50-1</f>
        <v>0.22811419430607249</v>
      </c>
      <c r="CW81" s="239">
        <f>CW50/CR50-1</f>
        <v>0.19338464847697345</v>
      </c>
      <c r="CX81" s="252">
        <f t="shared" si="343"/>
        <v>0.20019555678887979</v>
      </c>
      <c r="CY81" s="239">
        <f t="shared" si="343"/>
        <v>0.16208516819306906</v>
      </c>
      <c r="CZ81" s="239">
        <f t="shared" si="343"/>
        <v>0.18728060173068983</v>
      </c>
      <c r="DA81" s="409">
        <f t="shared" si="343"/>
        <v>0.2424581616360022</v>
      </c>
      <c r="DB81" s="409">
        <f t="shared" si="343"/>
        <v>0.21766549666070079</v>
      </c>
      <c r="DC81" s="386">
        <f t="shared" si="343"/>
        <v>0.20284382003101009</v>
      </c>
      <c r="DD81" s="239">
        <f t="shared" si="343"/>
        <v>0.15711649471276834</v>
      </c>
      <c r="DE81" s="239">
        <f t="shared" si="343"/>
        <v>0.18602236202365852</v>
      </c>
      <c r="DF81" s="409">
        <f t="shared" si="343"/>
        <v>0.17065664341183262</v>
      </c>
      <c r="DG81" s="409">
        <f t="shared" si="343"/>
        <v>0.29537322734736771</v>
      </c>
      <c r="DH81" s="386">
        <f t="shared" si="343"/>
        <v>0.20441351162501298</v>
      </c>
      <c r="DI81" s="409">
        <f t="shared" si="343"/>
        <v>0.11845473408030127</v>
      </c>
      <c r="DJ81" s="409">
        <f t="shared" si="343"/>
        <v>0.14964606052003249</v>
      </c>
      <c r="DK81" s="409">
        <f t="shared" si="343"/>
        <v>0.1177898721100572</v>
      </c>
      <c r="DL81" s="409">
        <f t="shared" si="343"/>
        <v>-1.5056032058061164E-2</v>
      </c>
      <c r="DM81" s="386">
        <f t="shared" si="343"/>
        <v>8.5549306405783954E-2</v>
      </c>
      <c r="DN81" s="997">
        <f t="shared" si="343"/>
        <v>0.25301071522475138</v>
      </c>
      <c r="DO81" s="987">
        <f t="shared" si="343"/>
        <v>0.16606647385614925</v>
      </c>
      <c r="DP81" s="987">
        <f t="shared" si="343"/>
        <v>0.17597292562857159</v>
      </c>
      <c r="DQ81" s="987">
        <f t="shared" si="343"/>
        <v>0.19720893484591762</v>
      </c>
      <c r="DR81" s="252">
        <f t="shared" si="343"/>
        <v>0.19876232070516764</v>
      </c>
      <c r="DS81" s="239">
        <f t="shared" ref="DS81:EB81" si="344">DS50/DN50-1</f>
        <v>3.6942794808697776E-2</v>
      </c>
      <c r="DT81" s="239">
        <f t="shared" si="344"/>
        <v>0.17125253741132851</v>
      </c>
      <c r="DU81" s="239">
        <f t="shared" si="344"/>
        <v>0.15871986974055141</v>
      </c>
      <c r="DV81" s="239">
        <f t="shared" si="344"/>
        <v>0.14990042729356157</v>
      </c>
      <c r="DW81" s="252">
        <f t="shared" si="344"/>
        <v>0.12696695913002154</v>
      </c>
      <c r="DX81" s="239">
        <f t="shared" si="344"/>
        <v>0.1370607843350411</v>
      </c>
      <c r="DY81" s="239">
        <f t="shared" si="344"/>
        <v>0.14365763657821962</v>
      </c>
      <c r="DZ81" s="239">
        <f t="shared" si="344"/>
        <v>0.13957301696089552</v>
      </c>
      <c r="EA81" s="239">
        <f t="shared" si="344"/>
        <v>0.13938629990534257</v>
      </c>
      <c r="EB81" s="252">
        <f t="shared" si="344"/>
        <v>0.13983224732640576</v>
      </c>
      <c r="ED81" s="28"/>
      <c r="EE81" s="28"/>
      <c r="EG81" s="30"/>
      <c r="EH81" s="2"/>
      <c r="EI81" s="2"/>
      <c r="EJ81" s="2"/>
      <c r="EK81" s="2"/>
      <c r="EL81" s="2"/>
      <c r="EM81" s="55">
        <f t="shared" ref="EM81:FB81" si="345">EM50/EL50-1</f>
        <v>0.37947142302544723</v>
      </c>
      <c r="EN81" s="55">
        <f t="shared" si="345"/>
        <v>0.26733032286426983</v>
      </c>
      <c r="EO81" s="55">
        <f t="shared" si="345"/>
        <v>0.19255542528008762</v>
      </c>
      <c r="EP81" s="55">
        <f t="shared" si="345"/>
        <v>0.14652014842014172</v>
      </c>
      <c r="EQ81" s="55">
        <f t="shared" si="345"/>
        <v>-0.34871513034582102</v>
      </c>
      <c r="ER81" s="55">
        <f t="shared" si="345"/>
        <v>0.70018377679285027</v>
      </c>
      <c r="ES81" s="55">
        <f t="shared" si="345"/>
        <v>0.42689853006277256</v>
      </c>
      <c r="ET81" s="55">
        <f t="shared" si="345"/>
        <v>8.5795349479577121E-2</v>
      </c>
      <c r="EU81" s="55">
        <f t="shared" si="345"/>
        <v>0.21971247959932105</v>
      </c>
      <c r="EV81" s="55">
        <f t="shared" si="345"/>
        <v>0.24407307259924482</v>
      </c>
      <c r="EW81" s="55">
        <f t="shared" si="345"/>
        <v>-3.617436241939942E-2</v>
      </c>
      <c r="EX81" s="55">
        <f t="shared" si="345"/>
        <v>0.51231589646495412</v>
      </c>
      <c r="EY81" s="55">
        <f t="shared" si="345"/>
        <v>0.1633649813635889</v>
      </c>
      <c r="EZ81" s="55">
        <f t="shared" si="345"/>
        <v>-0.52027045178051945</v>
      </c>
      <c r="FA81" s="55">
        <f t="shared" si="345"/>
        <v>1.6611478723069695</v>
      </c>
      <c r="FB81" s="55">
        <f t="shared" si="345"/>
        <v>0.15341518274802501</v>
      </c>
      <c r="FD81" s="158" t="s">
        <v>533</v>
      </c>
      <c r="FE81" s="239">
        <f t="shared" si="289"/>
        <v>0.25301071522475138</v>
      </c>
      <c r="FF81" s="851">
        <v>0.11196933975609458</v>
      </c>
      <c r="FG81" s="376">
        <f t="shared" si="297"/>
        <v>0.1410413754686568</v>
      </c>
      <c r="FH81" s="239">
        <f t="shared" si="290"/>
        <v>0.11845473408030127</v>
      </c>
      <c r="FI81" s="246"/>
      <c r="FJ81"/>
      <c r="FK81"/>
      <c r="FL81"/>
      <c r="FM81"/>
      <c r="FN81"/>
      <c r="FO81"/>
      <c r="FP81"/>
      <c r="FQ81"/>
      <c r="FR81"/>
    </row>
    <row r="82" spans="1:174" s="82" customFormat="1" x14ac:dyDescent="0.2">
      <c r="A82" s="247" t="s">
        <v>324</v>
      </c>
      <c r="B82" s="380"/>
      <c r="C82" s="247"/>
      <c r="D82" s="247"/>
      <c r="E82" s="247"/>
      <c r="F82" s="247"/>
      <c r="G82" s="574"/>
      <c r="H82" s="333"/>
      <c r="I82" s="582"/>
      <c r="J82" s="582"/>
      <c r="K82" s="582"/>
      <c r="L82" s="574"/>
      <c r="M82" s="333"/>
      <c r="N82" s="582"/>
      <c r="O82" s="582"/>
      <c r="P82" s="582"/>
      <c r="Q82" s="574"/>
      <c r="R82" s="333"/>
      <c r="S82" s="582"/>
      <c r="T82" s="582"/>
      <c r="U82" s="582"/>
      <c r="V82" s="574"/>
      <c r="W82" s="333"/>
      <c r="X82" s="582"/>
      <c r="Y82" s="582"/>
      <c r="Z82" s="582"/>
      <c r="AA82" s="574"/>
      <c r="AB82" s="333"/>
      <c r="AC82" s="582"/>
      <c r="AD82" s="582"/>
      <c r="AE82" s="582"/>
      <c r="AF82" s="574"/>
      <c r="AG82" s="333"/>
      <c r="AH82" s="582"/>
      <c r="AI82" s="582"/>
      <c r="AJ82" s="582"/>
      <c r="AK82" s="574"/>
      <c r="AL82" s="333"/>
      <c r="AM82" s="582"/>
      <c r="AN82" s="582"/>
      <c r="AO82" s="582"/>
      <c r="AP82" s="574"/>
      <c r="AQ82" s="333"/>
      <c r="AR82" s="333"/>
      <c r="AS82" s="333"/>
      <c r="AT82" s="333"/>
      <c r="AU82" s="574"/>
      <c r="AV82" s="333"/>
      <c r="AW82" s="333"/>
      <c r="AX82" s="333"/>
      <c r="AY82" s="333"/>
      <c r="AZ82" s="574"/>
      <c r="BA82" s="333"/>
      <c r="BB82" s="333"/>
      <c r="BC82" s="333"/>
      <c r="BD82" s="333"/>
      <c r="BE82" s="574"/>
      <c r="BF82" s="333"/>
      <c r="BG82" s="333"/>
      <c r="BH82" s="333"/>
      <c r="BI82" s="333"/>
      <c r="BJ82" s="574"/>
      <c r="BK82" s="333"/>
      <c r="BL82" s="333"/>
      <c r="BM82" s="333"/>
      <c r="BN82" s="333"/>
      <c r="BO82" s="574"/>
      <c r="BP82" s="333"/>
      <c r="BQ82" s="333"/>
      <c r="BR82" s="333"/>
      <c r="BS82" s="333"/>
      <c r="BT82" s="574"/>
      <c r="BU82" s="333"/>
      <c r="BV82" s="333"/>
      <c r="BW82" s="333"/>
      <c r="BX82" s="333"/>
      <c r="BY82" s="574"/>
      <c r="BZ82" s="333"/>
      <c r="CA82" s="333"/>
      <c r="CB82" s="333"/>
      <c r="CC82" s="333"/>
      <c r="CD82" s="574"/>
      <c r="CE82" s="333"/>
      <c r="CF82" s="333"/>
      <c r="CG82" s="333"/>
      <c r="CH82" s="333"/>
      <c r="CI82" s="574"/>
      <c r="CJ82" s="333">
        <f t="shared" ref="CJ82:CW82" si="346">CJ53/CE53-1</f>
        <v>9.9841418880538768E-2</v>
      </c>
      <c r="CK82" s="333">
        <f t="shared" si="346"/>
        <v>0.18233514889719626</v>
      </c>
      <c r="CL82" s="333">
        <f t="shared" si="346"/>
        <v>0.1859506575682226</v>
      </c>
      <c r="CM82" s="333">
        <f t="shared" si="346"/>
        <v>-5.0784394865124316E-3</v>
      </c>
      <c r="CN82" s="574">
        <f t="shared" si="346"/>
        <v>0.10626999863136466</v>
      </c>
      <c r="CO82" s="333">
        <f t="shared" si="346"/>
        <v>0.14181506014261647</v>
      </c>
      <c r="CP82" s="333">
        <f t="shared" si="346"/>
        <v>0.27961821389823061</v>
      </c>
      <c r="CQ82" s="333">
        <f t="shared" si="346"/>
        <v>0.27880712193508694</v>
      </c>
      <c r="CR82" s="333">
        <f t="shared" si="346"/>
        <v>-4.4739725108535211</v>
      </c>
      <c r="CS82" s="574">
        <f t="shared" si="346"/>
        <v>-0.9935528351105285</v>
      </c>
      <c r="CT82" s="333">
        <f t="shared" si="346"/>
        <v>0.2430405297101963</v>
      </c>
      <c r="CU82" s="333">
        <f t="shared" si="346"/>
        <v>8.87743524418656E-2</v>
      </c>
      <c r="CV82" s="333">
        <f t="shared" si="346"/>
        <v>0.22811419430607249</v>
      </c>
      <c r="CW82" s="333">
        <f t="shared" si="346"/>
        <v>-1.4790168329304769</v>
      </c>
      <c r="CX82" s="588" t="s">
        <v>581</v>
      </c>
      <c r="CY82" s="333">
        <f>CY53/CT53-1</f>
        <v>0.83951432507790025</v>
      </c>
      <c r="CZ82" s="333">
        <f>CZ53/CU53-1</f>
        <v>0.16899639995035365</v>
      </c>
      <c r="DA82" s="238">
        <f>DA53/CV53-1</f>
        <v>0.22752008650917088</v>
      </c>
      <c r="DB82" s="238">
        <f>DB53/CW53-1</f>
        <v>0.12307054330541201</v>
      </c>
      <c r="DC82" s="61">
        <f>DC53/CX53-1</f>
        <v>0.34534791557053302</v>
      </c>
      <c r="DD82" s="333">
        <f t="shared" ref="DD82:DR82" si="347">DD53/CY53-1</f>
        <v>-0.29530237134981629</v>
      </c>
      <c r="DE82" s="333">
        <f t="shared" si="347"/>
        <v>0.18542532186977945</v>
      </c>
      <c r="DF82" s="238">
        <f t="shared" si="347"/>
        <v>0.23328900249352258</v>
      </c>
      <c r="DG82" s="238">
        <f t="shared" si="347"/>
        <v>0.24925828481863199</v>
      </c>
      <c r="DH82" s="61">
        <f t="shared" si="347"/>
        <v>3.9723151749174068E-2</v>
      </c>
      <c r="DI82" s="238">
        <f t="shared" si="347"/>
        <v>0.11775618578999469</v>
      </c>
      <c r="DJ82" s="238">
        <f t="shared" si="347"/>
        <v>0.15200025526869232</v>
      </c>
      <c r="DK82" s="238">
        <f t="shared" si="347"/>
        <v>-7.0374647555039416E-2</v>
      </c>
      <c r="DL82" s="238">
        <f t="shared" si="347"/>
        <v>2.8451205563049253E-3</v>
      </c>
      <c r="DM82" s="61">
        <f t="shared" si="347"/>
        <v>4.1551768079090667E-2</v>
      </c>
      <c r="DN82" s="238">
        <f t="shared" si="347"/>
        <v>2.0679833708825153</v>
      </c>
      <c r="DO82" s="333">
        <f t="shared" si="347"/>
        <v>0.16565085011713809</v>
      </c>
      <c r="DP82" s="333">
        <f t="shared" si="347"/>
        <v>0.34269784363823552</v>
      </c>
      <c r="DQ82" s="333">
        <f t="shared" si="347"/>
        <v>0.20543962103803426</v>
      </c>
      <c r="DR82" s="574">
        <f t="shared" si="347"/>
        <v>0.71740492135694023</v>
      </c>
      <c r="DS82" s="333">
        <f t="shared" ref="DS82:EB82" si="348">DS53/DN53-1</f>
        <v>-0.57604706509617842</v>
      </c>
      <c r="DT82" s="333">
        <f t="shared" si="348"/>
        <v>0.17372499003902964</v>
      </c>
      <c r="DU82" s="333">
        <f t="shared" si="348"/>
        <v>0.16059069673443727</v>
      </c>
      <c r="DV82" s="333">
        <f t="shared" si="348"/>
        <v>0.15161692901879209</v>
      </c>
      <c r="DW82" s="574">
        <f t="shared" si="348"/>
        <v>-0.18394648451738171</v>
      </c>
      <c r="DX82" s="333">
        <f t="shared" si="348"/>
        <v>0.13860663143725871</v>
      </c>
      <c r="DY82" s="333">
        <f t="shared" si="348"/>
        <v>0.14542470485417192</v>
      </c>
      <c r="DZ82" s="333">
        <f t="shared" si="348"/>
        <v>0.14099052232320153</v>
      </c>
      <c r="EA82" s="333">
        <f t="shared" si="348"/>
        <v>0.14077226860566672</v>
      </c>
      <c r="EB82" s="574">
        <f t="shared" si="348"/>
        <v>0.14134869694187491</v>
      </c>
      <c r="ED82" s="247"/>
      <c r="EE82" s="247"/>
      <c r="EG82" s="349"/>
      <c r="EH82" s="332"/>
      <c r="EI82" s="332"/>
      <c r="EJ82" s="332"/>
      <c r="EK82" s="332"/>
      <c r="EL82" s="332"/>
      <c r="EM82" s="343"/>
      <c r="EN82" s="343"/>
      <c r="EO82" s="343"/>
      <c r="EP82" s="343"/>
      <c r="EQ82" s="343"/>
      <c r="ER82" s="343"/>
      <c r="ES82" s="343"/>
      <c r="ET82" s="343"/>
      <c r="EU82" s="343"/>
      <c r="EV82" s="343"/>
      <c r="EW82" s="343"/>
      <c r="EX82" s="343"/>
      <c r="EY82" s="343"/>
      <c r="EZ82" s="344"/>
      <c r="FA82" s="344"/>
      <c r="FB82" s="344"/>
      <c r="FD82" s="381"/>
      <c r="FE82" s="333">
        <f t="shared" si="289"/>
        <v>2.0679833708825153</v>
      </c>
      <c r="FF82" s="97">
        <v>0.11103540976790449</v>
      </c>
      <c r="FG82" s="375"/>
      <c r="FH82" s="333">
        <f t="shared" si="290"/>
        <v>0.11775618578999469</v>
      </c>
      <c r="FI82" s="372"/>
      <c r="FJ82" s="289"/>
      <c r="FK82" s="289"/>
      <c r="FL82"/>
      <c r="FM82"/>
      <c r="FN82"/>
      <c r="FO82"/>
      <c r="FP82"/>
      <c r="FQ82"/>
      <c r="FR82" s="289"/>
    </row>
    <row r="83" spans="1:174" s="168" customFormat="1" hidden="1" outlineLevel="1" x14ac:dyDescent="0.2">
      <c r="A83" s="79" t="s">
        <v>534</v>
      </c>
      <c r="B83" s="95"/>
      <c r="G83" s="95"/>
      <c r="L83" s="95"/>
      <c r="Q83" s="95"/>
      <c r="V83" s="95"/>
      <c r="AA83" s="95"/>
      <c r="AF83" s="95"/>
      <c r="AK83" s="95"/>
      <c r="AP83" s="95"/>
      <c r="AU83" s="95"/>
      <c r="AZ83" s="253">
        <f t="shared" ref="AZ83:BI83" si="349">(AZ50/AK50)^(1/3)-1</f>
        <v>0.27413271391705063</v>
      </c>
      <c r="BA83" s="254">
        <f t="shared" si="349"/>
        <v>0.31894729123591548</v>
      </c>
      <c r="BB83" s="254">
        <f t="shared" si="349"/>
        <v>0.30727148894421252</v>
      </c>
      <c r="BC83" s="254">
        <f t="shared" si="349"/>
        <v>0.30908861078130689</v>
      </c>
      <c r="BD83" s="254">
        <f t="shared" si="349"/>
        <v>0.29149273959835176</v>
      </c>
      <c r="BE83" s="253">
        <f t="shared" si="349"/>
        <v>0.31359653296646384</v>
      </c>
      <c r="BF83" s="254">
        <f t="shared" si="349"/>
        <v>0.30808411954497705</v>
      </c>
      <c r="BG83" s="254">
        <f t="shared" si="349"/>
        <v>0.35014841368572869</v>
      </c>
      <c r="BH83" s="254">
        <f t="shared" si="349"/>
        <v>0.29014451002865282</v>
      </c>
      <c r="BI83" s="254">
        <f t="shared" si="349"/>
        <v>0.25861153696084749</v>
      </c>
      <c r="BJ83" s="253">
        <f t="shared" ref="BJ83:CO83" si="350">(BJ50/AU50)^(1/3)-1</f>
        <v>0.29990651438015337</v>
      </c>
      <c r="BK83" s="254">
        <f t="shared" si="350"/>
        <v>0.24694061848242699</v>
      </c>
      <c r="BL83" s="254">
        <f t="shared" si="350"/>
        <v>0.26688576839751232</v>
      </c>
      <c r="BM83" s="254">
        <f t="shared" si="350"/>
        <v>0.20561617511884078</v>
      </c>
      <c r="BN83" s="254">
        <f t="shared" si="350"/>
        <v>0.18936668033335535</v>
      </c>
      <c r="BO83" s="253">
        <f t="shared" si="350"/>
        <v>0.22705166753310468</v>
      </c>
      <c r="BP83" s="254">
        <f t="shared" si="350"/>
        <v>0.17048382177986565</v>
      </c>
      <c r="BQ83" s="254">
        <f t="shared" si="350"/>
        <v>0.13412421365784799</v>
      </c>
      <c r="BR83" s="254">
        <f t="shared" si="350"/>
        <v>5.7319501209140977E-3</v>
      </c>
      <c r="BS83" s="254">
        <f t="shared" si="350"/>
        <v>-0.14924551562428223</v>
      </c>
      <c r="BT83" s="253">
        <f t="shared" si="350"/>
        <v>5.4418107389581083E-2</v>
      </c>
      <c r="BU83" s="254">
        <f t="shared" si="350"/>
        <v>-0.12277743187442691</v>
      </c>
      <c r="BV83" s="254">
        <f t="shared" si="350"/>
        <v>7.3972422049657371E-3</v>
      </c>
      <c r="BW83" s="254">
        <f t="shared" si="350"/>
        <v>9.0712899295297911E-2</v>
      </c>
      <c r="BX83" s="254">
        <f t="shared" si="350"/>
        <v>0.13103085692527272</v>
      </c>
      <c r="BY83" s="253">
        <f t="shared" si="350"/>
        <v>2.8516054499047483E-2</v>
      </c>
      <c r="BZ83" s="254">
        <f t="shared" si="350"/>
        <v>8.3700805346761165E-2</v>
      </c>
      <c r="CA83" s="254">
        <f t="shared" si="350"/>
        <v>0.14289248317519965</v>
      </c>
      <c r="CB83" s="254">
        <f t="shared" si="350"/>
        <v>0.11719243733881912</v>
      </c>
      <c r="CC83" s="254">
        <f t="shared" si="350"/>
        <v>0.21251853446532376</v>
      </c>
      <c r="CD83" s="253">
        <f t="shared" si="350"/>
        <v>0.1383576110883511</v>
      </c>
      <c r="CE83" s="254">
        <f t="shared" si="350"/>
        <v>0.17402225544780547</v>
      </c>
      <c r="CF83" s="254">
        <f t="shared" si="350"/>
        <v>0.2418586075040785</v>
      </c>
      <c r="CG83" s="254">
        <f t="shared" si="350"/>
        <v>0.65784125749260602</v>
      </c>
      <c r="CH83" s="254">
        <f t="shared" si="350"/>
        <v>0.56379763273361583</v>
      </c>
      <c r="CI83" s="253">
        <f t="shared" si="350"/>
        <v>0.28793153520760395</v>
      </c>
      <c r="CJ83" s="254">
        <f t="shared" si="350"/>
        <v>0.49672474219822438</v>
      </c>
      <c r="CK83" s="254">
        <f t="shared" si="350"/>
        <v>0.34745620250243947</v>
      </c>
      <c r="CL83" s="254">
        <f t="shared" si="350"/>
        <v>0.21938343034428298</v>
      </c>
      <c r="CM83" s="254">
        <f t="shared" si="350"/>
        <v>0.23206742087942289</v>
      </c>
      <c r="CN83" s="253">
        <f t="shared" si="350"/>
        <v>0.30898238031719383</v>
      </c>
      <c r="CO83" s="254">
        <f t="shared" si="350"/>
        <v>0.19421740321792291</v>
      </c>
      <c r="CP83" s="254">
        <f t="shared" ref="CP83:DR83" si="351">(CP50/CA50)^(1/3)-1</f>
        <v>0.18163667044541132</v>
      </c>
      <c r="CQ83" s="254">
        <f t="shared" si="351"/>
        <v>0.23777985646116218</v>
      </c>
      <c r="CR83" s="254">
        <f t="shared" si="351"/>
        <v>0.17049946369466551</v>
      </c>
      <c r="CS83" s="253">
        <f t="shared" si="351"/>
        <v>0.1938473479251126</v>
      </c>
      <c r="CT83" s="254">
        <f t="shared" si="351"/>
        <v>0.15041410947133849</v>
      </c>
      <c r="CU83" s="254">
        <f t="shared" si="351"/>
        <v>0.18100834197430626</v>
      </c>
      <c r="CV83" s="254">
        <f t="shared" si="351"/>
        <v>-2.2029911032044547E-2</v>
      </c>
      <c r="CW83" s="254">
        <f t="shared" si="351"/>
        <v>0.24798149362730459</v>
      </c>
      <c r="CX83" s="253">
        <f t="shared" si="351"/>
        <v>0.20121472678559704</v>
      </c>
      <c r="CY83" s="254">
        <f t="shared" si="351"/>
        <v>0.17171906240307577</v>
      </c>
      <c r="CZ83" s="254">
        <f t="shared" si="351"/>
        <v>0.18265268581785143</v>
      </c>
      <c r="DA83" s="797">
        <f t="shared" si="351"/>
        <v>0.24961200884393198</v>
      </c>
      <c r="DB83" s="797">
        <f t="shared" si="351"/>
        <v>0.23176557676207343</v>
      </c>
      <c r="DC83" s="805">
        <f t="shared" si="351"/>
        <v>0.20925869753474813</v>
      </c>
      <c r="DD83" s="254">
        <f t="shared" si="351"/>
        <v>0.17692991354742005</v>
      </c>
      <c r="DE83" s="254">
        <f t="shared" si="351"/>
        <v>0.17880453840361454</v>
      </c>
      <c r="DF83" s="797">
        <f t="shared" si="351"/>
        <v>0.2133423400703951</v>
      </c>
      <c r="DG83" s="797">
        <f t="shared" si="351"/>
        <v>0.23471802424994181</v>
      </c>
      <c r="DH83" s="805">
        <f t="shared" si="351"/>
        <v>0.2024830359644878</v>
      </c>
      <c r="DI83" s="797">
        <f t="shared" si="351"/>
        <v>0.14571821655429207</v>
      </c>
      <c r="DJ83" s="797">
        <f t="shared" si="351"/>
        <v>0.17418573997974129</v>
      </c>
      <c r="DK83" s="797">
        <f t="shared" si="351"/>
        <v>0.17586417576082036</v>
      </c>
      <c r="DL83" s="797">
        <f t="shared" si="351"/>
        <v>0.15818556357656899</v>
      </c>
      <c r="DM83" s="805">
        <f t="shared" si="351"/>
        <v>0.16290651822125413</v>
      </c>
      <c r="DN83" s="797">
        <f t="shared" si="351"/>
        <v>0.17485272129275464</v>
      </c>
      <c r="DO83" s="254">
        <f t="shared" si="351"/>
        <v>0.16715028562480816</v>
      </c>
      <c r="DP83" s="254">
        <f t="shared" si="351"/>
        <v>0.15450462172973323</v>
      </c>
      <c r="DQ83" s="254">
        <f t="shared" si="351"/>
        <v>0.15166313095580608</v>
      </c>
      <c r="DR83" s="253">
        <f t="shared" si="351"/>
        <v>0.16158969976590498</v>
      </c>
      <c r="DS83" s="254">
        <f t="shared" ref="DS83:EB83" si="352">(DS50/DD50)^(1/3)-1</f>
        <v>0.13268547600761171</v>
      </c>
      <c r="DT83" s="254">
        <f t="shared" si="352"/>
        <v>0.16228509824432691</v>
      </c>
      <c r="DU83" s="254">
        <f t="shared" si="352"/>
        <v>0.15056718262527369</v>
      </c>
      <c r="DV83" s="254">
        <f t="shared" si="352"/>
        <v>0.1068291026532604</v>
      </c>
      <c r="DW83" s="253">
        <f t="shared" si="352"/>
        <v>0.13613849190646099</v>
      </c>
      <c r="DX83" s="254">
        <f t="shared" si="352"/>
        <v>0.13893189414983143</v>
      </c>
      <c r="DY83" s="254">
        <f t="shared" si="352"/>
        <v>0.16026349745152868</v>
      </c>
      <c r="DZ83" s="254">
        <f t="shared" si="352"/>
        <v>0.15799311773061486</v>
      </c>
      <c r="EA83" s="254">
        <f t="shared" si="352"/>
        <v>0.16189547214971256</v>
      </c>
      <c r="EB83" s="253">
        <f t="shared" si="352"/>
        <v>0.15476887313176557</v>
      </c>
      <c r="ED83" s="96"/>
      <c r="EE83" s="96"/>
      <c r="EG83" s="255"/>
      <c r="EH83" s="256"/>
      <c r="EI83" s="256"/>
      <c r="EJ83" s="256"/>
      <c r="EK83" s="256"/>
      <c r="EL83" s="256"/>
      <c r="EM83" s="256"/>
      <c r="EN83" s="256"/>
      <c r="EO83" s="256"/>
      <c r="EP83" s="256"/>
      <c r="EQ83" s="256"/>
      <c r="ER83" s="256"/>
      <c r="ES83" s="256"/>
      <c r="ET83" s="256"/>
      <c r="EU83" s="256"/>
      <c r="EV83" s="256"/>
      <c r="EW83" s="256"/>
      <c r="EX83" s="256"/>
      <c r="EY83" s="256"/>
      <c r="EZ83" s="257"/>
      <c r="FA83" s="257"/>
      <c r="FB83" s="257"/>
      <c r="FD83" s="160" t="s">
        <v>534</v>
      </c>
      <c r="FE83" s="258">
        <f>CU83</f>
        <v>0.18100834197430626</v>
      </c>
      <c r="FF83" s="852">
        <v>0.18100834197430626</v>
      </c>
      <c r="FG83" s="402">
        <f>FE83-FF83</f>
        <v>0</v>
      </c>
      <c r="FH83" s="402">
        <f>CP83</f>
        <v>0.18163667044541132</v>
      </c>
      <c r="FI83" s="259"/>
      <c r="FJ83"/>
      <c r="FK83"/>
      <c r="FL83"/>
      <c r="FM83"/>
      <c r="FN83"/>
      <c r="FO83"/>
      <c r="FP83"/>
      <c r="FQ83"/>
      <c r="FR83"/>
    </row>
    <row r="84" spans="1:174" s="168" customFormat="1" collapsed="1" x14ac:dyDescent="0.2">
      <c r="A84" s="49" t="s">
        <v>193</v>
      </c>
      <c r="B84" s="95"/>
      <c r="G84" s="300">
        <f>G54/B54-1</f>
        <v>0.20334267665146633</v>
      </c>
      <c r="H84" s="953">
        <f t="shared" ref="H84:BS84" si="353">H54/C54-1</f>
        <v>0.11385513175309847</v>
      </c>
      <c r="I84" s="953">
        <f t="shared" si="353"/>
        <v>2.9105137990155461E-2</v>
      </c>
      <c r="J84" s="953">
        <f t="shared" si="353"/>
        <v>9.7042677527890753E-2</v>
      </c>
      <c r="K84" s="953">
        <f t="shared" si="353"/>
        <v>0.10045891489708358</v>
      </c>
      <c r="L84" s="954">
        <f t="shared" si="353"/>
        <v>0.12526292002016448</v>
      </c>
      <c r="M84" s="953">
        <f t="shared" si="353"/>
        <v>0.2115639093683328</v>
      </c>
      <c r="N84" s="953">
        <f t="shared" si="353"/>
        <v>0.20681454809281319</v>
      </c>
      <c r="O84" s="953">
        <f t="shared" si="353"/>
        <v>0.11588750232818024</v>
      </c>
      <c r="P84" s="953">
        <f t="shared" si="353"/>
        <v>0.12159010993078434</v>
      </c>
      <c r="Q84" s="954">
        <f t="shared" si="353"/>
        <v>0.11422303925354904</v>
      </c>
      <c r="R84" s="953">
        <f t="shared" si="353"/>
        <v>2.1353899650045749E-2</v>
      </c>
      <c r="S84" s="953">
        <f t="shared" si="353"/>
        <v>1.9293714234819959E-2</v>
      </c>
      <c r="T84" s="953">
        <f t="shared" si="353"/>
        <v>3.0110829216183799E-2</v>
      </c>
      <c r="U84" s="953">
        <f t="shared" si="353"/>
        <v>1.6423558400985527E-2</v>
      </c>
      <c r="V84" s="954">
        <f t="shared" si="353"/>
        <v>1.914955564490417E-2</v>
      </c>
      <c r="W84" s="953">
        <f t="shared" si="353"/>
        <v>1.190502171493435E-2</v>
      </c>
      <c r="X84" s="953">
        <f t="shared" si="353"/>
        <v>2.8613947900169467E-2</v>
      </c>
      <c r="Y84" s="953">
        <f t="shared" si="353"/>
        <v>3.3419210577483982E-2</v>
      </c>
      <c r="Z84" s="953">
        <f t="shared" si="353"/>
        <v>1.8257773352525541E-2</v>
      </c>
      <c r="AA84" s="954">
        <f t="shared" si="353"/>
        <v>2.5904592956976336E-2</v>
      </c>
      <c r="AB84" s="953">
        <f t="shared" si="353"/>
        <v>2.0887925549696318E-2</v>
      </c>
      <c r="AC84" s="953">
        <f t="shared" si="353"/>
        <v>2.1598145999856655E-2</v>
      </c>
      <c r="AD84" s="953">
        <f t="shared" si="353"/>
        <v>1.3303856315215912E-2</v>
      </c>
      <c r="AE84" s="953">
        <f t="shared" si="353"/>
        <v>3.7848351508194655E-2</v>
      </c>
      <c r="AF84" s="954">
        <f t="shared" si="353"/>
        <v>2.3701672404007779E-2</v>
      </c>
      <c r="AG84" s="953">
        <f t="shared" si="353"/>
        <v>3.9558466251188307E-2</v>
      </c>
      <c r="AH84" s="953">
        <f t="shared" si="353"/>
        <v>2.8235477542323473E-2</v>
      </c>
      <c r="AI84" s="953">
        <f t="shared" si="353"/>
        <v>1.7330218020332078E-2</v>
      </c>
      <c r="AJ84" s="953">
        <f t="shared" si="353"/>
        <v>7.6218419408686788E-3</v>
      </c>
      <c r="AK84" s="954">
        <f t="shared" si="353"/>
        <v>2.1632180394249634E-2</v>
      </c>
      <c r="AL84" s="953">
        <f t="shared" si="353"/>
        <v>-4.2193771274704472E-3</v>
      </c>
      <c r="AM84" s="953">
        <f t="shared" si="353"/>
        <v>5.4586670238385704E-3</v>
      </c>
      <c r="AN84" s="953">
        <f t="shared" si="353"/>
        <v>1.700711312556713E-2</v>
      </c>
      <c r="AO84" s="953">
        <f t="shared" si="353"/>
        <v>1.4386441883805778E-2</v>
      </c>
      <c r="AP84" s="954">
        <f t="shared" si="353"/>
        <v>7.9903841521089536E-3</v>
      </c>
      <c r="AQ84" s="953">
        <f t="shared" si="353"/>
        <v>1.8415863305773827E-2</v>
      </c>
      <c r="AR84" s="953">
        <f t="shared" si="353"/>
        <v>4.4261689383982006E-3</v>
      </c>
      <c r="AS84" s="953">
        <f t="shared" si="353"/>
        <v>3.6715679065582041E-3</v>
      </c>
      <c r="AT84" s="953">
        <f t="shared" si="353"/>
        <v>1.3208024507360472E-2</v>
      </c>
      <c r="AU84" s="954">
        <f t="shared" si="353"/>
        <v>1.0435220125786238E-2</v>
      </c>
      <c r="AV84" s="953">
        <f t="shared" si="353"/>
        <v>2.1108767640737547E-2</v>
      </c>
      <c r="AW84" s="953">
        <f t="shared" si="353"/>
        <v>2.9870727837806754E-2</v>
      </c>
      <c r="AX84" s="953">
        <f t="shared" si="353"/>
        <v>2.3903303995390646E-2</v>
      </c>
      <c r="AY84" s="953">
        <f t="shared" si="353"/>
        <v>2.1945611866501791E-2</v>
      </c>
      <c r="AZ84" s="300">
        <f t="shared" si="353"/>
        <v>2.4441799784886253E-2</v>
      </c>
      <c r="BA84" s="952">
        <f t="shared" si="353"/>
        <v>1.8846054778054455E-2</v>
      </c>
      <c r="BB84" s="952">
        <f t="shared" si="353"/>
        <v>6.0064292118504614E-3</v>
      </c>
      <c r="BC84" s="952">
        <f t="shared" si="353"/>
        <v>-2.0058745200575268E-2</v>
      </c>
      <c r="BD84" s="952">
        <f t="shared" si="353"/>
        <v>-3.8478193029607421E-2</v>
      </c>
      <c r="BE84" s="300">
        <f t="shared" si="353"/>
        <v>-9.1295735967821257E-3</v>
      </c>
      <c r="BF84" s="952">
        <f t="shared" si="353"/>
        <v>-4.5393093402194662E-2</v>
      </c>
      <c r="BG84" s="952">
        <f t="shared" si="353"/>
        <v>-4.0394318299837417E-2</v>
      </c>
      <c r="BH84" s="952">
        <f t="shared" si="353"/>
        <v>-1.2102153611587618E-2</v>
      </c>
      <c r="BI84" s="952">
        <f t="shared" si="353"/>
        <v>-1.3517967348561255E-2</v>
      </c>
      <c r="BJ84" s="300">
        <f t="shared" si="353"/>
        <v>-2.8099426428440988E-2</v>
      </c>
      <c r="BK84" s="952">
        <f t="shared" si="353"/>
        <v>-1.2844457840289758E-2</v>
      </c>
      <c r="BL84" s="952">
        <f t="shared" si="353"/>
        <v>-2.5871713651802963E-2</v>
      </c>
      <c r="BM84" s="952">
        <f t="shared" si="353"/>
        <v>-4.3469600718563872E-2</v>
      </c>
      <c r="BN84" s="952">
        <f t="shared" si="353"/>
        <v>-3.1985626042468907E-2</v>
      </c>
      <c r="BO84" s="300">
        <f t="shared" si="353"/>
        <v>-2.8556944647299964E-2</v>
      </c>
      <c r="BP84" s="952">
        <f t="shared" si="353"/>
        <v>-4.8372178587671399E-2</v>
      </c>
      <c r="BQ84" s="952">
        <f t="shared" si="353"/>
        <v>-4.4899910213098582E-2</v>
      </c>
      <c r="BR84" s="952">
        <f t="shared" si="353"/>
        <v>-4.1724346121255751E-2</v>
      </c>
      <c r="BS84" s="952">
        <f t="shared" si="353"/>
        <v>-2.2675148495678643E-2</v>
      </c>
      <c r="BT84" s="300">
        <f t="shared" ref="BT84:EB84" si="354">BT54/BO54-1</f>
        <v>-3.9516595437362967E-2</v>
      </c>
      <c r="BU84" s="952">
        <f t="shared" si="354"/>
        <v>-7.7862800375888552E-3</v>
      </c>
      <c r="BV84" s="952">
        <f t="shared" si="354"/>
        <v>8.1157852022184507E-4</v>
      </c>
      <c r="BW84" s="952">
        <f t="shared" si="354"/>
        <v>2.0500205002049965E-2</v>
      </c>
      <c r="BX84" s="952">
        <f t="shared" si="354"/>
        <v>2.1566248820595879E-2</v>
      </c>
      <c r="BY84" s="300">
        <f t="shared" si="354"/>
        <v>8.7226993035365297E-3</v>
      </c>
      <c r="BZ84" s="952">
        <f t="shared" si="354"/>
        <v>3.2201325936950242E-2</v>
      </c>
      <c r="CA84" s="952">
        <f t="shared" si="354"/>
        <v>3.6491417759156652E-2</v>
      </c>
      <c r="CB84" s="952">
        <f t="shared" si="354"/>
        <v>2.6784518548279124E-2</v>
      </c>
      <c r="CC84" s="952">
        <f t="shared" si="354"/>
        <v>3.9583058450982644E-3</v>
      </c>
      <c r="CD84" s="300">
        <f t="shared" si="354"/>
        <v>2.453411985520848E-2</v>
      </c>
      <c r="CE84" s="952">
        <f t="shared" si="354"/>
        <v>4.9809935771398806E-3</v>
      </c>
      <c r="CF84" s="952">
        <f t="shared" si="354"/>
        <v>6.3893597600730434E-3</v>
      </c>
      <c r="CG84" s="952">
        <f t="shared" si="354"/>
        <v>6.782313812442764E-3</v>
      </c>
      <c r="CH84" s="952">
        <f t="shared" si="354"/>
        <v>9.9881719016954307E-3</v>
      </c>
      <c r="CI84" s="300">
        <f t="shared" si="354"/>
        <v>7.1970688301492558E-3</v>
      </c>
      <c r="CJ84" s="952">
        <f t="shared" si="354"/>
        <v>2.3477240119993414E-3</v>
      </c>
      <c r="CK84" s="952">
        <f t="shared" si="354"/>
        <v>1.9435086810053459E-3</v>
      </c>
      <c r="CL84" s="952">
        <f t="shared" si="354"/>
        <v>6.347972535302393E-3</v>
      </c>
      <c r="CM84" s="952">
        <f t="shared" si="354"/>
        <v>6.5061808718283043E-3</v>
      </c>
      <c r="CN84" s="300">
        <f t="shared" si="354"/>
        <v>4.2873846953357386E-3</v>
      </c>
      <c r="CO84" s="952">
        <f t="shared" si="354"/>
        <v>-9.3689004554327049E-3</v>
      </c>
      <c r="CP84" s="952">
        <f t="shared" si="354"/>
        <v>-1.5517910254752354E-2</v>
      </c>
      <c r="CQ84" s="952">
        <f t="shared" si="354"/>
        <v>-1.9181256436663241E-2</v>
      </c>
      <c r="CR84" s="952">
        <f t="shared" si="354"/>
        <v>-1.2152553329023874E-2</v>
      </c>
      <c r="CS84" s="300">
        <f t="shared" si="354"/>
        <v>-1.3842173350582243E-2</v>
      </c>
      <c r="CT84" s="952">
        <f t="shared" si="354"/>
        <v>6.4363588598450594E-3</v>
      </c>
      <c r="CU84" s="952">
        <f t="shared" si="354"/>
        <v>4.334690660712015E-3</v>
      </c>
      <c r="CV84" s="952">
        <f t="shared" si="354"/>
        <v>-1.1812573828585693E-3</v>
      </c>
      <c r="CW84" s="952">
        <f t="shared" si="354"/>
        <v>-4.3188064389478864E-3</v>
      </c>
      <c r="CX84" s="300">
        <f t="shared" si="354"/>
        <v>1.0494555949103201E-3</v>
      </c>
      <c r="CY84" s="952">
        <f t="shared" si="354"/>
        <v>-1.018010963194993E-2</v>
      </c>
      <c r="CZ84" s="952">
        <f t="shared" si="354"/>
        <v>-8.3049960763798003E-3</v>
      </c>
      <c r="DA84" s="952">
        <f t="shared" si="354"/>
        <v>-4.13929040735872E-3</v>
      </c>
      <c r="DB84" s="952">
        <f t="shared" si="354"/>
        <v>-1.123817034700314E-2</v>
      </c>
      <c r="DC84" s="300">
        <f t="shared" si="354"/>
        <v>-8.4032236928318627E-3</v>
      </c>
      <c r="DD84" s="952">
        <f t="shared" si="354"/>
        <v>-8.9003164556962222E-3</v>
      </c>
      <c r="DE84" s="952">
        <f t="shared" si="354"/>
        <v>-1.9716452357401937E-2</v>
      </c>
      <c r="DF84" s="952">
        <f t="shared" si="354"/>
        <v>-2.4015306459061914E-2</v>
      </c>
      <c r="DG84" s="952">
        <f t="shared" si="354"/>
        <v>-1.7347956131605113E-2</v>
      </c>
      <c r="DH84" s="300">
        <f t="shared" si="354"/>
        <v>-1.7494011728751868E-2</v>
      </c>
      <c r="DI84" s="952">
        <f t="shared" si="354"/>
        <v>-2.1818665602341469E-2</v>
      </c>
      <c r="DJ84" s="952">
        <f t="shared" si="354"/>
        <v>-1.4664334723530126E-2</v>
      </c>
      <c r="DK84" s="952">
        <f t="shared" si="354"/>
        <v>-1.3452308524301904E-2</v>
      </c>
      <c r="DL84" s="952">
        <f t="shared" si="354"/>
        <v>-1.8398268398268414E-2</v>
      </c>
      <c r="DM84" s="300">
        <f t="shared" si="354"/>
        <v>-1.7099334185217585E-2</v>
      </c>
      <c r="DN84" s="952">
        <f t="shared" si="354"/>
        <v>-2.441346480788853E-2</v>
      </c>
      <c r="DO84" s="952">
        <f t="shared" si="354"/>
        <v>-2.9295503817692081E-2</v>
      </c>
      <c r="DP84" s="952">
        <f t="shared" si="354"/>
        <v>-3.254104598387797E-2</v>
      </c>
      <c r="DQ84" s="952">
        <f t="shared" si="354"/>
        <v>-3.377499559240027E-2</v>
      </c>
      <c r="DR84" s="300">
        <f t="shared" si="354"/>
        <v>-2.9989690228146015E-2</v>
      </c>
      <c r="DS84" s="952">
        <f t="shared" si="354"/>
        <v>-2.8214806362285683E-2</v>
      </c>
      <c r="DT84" s="952">
        <f t="shared" si="354"/>
        <v>-2.4741313693950828E-2</v>
      </c>
      <c r="DU84" s="952">
        <f t="shared" si="354"/>
        <v>-2.3650014589713275E-2</v>
      </c>
      <c r="DV84" s="952">
        <f t="shared" si="354"/>
        <v>-2.2564088095516355E-2</v>
      </c>
      <c r="DW84" s="300">
        <f t="shared" si="354"/>
        <v>-2.4809980747617866E-2</v>
      </c>
      <c r="DX84" s="952">
        <f t="shared" si="354"/>
        <v>-2.0666102804528408E-2</v>
      </c>
      <c r="DY84" s="952">
        <f t="shared" si="354"/>
        <v>-1.7977036427389348E-2</v>
      </c>
      <c r="DZ84" s="952">
        <f t="shared" si="354"/>
        <v>-1.7444419619169427E-2</v>
      </c>
      <c r="EA84" s="952">
        <f t="shared" si="354"/>
        <v>-1.9049227762418242E-2</v>
      </c>
      <c r="EB84" s="300">
        <f t="shared" si="354"/>
        <v>-1.8787929740302411E-2</v>
      </c>
      <c r="ED84" s="96"/>
      <c r="EE84" s="96"/>
      <c r="EG84" s="255"/>
      <c r="EH84" s="256"/>
      <c r="EI84" s="256"/>
      <c r="EJ84" s="256"/>
      <c r="EK84" s="256"/>
      <c r="EL84" s="256"/>
      <c r="EM84" s="256"/>
      <c r="EN84" s="256"/>
      <c r="EO84" s="256"/>
      <c r="EP84" s="256"/>
      <c r="EQ84" s="256"/>
      <c r="ER84" s="256"/>
      <c r="ES84" s="256"/>
      <c r="ET84" s="256"/>
      <c r="EU84" s="256"/>
      <c r="EV84" s="256"/>
      <c r="EW84" s="256"/>
      <c r="EX84" s="256"/>
      <c r="EY84" s="256"/>
      <c r="EZ84" s="257"/>
      <c r="FA84" s="257"/>
      <c r="FB84" s="257"/>
      <c r="FD84" s="160"/>
      <c r="FE84" s="402"/>
      <c r="FF84" s="852"/>
      <c r="FG84" s="402"/>
      <c r="FH84" s="402"/>
      <c r="FI84" s="259"/>
      <c r="FJ84"/>
      <c r="FK84"/>
      <c r="FL84"/>
      <c r="FM84"/>
      <c r="FN84"/>
      <c r="FO84"/>
      <c r="FP84"/>
      <c r="FQ84"/>
      <c r="FR84"/>
    </row>
    <row r="85" spans="1:174" s="1" customFormat="1" x14ac:dyDescent="0.2">
      <c r="A85" s="85" t="s">
        <v>98</v>
      </c>
      <c r="B85" s="23"/>
      <c r="C85" s="10"/>
      <c r="D85" s="10"/>
      <c r="E85" s="10"/>
      <c r="F85" s="10"/>
      <c r="G85" s="23"/>
      <c r="H85" s="10"/>
      <c r="I85" s="10"/>
      <c r="J85" s="10"/>
      <c r="K85" s="10"/>
      <c r="L85" s="23"/>
      <c r="M85" s="10"/>
      <c r="N85" s="10"/>
      <c r="O85" s="10"/>
      <c r="P85" s="10"/>
      <c r="Q85" s="23"/>
      <c r="R85" s="10"/>
      <c r="S85" s="10"/>
      <c r="T85" s="10"/>
      <c r="U85" s="10"/>
      <c r="V85" s="23"/>
      <c r="W85" s="10"/>
      <c r="X85" s="10"/>
      <c r="Y85" s="10"/>
      <c r="Z85" s="10"/>
      <c r="AA85" s="23"/>
      <c r="AB85" s="10"/>
      <c r="AC85" s="10"/>
      <c r="AD85" s="10"/>
      <c r="AE85" s="10"/>
      <c r="AF85" s="23"/>
      <c r="AG85" s="10"/>
      <c r="AH85" s="10"/>
      <c r="AI85" s="10"/>
      <c r="AJ85" s="10"/>
      <c r="AK85" s="23"/>
      <c r="AL85" s="10"/>
      <c r="AM85" s="10"/>
      <c r="AN85" s="10"/>
      <c r="AO85" s="10"/>
      <c r="AP85" s="23"/>
      <c r="AQ85" s="10"/>
      <c r="AR85" s="10"/>
      <c r="AS85" s="10"/>
      <c r="AT85" s="10"/>
      <c r="AU85" s="23"/>
      <c r="AV85" s="10"/>
      <c r="AW85" s="10"/>
      <c r="AX85" s="10"/>
      <c r="AY85" s="10"/>
      <c r="AZ85" s="23"/>
      <c r="BA85" s="10"/>
      <c r="BB85" s="10"/>
      <c r="BC85" s="10"/>
      <c r="BD85" s="10"/>
      <c r="BE85" s="23"/>
      <c r="BF85" s="10"/>
      <c r="BG85" s="10"/>
      <c r="BH85" s="10"/>
      <c r="BI85" s="10"/>
      <c r="BJ85" s="23"/>
      <c r="BK85" s="10"/>
      <c r="BL85" s="10"/>
      <c r="BM85" s="10"/>
      <c r="BN85" s="10"/>
      <c r="BO85" s="23"/>
      <c r="BP85" s="10"/>
      <c r="BQ85" s="10"/>
      <c r="BR85" s="10"/>
      <c r="BS85" s="10"/>
      <c r="BT85" s="23"/>
      <c r="BU85" s="10"/>
      <c r="BV85" s="10"/>
      <c r="BW85" s="10"/>
      <c r="BX85" s="10"/>
      <c r="BY85" s="23"/>
      <c r="BZ85" s="10"/>
      <c r="CA85" s="10"/>
      <c r="CB85" s="10"/>
      <c r="CC85" s="10"/>
      <c r="CD85" s="23"/>
      <c r="CE85" s="10"/>
      <c r="CF85" s="10"/>
      <c r="CG85" s="10"/>
      <c r="CH85" s="10"/>
      <c r="CI85" s="23"/>
      <c r="CJ85" s="10"/>
      <c r="CK85" s="10"/>
      <c r="CL85" s="10"/>
      <c r="CM85" s="10"/>
      <c r="CN85" s="23"/>
      <c r="CO85" s="10"/>
      <c r="CP85" s="10"/>
      <c r="CQ85" s="10"/>
      <c r="CR85" s="10"/>
      <c r="CS85" s="23"/>
      <c r="CT85" s="10"/>
      <c r="CU85" s="10"/>
      <c r="CV85" s="10"/>
      <c r="CW85" s="10"/>
      <c r="CX85" s="23"/>
      <c r="CY85" s="10"/>
      <c r="CZ85" s="10"/>
      <c r="DA85" s="10"/>
      <c r="DB85" s="10"/>
      <c r="DC85" s="23"/>
      <c r="DD85" s="10"/>
      <c r="DE85" s="10"/>
      <c r="DF85" s="10"/>
      <c r="DG85" s="10"/>
      <c r="DH85" s="23"/>
      <c r="DI85" s="10"/>
      <c r="DJ85" s="10"/>
      <c r="DK85" s="10"/>
      <c r="DL85" s="929"/>
      <c r="DM85" s="23"/>
      <c r="DN85" s="10"/>
      <c r="DO85" s="10"/>
      <c r="DP85" s="10"/>
      <c r="DQ85" s="10"/>
      <c r="DR85" s="23"/>
      <c r="DS85" s="10"/>
      <c r="DT85" s="10"/>
      <c r="DU85" s="10"/>
      <c r="DV85" s="10"/>
      <c r="DW85" s="23"/>
      <c r="DX85" s="10"/>
      <c r="DY85" s="10"/>
      <c r="DZ85" s="10"/>
      <c r="EA85" s="10"/>
      <c r="EB85" s="23"/>
      <c r="ED85" s="28"/>
      <c r="EE85" s="28"/>
      <c r="EG85" s="9"/>
      <c r="EH85" s="10"/>
      <c r="EI85" s="10"/>
      <c r="EJ85" s="10"/>
      <c r="EK85" s="10"/>
      <c r="EL85" s="10"/>
      <c r="EM85" s="10"/>
      <c r="EN85" s="10"/>
      <c r="EO85" s="10"/>
      <c r="EP85" s="10"/>
      <c r="EQ85" s="10"/>
      <c r="ER85" s="10"/>
      <c r="ES85" s="10"/>
      <c r="ET85" s="23"/>
      <c r="EU85" s="23"/>
      <c r="EV85" s="23"/>
      <c r="EW85" s="23"/>
      <c r="EX85" s="23"/>
      <c r="EY85" s="23"/>
      <c r="EZ85" s="23"/>
      <c r="FA85" s="11"/>
      <c r="FB85" s="11"/>
      <c r="FD85" s="15" t="s">
        <v>535</v>
      </c>
      <c r="FE85" s="13"/>
      <c r="FF85" s="84"/>
      <c r="FG85" s="13"/>
      <c r="FH85" s="13"/>
      <c r="FI85" s="14"/>
      <c r="FJ85"/>
      <c r="FK85"/>
      <c r="FL85"/>
      <c r="FM85"/>
      <c r="FN85"/>
      <c r="FO85"/>
      <c r="FP85"/>
      <c r="FQ85"/>
      <c r="FR85"/>
    </row>
    <row r="86" spans="1:174" s="1" customFormat="1" x14ac:dyDescent="0.2">
      <c r="A86" s="16" t="s">
        <v>536</v>
      </c>
      <c r="B86" s="20"/>
      <c r="G86" s="20"/>
      <c r="L86" s="20"/>
      <c r="Q86" s="20"/>
      <c r="V86" s="20"/>
      <c r="AA86" s="20"/>
      <c r="AF86" s="20"/>
      <c r="AK86" s="20"/>
      <c r="AP86" s="20"/>
      <c r="AU86" s="20"/>
      <c r="AZ86" s="20"/>
      <c r="BE86" s="20"/>
      <c r="BJ86" s="20"/>
      <c r="BO86" s="20"/>
      <c r="BT86" s="20"/>
      <c r="BY86" s="20"/>
      <c r="CD86" s="20"/>
      <c r="CI86" s="20"/>
      <c r="CN86" s="20"/>
      <c r="CS86" s="20"/>
      <c r="CX86" s="20"/>
      <c r="DC86" s="20"/>
      <c r="DH86" s="20"/>
      <c r="DM86" s="20"/>
      <c r="DR86" s="20"/>
      <c r="DW86" s="20"/>
      <c r="EB86" s="20"/>
      <c r="ED86" s="28"/>
      <c r="EE86" s="28"/>
      <c r="EG86" s="24"/>
      <c r="EH86" s="25"/>
      <c r="EI86" s="25"/>
      <c r="EJ86" s="25"/>
      <c r="EK86" s="25"/>
      <c r="EL86" s="25"/>
      <c r="EM86" s="25"/>
      <c r="EN86" s="25"/>
      <c r="EO86" s="25"/>
      <c r="EP86" s="25"/>
      <c r="EQ86" s="25"/>
      <c r="ER86" s="25"/>
      <c r="ES86" s="25"/>
      <c r="ET86" s="18"/>
      <c r="EU86" s="18"/>
      <c r="EV86" s="18"/>
      <c r="EW86" s="18"/>
      <c r="EX86" s="18"/>
      <c r="EY86" s="18"/>
      <c r="EZ86" s="18"/>
      <c r="FA86" s="26"/>
      <c r="FB86" s="26"/>
      <c r="FD86" s="242" t="s">
        <v>536</v>
      </c>
      <c r="FE86" s="28"/>
      <c r="FF86" s="28"/>
      <c r="FG86" s="28"/>
      <c r="FH86" s="28"/>
      <c r="FI86" s="29"/>
      <c r="FJ86"/>
      <c r="FK86"/>
      <c r="FL86"/>
      <c r="FM86"/>
      <c r="FN86"/>
      <c r="FO86"/>
      <c r="FP86"/>
      <c r="FQ86"/>
      <c r="FR86"/>
    </row>
    <row r="87" spans="1:174" s="1" customFormat="1" x14ac:dyDescent="0.2">
      <c r="A87" s="35" t="s">
        <v>537</v>
      </c>
      <c r="B87" s="334"/>
      <c r="C87" s="335"/>
      <c r="D87" s="335"/>
      <c r="E87" s="335"/>
      <c r="F87" s="335"/>
      <c r="G87" s="334"/>
      <c r="H87" s="335"/>
      <c r="I87" s="335"/>
      <c r="J87" s="335"/>
      <c r="K87" s="335"/>
      <c r="L87" s="334"/>
      <c r="M87" s="335"/>
      <c r="N87" s="335"/>
      <c r="O87" s="335"/>
      <c r="P87" s="335"/>
      <c r="Q87" s="334"/>
      <c r="R87" s="335"/>
      <c r="S87" s="335"/>
      <c r="T87" s="335"/>
      <c r="U87" s="335"/>
      <c r="V87" s="334"/>
      <c r="W87" s="335"/>
      <c r="X87" s="335"/>
      <c r="Y87" s="335"/>
      <c r="Z87" s="335"/>
      <c r="AA87" s="334"/>
      <c r="AB87" s="335"/>
      <c r="AC87" s="335"/>
      <c r="AD87" s="335"/>
      <c r="AE87" s="335"/>
      <c r="AF87" s="334"/>
      <c r="AG87" s="335"/>
      <c r="AH87" s="335"/>
      <c r="AI87" s="335"/>
      <c r="AJ87" s="335"/>
      <c r="AK87" s="334"/>
      <c r="AL87" s="335"/>
      <c r="AM87" s="335"/>
      <c r="AN87" s="335"/>
      <c r="AO87" s="335"/>
      <c r="AP87" s="334"/>
      <c r="AQ87" s="335"/>
      <c r="AR87" s="335"/>
      <c r="AS87" s="335"/>
      <c r="AT87" s="335"/>
      <c r="AU87" s="334"/>
      <c r="AV87" s="335"/>
      <c r="AW87" s="335"/>
      <c r="AX87" s="335"/>
      <c r="AY87" s="335"/>
      <c r="AZ87" s="334"/>
      <c r="BA87" s="335"/>
      <c r="BB87" s="335"/>
      <c r="BC87" s="335"/>
      <c r="BD87" s="335"/>
      <c r="BE87" s="334"/>
      <c r="BF87" s="335"/>
      <c r="BG87" s="335"/>
      <c r="BH87" s="335"/>
      <c r="BI87" s="335"/>
      <c r="BJ87" s="334"/>
      <c r="BK87" s="335"/>
      <c r="BL87" s="335"/>
      <c r="BM87" s="335"/>
      <c r="BN87" s="335"/>
      <c r="BO87" s="334"/>
      <c r="BP87" s="335"/>
      <c r="BQ87" s="335"/>
      <c r="BR87" s="335"/>
      <c r="BS87" s="335"/>
      <c r="BT87" s="334"/>
      <c r="BU87" s="335">
        <v>12899</v>
      </c>
      <c r="BV87" s="335">
        <v>12832</v>
      </c>
      <c r="BW87" s="335">
        <v>12656</v>
      </c>
      <c r="BX87" s="335">
        <v>12546</v>
      </c>
      <c r="BY87" s="334">
        <v>12546</v>
      </c>
      <c r="BZ87" s="335">
        <v>12623</v>
      </c>
      <c r="CA87" s="335">
        <v>12570</v>
      </c>
      <c r="CB87" s="335">
        <v>12596</v>
      </c>
      <c r="CC87" s="335">
        <v>12624</v>
      </c>
      <c r="CD87" s="334">
        <v>12624</v>
      </c>
      <c r="CE87" s="335">
        <v>12682</v>
      </c>
      <c r="CF87" s="335">
        <v>12471</v>
      </c>
      <c r="CG87" s="335">
        <v>12523</v>
      </c>
      <c r="CH87" s="335">
        <v>12399</v>
      </c>
      <c r="CI87" s="334">
        <v>12399</v>
      </c>
      <c r="CJ87" s="335">
        <v>12494</v>
      </c>
      <c r="CK87" s="335">
        <v>12570</v>
      </c>
      <c r="CL87" s="335">
        <v>12653</v>
      </c>
      <c r="CM87" s="335">
        <v>12903</v>
      </c>
      <c r="CN87" s="334">
        <v>12903</v>
      </c>
      <c r="CO87" s="335">
        <v>12900</v>
      </c>
      <c r="CP87" s="335">
        <v>12995</v>
      </c>
      <c r="CQ87" s="335">
        <v>13153</v>
      </c>
      <c r="CR87" s="335">
        <v>13493</v>
      </c>
      <c r="CS87" s="334">
        <v>13493</v>
      </c>
      <c r="CT87" s="335">
        <v>13635</v>
      </c>
      <c r="CU87" s="335">
        <v>13763</v>
      </c>
      <c r="CV87" s="335">
        <v>13912</v>
      </c>
      <c r="CW87" s="335">
        <v>14191</v>
      </c>
      <c r="CX87" s="334">
        <v>14191</v>
      </c>
      <c r="CY87" s="335">
        <v>14401</v>
      </c>
      <c r="CZ87" s="335">
        <v>14399</v>
      </c>
      <c r="DA87" s="335">
        <v>14570</v>
      </c>
      <c r="DB87" s="335">
        <v>14803</v>
      </c>
      <c r="DC87" s="334">
        <v>14803</v>
      </c>
      <c r="DD87" s="335">
        <v>14974</v>
      </c>
      <c r="DE87" s="335">
        <v>15106</v>
      </c>
      <c r="DF87" s="335">
        <v>15300</v>
      </c>
      <c r="DG87" s="335">
        <v>15607</v>
      </c>
      <c r="DH87" s="334">
        <v>15607</v>
      </c>
      <c r="DI87" s="335">
        <v>15858</v>
      </c>
      <c r="DJ87" s="335">
        <v>16058</v>
      </c>
      <c r="DK87" s="335">
        <v>16302</v>
      </c>
      <c r="DL87" s="335">
        <v>16559</v>
      </c>
      <c r="DM87" s="334">
        <v>16559</v>
      </c>
      <c r="DN87" s="335">
        <v>16837</v>
      </c>
      <c r="DO87" s="335">
        <v>16992</v>
      </c>
      <c r="DP87" s="335">
        <v>17221</v>
      </c>
      <c r="DQ87" s="335">
        <v>17463</v>
      </c>
      <c r="DR87" s="334">
        <v>17463</v>
      </c>
      <c r="DS87" s="335">
        <v>17729</v>
      </c>
      <c r="DT87" s="335">
        <v>17872</v>
      </c>
      <c r="DU87" s="335">
        <v>18089</v>
      </c>
      <c r="DV87" s="335">
        <v>18319</v>
      </c>
      <c r="DW87" s="334">
        <v>18319</v>
      </c>
      <c r="DX87" s="335">
        <v>18573</v>
      </c>
      <c r="DY87" s="335">
        <v>18704</v>
      </c>
      <c r="DZ87" s="335">
        <v>18909</v>
      </c>
      <c r="EA87" s="335">
        <v>19127</v>
      </c>
      <c r="EB87" s="334">
        <v>19127</v>
      </c>
      <c r="ED87" s="28"/>
      <c r="EE87" s="28"/>
      <c r="EG87" s="27"/>
      <c r="EH87" s="28"/>
      <c r="EI87" s="28"/>
      <c r="EJ87" s="28"/>
      <c r="EK87" s="28"/>
      <c r="EL87" s="28"/>
      <c r="EM87" s="28"/>
      <c r="EN87" s="28"/>
      <c r="EO87" s="28"/>
      <c r="EP87" s="28"/>
      <c r="EQ87" s="28"/>
      <c r="ER87" s="28"/>
      <c r="ES87" s="28"/>
      <c r="ET87" s="99">
        <f>CJ87</f>
        <v>12494</v>
      </c>
      <c r="EU87" s="99">
        <f>CO87</f>
        <v>12900</v>
      </c>
      <c r="EV87" s="99">
        <f>CT87</f>
        <v>13635</v>
      </c>
      <c r="EW87" s="99">
        <f>CY87</f>
        <v>14401</v>
      </c>
      <c r="EX87" s="99">
        <f>DD87</f>
        <v>14974</v>
      </c>
      <c r="EY87" s="99">
        <f>DI87</f>
        <v>15858</v>
      </c>
      <c r="EZ87" s="99">
        <f>DN87</f>
        <v>16837</v>
      </c>
      <c r="FA87" s="468">
        <f>DS87</f>
        <v>17729</v>
      </c>
      <c r="FB87" s="468">
        <f>DX87</f>
        <v>18573</v>
      </c>
      <c r="FD87" s="243" t="s">
        <v>537</v>
      </c>
      <c r="FE87" s="403">
        <f>DN87</f>
        <v>16837</v>
      </c>
      <c r="FF87" s="403">
        <v>16782</v>
      </c>
      <c r="FG87" s="404">
        <f>FE87-FF87</f>
        <v>55</v>
      </c>
      <c r="FH87" s="403">
        <f>DI87</f>
        <v>15858</v>
      </c>
      <c r="FI87" s="249">
        <f>FE87/FH87-1</f>
        <v>6.1735401689998692E-2</v>
      </c>
      <c r="FJ87"/>
      <c r="FK87"/>
      <c r="FL87"/>
      <c r="FM87"/>
      <c r="FN87"/>
      <c r="FO87"/>
      <c r="FP87"/>
      <c r="FQ87"/>
      <c r="FR87"/>
    </row>
    <row r="88" spans="1:174" s="1" customFormat="1" x14ac:dyDescent="0.2">
      <c r="A88" s="35" t="s">
        <v>538</v>
      </c>
      <c r="B88" s="334"/>
      <c r="C88" s="335"/>
      <c r="D88" s="335"/>
      <c r="E88" s="335"/>
      <c r="F88" s="335"/>
      <c r="G88" s="334"/>
      <c r="H88" s="335"/>
      <c r="I88" s="335"/>
      <c r="J88" s="335"/>
      <c r="K88" s="335"/>
      <c r="L88" s="334"/>
      <c r="M88" s="335"/>
      <c r="N88" s="335"/>
      <c r="O88" s="335"/>
      <c r="P88" s="335"/>
      <c r="Q88" s="334"/>
      <c r="R88" s="335"/>
      <c r="S88" s="335"/>
      <c r="T88" s="335"/>
      <c r="U88" s="335"/>
      <c r="V88" s="334"/>
      <c r="W88" s="335"/>
      <c r="X88" s="335"/>
      <c r="Y88" s="335"/>
      <c r="Z88" s="335"/>
      <c r="AA88" s="334"/>
      <c r="AB88" s="335"/>
      <c r="AC88" s="335"/>
      <c r="AD88" s="335"/>
      <c r="AE88" s="335"/>
      <c r="AF88" s="334"/>
      <c r="AG88" s="335"/>
      <c r="AH88" s="335"/>
      <c r="AI88" s="335"/>
      <c r="AJ88" s="335"/>
      <c r="AK88" s="334"/>
      <c r="AL88" s="335"/>
      <c r="AM88" s="335"/>
      <c r="AN88" s="335"/>
      <c r="AO88" s="335"/>
      <c r="AP88" s="334"/>
      <c r="AQ88" s="335"/>
      <c r="AR88" s="335"/>
      <c r="AS88" s="335"/>
      <c r="AT88" s="335"/>
      <c r="AU88" s="334"/>
      <c r="AV88" s="335"/>
      <c r="AW88" s="335"/>
      <c r="AX88" s="335"/>
      <c r="AY88" s="335"/>
      <c r="AZ88" s="334"/>
      <c r="BA88" s="335"/>
      <c r="BB88" s="335"/>
      <c r="BC88" s="335"/>
      <c r="BD88" s="335"/>
      <c r="BE88" s="334"/>
      <c r="BF88" s="335"/>
      <c r="BG88" s="335"/>
      <c r="BH88" s="335"/>
      <c r="BI88" s="335"/>
      <c r="BJ88" s="334"/>
      <c r="BK88" s="335"/>
      <c r="BL88" s="335"/>
      <c r="BM88" s="335"/>
      <c r="BN88" s="335"/>
      <c r="BO88" s="334"/>
      <c r="BP88" s="335"/>
      <c r="BQ88" s="335"/>
      <c r="BR88" s="335"/>
      <c r="BS88" s="335"/>
      <c r="BT88" s="334"/>
      <c r="BU88" s="335">
        <v>1572</v>
      </c>
      <c r="BV88" s="335">
        <v>1596</v>
      </c>
      <c r="BW88" s="335">
        <v>1617</v>
      </c>
      <c r="BX88" s="335">
        <v>1618</v>
      </c>
      <c r="BY88" s="334">
        <v>1618</v>
      </c>
      <c r="BZ88" s="335">
        <v>1595</v>
      </c>
      <c r="CA88" s="335">
        <v>1593</v>
      </c>
      <c r="CB88" s="335">
        <v>1615</v>
      </c>
      <c r="CC88" s="335">
        <v>1654</v>
      </c>
      <c r="CD88" s="334">
        <v>1654</v>
      </c>
      <c r="CE88" s="335">
        <v>1685</v>
      </c>
      <c r="CF88" s="335">
        <v>1694</v>
      </c>
      <c r="CG88" s="335">
        <v>1730</v>
      </c>
      <c r="CH88" s="335">
        <v>1758</v>
      </c>
      <c r="CI88" s="334">
        <v>1758</v>
      </c>
      <c r="CJ88" s="335">
        <v>1783</v>
      </c>
      <c r="CK88" s="335">
        <v>1800</v>
      </c>
      <c r="CL88" s="335">
        <v>1836</v>
      </c>
      <c r="CM88" s="335">
        <v>1869</v>
      </c>
      <c r="CN88" s="334">
        <v>1869</v>
      </c>
      <c r="CO88" s="335">
        <v>1876</v>
      </c>
      <c r="CP88" s="335">
        <v>1898</v>
      </c>
      <c r="CQ88" s="335">
        <v>1941</v>
      </c>
      <c r="CR88" s="335">
        <v>1969</v>
      </c>
      <c r="CS88" s="334">
        <v>1969</v>
      </c>
      <c r="CT88" s="335">
        <v>2033</v>
      </c>
      <c r="CU88" s="335">
        <v>2065</v>
      </c>
      <c r="CV88" s="335">
        <v>2102</v>
      </c>
      <c r="CW88" s="335">
        <v>2140</v>
      </c>
      <c r="CX88" s="334">
        <v>2140</v>
      </c>
      <c r="CY88" s="335">
        <v>2198</v>
      </c>
      <c r="CZ88" s="335">
        <v>2233</v>
      </c>
      <c r="DA88" s="335">
        <v>2291</v>
      </c>
      <c r="DB88" s="335">
        <v>2362</v>
      </c>
      <c r="DC88" s="334">
        <v>2362</v>
      </c>
      <c r="DD88" s="335">
        <v>2441</v>
      </c>
      <c r="DE88" s="335">
        <v>2488</v>
      </c>
      <c r="DF88" s="335">
        <v>2565</v>
      </c>
      <c r="DG88" s="335">
        <v>2642</v>
      </c>
      <c r="DH88" s="334">
        <v>2642</v>
      </c>
      <c r="DI88" s="335">
        <v>2737</v>
      </c>
      <c r="DJ88" s="335">
        <v>2783</v>
      </c>
      <c r="DK88" s="335">
        <v>2870</v>
      </c>
      <c r="DL88" s="335">
        <v>2974</v>
      </c>
      <c r="DM88" s="334">
        <v>2974</v>
      </c>
      <c r="DN88" s="335">
        <v>3097</v>
      </c>
      <c r="DO88" s="335">
        <v>3124</v>
      </c>
      <c r="DP88" s="335">
        <v>3191</v>
      </c>
      <c r="DQ88" s="335">
        <v>3280</v>
      </c>
      <c r="DR88" s="334">
        <v>3280</v>
      </c>
      <c r="DS88" s="335">
        <v>3407</v>
      </c>
      <c r="DT88" s="335">
        <v>3438</v>
      </c>
      <c r="DU88" s="335">
        <v>3509</v>
      </c>
      <c r="DV88" s="335">
        <v>3602</v>
      </c>
      <c r="DW88" s="334">
        <v>3602</v>
      </c>
      <c r="DX88" s="335">
        <v>3729</v>
      </c>
      <c r="DY88" s="335">
        <v>3760</v>
      </c>
      <c r="DZ88" s="335">
        <v>3831</v>
      </c>
      <c r="EA88" s="335">
        <v>3924</v>
      </c>
      <c r="EB88" s="334">
        <v>3924</v>
      </c>
      <c r="ED88" s="28"/>
      <c r="EE88" s="28"/>
      <c r="EG88" s="27"/>
      <c r="EH88" s="28"/>
      <c r="EI88" s="28"/>
      <c r="EJ88" s="28"/>
      <c r="EK88" s="28"/>
      <c r="EL88" s="28"/>
      <c r="EM88" s="28"/>
      <c r="EN88" s="28"/>
      <c r="EO88" s="28"/>
      <c r="EP88" s="28"/>
      <c r="EQ88" s="28"/>
      <c r="ER88" s="28"/>
      <c r="ES88" s="28"/>
      <c r="ET88" s="99">
        <f>CJ88</f>
        <v>1783</v>
      </c>
      <c r="EU88" s="99">
        <f>CO88</f>
        <v>1876</v>
      </c>
      <c r="EV88" s="99">
        <f>CT88</f>
        <v>2033</v>
      </c>
      <c r="EW88" s="99">
        <f>CY88</f>
        <v>2198</v>
      </c>
      <c r="EX88" s="99">
        <f>DD88</f>
        <v>2441</v>
      </c>
      <c r="EY88" s="99">
        <f>DI88</f>
        <v>2737</v>
      </c>
      <c r="EZ88" s="99">
        <f>DN88</f>
        <v>3097</v>
      </c>
      <c r="FA88" s="468">
        <f>DS88</f>
        <v>3407</v>
      </c>
      <c r="FB88" s="468">
        <f>DX88</f>
        <v>3729</v>
      </c>
      <c r="FD88" s="243" t="s">
        <v>538</v>
      </c>
      <c r="FE88" s="403">
        <f>DN88</f>
        <v>3097</v>
      </c>
      <c r="FF88" s="403">
        <v>3074</v>
      </c>
      <c r="FG88" s="404">
        <f>FE88-FF88</f>
        <v>23</v>
      </c>
      <c r="FH88" s="403">
        <f>DI88</f>
        <v>2737</v>
      </c>
      <c r="FI88" s="249">
        <f>FE87/FH87-1</f>
        <v>6.1735401689998692E-2</v>
      </c>
      <c r="FJ88"/>
      <c r="FK88"/>
      <c r="FL88"/>
      <c r="FM88"/>
      <c r="FN88"/>
      <c r="FO88"/>
      <c r="FP88"/>
      <c r="FQ88"/>
      <c r="FR88"/>
    </row>
    <row r="89" spans="1:174" s="1" customFormat="1" x14ac:dyDescent="0.2">
      <c r="A89" s="35" t="s">
        <v>539</v>
      </c>
      <c r="B89" s="334"/>
      <c r="C89" s="335"/>
      <c r="D89" s="335"/>
      <c r="E89" s="335"/>
      <c r="F89" s="335"/>
      <c r="G89" s="334"/>
      <c r="H89" s="335"/>
      <c r="I89" s="335"/>
      <c r="J89" s="335"/>
      <c r="K89" s="335"/>
      <c r="L89" s="334"/>
      <c r="M89" s="335"/>
      <c r="N89" s="335"/>
      <c r="O89" s="335"/>
      <c r="P89" s="335"/>
      <c r="Q89" s="334"/>
      <c r="R89" s="335"/>
      <c r="S89" s="335"/>
      <c r="T89" s="335"/>
      <c r="U89" s="335"/>
      <c r="V89" s="334"/>
      <c r="W89" s="335"/>
      <c r="X89" s="335"/>
      <c r="Y89" s="335"/>
      <c r="Z89" s="335"/>
      <c r="AA89" s="334"/>
      <c r="AB89" s="335"/>
      <c r="AC89" s="335"/>
      <c r="AD89" s="335"/>
      <c r="AE89" s="335"/>
      <c r="AF89" s="334"/>
      <c r="AG89" s="335"/>
      <c r="AH89" s="335"/>
      <c r="AI89" s="335"/>
      <c r="AJ89" s="335"/>
      <c r="AK89" s="334"/>
      <c r="AL89" s="335"/>
      <c r="AM89" s="335"/>
      <c r="AN89" s="335"/>
      <c r="AO89" s="335"/>
      <c r="AP89" s="334"/>
      <c r="AQ89" s="335"/>
      <c r="AR89" s="335"/>
      <c r="AS89" s="335"/>
      <c r="AT89" s="335"/>
      <c r="AU89" s="334"/>
      <c r="AV89" s="335"/>
      <c r="AW89" s="335"/>
      <c r="AX89" s="335"/>
      <c r="AY89" s="335"/>
      <c r="AZ89" s="334"/>
      <c r="BA89" s="335"/>
      <c r="BB89" s="335"/>
      <c r="BC89" s="335"/>
      <c r="BD89" s="335"/>
      <c r="BE89" s="334"/>
      <c r="BF89" s="335"/>
      <c r="BG89" s="335"/>
      <c r="BH89" s="335"/>
      <c r="BI89" s="335"/>
      <c r="BJ89" s="334"/>
      <c r="BK89" s="335"/>
      <c r="BL89" s="335"/>
      <c r="BM89" s="335"/>
      <c r="BN89" s="335"/>
      <c r="BO89" s="334"/>
      <c r="BP89" s="335"/>
      <c r="BQ89" s="335"/>
      <c r="BR89" s="335"/>
      <c r="BS89" s="335"/>
      <c r="BT89" s="334"/>
      <c r="BU89" s="335">
        <v>2404</v>
      </c>
      <c r="BV89" s="335">
        <v>2434</v>
      </c>
      <c r="BW89" s="335">
        <v>2456</v>
      </c>
      <c r="BX89" s="335">
        <v>2471</v>
      </c>
      <c r="BY89" s="334">
        <v>2471</v>
      </c>
      <c r="BZ89" s="335">
        <v>2488</v>
      </c>
      <c r="CA89" s="335">
        <v>2501</v>
      </c>
      <c r="CB89" s="335">
        <v>2526</v>
      </c>
      <c r="CC89" s="335">
        <v>2580</v>
      </c>
      <c r="CD89" s="334">
        <v>2580</v>
      </c>
      <c r="CE89" s="335">
        <v>2642</v>
      </c>
      <c r="CF89" s="335">
        <v>2698</v>
      </c>
      <c r="CG89" s="335">
        <v>2765</v>
      </c>
      <c r="CH89" s="335">
        <v>2846</v>
      </c>
      <c r="CI89" s="334">
        <v>2846</v>
      </c>
      <c r="CJ89" s="335">
        <v>2967</v>
      </c>
      <c r="CK89" s="335">
        <v>3050</v>
      </c>
      <c r="CL89" s="335">
        <v>3162</v>
      </c>
      <c r="CM89" s="335">
        <v>3294</v>
      </c>
      <c r="CN89" s="334">
        <v>3294</v>
      </c>
      <c r="CO89" s="335">
        <v>3419</v>
      </c>
      <c r="CP89" s="335">
        <v>3566</v>
      </c>
      <c r="CQ89" s="335">
        <v>3685</v>
      </c>
      <c r="CR89" s="335">
        <v>3882</v>
      </c>
      <c r="CS89" s="334">
        <v>3882</v>
      </c>
      <c r="CT89" s="335">
        <v>4091</v>
      </c>
      <c r="CU89" s="335">
        <v>4265</v>
      </c>
      <c r="CV89" s="335">
        <v>4425</v>
      </c>
      <c r="CW89" s="335">
        <v>4624</v>
      </c>
      <c r="CX89" s="334">
        <v>4624</v>
      </c>
      <c r="CY89" s="335">
        <v>4858</v>
      </c>
      <c r="CZ89" s="335">
        <v>5034</v>
      </c>
      <c r="DA89" s="335">
        <v>5239</v>
      </c>
      <c r="DB89" s="335">
        <v>5462</v>
      </c>
      <c r="DC89" s="334">
        <v>5462</v>
      </c>
      <c r="DD89" s="335">
        <v>5743</v>
      </c>
      <c r="DE89" s="335">
        <v>5918</v>
      </c>
      <c r="DF89" s="335">
        <v>6127</v>
      </c>
      <c r="DG89" s="335">
        <v>6443</v>
      </c>
      <c r="DH89" s="334">
        <v>6443</v>
      </c>
      <c r="DI89" s="335">
        <v>6746</v>
      </c>
      <c r="DJ89" s="335">
        <v>6933</v>
      </c>
      <c r="DK89" s="335">
        <v>7183</v>
      </c>
      <c r="DL89" s="335">
        <v>7479</v>
      </c>
      <c r="DM89" s="334">
        <v>7479</v>
      </c>
      <c r="DN89" s="335">
        <v>7779</v>
      </c>
      <c r="DO89" s="335">
        <v>7951</v>
      </c>
      <c r="DP89" s="335">
        <v>8171</v>
      </c>
      <c r="DQ89" s="335">
        <v>8575</v>
      </c>
      <c r="DR89" s="334">
        <v>8575</v>
      </c>
      <c r="DS89" s="335">
        <v>8895</v>
      </c>
      <c r="DT89" s="335">
        <v>9087</v>
      </c>
      <c r="DU89" s="335">
        <v>9327</v>
      </c>
      <c r="DV89" s="335">
        <v>9751</v>
      </c>
      <c r="DW89" s="334">
        <v>9751</v>
      </c>
      <c r="DX89" s="335">
        <v>10091</v>
      </c>
      <c r="DY89" s="335">
        <v>10303</v>
      </c>
      <c r="DZ89" s="335">
        <v>10563</v>
      </c>
      <c r="EA89" s="335">
        <v>11007</v>
      </c>
      <c r="EB89" s="334">
        <v>11007</v>
      </c>
      <c r="ED89" s="28"/>
      <c r="EE89" s="28"/>
      <c r="EG89" s="27"/>
      <c r="EH89" s="28"/>
      <c r="EI89" s="28"/>
      <c r="EJ89" s="28"/>
      <c r="EK89" s="28"/>
      <c r="EL89" s="28"/>
      <c r="EM89" s="28"/>
      <c r="EN89" s="28"/>
      <c r="EO89" s="28"/>
      <c r="EP89" s="28"/>
      <c r="EQ89" s="28"/>
      <c r="ER89" s="28"/>
      <c r="ES89" s="28"/>
      <c r="ET89" s="99">
        <f>CJ89</f>
        <v>2967</v>
      </c>
      <c r="EU89" s="99">
        <f>CO89</f>
        <v>3419</v>
      </c>
      <c r="EV89" s="99">
        <f>CT89</f>
        <v>4091</v>
      </c>
      <c r="EW89" s="99">
        <f>CY89</f>
        <v>4858</v>
      </c>
      <c r="EX89" s="99">
        <f>DD89</f>
        <v>5743</v>
      </c>
      <c r="EY89" s="99">
        <f>DI89</f>
        <v>6746</v>
      </c>
      <c r="EZ89" s="99">
        <f>DN89</f>
        <v>7779</v>
      </c>
      <c r="FA89" s="468">
        <f>DS89</f>
        <v>8895</v>
      </c>
      <c r="FB89" s="468">
        <f>DX89</f>
        <v>10091</v>
      </c>
      <c r="FD89" s="243" t="s">
        <v>539</v>
      </c>
      <c r="FE89" s="403">
        <f>DN89</f>
        <v>7779</v>
      </c>
      <c r="FF89" s="403">
        <v>7752</v>
      </c>
      <c r="FG89" s="404">
        <f>FE89-FF89</f>
        <v>27</v>
      </c>
      <c r="FH89" s="403">
        <f>DI89</f>
        <v>6746</v>
      </c>
      <c r="FI89" s="249">
        <f>FE89/FH89-1</f>
        <v>0.15312777942484446</v>
      </c>
      <c r="FJ89"/>
      <c r="FK89"/>
      <c r="FL89"/>
      <c r="FM89"/>
      <c r="FN89"/>
      <c r="FO89"/>
      <c r="FP89"/>
      <c r="FQ89"/>
      <c r="FR89"/>
    </row>
    <row r="90" spans="1:174" s="1" customFormat="1" x14ac:dyDescent="0.2">
      <c r="A90" s="36" t="s">
        <v>540</v>
      </c>
      <c r="B90" s="464">
        <v>425</v>
      </c>
      <c r="C90" s="465">
        <v>482</v>
      </c>
      <c r="D90" s="465">
        <v>539</v>
      </c>
      <c r="E90" s="465">
        <v>607</v>
      </c>
      <c r="F90" s="465">
        <v>676</v>
      </c>
      <c r="G90" s="464">
        <v>676</v>
      </c>
      <c r="H90" s="465">
        <v>743</v>
      </c>
      <c r="I90" s="465">
        <v>828</v>
      </c>
      <c r="J90" s="465">
        <v>899</v>
      </c>
      <c r="K90" s="465">
        <v>1006</v>
      </c>
      <c r="L90" s="464">
        <v>1006</v>
      </c>
      <c r="M90" s="465">
        <v>1121</v>
      </c>
      <c r="N90" s="465">
        <v>1205</v>
      </c>
      <c r="O90" s="465">
        <v>1306</v>
      </c>
      <c r="P90" s="465">
        <v>1412</v>
      </c>
      <c r="Q90" s="464">
        <v>1412</v>
      </c>
      <c r="R90" s="465">
        <v>1568</v>
      </c>
      <c r="S90" s="465">
        <v>1665</v>
      </c>
      <c r="T90" s="465">
        <v>1778</v>
      </c>
      <c r="U90" s="465">
        <v>1886</v>
      </c>
      <c r="V90" s="464">
        <v>1886</v>
      </c>
      <c r="W90" s="465">
        <v>2030</v>
      </c>
      <c r="X90" s="465">
        <v>2192</v>
      </c>
      <c r="Y90" s="465">
        <v>2312</v>
      </c>
      <c r="Z90" s="465">
        <v>2498</v>
      </c>
      <c r="AA90" s="464">
        <v>2498</v>
      </c>
      <c r="AB90" s="465">
        <v>2674</v>
      </c>
      <c r="AC90" s="465">
        <v>2885</v>
      </c>
      <c r="AD90" s="465">
        <v>3215</v>
      </c>
      <c r="AE90" s="465">
        <v>3501</v>
      </c>
      <c r="AF90" s="464">
        <v>3501</v>
      </c>
      <c r="AG90" s="465">
        <v>3817</v>
      </c>
      <c r="AH90" s="465">
        <v>4135</v>
      </c>
      <c r="AI90" s="465">
        <v>4435</v>
      </c>
      <c r="AJ90" s="465">
        <v>4709</v>
      </c>
      <c r="AK90" s="464">
        <v>4709</v>
      </c>
      <c r="AL90" s="465">
        <v>5104</v>
      </c>
      <c r="AM90" s="465">
        <v>5368</v>
      </c>
      <c r="AN90" s="465">
        <v>5608</v>
      </c>
      <c r="AO90" s="465">
        <v>5886</v>
      </c>
      <c r="AP90" s="464">
        <v>5886</v>
      </c>
      <c r="AQ90" s="465">
        <v>6193</v>
      </c>
      <c r="AR90" s="465">
        <v>6458</v>
      </c>
      <c r="AS90" s="465">
        <v>6741</v>
      </c>
      <c r="AT90" s="465">
        <v>7225</v>
      </c>
      <c r="AU90" s="464">
        <v>7225</v>
      </c>
      <c r="AV90" s="465">
        <v>7567</v>
      </c>
      <c r="AW90" s="465">
        <v>7834</v>
      </c>
      <c r="AX90" s="465">
        <v>8119</v>
      </c>
      <c r="AY90" s="465">
        <v>8569</v>
      </c>
      <c r="AZ90" s="464">
        <v>8569</v>
      </c>
      <c r="BA90" s="465">
        <v>8949</v>
      </c>
      <c r="BB90" s="465">
        <v>9261</v>
      </c>
      <c r="BC90" s="465">
        <v>9671</v>
      </c>
      <c r="BD90" s="465">
        <v>10241</v>
      </c>
      <c r="BE90" s="464">
        <v>10241</v>
      </c>
      <c r="BF90" s="465">
        <v>10801</v>
      </c>
      <c r="BG90" s="465">
        <v>11225</v>
      </c>
      <c r="BH90" s="465">
        <v>11784</v>
      </c>
      <c r="BI90" s="465">
        <v>12440</v>
      </c>
      <c r="BJ90" s="464">
        <v>12440</v>
      </c>
      <c r="BK90" s="465">
        <v>13168</v>
      </c>
      <c r="BL90" s="465">
        <v>13728</v>
      </c>
      <c r="BM90" s="465">
        <v>14396</v>
      </c>
      <c r="BN90" s="465">
        <v>15011</v>
      </c>
      <c r="BO90" s="464">
        <v>15011</v>
      </c>
      <c r="BP90" s="465">
        <v>15756</v>
      </c>
      <c r="BQ90" s="465">
        <v>16226</v>
      </c>
      <c r="BR90" s="465">
        <v>16548</v>
      </c>
      <c r="BS90" s="465">
        <v>16680</v>
      </c>
      <c r="BT90" s="464">
        <v>16680</v>
      </c>
      <c r="BU90" s="465">
        <v>16875</v>
      </c>
      <c r="BV90" s="465">
        <v>16862</v>
      </c>
      <c r="BW90" s="465">
        <v>16729</v>
      </c>
      <c r="BX90" s="465">
        <v>16635</v>
      </c>
      <c r="BY90" s="464">
        <v>16635</v>
      </c>
      <c r="BZ90" s="465">
        <v>16706</v>
      </c>
      <c r="CA90" s="465">
        <v>16664</v>
      </c>
      <c r="CB90" s="465">
        <v>16737</v>
      </c>
      <c r="CC90" s="465">
        <v>16858</v>
      </c>
      <c r="CD90" s="464">
        <v>16858</v>
      </c>
      <c r="CE90" s="465">
        <v>17009</v>
      </c>
      <c r="CF90" s="465">
        <v>16863</v>
      </c>
      <c r="CG90" s="465">
        <v>17018</v>
      </c>
      <c r="CH90" s="465">
        <v>17003</v>
      </c>
      <c r="CI90" s="464">
        <v>17003</v>
      </c>
      <c r="CJ90" s="465">
        <v>17244</v>
      </c>
      <c r="CK90" s="465">
        <v>17420</v>
      </c>
      <c r="CL90" s="465">
        <v>17651</v>
      </c>
      <c r="CM90" s="465">
        <v>18066</v>
      </c>
      <c r="CN90" s="464">
        <v>18066</v>
      </c>
      <c r="CO90" s="465">
        <v>18278</v>
      </c>
      <c r="CP90" s="465">
        <v>18868</v>
      </c>
      <c r="CQ90" s="465">
        <v>19209</v>
      </c>
      <c r="CR90" s="465">
        <v>19767</v>
      </c>
      <c r="CS90" s="464">
        <v>19767</v>
      </c>
      <c r="CT90" s="465">
        <v>20184</v>
      </c>
      <c r="CU90" s="465">
        <v>20519</v>
      </c>
      <c r="CV90" s="465">
        <v>20863</v>
      </c>
      <c r="CW90" s="465">
        <v>21366</v>
      </c>
      <c r="CX90" s="464">
        <v>21366</v>
      </c>
      <c r="CY90" s="465">
        <v>21878</v>
      </c>
      <c r="CZ90" s="465">
        <v>22088</v>
      </c>
      <c r="DA90" s="798">
        <v>22519</v>
      </c>
      <c r="DB90" s="798">
        <v>23043</v>
      </c>
      <c r="DC90" s="806">
        <v>23043</v>
      </c>
      <c r="DD90" s="465">
        <v>23571</v>
      </c>
      <c r="DE90" s="465">
        <v>23921</v>
      </c>
      <c r="DF90" s="798">
        <v>24395</v>
      </c>
      <c r="DG90" s="798">
        <v>25085</v>
      </c>
      <c r="DH90" s="806">
        <v>25085</v>
      </c>
      <c r="DI90" s="798">
        <v>25734</v>
      </c>
      <c r="DJ90" s="798">
        <v>26161</v>
      </c>
      <c r="DK90" s="798">
        <v>26736</v>
      </c>
      <c r="DL90" s="798">
        <v>27339</v>
      </c>
      <c r="DM90" s="806">
        <v>27339</v>
      </c>
      <c r="DN90" s="798">
        <v>28039</v>
      </c>
      <c r="DO90" s="465">
        <v>28293</v>
      </c>
      <c r="DP90" s="465">
        <v>28709</v>
      </c>
      <c r="DQ90" s="465">
        <v>29357</v>
      </c>
      <c r="DR90" s="464">
        <v>29357</v>
      </c>
      <c r="DS90" s="465">
        <v>30070</v>
      </c>
      <c r="DT90" s="465">
        <v>30436</v>
      </c>
      <c r="DU90" s="465">
        <v>30964</v>
      </c>
      <c r="DV90" s="465">
        <v>31711</v>
      </c>
      <c r="DW90" s="464">
        <v>31711</v>
      </c>
      <c r="DX90" s="465">
        <v>32432</v>
      </c>
      <c r="DY90" s="465">
        <v>32806</v>
      </c>
      <c r="DZ90" s="465">
        <v>33342</v>
      </c>
      <c r="EA90" s="465">
        <v>34097</v>
      </c>
      <c r="EB90" s="464">
        <v>34097</v>
      </c>
      <c r="ED90" s="28"/>
      <c r="EE90" s="28"/>
      <c r="EG90" s="27"/>
      <c r="EH90" s="28"/>
      <c r="EI90" s="28"/>
      <c r="EJ90" s="28"/>
      <c r="EK90" s="28"/>
      <c r="EL90" s="28"/>
      <c r="EM90" s="28"/>
      <c r="EN90" s="28"/>
      <c r="EO90" s="28"/>
      <c r="EP90" s="28"/>
      <c r="EQ90" s="28"/>
      <c r="ER90" s="28"/>
      <c r="ES90" s="28"/>
      <c r="ET90" s="350">
        <f t="shared" ref="ET90:EZ90" si="355">SUM(ET87:ET89)</f>
        <v>17244</v>
      </c>
      <c r="EU90" s="350">
        <f t="shared" si="355"/>
        <v>18195</v>
      </c>
      <c r="EV90" s="350">
        <f t="shared" si="355"/>
        <v>19759</v>
      </c>
      <c r="EW90" s="350">
        <f t="shared" si="355"/>
        <v>21457</v>
      </c>
      <c r="EX90" s="350">
        <f t="shared" si="355"/>
        <v>23158</v>
      </c>
      <c r="EY90" s="350">
        <f t="shared" si="355"/>
        <v>25341</v>
      </c>
      <c r="EZ90" s="350">
        <f t="shared" si="355"/>
        <v>27713</v>
      </c>
      <c r="FA90" s="351">
        <f>SUM(FA87:FA89)</f>
        <v>30031</v>
      </c>
      <c r="FB90" s="351">
        <f>SUM(FB87:FB89)</f>
        <v>32393</v>
      </c>
      <c r="FD90" s="161" t="s">
        <v>540</v>
      </c>
      <c r="FE90" s="404">
        <f>DN90</f>
        <v>28039</v>
      </c>
      <c r="FF90" s="853">
        <v>27798</v>
      </c>
      <c r="FG90" s="404">
        <f>FE90-FF90</f>
        <v>241</v>
      </c>
      <c r="FH90" s="404">
        <f>DI90</f>
        <v>25734</v>
      </c>
      <c r="FI90" s="251">
        <f>FE90/FH90-1</f>
        <v>8.9570218388124623E-2</v>
      </c>
      <c r="FJ90"/>
      <c r="FK90"/>
      <c r="FL90"/>
      <c r="FM90"/>
      <c r="FN90"/>
      <c r="FO90"/>
      <c r="FP90"/>
      <c r="FQ90"/>
      <c r="FR90"/>
    </row>
    <row r="91" spans="1:174" s="1" customFormat="1" x14ac:dyDescent="0.2">
      <c r="A91" s="16" t="s">
        <v>541</v>
      </c>
      <c r="B91" s="20"/>
      <c r="G91" s="20"/>
      <c r="L91" s="20"/>
      <c r="Q91" s="20"/>
      <c r="V91" s="20"/>
      <c r="AA91" s="20"/>
      <c r="AF91" s="20"/>
      <c r="AK91" s="20"/>
      <c r="AP91" s="20"/>
      <c r="AU91" s="20"/>
      <c r="AZ91" s="20"/>
      <c r="BE91" s="20"/>
      <c r="BJ91" s="20"/>
      <c r="BO91" s="20"/>
      <c r="BT91" s="20"/>
      <c r="BY91" s="20"/>
      <c r="CD91" s="20"/>
      <c r="CI91" s="20"/>
      <c r="CN91" s="20"/>
      <c r="CS91" s="20"/>
      <c r="CX91" s="20"/>
      <c r="DC91" s="20"/>
      <c r="DH91" s="20"/>
      <c r="DM91" s="20"/>
      <c r="DR91" s="20"/>
      <c r="DW91" s="20"/>
      <c r="EB91" s="20"/>
      <c r="ED91" s="28"/>
      <c r="EE91" s="28"/>
      <c r="EG91" s="27"/>
      <c r="EH91" s="28"/>
      <c r="EI91" s="28"/>
      <c r="EJ91" s="28"/>
      <c r="EK91" s="28"/>
      <c r="EL91" s="28"/>
      <c r="EM91" s="28"/>
      <c r="EN91" s="28"/>
      <c r="EO91" s="28"/>
      <c r="EP91" s="28"/>
      <c r="EQ91" s="28"/>
      <c r="ER91" s="28"/>
      <c r="ES91" s="28"/>
      <c r="ET91" s="20"/>
      <c r="EU91" s="20"/>
      <c r="EV91" s="20"/>
      <c r="EW91" s="20"/>
      <c r="EX91" s="20"/>
      <c r="EY91" s="20"/>
      <c r="EZ91" s="20"/>
      <c r="FA91" s="29"/>
      <c r="FB91" s="29"/>
      <c r="FD91" s="43" t="s">
        <v>541</v>
      </c>
      <c r="FE91" s="28"/>
      <c r="FF91" s="28"/>
      <c r="FG91" s="28"/>
      <c r="FH91" s="28"/>
      <c r="FI91" s="29"/>
      <c r="FJ91"/>
      <c r="FK91"/>
      <c r="FL91"/>
      <c r="FM91"/>
      <c r="FN91"/>
      <c r="FO91"/>
      <c r="FP91"/>
      <c r="FQ91"/>
      <c r="FR91"/>
    </row>
    <row r="92" spans="1:174" s="1" customFormat="1" x14ac:dyDescent="0.2">
      <c r="A92" s="35" t="s">
        <v>537</v>
      </c>
      <c r="B92" s="20"/>
      <c r="G92" s="20"/>
      <c r="L92" s="20"/>
      <c r="Q92" s="20"/>
      <c r="V92" s="20"/>
      <c r="AA92" s="20"/>
      <c r="AF92" s="20"/>
      <c r="AK92" s="20"/>
      <c r="AP92" s="20"/>
      <c r="AU92" s="20"/>
      <c r="AZ92" s="20"/>
      <c r="BE92" s="20"/>
      <c r="BJ92" s="20"/>
      <c r="BO92" s="20"/>
      <c r="BT92" s="20"/>
      <c r="BY92" s="20"/>
      <c r="CD92" s="61">
        <f>CD87/BY87-1</f>
        <v>6.2171209947392558E-3</v>
      </c>
      <c r="CE92" s="65">
        <f t="shared" ref="CE92:CI94" si="356">CE87/BZ87-1</f>
        <v>4.6740077636060473E-3</v>
      </c>
      <c r="CF92" s="65">
        <f t="shared" si="356"/>
        <v>-7.875894988066845E-3</v>
      </c>
      <c r="CG92" s="65">
        <f t="shared" si="356"/>
        <v>-5.7954906319466204E-3</v>
      </c>
      <c r="CH92" s="65">
        <f t="shared" si="356"/>
        <v>-1.7823193916349789E-2</v>
      </c>
      <c r="CI92" s="61">
        <f t="shared" ref="CI92:DR92" si="357">CI87/CD87-1</f>
        <v>-1.7823193916349789E-2</v>
      </c>
      <c r="CJ92" s="65">
        <f t="shared" si="357"/>
        <v>-1.4824160227093541E-2</v>
      </c>
      <c r="CK92" s="65">
        <f t="shared" si="357"/>
        <v>7.9384171277363524E-3</v>
      </c>
      <c r="CL92" s="65">
        <f t="shared" si="357"/>
        <v>1.0380899145572053E-2</v>
      </c>
      <c r="CM92" s="65">
        <f t="shared" si="357"/>
        <v>4.0648439390273516E-2</v>
      </c>
      <c r="CN92" s="61">
        <f t="shared" si="357"/>
        <v>4.0648439390273516E-2</v>
      </c>
      <c r="CO92" s="65">
        <f t="shared" si="357"/>
        <v>3.2495597886985861E-2</v>
      </c>
      <c r="CP92" s="65">
        <f t="shared" si="357"/>
        <v>3.3810660302307172E-2</v>
      </c>
      <c r="CQ92" s="65">
        <f t="shared" si="357"/>
        <v>3.9516320240259306E-2</v>
      </c>
      <c r="CR92" s="65">
        <f t="shared" si="357"/>
        <v>4.5725800201503519E-2</v>
      </c>
      <c r="CS92" s="61">
        <f t="shared" si="357"/>
        <v>4.5725800201503519E-2</v>
      </c>
      <c r="CT92" s="65">
        <f t="shared" si="357"/>
        <v>5.697674418604648E-2</v>
      </c>
      <c r="CU92" s="65">
        <f t="shared" si="357"/>
        <v>5.9099653712966438E-2</v>
      </c>
      <c r="CV92" s="65">
        <f t="shared" si="357"/>
        <v>5.7705466433513264E-2</v>
      </c>
      <c r="CW92" s="65">
        <f t="shared" si="357"/>
        <v>5.1730526939894661E-2</v>
      </c>
      <c r="CX92" s="61">
        <f t="shared" si="357"/>
        <v>5.1730526939894661E-2</v>
      </c>
      <c r="CY92" s="65">
        <f t="shared" si="357"/>
        <v>5.6178951228456286E-2</v>
      </c>
      <c r="CZ92" s="65">
        <f t="shared" si="357"/>
        <v>4.6210855191455291E-2</v>
      </c>
      <c r="DA92" s="65">
        <f t="shared" si="357"/>
        <v>4.7297297297297369E-2</v>
      </c>
      <c r="DB92" s="65">
        <f t="shared" si="357"/>
        <v>4.3125924881967537E-2</v>
      </c>
      <c r="DC92" s="61">
        <f t="shared" si="357"/>
        <v>4.3125924881967537E-2</v>
      </c>
      <c r="DD92" s="65">
        <f t="shared" si="357"/>
        <v>3.9788903548364729E-2</v>
      </c>
      <c r="DE92" s="65">
        <f t="shared" si="357"/>
        <v>4.9100631988332477E-2</v>
      </c>
      <c r="DF92" s="65">
        <f t="shared" si="357"/>
        <v>5.010295126973241E-2</v>
      </c>
      <c r="DG92" s="65">
        <f t="shared" si="357"/>
        <v>5.4313314868607687E-2</v>
      </c>
      <c r="DH92" s="61">
        <f t="shared" si="357"/>
        <v>5.4313314868607687E-2</v>
      </c>
      <c r="DI92" s="65">
        <f t="shared" si="357"/>
        <v>5.9035661813810592E-2</v>
      </c>
      <c r="DJ92" s="65">
        <f t="shared" si="357"/>
        <v>6.3021316033364139E-2</v>
      </c>
      <c r="DK92" s="65">
        <f t="shared" si="357"/>
        <v>6.5490196078431318E-2</v>
      </c>
      <c r="DL92" s="65">
        <f t="shared" si="357"/>
        <v>6.0998270007048161E-2</v>
      </c>
      <c r="DM92" s="61">
        <f t="shared" si="357"/>
        <v>6.0998270007048161E-2</v>
      </c>
      <c r="DN92" s="65">
        <f t="shared" si="357"/>
        <v>6.1735401689998692E-2</v>
      </c>
      <c r="DO92" s="65">
        <f t="shared" si="357"/>
        <v>5.8164154938348478E-2</v>
      </c>
      <c r="DP92" s="65">
        <f t="shared" si="357"/>
        <v>5.6373451110293127E-2</v>
      </c>
      <c r="DQ92" s="65">
        <f t="shared" si="357"/>
        <v>5.4592668639410702E-2</v>
      </c>
      <c r="DR92" s="61">
        <f t="shared" si="357"/>
        <v>5.4592668639410702E-2</v>
      </c>
      <c r="DS92" s="65">
        <f t="shared" ref="DS92:EB95" si="358">DS87/DN87-1</f>
        <v>5.2978559125735014E-2</v>
      </c>
      <c r="DT92" s="65">
        <f t="shared" si="358"/>
        <v>5.1789077212806012E-2</v>
      </c>
      <c r="DU92" s="65">
        <f t="shared" si="358"/>
        <v>5.0403577028047097E-2</v>
      </c>
      <c r="DV92" s="65">
        <f t="shared" si="358"/>
        <v>4.901792360991819E-2</v>
      </c>
      <c r="DW92" s="61">
        <f t="shared" si="358"/>
        <v>4.901792360991819E-2</v>
      </c>
      <c r="DX92" s="65">
        <f t="shared" si="358"/>
        <v>4.7605617914151965E-2</v>
      </c>
      <c r="DY92" s="65">
        <f t="shared" si="358"/>
        <v>4.6553267681289201E-2</v>
      </c>
      <c r="DZ92" s="65">
        <f t="shared" si="358"/>
        <v>4.5331416883188647E-2</v>
      </c>
      <c r="EA92" s="65">
        <f t="shared" si="358"/>
        <v>4.410721109230864E-2</v>
      </c>
      <c r="EB92" s="61">
        <f t="shared" si="358"/>
        <v>4.410721109230864E-2</v>
      </c>
      <c r="ED92" s="28"/>
      <c r="EE92" s="28"/>
      <c r="EG92" s="27"/>
      <c r="EH92" s="28"/>
      <c r="EI92" s="28"/>
      <c r="EJ92" s="28"/>
      <c r="EK92" s="28"/>
      <c r="EL92" s="28"/>
      <c r="EM92" s="28"/>
      <c r="EN92" s="28"/>
      <c r="EO92" s="28"/>
      <c r="EP92" s="28"/>
      <c r="EQ92" s="28"/>
      <c r="ER92" s="28"/>
      <c r="ES92" s="28"/>
      <c r="ET92" s="20"/>
      <c r="EU92" s="61">
        <f t="shared" ref="EU92:FB95" si="359">EU87/ET87-1</f>
        <v>3.2495597886985861E-2</v>
      </c>
      <c r="EV92" s="61">
        <f t="shared" si="359"/>
        <v>5.697674418604648E-2</v>
      </c>
      <c r="EW92" s="61">
        <f t="shared" si="359"/>
        <v>5.6178951228456286E-2</v>
      </c>
      <c r="EX92" s="61">
        <f t="shared" si="359"/>
        <v>3.9788903548364729E-2</v>
      </c>
      <c r="EY92" s="61">
        <f t="shared" si="359"/>
        <v>5.9035661813810592E-2</v>
      </c>
      <c r="EZ92" s="61">
        <f t="shared" si="359"/>
        <v>6.1735401689998692E-2</v>
      </c>
      <c r="FA92" s="249">
        <f t="shared" si="359"/>
        <v>5.2978559125735014E-2</v>
      </c>
      <c r="FB92" s="249">
        <f t="shared" si="359"/>
        <v>4.7605617914151965E-2</v>
      </c>
      <c r="FD92" s="243" t="s">
        <v>537</v>
      </c>
      <c r="FE92" s="238">
        <f>DN92</f>
        <v>6.1735401689998692E-2</v>
      </c>
      <c r="FF92" s="238">
        <v>5.8267120696178676E-2</v>
      </c>
      <c r="FG92" s="238">
        <f>FE92-FF92</f>
        <v>3.4682809938200165E-3</v>
      </c>
      <c r="FH92" s="238">
        <f>DI92</f>
        <v>5.9035661813810592E-2</v>
      </c>
      <c r="FI92" s="29"/>
      <c r="FJ92"/>
      <c r="FK92"/>
      <c r="FL92"/>
      <c r="FM92"/>
      <c r="FN92"/>
      <c r="FO92"/>
      <c r="FP92"/>
      <c r="FQ92"/>
      <c r="FR92"/>
    </row>
    <row r="93" spans="1:174" s="1" customFormat="1" x14ac:dyDescent="0.2">
      <c r="A93" s="35" t="s">
        <v>538</v>
      </c>
      <c r="B93" s="20"/>
      <c r="G93" s="20"/>
      <c r="L93" s="20"/>
      <c r="Q93" s="20"/>
      <c r="V93" s="20"/>
      <c r="AA93" s="20"/>
      <c r="AF93" s="20"/>
      <c r="AK93" s="20"/>
      <c r="AP93" s="20"/>
      <c r="AU93" s="20"/>
      <c r="AZ93" s="20"/>
      <c r="BE93" s="20"/>
      <c r="BJ93" s="20"/>
      <c r="BO93" s="20"/>
      <c r="BT93" s="20"/>
      <c r="BY93" s="20"/>
      <c r="CD93" s="61">
        <f>CD88/BY88-1</f>
        <v>2.2249690976514191E-2</v>
      </c>
      <c r="CE93" s="65">
        <f t="shared" si="356"/>
        <v>5.6426332288401326E-2</v>
      </c>
      <c r="CF93" s="65">
        <f t="shared" si="356"/>
        <v>6.3402385436283737E-2</v>
      </c>
      <c r="CG93" s="65">
        <f t="shared" si="356"/>
        <v>7.120743034055721E-2</v>
      </c>
      <c r="CH93" s="65">
        <f t="shared" si="356"/>
        <v>6.2877871825876674E-2</v>
      </c>
      <c r="CI93" s="61">
        <f t="shared" si="356"/>
        <v>6.2877871825876674E-2</v>
      </c>
      <c r="CJ93" s="65">
        <f t="shared" ref="CJ93:CS95" si="360">CJ88/CE88-1</f>
        <v>5.8160237388724001E-2</v>
      </c>
      <c r="CK93" s="65">
        <f t="shared" si="360"/>
        <v>6.2573789846517069E-2</v>
      </c>
      <c r="CL93" s="65">
        <f t="shared" si="360"/>
        <v>6.127167630057806E-2</v>
      </c>
      <c r="CM93" s="65">
        <f t="shared" si="360"/>
        <v>6.3139931740614275E-2</v>
      </c>
      <c r="CN93" s="61">
        <f t="shared" si="360"/>
        <v>6.3139931740614275E-2</v>
      </c>
      <c r="CO93" s="65">
        <f t="shared" si="360"/>
        <v>5.2159282108805494E-2</v>
      </c>
      <c r="CP93" s="65">
        <f t="shared" si="360"/>
        <v>5.4444444444444517E-2</v>
      </c>
      <c r="CQ93" s="65">
        <f t="shared" si="360"/>
        <v>5.718954248366015E-2</v>
      </c>
      <c r="CR93" s="65">
        <f t="shared" si="360"/>
        <v>5.3504547886570331E-2</v>
      </c>
      <c r="CS93" s="61">
        <f t="shared" si="360"/>
        <v>5.3504547886570331E-2</v>
      </c>
      <c r="CT93" s="65">
        <f t="shared" ref="CT93:DC95" si="361">CT88/CO88-1</f>
        <v>8.3688699360341179E-2</v>
      </c>
      <c r="CU93" s="65">
        <f t="shared" si="361"/>
        <v>8.7987355110642707E-2</v>
      </c>
      <c r="CV93" s="65">
        <f t="shared" si="361"/>
        <v>8.2946934569809283E-2</v>
      </c>
      <c r="CW93" s="65">
        <f t="shared" si="361"/>
        <v>8.6846114779075778E-2</v>
      </c>
      <c r="CX93" s="61">
        <f t="shared" si="361"/>
        <v>8.6846114779075778E-2</v>
      </c>
      <c r="CY93" s="65">
        <f t="shared" si="361"/>
        <v>8.1160846040334578E-2</v>
      </c>
      <c r="CZ93" s="65">
        <f t="shared" si="361"/>
        <v>8.135593220338988E-2</v>
      </c>
      <c r="DA93" s="65">
        <f t="shared" si="361"/>
        <v>8.991436726926727E-2</v>
      </c>
      <c r="DB93" s="65">
        <f t="shared" si="361"/>
        <v>0.10373831775700926</v>
      </c>
      <c r="DC93" s="61">
        <f t="shared" si="361"/>
        <v>0.10373831775700926</v>
      </c>
      <c r="DD93" s="65">
        <f t="shared" ref="DD93:DM95" si="362">DD88/CY88-1</f>
        <v>0.11055505004549593</v>
      </c>
      <c r="DE93" s="65">
        <f t="shared" si="362"/>
        <v>0.11419614867890737</v>
      </c>
      <c r="DF93" s="65">
        <f t="shared" si="362"/>
        <v>0.11959842863378434</v>
      </c>
      <c r="DG93" s="65">
        <f t="shared" si="362"/>
        <v>0.11854360711261647</v>
      </c>
      <c r="DH93" s="61">
        <f t="shared" si="362"/>
        <v>0.11854360711261647</v>
      </c>
      <c r="DI93" s="65">
        <f t="shared" si="362"/>
        <v>0.1212617779598526</v>
      </c>
      <c r="DJ93" s="65">
        <f t="shared" si="362"/>
        <v>0.11856913183279749</v>
      </c>
      <c r="DK93" s="65">
        <f t="shared" si="362"/>
        <v>0.11890838206627685</v>
      </c>
      <c r="DL93" s="65">
        <f t="shared" si="362"/>
        <v>0.12566237698713101</v>
      </c>
      <c r="DM93" s="61">
        <f t="shared" si="362"/>
        <v>0.12566237698713101</v>
      </c>
      <c r="DN93" s="65">
        <f t="shared" ref="DN93:DR95" si="363">DN88/DI88-1</f>
        <v>0.13153087321885271</v>
      </c>
      <c r="DO93" s="65">
        <f t="shared" si="363"/>
        <v>0.12252964426877466</v>
      </c>
      <c r="DP93" s="65">
        <f t="shared" si="363"/>
        <v>0.11184668989547042</v>
      </c>
      <c r="DQ93" s="65">
        <f t="shared" si="363"/>
        <v>0.10289172831203763</v>
      </c>
      <c r="DR93" s="61">
        <f t="shared" si="363"/>
        <v>0.10289172831203763</v>
      </c>
      <c r="DS93" s="65">
        <f t="shared" si="358"/>
        <v>0.10009686793671291</v>
      </c>
      <c r="DT93" s="65">
        <f t="shared" si="358"/>
        <v>0.10051216389244555</v>
      </c>
      <c r="DU93" s="65">
        <f t="shared" si="358"/>
        <v>9.9655280476339758E-2</v>
      </c>
      <c r="DV93" s="65">
        <f t="shared" si="358"/>
        <v>9.8170731707317049E-2</v>
      </c>
      <c r="DW93" s="61">
        <f t="shared" si="358"/>
        <v>9.8170731707317049E-2</v>
      </c>
      <c r="DX93" s="65">
        <f t="shared" si="358"/>
        <v>9.451130026416199E-2</v>
      </c>
      <c r="DY93" s="65">
        <f t="shared" si="358"/>
        <v>9.3659104130308313E-2</v>
      </c>
      <c r="DZ93" s="65">
        <f t="shared" si="358"/>
        <v>9.1764035337702943E-2</v>
      </c>
      <c r="EA93" s="65">
        <f t="shared" si="358"/>
        <v>8.9394780677401364E-2</v>
      </c>
      <c r="EB93" s="61">
        <f t="shared" si="358"/>
        <v>8.9394780677401364E-2</v>
      </c>
      <c r="ED93" s="28"/>
      <c r="EE93" s="28"/>
      <c r="EG93" s="27"/>
      <c r="EH93" s="28"/>
      <c r="EI93" s="28"/>
      <c r="EJ93" s="28"/>
      <c r="EK93" s="28"/>
      <c r="EL93" s="28"/>
      <c r="EM93" s="28"/>
      <c r="EN93" s="28"/>
      <c r="EO93" s="28"/>
      <c r="EP93" s="28"/>
      <c r="EQ93" s="28"/>
      <c r="ER93" s="28"/>
      <c r="ES93" s="28"/>
      <c r="ET93" s="20"/>
      <c r="EU93" s="61">
        <f t="shared" si="359"/>
        <v>5.2159282108805494E-2</v>
      </c>
      <c r="EV93" s="61">
        <f t="shared" si="359"/>
        <v>8.3688699360341179E-2</v>
      </c>
      <c r="EW93" s="61">
        <f t="shared" si="359"/>
        <v>8.1160846040334578E-2</v>
      </c>
      <c r="EX93" s="61">
        <f t="shared" si="359"/>
        <v>0.11055505004549593</v>
      </c>
      <c r="EY93" s="61">
        <f t="shared" si="359"/>
        <v>0.1212617779598526</v>
      </c>
      <c r="EZ93" s="61">
        <f t="shared" si="359"/>
        <v>0.13153087321885271</v>
      </c>
      <c r="FA93" s="249">
        <f t="shared" si="359"/>
        <v>0.10009686793671291</v>
      </c>
      <c r="FB93" s="249">
        <f t="shared" si="359"/>
        <v>9.451130026416199E-2</v>
      </c>
      <c r="FD93" s="243" t="s">
        <v>538</v>
      </c>
      <c r="FE93" s="238">
        <f>DN93</f>
        <v>0.13153087321885271</v>
      </c>
      <c r="FF93" s="238">
        <v>0.12312751187431492</v>
      </c>
      <c r="FG93" s="238">
        <f>FE93-FF93</f>
        <v>8.4033613445377853E-3</v>
      </c>
      <c r="FH93" s="238">
        <f>DI93</f>
        <v>0.1212617779598526</v>
      </c>
      <c r="FI93" s="29"/>
      <c r="FJ93"/>
      <c r="FK93"/>
      <c r="FL93"/>
      <c r="FM93"/>
      <c r="FN93"/>
      <c r="FO93"/>
      <c r="FP93"/>
      <c r="FQ93"/>
      <c r="FR93"/>
    </row>
    <row r="94" spans="1:174" s="1" customFormat="1" x14ac:dyDescent="0.2">
      <c r="A94" s="35" t="s">
        <v>539</v>
      </c>
      <c r="B94" s="20"/>
      <c r="G94" s="20"/>
      <c r="L94" s="20"/>
      <c r="Q94" s="20"/>
      <c r="V94" s="20"/>
      <c r="AA94" s="20"/>
      <c r="AF94" s="20"/>
      <c r="AK94" s="20"/>
      <c r="AP94" s="20"/>
      <c r="AU94" s="20"/>
      <c r="AZ94" s="20"/>
      <c r="BE94" s="20"/>
      <c r="BJ94" s="20"/>
      <c r="BO94" s="20"/>
      <c r="BT94" s="20"/>
      <c r="BY94" s="20"/>
      <c r="CD94" s="61">
        <f>CD89/BY89-1</f>
        <v>4.4111695669769357E-2</v>
      </c>
      <c r="CE94" s="65">
        <f t="shared" si="356"/>
        <v>6.1897106109324751E-2</v>
      </c>
      <c r="CF94" s="65">
        <f t="shared" si="356"/>
        <v>7.8768492602958817E-2</v>
      </c>
      <c r="CG94" s="65">
        <f t="shared" si="356"/>
        <v>9.4615993665874809E-2</v>
      </c>
      <c r="CH94" s="65">
        <f t="shared" si="356"/>
        <v>0.10310077519379846</v>
      </c>
      <c r="CI94" s="61">
        <f t="shared" si="356"/>
        <v>0.10310077519379846</v>
      </c>
      <c r="CJ94" s="65">
        <f t="shared" si="360"/>
        <v>0.1230128690386072</v>
      </c>
      <c r="CK94" s="65">
        <f t="shared" si="360"/>
        <v>0.13046701260192739</v>
      </c>
      <c r="CL94" s="65">
        <f t="shared" si="360"/>
        <v>0.14358047016274855</v>
      </c>
      <c r="CM94" s="65">
        <f t="shared" si="360"/>
        <v>0.15741391426563589</v>
      </c>
      <c r="CN94" s="61">
        <f t="shared" si="360"/>
        <v>0.15741391426563589</v>
      </c>
      <c r="CO94" s="65">
        <f t="shared" si="360"/>
        <v>0.15234243343444565</v>
      </c>
      <c r="CP94" s="65">
        <f t="shared" si="360"/>
        <v>0.1691803278688524</v>
      </c>
      <c r="CQ94" s="65">
        <f t="shared" si="360"/>
        <v>0.16540164452877915</v>
      </c>
      <c r="CR94" s="65">
        <f t="shared" si="360"/>
        <v>0.17850637522768675</v>
      </c>
      <c r="CS94" s="61">
        <f t="shared" si="360"/>
        <v>0.17850637522768675</v>
      </c>
      <c r="CT94" s="65">
        <f t="shared" si="361"/>
        <v>0.19654869844983924</v>
      </c>
      <c r="CU94" s="65">
        <f t="shared" si="361"/>
        <v>0.19601794727986532</v>
      </c>
      <c r="CV94" s="65">
        <f t="shared" si="361"/>
        <v>0.20081411126187243</v>
      </c>
      <c r="CW94" s="65">
        <f t="shared" si="361"/>
        <v>0.19113858835651731</v>
      </c>
      <c r="CX94" s="61">
        <f t="shared" si="361"/>
        <v>0.19113858835651731</v>
      </c>
      <c r="CY94" s="65">
        <f t="shared" si="361"/>
        <v>0.18748472256172088</v>
      </c>
      <c r="CZ94" s="65">
        <f t="shared" si="361"/>
        <v>0.18030480656506453</v>
      </c>
      <c r="DA94" s="65">
        <f t="shared" si="361"/>
        <v>0.18395480225988692</v>
      </c>
      <c r="DB94" s="65">
        <f t="shared" si="361"/>
        <v>0.18122837370242206</v>
      </c>
      <c r="DC94" s="61">
        <f t="shared" si="361"/>
        <v>0.18122837370242206</v>
      </c>
      <c r="DD94" s="65">
        <f t="shared" si="362"/>
        <v>0.18217373404693293</v>
      </c>
      <c r="DE94" s="65">
        <f t="shared" si="362"/>
        <v>0.17560588001589195</v>
      </c>
      <c r="DF94" s="65">
        <f t="shared" si="362"/>
        <v>0.16949799580072522</v>
      </c>
      <c r="DG94" s="65">
        <f t="shared" si="362"/>
        <v>0.17960454046136953</v>
      </c>
      <c r="DH94" s="61">
        <f t="shared" si="362"/>
        <v>0.17960454046136953</v>
      </c>
      <c r="DI94" s="65">
        <f t="shared" si="362"/>
        <v>0.17464739683092456</v>
      </c>
      <c r="DJ94" s="65">
        <f t="shared" si="362"/>
        <v>0.17151064548834061</v>
      </c>
      <c r="DK94" s="65">
        <f t="shared" si="362"/>
        <v>0.17235188509874333</v>
      </c>
      <c r="DL94" s="65">
        <f t="shared" si="362"/>
        <v>0.16079466087226457</v>
      </c>
      <c r="DM94" s="61">
        <f t="shared" si="362"/>
        <v>0.16079466087226457</v>
      </c>
      <c r="DN94" s="65">
        <f t="shared" si="363"/>
        <v>0.15312777942484446</v>
      </c>
      <c r="DO94" s="65">
        <f t="shared" si="363"/>
        <v>0.14683398240300005</v>
      </c>
      <c r="DP94" s="65">
        <f t="shared" si="363"/>
        <v>0.13754698593902259</v>
      </c>
      <c r="DQ94" s="65">
        <f t="shared" si="363"/>
        <v>0.14654365556892635</v>
      </c>
      <c r="DR94" s="61">
        <f t="shared" si="363"/>
        <v>0.14654365556892635</v>
      </c>
      <c r="DS94" s="65">
        <f t="shared" si="358"/>
        <v>0.14346317007327425</v>
      </c>
      <c r="DT94" s="65">
        <f t="shared" si="358"/>
        <v>0.1428751100490504</v>
      </c>
      <c r="DU94" s="65">
        <f t="shared" si="358"/>
        <v>0.14147595153591963</v>
      </c>
      <c r="DV94" s="65">
        <f t="shared" si="358"/>
        <v>0.13714285714285723</v>
      </c>
      <c r="DW94" s="61">
        <f t="shared" si="358"/>
        <v>0.13714285714285723</v>
      </c>
      <c r="DX94" s="65">
        <f t="shared" si="358"/>
        <v>0.13445756042720625</v>
      </c>
      <c r="DY94" s="65">
        <f t="shared" si="358"/>
        <v>0.13381754154286352</v>
      </c>
      <c r="DZ94" s="65">
        <f t="shared" si="358"/>
        <v>0.13251849469282728</v>
      </c>
      <c r="EA94" s="65">
        <f t="shared" si="358"/>
        <v>0.1288073018151985</v>
      </c>
      <c r="EB94" s="61">
        <f t="shared" si="358"/>
        <v>0.1288073018151985</v>
      </c>
      <c r="ED94" s="28"/>
      <c r="EE94" s="28"/>
      <c r="EG94" s="27"/>
      <c r="EH94" s="28"/>
      <c r="EI94" s="28"/>
      <c r="EJ94" s="28"/>
      <c r="EK94" s="28"/>
      <c r="EL94" s="28"/>
      <c r="EM94" s="28"/>
      <c r="EN94" s="28"/>
      <c r="EO94" s="28"/>
      <c r="EP94" s="28"/>
      <c r="EQ94" s="28"/>
      <c r="ER94" s="28"/>
      <c r="ES94" s="28"/>
      <c r="ET94" s="20"/>
      <c r="EU94" s="61">
        <f t="shared" si="359"/>
        <v>0.15234243343444565</v>
      </c>
      <c r="EV94" s="61">
        <f t="shared" si="359"/>
        <v>0.19654869844983924</v>
      </c>
      <c r="EW94" s="61">
        <f t="shared" si="359"/>
        <v>0.18748472256172088</v>
      </c>
      <c r="EX94" s="61">
        <f t="shared" si="359"/>
        <v>0.18217373404693293</v>
      </c>
      <c r="EY94" s="61">
        <f t="shared" si="359"/>
        <v>0.17464739683092456</v>
      </c>
      <c r="EZ94" s="61">
        <f t="shared" si="359"/>
        <v>0.15312777942484446</v>
      </c>
      <c r="FA94" s="249">
        <f t="shared" si="359"/>
        <v>0.14346317007327425</v>
      </c>
      <c r="FB94" s="249">
        <f t="shared" si="359"/>
        <v>0.13445756042720625</v>
      </c>
      <c r="FD94" s="243" t="s">
        <v>539</v>
      </c>
      <c r="FE94" s="238">
        <f>DN94</f>
        <v>0.15312777942484446</v>
      </c>
      <c r="FF94" s="238">
        <v>0.14912540764897719</v>
      </c>
      <c r="FG94" s="238">
        <f>FE94-FF94</f>
        <v>4.0023717758672639E-3</v>
      </c>
      <c r="FH94" s="238">
        <f>DI94</f>
        <v>0.17464739683092456</v>
      </c>
      <c r="FI94" s="29"/>
      <c r="FJ94"/>
      <c r="FK94"/>
      <c r="FL94"/>
      <c r="FM94"/>
      <c r="FN94"/>
      <c r="FO94"/>
      <c r="FP94"/>
      <c r="FQ94"/>
      <c r="FR94"/>
    </row>
    <row r="95" spans="1:174" s="1" customFormat="1" x14ac:dyDescent="0.2">
      <c r="A95" s="36" t="s">
        <v>540</v>
      </c>
      <c r="B95" s="20"/>
      <c r="G95" s="20"/>
      <c r="L95" s="20"/>
      <c r="Q95" s="20"/>
      <c r="V95" s="20"/>
      <c r="AA95" s="20"/>
      <c r="AF95" s="20"/>
      <c r="AK95" s="20"/>
      <c r="AP95" s="20"/>
      <c r="AQ95" s="107"/>
      <c r="AR95" s="107"/>
      <c r="AS95" s="107"/>
      <c r="AT95" s="107"/>
      <c r="AU95" s="252"/>
      <c r="AV95" s="107"/>
      <c r="AW95" s="107"/>
      <c r="AX95" s="107"/>
      <c r="AY95" s="107"/>
      <c r="AZ95" s="252">
        <f t="shared" ref="AZ95:CC95" si="364">AZ90/AU90-1</f>
        <v>0.18602076124567479</v>
      </c>
      <c r="BA95" s="107">
        <f t="shared" si="364"/>
        <v>0.18263512620589406</v>
      </c>
      <c r="BB95" s="107">
        <f t="shared" si="364"/>
        <v>0.18215471023742658</v>
      </c>
      <c r="BC95" s="107">
        <f t="shared" si="364"/>
        <v>0.19115654637270607</v>
      </c>
      <c r="BD95" s="107">
        <f t="shared" si="364"/>
        <v>0.19512195121951215</v>
      </c>
      <c r="BE95" s="252">
        <f t="shared" si="364"/>
        <v>0.19512195121951215</v>
      </c>
      <c r="BF95" s="107">
        <f t="shared" si="364"/>
        <v>0.206950497262264</v>
      </c>
      <c r="BG95" s="107">
        <f t="shared" si="364"/>
        <v>0.21207213043947748</v>
      </c>
      <c r="BH95" s="107">
        <f t="shared" si="364"/>
        <v>0.21848826388170828</v>
      </c>
      <c r="BI95" s="107">
        <f t="shared" si="364"/>
        <v>0.21472512449956049</v>
      </c>
      <c r="BJ95" s="252">
        <f t="shared" si="364"/>
        <v>0.21472512449956049</v>
      </c>
      <c r="BK95" s="107">
        <f t="shared" si="364"/>
        <v>0.21914637533561709</v>
      </c>
      <c r="BL95" s="107">
        <f t="shared" si="364"/>
        <v>0.22298440979955458</v>
      </c>
      <c r="BM95" s="107">
        <f t="shared" si="364"/>
        <v>0.22165648336727761</v>
      </c>
      <c r="BN95" s="107">
        <f t="shared" si="364"/>
        <v>0.20667202572347265</v>
      </c>
      <c r="BO95" s="252">
        <f t="shared" si="364"/>
        <v>0.20667202572347265</v>
      </c>
      <c r="BP95" s="107">
        <f t="shared" si="364"/>
        <v>0.19653705953827449</v>
      </c>
      <c r="BQ95" s="107">
        <f t="shared" si="364"/>
        <v>0.18196386946386944</v>
      </c>
      <c r="BR95" s="107">
        <f t="shared" si="364"/>
        <v>0.14948596832453465</v>
      </c>
      <c r="BS95" s="107">
        <f t="shared" si="364"/>
        <v>0.11118513090400373</v>
      </c>
      <c r="BT95" s="252">
        <f t="shared" si="364"/>
        <v>0.11118513090400373</v>
      </c>
      <c r="BU95" s="107">
        <f t="shared" si="364"/>
        <v>7.1020563594821118E-2</v>
      </c>
      <c r="BV95" s="107">
        <f t="shared" si="364"/>
        <v>3.9196351534574125E-2</v>
      </c>
      <c r="BW95" s="107">
        <f t="shared" si="364"/>
        <v>1.0937877689146669E-2</v>
      </c>
      <c r="BX95" s="107">
        <f t="shared" si="364"/>
        <v>-2.6978417266186883E-3</v>
      </c>
      <c r="BY95" s="252">
        <f t="shared" si="364"/>
        <v>-2.6978417266186883E-3</v>
      </c>
      <c r="BZ95" s="107">
        <f t="shared" si="364"/>
        <v>-1.001481481481481E-2</v>
      </c>
      <c r="CA95" s="107">
        <f t="shared" si="364"/>
        <v>-1.1742379314434781E-2</v>
      </c>
      <c r="CB95" s="107">
        <f t="shared" si="364"/>
        <v>4.7821148903093302E-4</v>
      </c>
      <c r="CC95" s="107">
        <f t="shared" si="364"/>
        <v>1.3405470393748065E-2</v>
      </c>
      <c r="CD95" s="252">
        <f>CD90/BY90-1</f>
        <v>1.3405470393748065E-2</v>
      </c>
      <c r="CE95" s="107">
        <f>CE90/BZ90-1</f>
        <v>1.8137196216928109E-2</v>
      </c>
      <c r="CF95" s="107">
        <f>CF90/CA90-1</f>
        <v>1.1941910705712822E-2</v>
      </c>
      <c r="CG95" s="107">
        <f>CG90/CB90-1</f>
        <v>1.6789149787895141E-2</v>
      </c>
      <c r="CH95" s="107">
        <f>CH90/CC90-1</f>
        <v>8.6012575631746468E-3</v>
      </c>
      <c r="CI95" s="252">
        <f>CI90/CD90-1</f>
        <v>8.6012575631746468E-3</v>
      </c>
      <c r="CJ95" s="107">
        <f t="shared" si="360"/>
        <v>1.3816214945029159E-2</v>
      </c>
      <c r="CK95" s="107">
        <f t="shared" si="360"/>
        <v>3.3030896044594638E-2</v>
      </c>
      <c r="CL95" s="107">
        <f t="shared" si="360"/>
        <v>3.7195910212715955E-2</v>
      </c>
      <c r="CM95" s="107">
        <f t="shared" si="360"/>
        <v>6.2518379109568922E-2</v>
      </c>
      <c r="CN95" s="252">
        <f t="shared" si="360"/>
        <v>6.2518379109568922E-2</v>
      </c>
      <c r="CO95" s="107">
        <f t="shared" si="360"/>
        <v>5.9962885641382524E-2</v>
      </c>
      <c r="CP95" s="107">
        <f t="shared" si="360"/>
        <v>8.3122847301951852E-2</v>
      </c>
      <c r="CQ95" s="107">
        <f t="shared" si="360"/>
        <v>8.8266953713670659E-2</v>
      </c>
      <c r="CR95" s="107">
        <f t="shared" si="360"/>
        <v>9.4154765858518674E-2</v>
      </c>
      <c r="CS95" s="252">
        <f t="shared" si="360"/>
        <v>9.4154765858518674E-2</v>
      </c>
      <c r="CT95" s="107">
        <f t="shared" si="361"/>
        <v>0.10427836743626218</v>
      </c>
      <c r="CU95" s="107">
        <f t="shared" si="361"/>
        <v>8.750264998940005E-2</v>
      </c>
      <c r="CV95" s="107">
        <f t="shared" si="361"/>
        <v>8.6105471393617572E-2</v>
      </c>
      <c r="CW95" s="107">
        <f t="shared" si="361"/>
        <v>8.0892396418272838E-2</v>
      </c>
      <c r="CX95" s="252">
        <f t="shared" si="361"/>
        <v>8.0892396418272838E-2</v>
      </c>
      <c r="CY95" s="107">
        <f t="shared" si="361"/>
        <v>8.3927863654379653E-2</v>
      </c>
      <c r="CZ95" s="107">
        <f t="shared" si="361"/>
        <v>7.6465714703445542E-2</v>
      </c>
      <c r="DA95" s="387">
        <f t="shared" si="361"/>
        <v>7.9374970042659143E-2</v>
      </c>
      <c r="DB95" s="387">
        <f t="shared" si="361"/>
        <v>7.8489188430216128E-2</v>
      </c>
      <c r="DC95" s="386">
        <f t="shared" si="361"/>
        <v>7.8489188430216128E-2</v>
      </c>
      <c r="DD95" s="107">
        <f t="shared" si="362"/>
        <v>7.7383673096261152E-2</v>
      </c>
      <c r="DE95" s="107">
        <f t="shared" si="362"/>
        <v>8.2986236870699059E-2</v>
      </c>
      <c r="DF95" s="387">
        <f t="shared" si="362"/>
        <v>8.3307429281939793E-2</v>
      </c>
      <c r="DG95" s="387">
        <f t="shared" si="362"/>
        <v>8.8616933558998356E-2</v>
      </c>
      <c r="DH95" s="386">
        <f t="shared" si="362"/>
        <v>8.8616933558998356E-2</v>
      </c>
      <c r="DI95" s="387">
        <f t="shared" si="362"/>
        <v>9.1765304823724136E-2</v>
      </c>
      <c r="DJ95" s="387">
        <f t="shared" si="362"/>
        <v>9.3641570168471189E-2</v>
      </c>
      <c r="DK95" s="387">
        <f t="shared" si="362"/>
        <v>9.5962287353966058E-2</v>
      </c>
      <c r="DL95" s="387">
        <f t="shared" si="362"/>
        <v>8.9854494717958922E-2</v>
      </c>
      <c r="DM95" s="386">
        <f t="shared" si="362"/>
        <v>8.9854494717958922E-2</v>
      </c>
      <c r="DN95" s="387">
        <f t="shared" si="363"/>
        <v>8.9570218388124623E-2</v>
      </c>
      <c r="DO95" s="107">
        <f t="shared" si="363"/>
        <v>8.1495355682122295E-2</v>
      </c>
      <c r="DP95" s="107">
        <f t="shared" si="363"/>
        <v>7.3795631358468006E-2</v>
      </c>
      <c r="DQ95" s="107">
        <f t="shared" si="363"/>
        <v>7.3813965397417691E-2</v>
      </c>
      <c r="DR95" s="252">
        <f t="shared" si="363"/>
        <v>7.3813965397417691E-2</v>
      </c>
      <c r="DS95" s="107">
        <f t="shared" si="358"/>
        <v>7.2434822925211417E-2</v>
      </c>
      <c r="DT95" s="107">
        <f t="shared" si="358"/>
        <v>7.5743116671968425E-2</v>
      </c>
      <c r="DU95" s="107">
        <f t="shared" si="358"/>
        <v>7.8546797171618721E-2</v>
      </c>
      <c r="DV95" s="107">
        <f t="shared" si="358"/>
        <v>8.0185305037980825E-2</v>
      </c>
      <c r="DW95" s="252">
        <f t="shared" si="358"/>
        <v>8.0185305037980825E-2</v>
      </c>
      <c r="DX95" s="107">
        <f t="shared" si="358"/>
        <v>7.8550049883604922E-2</v>
      </c>
      <c r="DY95" s="107">
        <f t="shared" si="358"/>
        <v>7.7868313838874936E-2</v>
      </c>
      <c r="DZ95" s="107">
        <f t="shared" si="358"/>
        <v>7.6798863195969513E-2</v>
      </c>
      <c r="EA95" s="107">
        <f t="shared" si="358"/>
        <v>7.5242029579641212E-2</v>
      </c>
      <c r="EB95" s="252">
        <f t="shared" si="358"/>
        <v>7.5242029579641212E-2</v>
      </c>
      <c r="ED95" s="28"/>
      <c r="EE95" s="28"/>
      <c r="EG95" s="30"/>
      <c r="EH95" s="2"/>
      <c r="EI95" s="2"/>
      <c r="EJ95" s="2"/>
      <c r="EK95" s="2"/>
      <c r="EL95" s="2"/>
      <c r="EM95" s="2"/>
      <c r="EN95" s="2"/>
      <c r="EO95" s="2"/>
      <c r="EP95" s="2"/>
      <c r="EQ95" s="2"/>
      <c r="ER95" s="2"/>
      <c r="ES95" s="2"/>
      <c r="ET95" s="19"/>
      <c r="EU95" s="55">
        <f t="shared" si="359"/>
        <v>5.5149617258176686E-2</v>
      </c>
      <c r="EV95" s="55">
        <f t="shared" si="359"/>
        <v>8.5957680681505888E-2</v>
      </c>
      <c r="EW95" s="55">
        <f t="shared" si="359"/>
        <v>8.5935523052786067E-2</v>
      </c>
      <c r="EX95" s="55">
        <f t="shared" si="359"/>
        <v>7.9274828727221802E-2</v>
      </c>
      <c r="EY95" s="55">
        <f t="shared" si="359"/>
        <v>9.4265480611451791E-2</v>
      </c>
      <c r="EZ95" s="55">
        <f t="shared" si="359"/>
        <v>9.3603251647527808E-2</v>
      </c>
      <c r="FA95" s="312">
        <f t="shared" si="359"/>
        <v>8.3643055605672423E-2</v>
      </c>
      <c r="FB95" s="312">
        <f t="shared" si="359"/>
        <v>7.8652059538476982E-2</v>
      </c>
      <c r="FD95" s="244" t="s">
        <v>540</v>
      </c>
      <c r="FE95" s="239">
        <f>DN95</f>
        <v>8.9570218388124623E-2</v>
      </c>
      <c r="FF95" s="409">
        <v>8.0205176031709069E-2</v>
      </c>
      <c r="FG95" s="239">
        <f>FE95-FF95</f>
        <v>9.3650423564155538E-3</v>
      </c>
      <c r="FH95" s="239">
        <f>DI95</f>
        <v>9.1765304823724136E-2</v>
      </c>
      <c r="FI95" s="246"/>
      <c r="FJ95"/>
      <c r="FK95"/>
      <c r="FL95"/>
      <c r="FM95"/>
      <c r="FN95"/>
      <c r="FO95"/>
      <c r="FP95"/>
      <c r="FQ95"/>
      <c r="FR95"/>
    </row>
    <row r="96" spans="1:174" s="1" customFormat="1" x14ac:dyDescent="0.2">
      <c r="A96" s="12" t="s">
        <v>542</v>
      </c>
      <c r="B96" s="23"/>
      <c r="C96" s="10"/>
      <c r="D96" s="10"/>
      <c r="E96" s="10"/>
      <c r="F96" s="10"/>
      <c r="G96" s="23"/>
      <c r="H96" s="10"/>
      <c r="I96" s="10"/>
      <c r="J96" s="10"/>
      <c r="K96" s="10"/>
      <c r="L96" s="23"/>
      <c r="M96" s="10"/>
      <c r="N96" s="10"/>
      <c r="O96" s="10"/>
      <c r="P96" s="10"/>
      <c r="Q96" s="23"/>
      <c r="R96" s="10"/>
      <c r="S96" s="10"/>
      <c r="T96" s="10"/>
      <c r="U96" s="10"/>
      <c r="V96" s="23"/>
      <c r="W96" s="10"/>
      <c r="X96" s="10"/>
      <c r="Y96" s="10"/>
      <c r="Z96" s="10"/>
      <c r="AA96" s="23"/>
      <c r="AB96" s="10"/>
      <c r="AC96" s="10"/>
      <c r="AD96" s="10"/>
      <c r="AE96" s="10"/>
      <c r="AF96" s="23"/>
      <c r="AG96" s="10"/>
      <c r="AH96" s="10"/>
      <c r="AI96" s="10"/>
      <c r="AJ96" s="10"/>
      <c r="AK96" s="23"/>
      <c r="AL96" s="10"/>
      <c r="AM96" s="10"/>
      <c r="AN96" s="10"/>
      <c r="AO96" s="10"/>
      <c r="AP96" s="23"/>
      <c r="AQ96" s="10"/>
      <c r="AR96" s="10"/>
      <c r="AS96" s="10"/>
      <c r="AT96" s="10"/>
      <c r="AU96" s="23"/>
      <c r="AV96" s="10"/>
      <c r="AW96" s="10"/>
      <c r="AX96" s="10"/>
      <c r="AY96" s="10"/>
      <c r="AZ96" s="23"/>
      <c r="BA96" s="10"/>
      <c r="BB96" s="10"/>
      <c r="BC96" s="10"/>
      <c r="BD96" s="10"/>
      <c r="BE96" s="23"/>
      <c r="BF96" s="10"/>
      <c r="BG96" s="10"/>
      <c r="BH96" s="10"/>
      <c r="BI96" s="10"/>
      <c r="BJ96" s="23"/>
      <c r="BK96" s="10"/>
      <c r="BL96" s="10"/>
      <c r="BM96" s="10"/>
      <c r="BN96" s="10"/>
      <c r="BO96" s="23"/>
      <c r="BP96" s="10"/>
      <c r="BQ96" s="10"/>
      <c r="BR96" s="10"/>
      <c r="BS96" s="10"/>
      <c r="BT96" s="23"/>
      <c r="BU96" s="10"/>
      <c r="BV96" s="10"/>
      <c r="BW96" s="10"/>
      <c r="BX96" s="10"/>
      <c r="BY96" s="23"/>
      <c r="BZ96" s="10"/>
      <c r="CA96" s="10"/>
      <c r="CB96" s="10"/>
      <c r="CC96" s="10"/>
      <c r="CD96" s="23"/>
      <c r="CE96" s="10"/>
      <c r="CF96" s="10"/>
      <c r="CG96" s="10"/>
      <c r="CH96" s="10"/>
      <c r="CI96" s="23"/>
      <c r="CJ96" s="10"/>
      <c r="CK96" s="10"/>
      <c r="CL96" s="10"/>
      <c r="CM96" s="10"/>
      <c r="CN96" s="23"/>
      <c r="CO96" s="10"/>
      <c r="CP96" s="10"/>
      <c r="CQ96" s="10"/>
      <c r="CR96" s="10"/>
      <c r="CS96" s="23"/>
      <c r="CT96" s="10"/>
      <c r="CU96" s="10"/>
      <c r="CV96" s="10"/>
      <c r="CW96" s="10"/>
      <c r="CX96" s="23"/>
      <c r="CY96" s="10"/>
      <c r="CZ96" s="10"/>
      <c r="DA96" s="10"/>
      <c r="DB96" s="10"/>
      <c r="DC96" s="23"/>
      <c r="DD96" s="10"/>
      <c r="DE96" s="10"/>
      <c r="DF96" s="10"/>
      <c r="DG96" s="10"/>
      <c r="DH96" s="23"/>
      <c r="DI96" s="10"/>
      <c r="DJ96" s="10"/>
      <c r="DK96" s="10"/>
      <c r="DL96" s="10"/>
      <c r="DM96" s="23"/>
      <c r="DN96" s="10"/>
      <c r="DO96" s="10"/>
      <c r="DP96" s="10"/>
      <c r="DQ96" s="10"/>
      <c r="DR96" s="23"/>
      <c r="DS96" s="10"/>
      <c r="DT96" s="10"/>
      <c r="DU96" s="10"/>
      <c r="DV96" s="10"/>
      <c r="DW96" s="23"/>
      <c r="DX96" s="10"/>
      <c r="DY96" s="10"/>
      <c r="DZ96" s="10"/>
      <c r="EA96" s="10"/>
      <c r="EB96" s="23"/>
      <c r="ED96" s="28"/>
      <c r="EE96" s="28"/>
      <c r="EG96" s="9"/>
      <c r="EH96" s="10"/>
      <c r="EI96" s="10"/>
      <c r="EJ96" s="10"/>
      <c r="EK96" s="10"/>
      <c r="EL96" s="10"/>
      <c r="EM96" s="10"/>
      <c r="EN96" s="10"/>
      <c r="EO96" s="10"/>
      <c r="EP96" s="10"/>
      <c r="EQ96" s="10"/>
      <c r="ER96" s="10"/>
      <c r="ES96" s="10"/>
      <c r="ET96" s="23"/>
      <c r="EU96" s="939"/>
      <c r="EV96" s="939"/>
      <c r="EW96" s="939"/>
      <c r="EX96" s="939"/>
      <c r="EY96" s="939"/>
      <c r="EZ96" s="939"/>
      <c r="FA96" s="531"/>
      <c r="FB96" s="531"/>
      <c r="FD96" s="15" t="s">
        <v>542</v>
      </c>
      <c r="FE96" s="10"/>
      <c r="FF96" s="10"/>
      <c r="FG96" s="10"/>
      <c r="FH96" s="10"/>
      <c r="FI96" s="11"/>
      <c r="FJ96"/>
      <c r="FK96"/>
      <c r="FL96"/>
      <c r="FM96"/>
      <c r="FN96"/>
      <c r="FO96"/>
      <c r="FP96"/>
      <c r="FQ96"/>
      <c r="FR96"/>
    </row>
    <row r="97" spans="1:174" s="1" customFormat="1" x14ac:dyDescent="0.2">
      <c r="A97" s="21" t="s">
        <v>537</v>
      </c>
      <c r="B97" s="20"/>
      <c r="G97" s="20"/>
      <c r="L97" s="20"/>
      <c r="Q97" s="20"/>
      <c r="V97" s="20"/>
      <c r="AA97" s="20"/>
      <c r="AF97" s="20"/>
      <c r="AK97" s="20"/>
      <c r="AP97" s="20"/>
      <c r="AU97" s="20"/>
      <c r="AZ97" s="20"/>
      <c r="BE97" s="20"/>
      <c r="BJ97" s="20"/>
      <c r="BO97" s="20"/>
      <c r="BT97" s="20"/>
      <c r="BU97" s="76">
        <v>-0.1</v>
      </c>
      <c r="BV97" s="162">
        <v>-0.08</v>
      </c>
      <c r="BW97" s="162">
        <v>-0.06</v>
      </c>
      <c r="BX97" s="162">
        <v>-0.01</v>
      </c>
      <c r="BY97" s="81">
        <v>-0.06</v>
      </c>
      <c r="BZ97" s="76">
        <v>0.04</v>
      </c>
      <c r="CA97" s="162">
        <v>7.0000000000000007E-2</v>
      </c>
      <c r="CB97" s="162">
        <v>0.09</v>
      </c>
      <c r="CC97" s="162">
        <v>7.0000000000000007E-2</v>
      </c>
      <c r="CD97" s="81">
        <v>7.0000000000000007E-2</v>
      </c>
      <c r="CE97" s="76">
        <v>7.0000000000000007E-2</v>
      </c>
      <c r="CF97" s="162">
        <v>6.0000000000000005E-2</v>
      </c>
      <c r="CG97" s="162">
        <v>7.0000000000000007E-2</v>
      </c>
      <c r="CH97" s="162">
        <v>0.1</v>
      </c>
      <c r="CI97" s="81">
        <v>0.08</v>
      </c>
      <c r="CJ97" s="76">
        <v>9.0000000000000011E-2</v>
      </c>
      <c r="CK97" s="162">
        <v>0.08</v>
      </c>
      <c r="CL97" s="162">
        <v>7.0000000000000007E-2</v>
      </c>
      <c r="CM97" s="162">
        <v>7.0000000000000007E-2</v>
      </c>
      <c r="CN97" s="81">
        <v>7.7499999999999999E-2</v>
      </c>
      <c r="CO97" s="76">
        <v>7.0000000000000007E-2</v>
      </c>
      <c r="CP97" s="162">
        <v>0.06</v>
      </c>
      <c r="CQ97" s="162">
        <v>0.09</v>
      </c>
      <c r="CR97" s="162">
        <v>0.08</v>
      </c>
      <c r="CS97" s="81">
        <v>7.0000000000000007E-2</v>
      </c>
      <c r="CT97" s="76">
        <v>0.05</v>
      </c>
      <c r="CU97" s="162">
        <v>0.06</v>
      </c>
      <c r="CV97" s="162">
        <v>0.06</v>
      </c>
      <c r="CW97" s="162">
        <v>0.05</v>
      </c>
      <c r="CX97" s="81">
        <v>5.2499999999999998E-2</v>
      </c>
      <c r="CY97" s="76">
        <v>0.05</v>
      </c>
      <c r="CZ97" s="162">
        <v>7.0000000000000007E-2</v>
      </c>
      <c r="DA97" s="162">
        <v>0.08</v>
      </c>
      <c r="DB97" s="162">
        <v>0.08</v>
      </c>
      <c r="DC97" s="81">
        <v>7.4999999999999997E-2</v>
      </c>
      <c r="DD97" s="76">
        <v>0.09</v>
      </c>
      <c r="DE97" s="162">
        <v>7.0000000000000007E-2</v>
      </c>
      <c r="DF97" s="162">
        <v>0.04</v>
      </c>
      <c r="DG97" s="162">
        <v>0.05</v>
      </c>
      <c r="DH97" s="81">
        <v>0.06</v>
      </c>
      <c r="DI97" s="76">
        <v>0.03</v>
      </c>
      <c r="DJ97" s="162">
        <v>0.03</v>
      </c>
      <c r="DK97" s="162">
        <v>0.05</v>
      </c>
      <c r="DL97" s="162">
        <v>0.03</v>
      </c>
      <c r="DM97" s="81">
        <v>3.5000000000000003E-2</v>
      </c>
      <c r="DN97" s="76">
        <v>0.02</v>
      </c>
      <c r="DO97" s="162">
        <v>0.02</v>
      </c>
      <c r="DP97" s="162">
        <v>0.02</v>
      </c>
      <c r="DQ97" s="162">
        <v>0.03</v>
      </c>
      <c r="DR97" s="81">
        <v>2.2499999999999999E-2</v>
      </c>
      <c r="DS97" s="76">
        <v>0.04</v>
      </c>
      <c r="DT97" s="162">
        <v>0.04</v>
      </c>
      <c r="DU97" s="162">
        <v>0.04</v>
      </c>
      <c r="DV97" s="162">
        <v>0.04</v>
      </c>
      <c r="DW97" s="81">
        <v>0.04</v>
      </c>
      <c r="DX97" s="76">
        <v>0.04</v>
      </c>
      <c r="DY97" s="162">
        <v>0.04</v>
      </c>
      <c r="DZ97" s="162">
        <v>0.04</v>
      </c>
      <c r="EA97" s="162">
        <v>0.04</v>
      </c>
      <c r="EB97" s="81">
        <v>0.04</v>
      </c>
      <c r="ED97" s="28"/>
      <c r="EE97" s="28"/>
      <c r="EG97" s="24"/>
      <c r="EH97" s="25"/>
      <c r="EI97" s="25"/>
      <c r="EJ97" s="25"/>
      <c r="EK97" s="25"/>
      <c r="EL97" s="25"/>
      <c r="EM97" s="25"/>
      <c r="EN97" s="25"/>
      <c r="EO97" s="25"/>
      <c r="EP97" s="25"/>
      <c r="EQ97" s="25"/>
      <c r="ER97" s="25"/>
      <c r="ES97" s="25"/>
      <c r="ET97" s="18"/>
      <c r="EU97" s="359">
        <f>AVERAGE(CK97,CL97,CM97,CO97)</f>
        <v>7.2500000000000009E-2</v>
      </c>
      <c r="EV97" s="359">
        <f>AVERAGE(CP97,CQ97,CR97,CT97)</f>
        <v>6.9999999999999993E-2</v>
      </c>
      <c r="EW97" s="359">
        <f>AVERAGE(CU97,CV97,CW97,CY97)</f>
        <v>5.4999999999999993E-2</v>
      </c>
      <c r="EX97" s="359">
        <f>AVERAGE(CZ97,DA97,DB97,DD97)</f>
        <v>8.0000000000000016E-2</v>
      </c>
      <c r="EY97" s="359">
        <f>AVERAGE(DE97,DF97,DG97,DI97)</f>
        <v>4.7500000000000007E-2</v>
      </c>
      <c r="EZ97" s="359">
        <f>AVERAGE(DJ97,DK97,DL97,DN97)</f>
        <v>3.2500000000000001E-2</v>
      </c>
      <c r="FA97" s="326">
        <f>AVERAGE(DO97,DP97,DQ97,DS97)</f>
        <v>2.7500000000000004E-2</v>
      </c>
      <c r="FB97" s="326">
        <f>AVERAGE(DT97,DU97,DV97,DX97)</f>
        <v>0.04</v>
      </c>
      <c r="FD97" s="245" t="s">
        <v>537</v>
      </c>
      <c r="FE97" s="569">
        <f>DN97</f>
        <v>0.02</v>
      </c>
      <c r="FF97" s="569">
        <v>0.03</v>
      </c>
      <c r="FG97" s="569">
        <f>FE97-FF97</f>
        <v>-9.9999999999999985E-3</v>
      </c>
      <c r="FH97" s="569">
        <f>DI97</f>
        <v>0.03</v>
      </c>
      <c r="FI97" s="571">
        <f>FE97-FH97</f>
        <v>-9.9999999999999985E-3</v>
      </c>
      <c r="FJ97"/>
      <c r="FK97"/>
      <c r="FL97"/>
      <c r="FM97"/>
      <c r="FN97"/>
      <c r="FO97"/>
      <c r="FP97"/>
      <c r="FQ97"/>
      <c r="FR97"/>
    </row>
    <row r="98" spans="1:174" s="1" customFormat="1" x14ac:dyDescent="0.2">
      <c r="A98" s="21" t="s">
        <v>538</v>
      </c>
      <c r="B98" s="20"/>
      <c r="G98" s="20"/>
      <c r="L98" s="20"/>
      <c r="Q98" s="20"/>
      <c r="V98" s="20"/>
      <c r="AA98" s="20"/>
      <c r="AF98" s="20"/>
      <c r="AK98" s="20"/>
      <c r="AP98" s="20"/>
      <c r="AU98" s="20"/>
      <c r="AZ98" s="20"/>
      <c r="BE98" s="20"/>
      <c r="BJ98" s="20"/>
      <c r="BO98" s="20"/>
      <c r="BT98" s="20"/>
      <c r="BU98" s="76">
        <v>-0.05</v>
      </c>
      <c r="BV98" s="162">
        <v>-0.04</v>
      </c>
      <c r="BW98" s="162">
        <v>-1.9999999999999997E-2</v>
      </c>
      <c r="BX98" s="162">
        <v>0</v>
      </c>
      <c r="BY98" s="81">
        <v>-0.03</v>
      </c>
      <c r="BZ98" s="76">
        <v>0.03</v>
      </c>
      <c r="CA98" s="162">
        <v>3.9999999999999994E-2</v>
      </c>
      <c r="CB98" s="162">
        <v>0.05</v>
      </c>
      <c r="CC98" s="162">
        <v>7.0000000000000007E-2</v>
      </c>
      <c r="CD98" s="81">
        <v>4.9999999999999996E-2</v>
      </c>
      <c r="CE98" s="76">
        <v>0.03</v>
      </c>
      <c r="CF98" s="162">
        <v>0.04</v>
      </c>
      <c r="CG98" s="162">
        <v>0.03</v>
      </c>
      <c r="CH98" s="162">
        <v>0.01</v>
      </c>
      <c r="CI98" s="81">
        <v>0.03</v>
      </c>
      <c r="CJ98" s="76">
        <v>0.02</v>
      </c>
      <c r="CK98" s="162">
        <v>-8.0000000000000002E-3</v>
      </c>
      <c r="CL98" s="162">
        <v>0</v>
      </c>
      <c r="CM98" s="162">
        <v>-0.01</v>
      </c>
      <c r="CN98" s="81">
        <v>3.0000000000000001E-3</v>
      </c>
      <c r="CO98" s="76">
        <v>-0.01</v>
      </c>
      <c r="CP98" s="162">
        <v>-0.02</v>
      </c>
      <c r="CQ98" s="162">
        <v>0.02</v>
      </c>
      <c r="CR98" s="162">
        <v>0.02</v>
      </c>
      <c r="CS98" s="81">
        <v>0</v>
      </c>
      <c r="CT98" s="76">
        <v>0.05</v>
      </c>
      <c r="CU98" s="162">
        <v>0.06</v>
      </c>
      <c r="CV98" s="162">
        <v>0.04</v>
      </c>
      <c r="CW98" s="162">
        <v>0.05</v>
      </c>
      <c r="CX98" s="81">
        <v>4.4999999999999998E-2</v>
      </c>
      <c r="CY98" s="76">
        <v>0.04</v>
      </c>
      <c r="CZ98" s="162">
        <v>0.02</v>
      </c>
      <c r="DA98" s="162">
        <v>0.03</v>
      </c>
      <c r="DB98" s="162">
        <v>0.05</v>
      </c>
      <c r="DC98" s="81">
        <v>0.04</v>
      </c>
      <c r="DD98" s="76">
        <v>0.01</v>
      </c>
      <c r="DE98" s="162">
        <v>0.01</v>
      </c>
      <c r="DF98" s="162">
        <v>-0.01</v>
      </c>
      <c r="DG98" s="162">
        <v>-0.01</v>
      </c>
      <c r="DH98" s="81">
        <v>0</v>
      </c>
      <c r="DI98" s="76">
        <v>-0.01</v>
      </c>
      <c r="DJ98" s="162">
        <v>-0.01</v>
      </c>
      <c r="DK98" s="162">
        <v>0.02</v>
      </c>
      <c r="DL98" s="162">
        <v>0.01</v>
      </c>
      <c r="DM98" s="81">
        <v>2.5000000000000005E-3</v>
      </c>
      <c r="DN98" s="76">
        <v>-0.01</v>
      </c>
      <c r="DO98" s="162">
        <v>0</v>
      </c>
      <c r="DP98" s="162">
        <v>-0.01</v>
      </c>
      <c r="DQ98" s="162">
        <v>0.02</v>
      </c>
      <c r="DR98" s="81">
        <v>0</v>
      </c>
      <c r="DS98" s="76">
        <v>0.03</v>
      </c>
      <c r="DT98" s="162">
        <v>0.03</v>
      </c>
      <c r="DU98" s="162">
        <v>0.03</v>
      </c>
      <c r="DV98" s="162">
        <v>0.03</v>
      </c>
      <c r="DW98" s="81">
        <v>0.03</v>
      </c>
      <c r="DX98" s="76">
        <v>0.03</v>
      </c>
      <c r="DY98" s="162">
        <v>0.03</v>
      </c>
      <c r="DZ98" s="162">
        <v>0.03</v>
      </c>
      <c r="EA98" s="162">
        <v>0.03</v>
      </c>
      <c r="EB98" s="81">
        <v>0.03</v>
      </c>
      <c r="ED98" s="28"/>
      <c r="EE98" s="28"/>
      <c r="EG98" s="27"/>
      <c r="EH98" s="28"/>
      <c r="EI98" s="28"/>
      <c r="EJ98" s="28"/>
      <c r="EK98" s="28"/>
      <c r="EL98" s="28"/>
      <c r="EM98" s="28"/>
      <c r="EN98" s="28"/>
      <c r="EO98" s="28"/>
      <c r="EP98" s="28"/>
      <c r="EQ98" s="28"/>
      <c r="ER98" s="28"/>
      <c r="ES98" s="28"/>
      <c r="ET98" s="20"/>
      <c r="EU98" s="106">
        <f>AVERAGE(CK98,CL98,CM98,CO98)</f>
        <v>-7.000000000000001E-3</v>
      </c>
      <c r="EV98" s="106">
        <f>AVERAGE(CP98,CQ98,CR98,CT98)</f>
        <v>1.7500000000000002E-2</v>
      </c>
      <c r="EW98" s="106">
        <f>AVERAGE(CU98,CV98,CW98,CY98)</f>
        <v>4.7500000000000007E-2</v>
      </c>
      <c r="EX98" s="106">
        <f>AVERAGE(CZ98,DA98,DB98,DD98)</f>
        <v>2.75E-2</v>
      </c>
      <c r="EY98" s="106">
        <f>AVERAGE(DE98,DF98,DG98,DI98)</f>
        <v>-5.0000000000000001E-3</v>
      </c>
      <c r="EZ98" s="106">
        <f>AVERAGE(DJ98,DK98,DL98,DN98)</f>
        <v>2.5000000000000001E-3</v>
      </c>
      <c r="FA98" s="327">
        <f>AVERAGE(DO98,DP98,DQ98,DS98)</f>
        <v>0.01</v>
      </c>
      <c r="FB98" s="327">
        <f t="shared" ref="FB98:FB100" si="365">AVERAGE(DT98,DU98,DV98,DX98)</f>
        <v>0.03</v>
      </c>
      <c r="FD98" s="241" t="s">
        <v>538</v>
      </c>
      <c r="FE98" s="569">
        <f>DN98</f>
        <v>-0.01</v>
      </c>
      <c r="FF98" s="569">
        <v>0.02</v>
      </c>
      <c r="FG98" s="569">
        <f>FE98-FF98</f>
        <v>-0.03</v>
      </c>
      <c r="FH98" s="569">
        <f>DI98</f>
        <v>-0.01</v>
      </c>
      <c r="FI98" s="571">
        <f>FE98-FH98</f>
        <v>0</v>
      </c>
      <c r="FJ98"/>
      <c r="FK98"/>
      <c r="FL98"/>
      <c r="FM98"/>
      <c r="FN98"/>
      <c r="FO98"/>
      <c r="FP98"/>
      <c r="FQ98"/>
      <c r="FR98"/>
    </row>
    <row r="99" spans="1:174" s="1" customFormat="1" x14ac:dyDescent="0.2">
      <c r="A99" s="21" t="s">
        <v>539</v>
      </c>
      <c r="B99" s="20"/>
      <c r="G99" s="20"/>
      <c r="L99" s="20"/>
      <c r="Q99" s="20"/>
      <c r="V99" s="20"/>
      <c r="AA99" s="20"/>
      <c r="AF99" s="20"/>
      <c r="AK99" s="20"/>
      <c r="AP99" s="20"/>
      <c r="AU99" s="20"/>
      <c r="AZ99" s="20"/>
      <c r="BE99" s="20"/>
      <c r="BJ99" s="20"/>
      <c r="BO99" s="20"/>
      <c r="BT99" s="20"/>
      <c r="BU99" s="76">
        <v>1.9999999999999997E-2</v>
      </c>
      <c r="BV99" s="162">
        <v>1.9999999999999997E-2</v>
      </c>
      <c r="BW99" s="162">
        <v>0.03</v>
      </c>
      <c r="BX99" s="162">
        <v>0.03</v>
      </c>
      <c r="BY99" s="81">
        <v>0.02</v>
      </c>
      <c r="BZ99" s="76">
        <v>0.06</v>
      </c>
      <c r="CA99" s="162">
        <v>0.12000000000000001</v>
      </c>
      <c r="CB99" s="162">
        <v>0.11</v>
      </c>
      <c r="CC99" s="162">
        <v>0.17</v>
      </c>
      <c r="CD99" s="81">
        <v>0.11</v>
      </c>
      <c r="CE99" s="76">
        <v>0.19</v>
      </c>
      <c r="CF99" s="162">
        <v>0.18000000000000002</v>
      </c>
      <c r="CG99" s="162">
        <v>0.26</v>
      </c>
      <c r="CH99" s="162">
        <v>0.27</v>
      </c>
      <c r="CI99" s="81">
        <v>0.22</v>
      </c>
      <c r="CJ99" s="76">
        <v>0.2</v>
      </c>
      <c r="CK99" s="162">
        <v>0.18000000000000002</v>
      </c>
      <c r="CL99" s="162">
        <v>0.12</v>
      </c>
      <c r="CM99" s="162">
        <v>0.1</v>
      </c>
      <c r="CN99" s="81">
        <v>0.14750000000000002</v>
      </c>
      <c r="CO99" s="76">
        <v>0.11</v>
      </c>
      <c r="CP99" s="162">
        <v>0.08</v>
      </c>
      <c r="CQ99" s="162">
        <v>0.09</v>
      </c>
      <c r="CR99" s="162">
        <v>0.08</v>
      </c>
      <c r="CS99" s="81">
        <v>0.09</v>
      </c>
      <c r="CT99" s="76">
        <v>0.08</v>
      </c>
      <c r="CU99" s="162">
        <v>7.0000000000000007E-2</v>
      </c>
      <c r="CV99" s="162">
        <v>6.9999999999999993E-2</v>
      </c>
      <c r="CW99" s="162">
        <v>0.05</v>
      </c>
      <c r="CX99" s="81">
        <v>6.7500000000000004E-2</v>
      </c>
      <c r="CY99" s="76">
        <v>0.08</v>
      </c>
      <c r="CZ99" s="162">
        <v>0.12</v>
      </c>
      <c r="DA99" s="162">
        <v>0.11</v>
      </c>
      <c r="DB99" s="162">
        <v>0.06</v>
      </c>
      <c r="DC99" s="81">
        <v>8.7499999999999994E-2</v>
      </c>
      <c r="DD99" s="76">
        <v>0.05</v>
      </c>
      <c r="DE99" s="162">
        <v>0.03</v>
      </c>
      <c r="DF99" s="162">
        <v>0.03</v>
      </c>
      <c r="DG99" s="162">
        <v>0.01</v>
      </c>
      <c r="DH99" s="81">
        <v>0.03</v>
      </c>
      <c r="DI99" s="76">
        <v>0.05</v>
      </c>
      <c r="DJ99" s="162">
        <v>0.03</v>
      </c>
      <c r="DK99" s="162">
        <v>0.01</v>
      </c>
      <c r="DL99" s="162">
        <v>0.02</v>
      </c>
      <c r="DM99" s="81">
        <v>2.5000000000000001E-2</v>
      </c>
      <c r="DN99" s="76">
        <v>0.01</v>
      </c>
      <c r="DO99" s="162">
        <v>0.03</v>
      </c>
      <c r="DP99" s="162">
        <v>0.03</v>
      </c>
      <c r="DQ99" s="162">
        <v>0.02</v>
      </c>
      <c r="DR99" s="81">
        <v>2.2499999999999999E-2</v>
      </c>
      <c r="DS99" s="76">
        <v>0.03</v>
      </c>
      <c r="DT99" s="162">
        <v>0.03</v>
      </c>
      <c r="DU99" s="162">
        <v>0.03</v>
      </c>
      <c r="DV99" s="162">
        <v>0.03</v>
      </c>
      <c r="DW99" s="81">
        <v>0.03</v>
      </c>
      <c r="DX99" s="76">
        <v>0.05</v>
      </c>
      <c r="DY99" s="162">
        <v>0.05</v>
      </c>
      <c r="DZ99" s="162">
        <v>0.05</v>
      </c>
      <c r="EA99" s="162">
        <v>0.05</v>
      </c>
      <c r="EB99" s="81">
        <v>0.05</v>
      </c>
      <c r="ED99" s="28"/>
      <c r="EE99" s="28"/>
      <c r="EG99" s="27"/>
      <c r="EH99" s="28"/>
      <c r="EI99" s="28"/>
      <c r="EJ99" s="28"/>
      <c r="EK99" s="28"/>
      <c r="EL99" s="28"/>
      <c r="EM99" s="28"/>
      <c r="EN99" s="28"/>
      <c r="EO99" s="28"/>
      <c r="EP99" s="28"/>
      <c r="EQ99" s="28"/>
      <c r="ER99" s="28"/>
      <c r="ES99" s="28"/>
      <c r="ET99" s="20"/>
      <c r="EU99" s="106">
        <f>AVERAGE(CK99,CL99,CM99,CO99)</f>
        <v>0.1275</v>
      </c>
      <c r="EV99" s="106">
        <f>AVERAGE(CP99,CQ99,CR99,CT99)</f>
        <v>8.2500000000000004E-2</v>
      </c>
      <c r="EW99" s="106">
        <f>AVERAGE(CU99,CV99,CW99,CY99)</f>
        <v>6.7500000000000004E-2</v>
      </c>
      <c r="EX99" s="106">
        <f>AVERAGE(CZ99,DA99,DB99,DD99)</f>
        <v>8.4999999999999992E-2</v>
      </c>
      <c r="EY99" s="106">
        <f>AVERAGE(DE99,DF99,DG99,DI99)</f>
        <v>0.03</v>
      </c>
      <c r="EZ99" s="106">
        <f>AVERAGE(DJ99,DK99,DL99,DN99)</f>
        <v>1.7499999999999998E-2</v>
      </c>
      <c r="FA99" s="327">
        <f>AVERAGE(DO99,DP99,DQ99,DS99)</f>
        <v>2.75E-2</v>
      </c>
      <c r="FB99" s="327">
        <f t="shared" si="365"/>
        <v>3.5000000000000003E-2</v>
      </c>
      <c r="FD99" s="241" t="s">
        <v>539</v>
      </c>
      <c r="FE99" s="569">
        <f>DN99</f>
        <v>0.01</v>
      </c>
      <c r="FF99" s="569">
        <v>0</v>
      </c>
      <c r="FG99" s="569">
        <f>FE99-FF99</f>
        <v>0.01</v>
      </c>
      <c r="FH99" s="569">
        <f>DI99</f>
        <v>0.05</v>
      </c>
      <c r="FI99" s="571">
        <f>FE99-FH99</f>
        <v>-0.04</v>
      </c>
      <c r="FJ99"/>
      <c r="FK99"/>
      <c r="FL99"/>
      <c r="FM99"/>
      <c r="FN99"/>
      <c r="FO99"/>
      <c r="FP99"/>
      <c r="FQ99"/>
      <c r="FR99"/>
    </row>
    <row r="100" spans="1:174" s="1" customFormat="1" x14ac:dyDescent="0.2">
      <c r="A100" s="16" t="s">
        <v>543</v>
      </c>
      <c r="B100" s="20"/>
      <c r="G100" s="20"/>
      <c r="L100" s="20"/>
      <c r="Q100" s="20"/>
      <c r="V100" s="20"/>
      <c r="AA100" s="20"/>
      <c r="AF100" s="20"/>
      <c r="AK100" s="20"/>
      <c r="AP100" s="20"/>
      <c r="AU100" s="20"/>
      <c r="AZ100" s="20"/>
      <c r="BE100" s="20"/>
      <c r="BJ100" s="20"/>
      <c r="BO100" s="20"/>
      <c r="BT100" s="20"/>
      <c r="BU100" s="94">
        <v>-0.09</v>
      </c>
      <c r="BV100" s="532">
        <v>-0.08</v>
      </c>
      <c r="BW100" s="532">
        <v>-5.2042508814619859E-2</v>
      </c>
      <c r="BX100" s="532">
        <v>-0.01</v>
      </c>
      <c r="BY100" s="46">
        <v>-0.06</v>
      </c>
      <c r="BZ100" s="94">
        <v>0.04</v>
      </c>
      <c r="CA100" s="532">
        <v>7.0000000000000007E-2</v>
      </c>
      <c r="CB100" s="532">
        <v>0.09</v>
      </c>
      <c r="CC100" s="532">
        <v>0.08</v>
      </c>
      <c r="CD100" s="46">
        <v>7.0000000000000007E-2</v>
      </c>
      <c r="CE100" s="94">
        <v>7.0000000000000007E-2</v>
      </c>
      <c r="CF100" s="532">
        <v>6.9999999999999993E-2</v>
      </c>
      <c r="CG100" s="532">
        <v>0.08</v>
      </c>
      <c r="CH100" s="532">
        <v>0.09</v>
      </c>
      <c r="CI100" s="46">
        <v>0.08</v>
      </c>
      <c r="CJ100" s="94">
        <v>9.0000000000000011E-2</v>
      </c>
      <c r="CK100" s="532">
        <v>6.9999999999999993E-2</v>
      </c>
      <c r="CL100" s="532">
        <v>0.06</v>
      </c>
      <c r="CM100" s="532">
        <v>0.06</v>
      </c>
      <c r="CN100" s="46">
        <v>7.0000000000000007E-2</v>
      </c>
      <c r="CO100" s="94">
        <v>0.06</v>
      </c>
      <c r="CP100" s="532">
        <v>0.06</v>
      </c>
      <c r="CQ100" s="532">
        <v>0.08</v>
      </c>
      <c r="CR100" s="532">
        <v>7.0000000000000007E-2</v>
      </c>
      <c r="CS100" s="46">
        <v>7.0000000000000007E-2</v>
      </c>
      <c r="CT100" s="94">
        <v>0.05</v>
      </c>
      <c r="CU100" s="532">
        <v>0.06</v>
      </c>
      <c r="CV100" s="532">
        <v>0.06</v>
      </c>
      <c r="CW100" s="532">
        <v>0.05</v>
      </c>
      <c r="CX100" s="46">
        <v>0.06</v>
      </c>
      <c r="CY100" s="94">
        <v>0.05</v>
      </c>
      <c r="CZ100" s="532">
        <v>7.0000000000000007E-2</v>
      </c>
      <c r="DA100" s="799">
        <v>7.0000000000000007E-2</v>
      </c>
      <c r="DB100" s="799">
        <v>0.08</v>
      </c>
      <c r="DC100" s="807">
        <v>7.0000000000000007E-2</v>
      </c>
      <c r="DD100" s="94">
        <v>0.08</v>
      </c>
      <c r="DE100" s="532">
        <v>0.06</v>
      </c>
      <c r="DF100" s="799">
        <v>0.04</v>
      </c>
      <c r="DG100" s="799">
        <v>0.04</v>
      </c>
      <c r="DH100" s="807">
        <v>0.05</v>
      </c>
      <c r="DI100" s="940">
        <v>0.03</v>
      </c>
      <c r="DJ100" s="799">
        <v>0.03</v>
      </c>
      <c r="DK100" s="799">
        <v>0.04</v>
      </c>
      <c r="DL100" s="799">
        <v>0.02</v>
      </c>
      <c r="DM100" s="807">
        <v>3.0000000000000002E-2</v>
      </c>
      <c r="DN100" s="940">
        <v>0.02</v>
      </c>
      <c r="DO100" s="532">
        <v>2.0816131954044907E-2</v>
      </c>
      <c r="DP100" s="532">
        <v>2.0596584608560658E-2</v>
      </c>
      <c r="DQ100" s="532">
        <v>2.7686173777082868E-2</v>
      </c>
      <c r="DR100" s="46">
        <v>2.2274722584922108E-2</v>
      </c>
      <c r="DS100" s="94">
        <v>3.7602387279092327E-2</v>
      </c>
      <c r="DT100" s="532">
        <v>3.7137913569343699E-2</v>
      </c>
      <c r="DU100" s="532">
        <v>3.7244662580674694E-2</v>
      </c>
      <c r="DV100" s="532">
        <v>3.7296492424296473E-2</v>
      </c>
      <c r="DW100" s="46">
        <v>3.7320363963351796E-2</v>
      </c>
      <c r="DX100" s="94">
        <v>4.1585597562513343E-2</v>
      </c>
      <c r="DY100" s="532">
        <v>4.2176791073925066E-2</v>
      </c>
      <c r="DZ100" s="532">
        <v>4.2197274148047012E-2</v>
      </c>
      <c r="EA100" s="532">
        <v>4.2178655759487788E-2</v>
      </c>
      <c r="EB100" s="46">
        <v>4.2034579635993302E-2</v>
      </c>
      <c r="ED100" s="28"/>
      <c r="EE100" s="28"/>
      <c r="EG100" s="30"/>
      <c r="EH100" s="2"/>
      <c r="EI100" s="2"/>
      <c r="EJ100" s="2"/>
      <c r="EK100" s="2"/>
      <c r="EL100" s="2"/>
      <c r="EM100" s="2"/>
      <c r="EN100" s="2"/>
      <c r="EO100" s="2"/>
      <c r="EP100" s="2"/>
      <c r="EQ100" s="2"/>
      <c r="ER100" s="2"/>
      <c r="ES100" s="2"/>
      <c r="ET100" s="19"/>
      <c r="EU100" s="287">
        <f>AVERAGE(CK100,CL100,CM100,CO100)</f>
        <v>6.25E-2</v>
      </c>
      <c r="EV100" s="287">
        <f>AVERAGE(CP100,CQ100,CR100,CT100)</f>
        <v>6.5000000000000002E-2</v>
      </c>
      <c r="EW100" s="287">
        <f>AVERAGE(CU100,CV100,CW100,CY100)</f>
        <v>5.4999999999999993E-2</v>
      </c>
      <c r="EX100" s="287">
        <f>AVERAGE(CZ100,DA100,DB100,DD100)</f>
        <v>7.5000000000000011E-2</v>
      </c>
      <c r="EY100" s="287">
        <f>AVERAGE(DE100,DF100,DG100,DI100)</f>
        <v>4.2500000000000003E-2</v>
      </c>
      <c r="EZ100" s="287">
        <f>AVERAGE(DJ100,DK100,DL100,DN100)</f>
        <v>2.7500000000000004E-2</v>
      </c>
      <c r="FA100" s="379">
        <f>AVERAGE(DO100,DP100,DQ100,DS100)</f>
        <v>2.667531940469519E-2</v>
      </c>
      <c r="FB100" s="379">
        <f t="shared" si="365"/>
        <v>3.8316166534207052E-2</v>
      </c>
      <c r="FD100" s="158" t="s">
        <v>543</v>
      </c>
      <c r="FE100" s="570">
        <f>DN100</f>
        <v>0.02</v>
      </c>
      <c r="FF100" s="854">
        <v>2.4555970733671943E-2</v>
      </c>
      <c r="FG100" s="570">
        <f>FE100-FF100</f>
        <v>-4.5559707336719421E-3</v>
      </c>
      <c r="FH100" s="570">
        <f>DI100</f>
        <v>0.03</v>
      </c>
      <c r="FI100" s="572">
        <f>FE100-FH100</f>
        <v>-9.9999999999999985E-3</v>
      </c>
      <c r="FJ100"/>
      <c r="FK100"/>
      <c r="FL100"/>
      <c r="FM100"/>
      <c r="FN100"/>
      <c r="FO100"/>
      <c r="FP100"/>
      <c r="FQ100"/>
      <c r="FR100"/>
    </row>
    <row r="101" spans="1:174" s="1" customFormat="1" x14ac:dyDescent="0.2">
      <c r="A101" s="12" t="s">
        <v>544</v>
      </c>
      <c r="B101" s="23"/>
      <c r="C101" s="10"/>
      <c r="D101" s="10"/>
      <c r="E101" s="10"/>
      <c r="F101" s="10"/>
      <c r="G101" s="23"/>
      <c r="H101" s="10"/>
      <c r="I101" s="10"/>
      <c r="J101" s="10"/>
      <c r="K101" s="10"/>
      <c r="L101" s="23"/>
      <c r="M101" s="10"/>
      <c r="N101" s="10"/>
      <c r="O101" s="10"/>
      <c r="P101" s="10"/>
      <c r="Q101" s="23"/>
      <c r="R101" s="10"/>
      <c r="S101" s="10"/>
      <c r="T101" s="10"/>
      <c r="U101" s="10"/>
      <c r="V101" s="23"/>
      <c r="W101" s="10"/>
      <c r="X101" s="10"/>
      <c r="Y101" s="10"/>
      <c r="Z101" s="10"/>
      <c r="AA101" s="23"/>
      <c r="AB101" s="10"/>
      <c r="AC101" s="10"/>
      <c r="AD101" s="10"/>
      <c r="AE101" s="10"/>
      <c r="AF101" s="23"/>
      <c r="AG101" s="10"/>
      <c r="AH101" s="10"/>
      <c r="AI101" s="10"/>
      <c r="AJ101" s="10"/>
      <c r="AK101" s="23"/>
      <c r="AL101" s="10"/>
      <c r="AM101" s="10"/>
      <c r="AN101" s="10"/>
      <c r="AO101" s="10"/>
      <c r="AP101" s="23"/>
      <c r="AQ101" s="10"/>
      <c r="AR101" s="10"/>
      <c r="AS101" s="10"/>
      <c r="AT101" s="10"/>
      <c r="AU101" s="23"/>
      <c r="AV101" s="10"/>
      <c r="AW101" s="10"/>
      <c r="AX101" s="10"/>
      <c r="AY101" s="10"/>
      <c r="AZ101" s="23"/>
      <c r="BA101" s="10"/>
      <c r="BB101" s="10"/>
      <c r="BC101" s="10"/>
      <c r="BD101" s="10"/>
      <c r="BE101" s="23"/>
      <c r="BF101" s="10"/>
      <c r="BG101" s="10"/>
      <c r="BH101" s="10"/>
      <c r="BI101" s="10"/>
      <c r="BJ101" s="23"/>
      <c r="BK101" s="10"/>
      <c r="BL101" s="10"/>
      <c r="BM101" s="10"/>
      <c r="BN101" s="10"/>
      <c r="BO101" s="23"/>
      <c r="BP101" s="10"/>
      <c r="BQ101" s="10"/>
      <c r="BR101" s="10"/>
      <c r="BS101" s="10"/>
      <c r="BT101" s="23"/>
      <c r="BU101" s="10"/>
      <c r="BV101" s="10"/>
      <c r="BW101" s="10"/>
      <c r="BX101" s="10"/>
      <c r="BY101" s="23"/>
      <c r="BZ101" s="10"/>
      <c r="CA101" s="10"/>
      <c r="CB101" s="10"/>
      <c r="CC101" s="10"/>
      <c r="CD101" s="23"/>
      <c r="CE101" s="10"/>
      <c r="CF101" s="10"/>
      <c r="CG101" s="10"/>
      <c r="CH101" s="10"/>
      <c r="CI101" s="23"/>
      <c r="CJ101" s="10"/>
      <c r="CK101" s="10"/>
      <c r="CL101" s="10"/>
      <c r="CM101" s="10"/>
      <c r="CN101" s="23"/>
      <c r="CO101" s="10"/>
      <c r="CP101" s="10"/>
      <c r="CQ101" s="10"/>
      <c r="CR101" s="10"/>
      <c r="CS101" s="23"/>
      <c r="CT101" s="10"/>
      <c r="CU101" s="10"/>
      <c r="CV101" s="10"/>
      <c r="CW101" s="10"/>
      <c r="CX101" s="23"/>
      <c r="CY101" s="10"/>
      <c r="CZ101" s="10"/>
      <c r="DA101" s="10"/>
      <c r="DB101" s="10"/>
      <c r="DC101" s="23"/>
      <c r="DD101" s="10"/>
      <c r="DE101" s="10"/>
      <c r="DF101" s="10"/>
      <c r="DG101" s="10"/>
      <c r="DH101" s="23"/>
      <c r="DI101" s="10"/>
      <c r="DJ101" s="10"/>
      <c r="DK101" s="10"/>
      <c r="DL101" s="10"/>
      <c r="DM101" s="23"/>
      <c r="DN101" s="10"/>
      <c r="DO101" s="10"/>
      <c r="DP101" s="10"/>
      <c r="DQ101" s="10"/>
      <c r="DR101" s="23"/>
      <c r="DS101" s="10"/>
      <c r="DT101" s="10"/>
      <c r="DU101" s="10"/>
      <c r="DV101" s="10"/>
      <c r="DW101" s="23"/>
      <c r="DX101" s="10"/>
      <c r="DY101" s="10"/>
      <c r="DZ101" s="10"/>
      <c r="EA101" s="10"/>
      <c r="EB101" s="23"/>
      <c r="ED101" s="28"/>
      <c r="EE101" s="28"/>
      <c r="EG101" s="9"/>
      <c r="EH101" s="10"/>
      <c r="EI101" s="10"/>
      <c r="EJ101" s="10"/>
      <c r="EK101" s="10"/>
      <c r="EL101" s="10"/>
      <c r="EM101" s="10"/>
      <c r="EN101" s="10"/>
      <c r="EO101" s="10"/>
      <c r="EP101" s="10"/>
      <c r="EQ101" s="10"/>
      <c r="ER101" s="10"/>
      <c r="ES101" s="10"/>
      <c r="ET101" s="23"/>
      <c r="EU101" s="23"/>
      <c r="EV101" s="23"/>
      <c r="EW101" s="23"/>
      <c r="EX101" s="23"/>
      <c r="EY101" s="23"/>
      <c r="EZ101" s="23"/>
      <c r="FA101" s="11"/>
      <c r="FB101" s="11"/>
      <c r="FD101" s="12" t="s">
        <v>544</v>
      </c>
      <c r="FE101" s="10"/>
      <c r="FF101" s="10"/>
      <c r="FG101" s="10"/>
      <c r="FH101" s="10"/>
      <c r="FI101" s="11"/>
      <c r="FJ101"/>
      <c r="FK101"/>
      <c r="FL101"/>
      <c r="FM101"/>
      <c r="FN101"/>
      <c r="FO101"/>
      <c r="FP101"/>
      <c r="FQ101"/>
      <c r="FR101"/>
    </row>
    <row r="102" spans="1:174" s="1" customFormat="1" x14ac:dyDescent="0.2">
      <c r="A102" s="1" t="s">
        <v>545</v>
      </c>
      <c r="B102" s="20"/>
      <c r="G102" s="20"/>
      <c r="L102" s="20"/>
      <c r="Q102" s="20"/>
      <c r="V102" s="20"/>
      <c r="AA102" s="20"/>
      <c r="AF102" s="20"/>
      <c r="AK102" s="20"/>
      <c r="AP102" s="20"/>
      <c r="AU102" s="20"/>
      <c r="AZ102" s="462">
        <f>BS!AZ9</f>
        <v>145.053</v>
      </c>
      <c r="BA102" s="463">
        <f>BS!BA9</f>
        <v>643.548</v>
      </c>
      <c r="BB102" s="463">
        <f>BS!BB9</f>
        <v>177.142</v>
      </c>
      <c r="BC102" s="463">
        <f>BS!BC9</f>
        <v>130.11199999999999</v>
      </c>
      <c r="BD102" s="463">
        <f>BS!BD9</f>
        <v>173.809</v>
      </c>
      <c r="BE102" s="462">
        <f>BS!BE9</f>
        <v>173.809</v>
      </c>
      <c r="BF102" s="463">
        <f>BS!BF9</f>
        <v>251.435</v>
      </c>
      <c r="BG102" s="463">
        <f>BS!BG9</f>
        <v>202.67099999999999</v>
      </c>
      <c r="BH102" s="463">
        <f>BS!BH9</f>
        <v>215.739</v>
      </c>
      <c r="BI102" s="463">
        <f>BS!BI9</f>
        <v>312.60599999999999</v>
      </c>
      <c r="BJ102" s="462">
        <f>BS!BJ9</f>
        <v>312.60599999999999</v>
      </c>
      <c r="BK102" s="463">
        <f>BS!BK9</f>
        <v>270.87299999999999</v>
      </c>
      <c r="BL102" s="463">
        <f>BS!BL9</f>
        <v>200.179</v>
      </c>
      <c r="BM102" s="463">
        <f>BS!BM9</f>
        <v>172.78899999999999</v>
      </c>
      <c r="BN102" s="463">
        <f>BS!BN9</f>
        <v>281.26100000000002</v>
      </c>
      <c r="BO102" s="462">
        <f>BS!BO9</f>
        <v>281.26100000000002</v>
      </c>
      <c r="BP102" s="463">
        <f>BS!BP9</f>
        <v>349.3</v>
      </c>
      <c r="BQ102" s="463">
        <f>BS!BQ9</f>
        <v>303.39999999999998</v>
      </c>
      <c r="BR102" s="463">
        <f>BS!BR9</f>
        <v>297</v>
      </c>
      <c r="BS102" s="463">
        <f>BS!BS9</f>
        <v>269.8</v>
      </c>
      <c r="BT102" s="462">
        <f>BS!BT9</f>
        <v>269.8</v>
      </c>
      <c r="BU102" s="463">
        <f>BS!BU9</f>
        <v>356.8</v>
      </c>
      <c r="BV102" s="463">
        <f>BS!BV9</f>
        <v>253.2</v>
      </c>
      <c r="BW102" s="463">
        <f>BS!BW9</f>
        <v>292</v>
      </c>
      <c r="BX102" s="463">
        <f>BS!BX9</f>
        <v>599.79999999999995</v>
      </c>
      <c r="BY102" s="462">
        <f>BS!BY9</f>
        <v>599.79999999999995</v>
      </c>
      <c r="BZ102" s="463">
        <f>BS!BZ9</f>
        <v>1306.3</v>
      </c>
      <c r="CA102" s="463">
        <f>BS!CA9</f>
        <v>1086</v>
      </c>
      <c r="CB102" s="463">
        <f>BS!CB9</f>
        <v>1125.2</v>
      </c>
      <c r="CC102" s="463">
        <f>BS!CC9</f>
        <v>1164</v>
      </c>
      <c r="CD102" s="462">
        <f>BS!CD9</f>
        <v>1164</v>
      </c>
      <c r="CE102" s="463">
        <f>BS!CE9</f>
        <v>1792</v>
      </c>
      <c r="CF102" s="463">
        <f>BS!CF9</f>
        <v>1645.2</v>
      </c>
      <c r="CG102" s="463">
        <f>BS!CG9</f>
        <v>1720.8</v>
      </c>
      <c r="CH102" s="463">
        <f>BS!CH9</f>
        <v>1148.0999999999999</v>
      </c>
      <c r="CI102" s="462">
        <f>BS!CI9</f>
        <v>1148.0999999999999</v>
      </c>
      <c r="CJ102" s="463">
        <f>BS!CJ9</f>
        <v>1569.6</v>
      </c>
      <c r="CK102" s="463">
        <f>BS!CK9</f>
        <v>1432.2</v>
      </c>
      <c r="CL102" s="463">
        <f>BS!CL9</f>
        <v>1501.3</v>
      </c>
      <c r="CM102" s="463">
        <f>BS!CM9</f>
        <v>1188.5999999999999</v>
      </c>
      <c r="CN102" s="462">
        <f>BS!CN9</f>
        <v>1188.5999999999999</v>
      </c>
      <c r="CO102" s="463">
        <f>BS!CO9</f>
        <v>1852.1</v>
      </c>
      <c r="CP102" s="463">
        <f>BS!CP9</f>
        <v>1223.2</v>
      </c>
      <c r="CQ102" s="463">
        <f>BS!CQ9</f>
        <v>1430.8</v>
      </c>
      <c r="CR102" s="463">
        <f>BS!CR9</f>
        <v>2575.6999999999998</v>
      </c>
      <c r="CS102" s="462">
        <f>BS!CS9</f>
        <v>2575.6999999999998</v>
      </c>
      <c r="CT102" s="463">
        <f>BS!CT9</f>
        <v>1545.8</v>
      </c>
      <c r="CU102" s="463">
        <f>BS!CU9</f>
        <v>1190.3</v>
      </c>
      <c r="CV102" s="463">
        <f>BS!CV9</f>
        <v>1019.4</v>
      </c>
      <c r="CW102" s="463">
        <f>BS!CW9</f>
        <v>1708.4</v>
      </c>
      <c r="CX102" s="462">
        <f>BS!CX9</f>
        <v>1708.4</v>
      </c>
      <c r="CY102" s="463">
        <f>BS!CY9</f>
        <v>1857</v>
      </c>
      <c r="CZ102" s="463">
        <f>BS!CZ9</f>
        <v>1750.4</v>
      </c>
      <c r="DA102" s="463">
        <f>BS!DA9</f>
        <v>2080.5</v>
      </c>
      <c r="DB102" s="463">
        <f>BS!DB9</f>
        <v>1530.1</v>
      </c>
      <c r="DC102" s="462">
        <f>BS!DC9</f>
        <v>1530.1</v>
      </c>
      <c r="DD102" s="463">
        <f>BS!DD9</f>
        <v>2263.5</v>
      </c>
      <c r="DE102" s="463">
        <f>BS!DE9</f>
        <v>1294.4000000000001</v>
      </c>
      <c r="DF102" s="463">
        <f>BS!DF9</f>
        <v>2141.8000000000002</v>
      </c>
      <c r="DG102" s="463">
        <f>BS!DG9</f>
        <v>2128.8000000000002</v>
      </c>
      <c r="DH102" s="462">
        <f>BS!DH9</f>
        <v>2128.8000000000002</v>
      </c>
      <c r="DI102" s="463">
        <f>BS!DI9</f>
        <v>2034.6</v>
      </c>
      <c r="DJ102" s="463">
        <f>BS!DJ9</f>
        <v>2163.9</v>
      </c>
      <c r="DK102" s="463">
        <f>BS!DK9</f>
        <v>2716.2</v>
      </c>
      <c r="DL102" s="463">
        <f>BS!DL9</f>
        <v>2462.3000000000002</v>
      </c>
      <c r="DM102" s="462">
        <f>BS!DM9</f>
        <v>2462.3000000000002</v>
      </c>
      <c r="DN102" s="463">
        <f>BS!DN9</f>
        <v>4859.3240845416558</v>
      </c>
      <c r="DO102" s="463">
        <f>BS!DO9</f>
        <v>4064.8268685418752</v>
      </c>
      <c r="DP102" s="463">
        <f>BS!DP9</f>
        <v>3677.0444246807551</v>
      </c>
      <c r="DQ102" s="463">
        <f>BS!DQ9</f>
        <v>3197.7167715683722</v>
      </c>
      <c r="DR102" s="462">
        <f>BS!DR9</f>
        <v>3197.7167715683722</v>
      </c>
      <c r="DS102" s="463" t="s">
        <v>667</v>
      </c>
      <c r="DT102" s="463">
        <f>BS!DT9</f>
        <v>3849.113775498105</v>
      </c>
      <c r="DU102" s="463">
        <f>BS!DU9</f>
        <v>3558.4987815368668</v>
      </c>
      <c r="DV102" s="463">
        <f>BS!DV9</f>
        <v>3207.1224126739853</v>
      </c>
      <c r="DW102" s="462">
        <f>BS!DW9</f>
        <v>3207.1224126739853</v>
      </c>
      <c r="DX102" s="463">
        <f>BS!DX9</f>
        <v>4266.3009364135432</v>
      </c>
      <c r="DY102" s="463">
        <f>BS!DY9</f>
        <v>3817.2382699160744</v>
      </c>
      <c r="DZ102" s="463">
        <f>BS!DZ9</f>
        <v>3380.912205931706</v>
      </c>
      <c r="EA102" s="463">
        <f>BS!EA9</f>
        <v>2916.4021584186521</v>
      </c>
      <c r="EB102" s="462">
        <f>BS!EB9</f>
        <v>2916.4021584186521</v>
      </c>
      <c r="ED102" s="28"/>
      <c r="EE102" s="28"/>
      <c r="FD102" s="18" t="s">
        <v>545</v>
      </c>
      <c r="FE102" s="269">
        <f>DN102</f>
        <v>4859.3240845416558</v>
      </c>
      <c r="FF102" s="269">
        <v>3402.5932417482627</v>
      </c>
      <c r="FG102" s="269">
        <f>FE102-FF102</f>
        <v>1456.7308427933931</v>
      </c>
      <c r="FH102" s="269">
        <f>DI102</f>
        <v>2034.6</v>
      </c>
      <c r="FI102" s="249">
        <f>FE102/FH102-1</f>
        <v>1.3883436963244158</v>
      </c>
      <c r="FJ102"/>
      <c r="FK102"/>
      <c r="FL102"/>
      <c r="FM102"/>
      <c r="FN102"/>
      <c r="FO102"/>
      <c r="FP102"/>
      <c r="FQ102"/>
      <c r="FR102"/>
    </row>
    <row r="103" spans="1:174" s="1" customFormat="1" x14ac:dyDescent="0.2">
      <c r="A103" s="1" t="s">
        <v>546</v>
      </c>
      <c r="B103" s="20"/>
      <c r="G103" s="20"/>
      <c r="L103" s="20"/>
      <c r="Q103" s="20"/>
      <c r="V103" s="20"/>
      <c r="AA103" s="20"/>
      <c r="AF103" s="20"/>
      <c r="AK103" s="20"/>
      <c r="AP103" s="20"/>
      <c r="AU103" s="20"/>
      <c r="AZ103" s="342">
        <f>BS!AZ45</f>
        <v>3.6179999999999999</v>
      </c>
      <c r="BA103" s="75">
        <f>BS!BA45</f>
        <v>3.4329999999999998</v>
      </c>
      <c r="BB103" s="75">
        <f>BS!BB45</f>
        <v>3.246</v>
      </c>
      <c r="BC103" s="75">
        <f>BS!BC45</f>
        <v>3.0579999999999998</v>
      </c>
      <c r="BD103" s="75">
        <f>BS!BD45</f>
        <v>2.87</v>
      </c>
      <c r="BE103" s="342">
        <f>BS!BE45</f>
        <v>2.87</v>
      </c>
      <c r="BF103" s="75">
        <f>BS!BF45</f>
        <v>2.681</v>
      </c>
      <c r="BG103" s="75">
        <f>BS!BG45</f>
        <v>2.4910000000000001</v>
      </c>
      <c r="BH103" s="75">
        <f>BS!BH45</f>
        <v>2.2999999999999998</v>
      </c>
      <c r="BI103" s="75">
        <f>BS!BI45</f>
        <v>1.958</v>
      </c>
      <c r="BJ103" s="342">
        <f>BS!BJ45</f>
        <v>1.958</v>
      </c>
      <c r="BK103" s="75">
        <f>BS!BK45</f>
        <v>1.746</v>
      </c>
      <c r="BL103" s="75">
        <f>BS!BL45</f>
        <v>1.5509999999999999</v>
      </c>
      <c r="BM103" s="75">
        <f>BS!BM45</f>
        <v>1.3560000000000001</v>
      </c>
      <c r="BN103" s="75">
        <f>BS!BN45</f>
        <v>550.12099999999998</v>
      </c>
      <c r="BO103" s="342">
        <f>BS!BO45</f>
        <v>550.12099999999998</v>
      </c>
      <c r="BP103" s="75">
        <f>BS!BP45</f>
        <v>550</v>
      </c>
      <c r="BQ103" s="75">
        <f>BS!BQ45</f>
        <v>549.9</v>
      </c>
      <c r="BR103" s="75">
        <f>BS!BR45</f>
        <v>549.79999999999995</v>
      </c>
      <c r="BS103" s="75">
        <f>BS!BS45</f>
        <v>549.6</v>
      </c>
      <c r="BT103" s="342">
        <f>BS!BT45</f>
        <v>549.6</v>
      </c>
      <c r="BU103" s="75">
        <f>BS!BU45</f>
        <v>549.5</v>
      </c>
      <c r="BV103" s="75">
        <f>BS!BV45</f>
        <v>549.4</v>
      </c>
      <c r="BW103" s="75">
        <f>BS!BW45</f>
        <v>549.4</v>
      </c>
      <c r="BX103" s="75">
        <f>BS!BX45</f>
        <v>549.29999999999995</v>
      </c>
      <c r="BY103" s="342">
        <f>BS!BY45</f>
        <v>549.29999999999995</v>
      </c>
      <c r="BZ103" s="75">
        <f>BS!BZ45</f>
        <v>549.29999999999995</v>
      </c>
      <c r="CA103" s="75">
        <f>BS!CA45</f>
        <v>549.29999999999995</v>
      </c>
      <c r="CB103" s="75">
        <f>BS!CB45</f>
        <v>549.4</v>
      </c>
      <c r="CC103" s="75">
        <f>BS!CC45</f>
        <v>549.4</v>
      </c>
      <c r="CD103" s="342">
        <f>BS!CD45</f>
        <v>549.4</v>
      </c>
      <c r="CE103" s="75">
        <f>BS!CE45</f>
        <v>549.4</v>
      </c>
      <c r="CF103" s="75">
        <f>BS!CF45</f>
        <v>549.4</v>
      </c>
      <c r="CG103" s="75">
        <f>BS!CG45</f>
        <v>549.4</v>
      </c>
      <c r="CH103" s="75">
        <f>BS!CH45</f>
        <v>549.5</v>
      </c>
      <c r="CI103" s="342">
        <f>BS!CI45</f>
        <v>549.5</v>
      </c>
      <c r="CJ103" s="75">
        <f>BS!CJ45</f>
        <v>549.5</v>
      </c>
      <c r="CK103" s="75">
        <f>BS!CK45</f>
        <v>549.6</v>
      </c>
      <c r="CL103" s="75">
        <f>BS!CL45</f>
        <v>549.6</v>
      </c>
      <c r="CM103" s="75">
        <f>BS!CM45</f>
        <v>549.6</v>
      </c>
      <c r="CN103" s="342">
        <f>BS!CN45</f>
        <v>549.6</v>
      </c>
      <c r="CO103" s="75">
        <f>BS!CO45</f>
        <v>549.6</v>
      </c>
      <c r="CP103" s="75">
        <f>BS!CP45</f>
        <v>549.6</v>
      </c>
      <c r="CQ103" s="75">
        <f>BS!CQ45</f>
        <v>549.70000000000005</v>
      </c>
      <c r="CR103" s="75">
        <f>BS!CR45</f>
        <v>1299.4000000000001</v>
      </c>
      <c r="CS103" s="342">
        <f>BS!CS45</f>
        <v>1299.4000000000001</v>
      </c>
      <c r="CT103" s="75">
        <f>BS!CT45</f>
        <v>2047.9</v>
      </c>
      <c r="CU103" s="75">
        <f>BS!CU45</f>
        <v>2048</v>
      </c>
      <c r="CV103" s="75">
        <f>BS!CV45</f>
        <v>2048.1</v>
      </c>
      <c r="CW103" s="75">
        <f>BS!CW45</f>
        <v>2048.3000000000002</v>
      </c>
      <c r="CX103" s="342">
        <f>BS!CX45</f>
        <v>2048.3000000000002</v>
      </c>
      <c r="CY103" s="75">
        <f>BS!CY45</f>
        <v>2048.4</v>
      </c>
      <c r="CZ103" s="75">
        <f>BS!CZ45</f>
        <v>2048.5</v>
      </c>
      <c r="DA103" s="75">
        <f>BS!DA45</f>
        <v>2347.4</v>
      </c>
      <c r="DB103" s="75">
        <f>BS!DB45</f>
        <v>2347.5</v>
      </c>
      <c r="DC103" s="342">
        <f>BS!DC45</f>
        <v>2347.5</v>
      </c>
      <c r="DD103" s="75">
        <f>BS!DD45</f>
        <v>1947.9</v>
      </c>
      <c r="DE103" s="75">
        <f>BS!DE45</f>
        <v>2447.6</v>
      </c>
      <c r="DF103" s="75">
        <f>BS!DF45</f>
        <v>3202.4</v>
      </c>
      <c r="DG103" s="75">
        <f>BS!DG45</f>
        <v>3202.2</v>
      </c>
      <c r="DH103" s="342">
        <f>BS!DH45</f>
        <v>3202.2</v>
      </c>
      <c r="DI103" s="75">
        <f>BS!DI45</f>
        <v>3185.7</v>
      </c>
      <c r="DJ103" s="75">
        <f>BS!DJ45</f>
        <v>3942.5</v>
      </c>
      <c r="DK103" s="75">
        <f>BS!DK45</f>
        <v>3935.5</v>
      </c>
      <c r="DL103" s="75">
        <f>BS!DL45</f>
        <v>3932.6</v>
      </c>
      <c r="DM103" s="342">
        <f>BS!DM45</f>
        <v>3932.6</v>
      </c>
      <c r="DN103" s="75">
        <f>BS!DN45</f>
        <v>5432.6</v>
      </c>
      <c r="DO103" s="75">
        <f>BS!DO45</f>
        <v>5432.6</v>
      </c>
      <c r="DP103" s="75">
        <f>BS!DP45</f>
        <v>5432.6</v>
      </c>
      <c r="DQ103" s="75">
        <f>BS!DQ45</f>
        <v>5432.6</v>
      </c>
      <c r="DR103" s="342">
        <f>BS!DR45</f>
        <v>5432.6</v>
      </c>
      <c r="DS103" s="75">
        <f>BS!DS45</f>
        <v>6932.6</v>
      </c>
      <c r="DT103" s="75">
        <f>BS!DT45</f>
        <v>6932.6</v>
      </c>
      <c r="DU103" s="75">
        <f>BS!DU45</f>
        <v>6932.6</v>
      </c>
      <c r="DV103" s="75">
        <f>BS!DV45</f>
        <v>6932.6</v>
      </c>
      <c r="DW103" s="342">
        <f>BS!DW45</f>
        <v>6932.6</v>
      </c>
      <c r="DX103" s="75">
        <f>BS!DX45</f>
        <v>7932.6</v>
      </c>
      <c r="DY103" s="75">
        <f>BS!DY45</f>
        <v>7932.6</v>
      </c>
      <c r="DZ103" s="75">
        <f>BS!DZ45</f>
        <v>7932.6</v>
      </c>
      <c r="EA103" s="75">
        <f>BS!EA45</f>
        <v>7932.6</v>
      </c>
      <c r="EB103" s="342">
        <f>BS!EB45</f>
        <v>7932.6</v>
      </c>
      <c r="ED103" s="28"/>
      <c r="EE103" s="28"/>
      <c r="FD103" s="20" t="s">
        <v>546</v>
      </c>
      <c r="FE103" s="269">
        <f>DN103</f>
        <v>5432.6</v>
      </c>
      <c r="FF103" s="269">
        <v>5432.6</v>
      </c>
      <c r="FG103" s="269">
        <f>FE103-FF103</f>
        <v>0</v>
      </c>
      <c r="FH103" s="269">
        <f>DI103</f>
        <v>3185.7</v>
      </c>
      <c r="FI103" s="249">
        <f>FE103/FH103-1</f>
        <v>0.70530809555199814</v>
      </c>
      <c r="FJ103"/>
      <c r="FK103"/>
      <c r="FL103"/>
      <c r="FM103"/>
      <c r="FN103"/>
      <c r="FO103"/>
      <c r="FP103"/>
      <c r="FQ103"/>
      <c r="FR103"/>
    </row>
    <row r="104" spans="1:174" s="1" customFormat="1" x14ac:dyDescent="0.2">
      <c r="A104" s="1" t="s">
        <v>547</v>
      </c>
      <c r="B104" s="321"/>
      <c r="C104" s="73"/>
      <c r="D104" s="73"/>
      <c r="E104" s="73"/>
      <c r="F104" s="73"/>
      <c r="G104" s="321"/>
      <c r="H104" s="73"/>
      <c r="I104" s="73"/>
      <c r="J104" s="73"/>
      <c r="K104" s="73"/>
      <c r="L104" s="321"/>
      <c r="M104" s="73"/>
      <c r="N104" s="73"/>
      <c r="O104" s="73"/>
      <c r="P104" s="73"/>
      <c r="Q104" s="321"/>
      <c r="R104" s="73"/>
      <c r="S104" s="73"/>
      <c r="T104" s="73"/>
      <c r="U104" s="73"/>
      <c r="V104" s="321"/>
      <c r="W104" s="73"/>
      <c r="X104" s="73"/>
      <c r="Y104" s="73"/>
      <c r="Z104" s="73"/>
      <c r="AA104" s="321"/>
      <c r="AB104" s="73"/>
      <c r="AC104" s="73"/>
      <c r="AD104" s="73"/>
      <c r="AE104" s="73"/>
      <c r="AF104" s="321"/>
      <c r="AG104" s="73"/>
      <c r="AH104" s="73"/>
      <c r="AI104" s="73"/>
      <c r="AJ104" s="73"/>
      <c r="AK104" s="321"/>
      <c r="AL104" s="73"/>
      <c r="AM104" s="73"/>
      <c r="AN104" s="73"/>
      <c r="AO104" s="73"/>
      <c r="AP104" s="321"/>
      <c r="AQ104" s="73"/>
      <c r="AR104" s="73"/>
      <c r="AS104" s="73"/>
      <c r="AT104" s="73"/>
      <c r="AU104" s="321"/>
      <c r="AV104" s="73"/>
      <c r="AW104" s="73"/>
      <c r="AX104" s="73"/>
      <c r="AY104" s="73"/>
      <c r="AZ104" s="321">
        <f>BS!AZ68</f>
        <v>0</v>
      </c>
      <c r="BA104" s="73">
        <f>BS!BA68</f>
        <v>0</v>
      </c>
      <c r="BB104" s="73">
        <f>BS!BB68</f>
        <v>0</v>
      </c>
      <c r="BC104" s="73">
        <f>BS!BC68</f>
        <v>0</v>
      </c>
      <c r="BD104" s="73">
        <f>BS!BD68</f>
        <v>0</v>
      </c>
      <c r="BE104" s="321">
        <f>BS!BE68</f>
        <v>0</v>
      </c>
      <c r="BF104" s="73">
        <f>BS!BF68</f>
        <v>0</v>
      </c>
      <c r="BG104" s="73">
        <f>BS!BG68</f>
        <v>0</v>
      </c>
      <c r="BH104" s="73">
        <f>BS!BH68</f>
        <v>0</v>
      </c>
      <c r="BI104" s="73">
        <f>BS!BI68</f>
        <v>0</v>
      </c>
      <c r="BJ104" s="321">
        <f>BS!BJ68</f>
        <v>0.22712268609402489</v>
      </c>
      <c r="BK104" s="73">
        <f>BS!BK68</f>
        <v>-2.1853239079974648E-2</v>
      </c>
      <c r="BL104" s="73">
        <f>BS!BL68</f>
        <v>0.38686864710042729</v>
      </c>
      <c r="BM104" s="73">
        <f>BS!BM68</f>
        <v>0.41210207850752378</v>
      </c>
      <c r="BN104" s="73">
        <f>BS!BN68</f>
        <v>0.56628632336752349</v>
      </c>
      <c r="BO104" s="321">
        <f>BS!BO68</f>
        <v>0.56628632336752349</v>
      </c>
      <c r="BP104" s="73">
        <f>BS!BP68</f>
        <v>0.39043516014603713</v>
      </c>
      <c r="BQ104" s="73">
        <f>BS!BQ68</f>
        <v>0.56803339532020669</v>
      </c>
      <c r="BR104" s="73">
        <f>BS!BR68</f>
        <v>0.60938161388386536</v>
      </c>
      <c r="BS104" s="73">
        <f>BS!BS68</f>
        <v>0.82924320617849845</v>
      </c>
      <c r="BT104" s="321">
        <f>BS!BT68</f>
        <v>0.82924320617849845</v>
      </c>
      <c r="BU104" s="73">
        <f>BS!BU68</f>
        <v>0.45133880274071414</v>
      </c>
      <c r="BV104" s="73">
        <f>BS!BV68</f>
        <v>0.59325020330712963</v>
      </c>
      <c r="BW104" s="73">
        <f>BS!BW68</f>
        <v>0.19336204180233163</v>
      </c>
      <c r="BX104" s="73">
        <f>BS!BX68</f>
        <v>-0.13039117352056159</v>
      </c>
      <c r="BY104" s="321">
        <f>BS!BY68</f>
        <v>-0.13039117352056159</v>
      </c>
      <c r="BZ104" s="73">
        <f>BS!BZ68</f>
        <v>-0.63054446870999292</v>
      </c>
      <c r="CA104" s="73">
        <f>BS!CA68</f>
        <v>-0.5952380952380949</v>
      </c>
      <c r="CB104" s="73">
        <f>BS!CB68</f>
        <v>-0.61253167472932468</v>
      </c>
      <c r="CC104" s="73">
        <f>BS!CC68</f>
        <v>-0.54041869623795202</v>
      </c>
      <c r="CD104" s="321">
        <f>BS!CD68</f>
        <v>-0.54041869623795202</v>
      </c>
      <c r="CE104" s="73">
        <f>BS!CE68</f>
        <v>-0.75986129172084915</v>
      </c>
      <c r="CF104" s="73">
        <f>BS!CF68</f>
        <v>-0.66920637925322979</v>
      </c>
      <c r="CG104" s="73">
        <f>BS!CG68</f>
        <v>-0.6545006615265293</v>
      </c>
      <c r="CH104" s="73">
        <f>BS!CH68</f>
        <v>-0.69301478751276679</v>
      </c>
      <c r="CI104" s="321">
        <f>BS!CI68</f>
        <v>-0.69301478751276679</v>
      </c>
      <c r="CJ104" s="73">
        <f>BS!CJ68</f>
        <v>-0.80838737570255048</v>
      </c>
      <c r="CK104" s="73">
        <f>BS!CK68</f>
        <v>-0.77064915382672394</v>
      </c>
      <c r="CL104" s="73">
        <f>BS!CL68</f>
        <v>-0.84470064724919103</v>
      </c>
      <c r="CM104" s="73">
        <f>BS!CM68</f>
        <v>-0.62930256289493314</v>
      </c>
      <c r="CN104" s="321">
        <f>BS!CN68</f>
        <v>-0.62930256289493314</v>
      </c>
      <c r="CO104" s="73">
        <f>BS!CO68</f>
        <v>-0.75479784571038466</v>
      </c>
      <c r="CP104" s="73">
        <f>BS!CP68</f>
        <v>-0.43108122763257783</v>
      </c>
      <c r="CQ104" s="73">
        <f>BS!CQ68</f>
        <v>-0.52984689489076209</v>
      </c>
      <c r="CR104" s="73">
        <f>BS!CR68</f>
        <v>-0.646938510486332</v>
      </c>
      <c r="CS104" s="321">
        <f>BS!CS68</f>
        <v>-0.646938510486332</v>
      </c>
      <c r="CT104" s="73">
        <f>BS!CT68</f>
        <v>0.15384379691760888</v>
      </c>
      <c r="CU104" s="73">
        <f>BS!CU68</f>
        <v>0.2533825701624815</v>
      </c>
      <c r="CV104" s="73">
        <f>BS!CV68</f>
        <v>0.28854730582592336</v>
      </c>
      <c r="CW104" s="73">
        <f>BS!CW68</f>
        <v>9.0149586250795666E-2</v>
      </c>
      <c r="CX104" s="321">
        <f>BS!CX68</f>
        <v>9.0149586250795666E-2</v>
      </c>
      <c r="CY104" s="73">
        <f>BS!CY68</f>
        <v>4.8715925577133556E-2</v>
      </c>
      <c r="CZ104" s="73">
        <f>BS!CZ68</f>
        <v>7.2618757612667423E-2</v>
      </c>
      <c r="DA104" s="73">
        <f>BS!DA68</f>
        <v>0.18854900150063481</v>
      </c>
      <c r="DB104" s="73">
        <f>BS!DB68</f>
        <v>0.18185054172506623</v>
      </c>
      <c r="DC104" s="321">
        <f>BS!DC68</f>
        <v>0.18185054172506623</v>
      </c>
      <c r="DD104" s="73">
        <f>BS!DD68</f>
        <v>1.8041955045104946E-2</v>
      </c>
      <c r="DE104" s="73">
        <f>BS!DE68</f>
        <v>0.32460339025562784</v>
      </c>
      <c r="DF104" s="73">
        <f>BS!DF68</f>
        <v>0.29931749707937949</v>
      </c>
      <c r="DG104" s="73">
        <f>BS!DG68</f>
        <v>0.28594162397143286</v>
      </c>
      <c r="DH104" s="321">
        <f>BS!DH68</f>
        <v>0.28594162397143286</v>
      </c>
      <c r="DI104" s="73">
        <f>BS!DI68</f>
        <v>0.21960851648351645</v>
      </c>
      <c r="DJ104" s="73">
        <f>BS!DJ68</f>
        <v>0.33911179633738198</v>
      </c>
      <c r="DK104" s="73">
        <f>BS!DK68</f>
        <v>0.22809840052380512</v>
      </c>
      <c r="DL104" s="73">
        <f>BS!DL68</f>
        <v>0.28571706179556933</v>
      </c>
      <c r="DM104" s="321">
        <f>BS!DM68</f>
        <v>0.28571706179556933</v>
      </c>
      <c r="DN104" s="73">
        <f>BS!DN68</f>
        <v>0.11156266599041459</v>
      </c>
      <c r="DO104" s="73">
        <f>BS!DO68</f>
        <v>0.26091340656205253</v>
      </c>
      <c r="DP104" s="73">
        <f>BS!DP68</f>
        <v>0.32206574595250542</v>
      </c>
      <c r="DQ104" s="73">
        <f>BS!DQ68</f>
        <v>0.3915529683243496</v>
      </c>
      <c r="DR104" s="321">
        <f>BS!DR68</f>
        <v>0.3915529683243496</v>
      </c>
      <c r="DS104" s="73">
        <f>BS!DS68</f>
        <v>0.40867084119250102</v>
      </c>
      <c r="DT104" s="73">
        <f>BS!DT68</f>
        <v>0.50930765258454536</v>
      </c>
      <c r="DU104" s="73">
        <f>BS!DU68</f>
        <v>0.54085037797854352</v>
      </c>
      <c r="DV104" s="73">
        <f>BS!DV68</f>
        <v>0.58039347304127165</v>
      </c>
      <c r="DW104" s="321">
        <f>BS!DW68</f>
        <v>0.58039347304127165</v>
      </c>
      <c r="DX104" s="73">
        <f>BS!DX68</f>
        <v>0.55620811845442342</v>
      </c>
      <c r="DY104" s="73">
        <f>BS!DY68</f>
        <v>0.60843094477929571</v>
      </c>
      <c r="DZ104" s="73">
        <f>BS!DZ68</f>
        <v>0.65401240999561971</v>
      </c>
      <c r="EA104" s="73">
        <f>BS!EA68</f>
        <v>0.70101514001008036</v>
      </c>
      <c r="EB104" s="321">
        <f>BS!EB68</f>
        <v>0.70101514001008036</v>
      </c>
      <c r="ED104" s="28"/>
      <c r="EE104" s="28"/>
      <c r="FD104" s="19" t="s">
        <v>547</v>
      </c>
      <c r="FE104" s="405">
        <f>DN104</f>
        <v>0.11156266599041459</v>
      </c>
      <c r="FF104" s="855">
        <v>0.38694865431225645</v>
      </c>
      <c r="FG104" s="405">
        <f>FE104-FF104</f>
        <v>-0.27538598832184186</v>
      </c>
      <c r="FH104" s="405">
        <f>DI104</f>
        <v>0.21960851648351645</v>
      </c>
      <c r="FI104" s="249">
        <f>FE104/FH104-1</f>
        <v>-0.49199298926647794</v>
      </c>
      <c r="FJ104"/>
      <c r="FK104"/>
      <c r="FL104"/>
      <c r="FM104"/>
      <c r="FN104"/>
      <c r="FO104"/>
      <c r="FP104"/>
      <c r="FQ104"/>
      <c r="FR104"/>
    </row>
    <row r="105" spans="1:174" s="1" customFormat="1" x14ac:dyDescent="0.2">
      <c r="A105" s="12" t="s">
        <v>548</v>
      </c>
      <c r="B105" s="23"/>
      <c r="C105" s="10"/>
      <c r="D105" s="10"/>
      <c r="E105" s="10"/>
      <c r="F105" s="10"/>
      <c r="G105" s="23"/>
      <c r="H105" s="10"/>
      <c r="I105" s="10"/>
      <c r="J105" s="10"/>
      <c r="K105" s="10"/>
      <c r="L105" s="23"/>
      <c r="M105" s="10"/>
      <c r="N105" s="10"/>
      <c r="O105" s="10"/>
      <c r="P105" s="10"/>
      <c r="Q105" s="23"/>
      <c r="R105" s="10"/>
      <c r="S105" s="10"/>
      <c r="T105" s="10"/>
      <c r="U105" s="10"/>
      <c r="V105" s="23"/>
      <c r="W105" s="10"/>
      <c r="X105" s="10"/>
      <c r="Y105" s="10"/>
      <c r="Z105" s="10"/>
      <c r="AA105" s="23"/>
      <c r="AB105" s="10"/>
      <c r="AC105" s="10"/>
      <c r="AD105" s="10"/>
      <c r="AE105" s="10"/>
      <c r="AF105" s="23"/>
      <c r="AG105" s="10"/>
      <c r="AH105" s="10"/>
      <c r="AI105" s="10"/>
      <c r="AJ105" s="10"/>
      <c r="AK105" s="23"/>
      <c r="AL105" s="10"/>
      <c r="AM105" s="10"/>
      <c r="AN105" s="10"/>
      <c r="AO105" s="10"/>
      <c r="AP105" s="23"/>
      <c r="AQ105" s="10"/>
      <c r="AR105" s="10"/>
      <c r="AS105" s="10"/>
      <c r="AT105" s="10"/>
      <c r="AU105" s="23"/>
      <c r="AV105" s="10"/>
      <c r="AW105" s="10"/>
      <c r="AX105" s="10"/>
      <c r="AY105" s="10"/>
      <c r="AZ105" s="23"/>
      <c r="BA105" s="10"/>
      <c r="BB105" s="10"/>
      <c r="BC105" s="10"/>
      <c r="BD105" s="10"/>
      <c r="BE105" s="23"/>
      <c r="BF105" s="10"/>
      <c r="BG105" s="10"/>
      <c r="BH105" s="10"/>
      <c r="BI105" s="10"/>
      <c r="BJ105" s="23"/>
      <c r="BK105" s="10"/>
      <c r="BL105" s="10"/>
      <c r="BM105" s="10"/>
      <c r="BN105" s="10"/>
      <c r="BO105" s="23"/>
      <c r="BP105" s="10"/>
      <c r="BQ105" s="10"/>
      <c r="BR105" s="10"/>
      <c r="BS105" s="10"/>
      <c r="BT105" s="23"/>
      <c r="BU105" s="10"/>
      <c r="BV105" s="10"/>
      <c r="BW105" s="10"/>
      <c r="BX105" s="10"/>
      <c r="BY105" s="23"/>
      <c r="BZ105" s="10"/>
      <c r="CA105" s="10"/>
      <c r="CB105" s="10"/>
      <c r="CC105" s="10"/>
      <c r="CD105" s="23"/>
      <c r="CE105" s="10"/>
      <c r="CF105" s="10"/>
      <c r="CG105" s="10"/>
      <c r="CH105" s="10"/>
      <c r="CI105" s="23"/>
      <c r="CJ105" s="10"/>
      <c r="CK105" s="10"/>
      <c r="CL105" s="10"/>
      <c r="CM105" s="10"/>
      <c r="CN105" s="23"/>
      <c r="CO105" s="10"/>
      <c r="CP105" s="10"/>
      <c r="CQ105" s="10"/>
      <c r="CR105" s="10"/>
      <c r="CS105" s="23"/>
      <c r="CT105" s="10"/>
      <c r="CU105" s="10"/>
      <c r="CV105" s="10"/>
      <c r="CW105" s="10"/>
      <c r="CX105" s="23"/>
      <c r="CY105" s="10"/>
      <c r="CZ105" s="10"/>
      <c r="DA105" s="10"/>
      <c r="DB105" s="10"/>
      <c r="DC105" s="23"/>
      <c r="DD105" s="10"/>
      <c r="DE105" s="10"/>
      <c r="DF105" s="10"/>
      <c r="DG105" s="10"/>
      <c r="DH105" s="23"/>
      <c r="DI105" s="10"/>
      <c r="DJ105" s="10"/>
      <c r="DK105" s="10"/>
      <c r="DL105" s="10"/>
      <c r="DM105" s="23"/>
      <c r="DN105" s="10"/>
      <c r="DO105" s="10"/>
      <c r="DP105" s="10"/>
      <c r="DQ105" s="10"/>
      <c r="DR105" s="23"/>
      <c r="DS105" s="10"/>
      <c r="DT105" s="10"/>
      <c r="DU105" s="10"/>
      <c r="DV105" s="10"/>
      <c r="DW105" s="23"/>
      <c r="DX105" s="10"/>
      <c r="DY105" s="10"/>
      <c r="DZ105" s="10"/>
      <c r="EA105" s="10"/>
      <c r="EB105" s="23"/>
      <c r="ED105" s="28"/>
      <c r="EE105" s="28"/>
      <c r="FD105" s="15" t="s">
        <v>548</v>
      </c>
      <c r="FE105" s="10"/>
      <c r="FF105" s="10"/>
      <c r="FG105" s="10"/>
      <c r="FH105" s="10"/>
      <c r="FI105" s="11"/>
      <c r="FJ105"/>
      <c r="FK105"/>
      <c r="FL105"/>
      <c r="FM105"/>
      <c r="FN105"/>
      <c r="FO105"/>
      <c r="FP105"/>
      <c r="FQ105"/>
      <c r="FR105"/>
    </row>
    <row r="106" spans="1:174" s="1" customFormat="1" x14ac:dyDescent="0.2">
      <c r="A106" s="1" t="s">
        <v>549</v>
      </c>
      <c r="B106" s="20"/>
      <c r="G106" s="20"/>
      <c r="L106" s="20"/>
      <c r="Q106" s="20"/>
      <c r="V106" s="20"/>
      <c r="AA106" s="20"/>
      <c r="AF106" s="20"/>
      <c r="AK106" s="20"/>
      <c r="AP106" s="20"/>
      <c r="AU106" s="20"/>
      <c r="AZ106" s="342">
        <f>CF!AZ39</f>
        <v>858.53699999999981</v>
      </c>
      <c r="BA106" s="75">
        <f>CF!BA39</f>
        <v>407.91500000000002</v>
      </c>
      <c r="BB106" s="75">
        <f>CF!BB39</f>
        <v>158.578</v>
      </c>
      <c r="BC106" s="75">
        <f>CF!BC39</f>
        <v>192.43699999999995</v>
      </c>
      <c r="BD106" s="75">
        <f>CF!BD39</f>
        <v>164.678</v>
      </c>
      <c r="BE106" s="342">
        <f>CF!BE39</f>
        <v>923.60799999999983</v>
      </c>
      <c r="BF106" s="75">
        <f>CF!BF39</f>
        <v>609.31700000000001</v>
      </c>
      <c r="BG106" s="75">
        <f>CF!BG39</f>
        <v>152.67499999999995</v>
      </c>
      <c r="BH106" s="75">
        <f>CF!BH39</f>
        <v>173.78200000000004</v>
      </c>
      <c r="BI106" s="75">
        <f>CF!BI39</f>
        <v>195.85900000000004</v>
      </c>
      <c r="BJ106" s="342">
        <f>CF!BJ39</f>
        <v>1131.633</v>
      </c>
      <c r="BK106" s="75">
        <f>CF!BK39</f>
        <v>678.40900000000011</v>
      </c>
      <c r="BL106" s="75">
        <f>CF!BL39</f>
        <v>59.41</v>
      </c>
      <c r="BM106" s="75">
        <f>CF!BM39</f>
        <v>302.02100000000007</v>
      </c>
      <c r="BN106" s="75">
        <f>CF!BN39</f>
        <v>291.38100000000003</v>
      </c>
      <c r="BO106" s="342">
        <f>CF!BO39</f>
        <v>1331.2209999999998</v>
      </c>
      <c r="BP106" s="75">
        <f>CF!BP39</f>
        <v>807.59999999999991</v>
      </c>
      <c r="BQ106" s="75">
        <f>CF!BQ39</f>
        <v>-42.199999999999932</v>
      </c>
      <c r="BR106" s="75">
        <f>CF!BR39</f>
        <v>313.30000000000013</v>
      </c>
      <c r="BS106" s="75">
        <f>CF!BS39</f>
        <v>179.99999999999994</v>
      </c>
      <c r="BT106" s="342">
        <f>CF!BT39</f>
        <v>1258.7</v>
      </c>
      <c r="BU106" s="75">
        <f>CF!BU39</f>
        <v>693.50000000000011</v>
      </c>
      <c r="BV106" s="75">
        <f>CF!BV39</f>
        <v>21.899999999999949</v>
      </c>
      <c r="BW106" s="75">
        <f>CF!BW39</f>
        <v>301.3</v>
      </c>
      <c r="BX106" s="75">
        <f>CF!BX39</f>
        <v>372.2999999999999</v>
      </c>
      <c r="BY106" s="342">
        <f>CF!BY39</f>
        <v>1389</v>
      </c>
      <c r="BZ106" s="75">
        <f>CF!BZ39</f>
        <v>768.7</v>
      </c>
      <c r="CA106" s="75">
        <f>CF!CA39</f>
        <v>189.10000000000008</v>
      </c>
      <c r="CB106" s="75">
        <f>CF!CB39</f>
        <v>417.6</v>
      </c>
      <c r="CC106" s="75">
        <f>CF!CC39</f>
        <v>329.5</v>
      </c>
      <c r="CD106" s="342">
        <f>CF!CD39</f>
        <v>1704.9</v>
      </c>
      <c r="CE106" s="75">
        <f>CF!CE39</f>
        <v>673.60000000000014</v>
      </c>
      <c r="CF106" s="75">
        <f>CF!CF39</f>
        <v>-4.1000000000001364</v>
      </c>
      <c r="CG106" s="75">
        <f>CF!CG39</f>
        <v>457.19999999999993</v>
      </c>
      <c r="CH106" s="75">
        <f>CF!CH39</f>
        <v>485.69999999999993</v>
      </c>
      <c r="CI106" s="342">
        <f>CF!CI39</f>
        <v>1612.3999999999999</v>
      </c>
      <c r="CJ106" s="75">
        <f>CF!CJ39</f>
        <v>466.29999999999995</v>
      </c>
      <c r="CK106" s="75">
        <f>CF!CK39</f>
        <v>109.2999999999999</v>
      </c>
      <c r="CL106" s="75">
        <f>CF!CL39</f>
        <v>551.30000000000018</v>
      </c>
      <c r="CM106" s="75">
        <f>CF!CM39</f>
        <v>592.6</v>
      </c>
      <c r="CN106" s="342">
        <f>CF!CN39</f>
        <v>1719.5000000000002</v>
      </c>
      <c r="CO106" s="75">
        <f>CF!CO39</f>
        <v>1067.3000000000002</v>
      </c>
      <c r="CP106" s="75">
        <f>CF!CP39</f>
        <v>305.2</v>
      </c>
      <c r="CQ106" s="75">
        <f>CF!CQ39</f>
        <v>665.3</v>
      </c>
      <c r="CR106" s="75">
        <f>CF!CR39</f>
        <v>870.49999999999636</v>
      </c>
      <c r="CS106" s="342">
        <f>CF!CS39</f>
        <v>2908.2999999999965</v>
      </c>
      <c r="CT106" s="75">
        <f>CF!CT39</f>
        <v>-1401.8999999999999</v>
      </c>
      <c r="CU106" s="75">
        <f>CF!CU39</f>
        <v>418.39999999999975</v>
      </c>
      <c r="CV106" s="75">
        <f>CF!CV39</f>
        <v>850.10000000000036</v>
      </c>
      <c r="CW106" s="75">
        <f>CF!CW39</f>
        <v>741.20000000000232</v>
      </c>
      <c r="CX106" s="342">
        <f>CF!CX39</f>
        <v>607.800000000002</v>
      </c>
      <c r="CY106" s="75">
        <f>CF!CY39</f>
        <v>1425.1999999999998</v>
      </c>
      <c r="CZ106" s="75">
        <f>CF!CZ39</f>
        <v>575.70000000000005</v>
      </c>
      <c r="DA106" s="75">
        <f>CF!DA39</f>
        <v>778.30000000000007</v>
      </c>
      <c r="DB106" s="75">
        <f>CF!DB39</f>
        <v>969.90000000000009</v>
      </c>
      <c r="DC106" s="342">
        <f>CF!DC39</f>
        <v>3749.1000000000004</v>
      </c>
      <c r="DD106" s="75">
        <f>CF!DD39</f>
        <v>1635.9999999999998</v>
      </c>
      <c r="DE106" s="75">
        <f>CF!DE39</f>
        <v>549.49999999999977</v>
      </c>
      <c r="DF106" s="75">
        <f>CF!DF39</f>
        <v>1081.4000000000001</v>
      </c>
      <c r="DG106" s="75">
        <f>CF!DG39</f>
        <v>1308.1999999999998</v>
      </c>
      <c r="DH106" s="342">
        <f>CF!DH39</f>
        <v>4575.1000000000013</v>
      </c>
      <c r="DI106" s="75">
        <f>CF!DI39</f>
        <v>1495.7000000000003</v>
      </c>
      <c r="DJ106" s="75">
        <f>CF!DJ39</f>
        <v>443.29999999999967</v>
      </c>
      <c r="DK106" s="75">
        <f>CF!DK39</f>
        <v>1150.5999999999999</v>
      </c>
      <c r="DL106" s="75">
        <f>CF!DL39</f>
        <v>1084.6999999999998</v>
      </c>
      <c r="DM106" s="342">
        <f>CF!DM39</f>
        <v>4174.3</v>
      </c>
      <c r="DN106" s="75">
        <f>CF!DN39</f>
        <v>2720.687783113568</v>
      </c>
      <c r="DO106" s="75">
        <f>CF!DO39</f>
        <v>777.58638536226317</v>
      </c>
      <c r="DP106" s="75">
        <f>CF!DP39</f>
        <v>1214.5078686968925</v>
      </c>
      <c r="DQ106" s="75">
        <f>CF!DQ39</f>
        <v>1276.5259581723017</v>
      </c>
      <c r="DR106" s="342">
        <f>CF!DR39</f>
        <v>5989.3079953450242</v>
      </c>
      <c r="DS106" s="75">
        <f>CF!DS39</f>
        <v>1434.6573133779345</v>
      </c>
      <c r="DT106" s="75">
        <f>CF!DT39</f>
        <v>921.22963053896672</v>
      </c>
      <c r="DU106" s="75">
        <f>CF!DU39</f>
        <v>1344.9256004739109</v>
      </c>
      <c r="DV106" s="75">
        <f>CF!DV39</f>
        <v>1413.5502161580155</v>
      </c>
      <c r="DW106" s="342">
        <f>CF!DW39</f>
        <v>5114.3627605488282</v>
      </c>
      <c r="DX106" s="75">
        <f>CF!DX39</f>
        <v>1557.4415421397123</v>
      </c>
      <c r="DY106" s="75">
        <f>CF!DY39</f>
        <v>1044.3076590515311</v>
      </c>
      <c r="DZ106" s="75">
        <f>CF!DZ39</f>
        <v>1493.4208846903641</v>
      </c>
      <c r="EA106" s="75">
        <f>CF!EA39</f>
        <v>1566.6428251015959</v>
      </c>
      <c r="EB106" s="342">
        <f>CF!EB39</f>
        <v>5661.8129109832043</v>
      </c>
      <c r="ED106" s="28"/>
      <c r="EE106" s="28"/>
      <c r="FD106" s="18" t="s">
        <v>549</v>
      </c>
      <c r="FE106" s="269">
        <f>DN106</f>
        <v>2720.687783113568</v>
      </c>
      <c r="FF106" s="269">
        <v>1274.6006247611349</v>
      </c>
      <c r="FG106" s="269">
        <f>FE106-FF106</f>
        <v>1446.0871583524331</v>
      </c>
      <c r="FH106" s="269">
        <f>DI106</f>
        <v>1495.7000000000003</v>
      </c>
      <c r="FI106" s="249">
        <f>FE106/FH106-1</f>
        <v>0.81900634025109809</v>
      </c>
      <c r="FJ106"/>
      <c r="FK106"/>
      <c r="FL106"/>
      <c r="FM106"/>
      <c r="FN106"/>
      <c r="FO106"/>
      <c r="FP106"/>
      <c r="FQ106"/>
      <c r="FR106"/>
    </row>
    <row r="107" spans="1:174" s="1" customFormat="1" x14ac:dyDescent="0.2">
      <c r="A107" s="1" t="s">
        <v>550</v>
      </c>
      <c r="B107" s="20"/>
      <c r="G107" s="20"/>
      <c r="L107" s="20"/>
      <c r="Q107" s="20"/>
      <c r="V107" s="20"/>
      <c r="AA107" s="20"/>
      <c r="AF107" s="20"/>
      <c r="AK107" s="20"/>
      <c r="AP107" s="20"/>
      <c r="AU107" s="20"/>
      <c r="AZ107" s="342">
        <f>-CF!AZ50</f>
        <v>412.53699999999998</v>
      </c>
      <c r="BA107" s="75">
        <f>-CF!BA50</f>
        <v>162.13200000000001</v>
      </c>
      <c r="BB107" s="75">
        <f>-CF!BB50</f>
        <v>149.55799999999999</v>
      </c>
      <c r="BC107" s="75">
        <f>-CF!BC50</f>
        <v>148.27199999999999</v>
      </c>
      <c r="BD107" s="75">
        <f>-CF!BD50</f>
        <v>184.02700000000004</v>
      </c>
      <c r="BE107" s="342">
        <f>-CF!BE50</f>
        <v>643.98900000000003</v>
      </c>
      <c r="BF107" s="75">
        <f>-CF!BF50</f>
        <v>147.77799999999999</v>
      </c>
      <c r="BG107" s="75">
        <f>-CF!BG50</f>
        <v>162.55300000000003</v>
      </c>
      <c r="BH107" s="75">
        <f>-CF!BH50</f>
        <v>212.01699999999997</v>
      </c>
      <c r="BI107" s="75">
        <f>-CF!BI50</f>
        <v>248.88200000000009</v>
      </c>
      <c r="BJ107" s="342">
        <f>-CF!BJ50</f>
        <v>771.23</v>
      </c>
      <c r="BK107" s="75">
        <f>-CF!BK50</f>
        <v>270.54700000000003</v>
      </c>
      <c r="BL107" s="75">
        <f>-CF!BL50</f>
        <v>236.65499999999997</v>
      </c>
      <c r="BM107" s="75">
        <f>-CF!BM50</f>
        <v>264.93100000000004</v>
      </c>
      <c r="BN107" s="75">
        <f>-CF!BN50</f>
        <v>308.21499999999992</v>
      </c>
      <c r="BO107" s="342">
        <f>-CF!BO50</f>
        <v>1080.348</v>
      </c>
      <c r="BP107" s="75">
        <f>-CF!BP50</f>
        <v>263.60000000000002</v>
      </c>
      <c r="BQ107" s="75">
        <f>-CF!BQ50</f>
        <v>241.5</v>
      </c>
      <c r="BR107" s="75">
        <f>-CF!BR50</f>
        <v>228.79999999999995</v>
      </c>
      <c r="BS107" s="75">
        <f>-CF!BS50</f>
        <v>250.60000000000002</v>
      </c>
      <c r="BT107" s="342">
        <f>-CF!BT50</f>
        <v>984.5</v>
      </c>
      <c r="BU107" s="75">
        <f>-CF!BU50</f>
        <v>172.6</v>
      </c>
      <c r="BV107" s="75">
        <f>-CF!BV50</f>
        <v>64.300000000000011</v>
      </c>
      <c r="BW107" s="75">
        <f>-CF!BW50</f>
        <v>107.29999999999998</v>
      </c>
      <c r="BX107" s="75">
        <f>-CF!BX50</f>
        <v>101.40000000000006</v>
      </c>
      <c r="BY107" s="342">
        <f>-CF!BY50</f>
        <v>445.6</v>
      </c>
      <c r="BZ107" s="75">
        <f>-CF!BZ50</f>
        <v>99.7</v>
      </c>
      <c r="CA107" s="75">
        <f>-CF!CA50</f>
        <v>84.8</v>
      </c>
      <c r="CB107" s="75">
        <f>-CF!CB50</f>
        <v>101.10000000000001</v>
      </c>
      <c r="CC107" s="75">
        <f>-CF!CC50</f>
        <v>155.09999999999997</v>
      </c>
      <c r="CD107" s="342">
        <f>-CF!CD50</f>
        <v>440.7</v>
      </c>
      <c r="CE107" s="75">
        <f>-CF!CE50</f>
        <v>128.9</v>
      </c>
      <c r="CF107" s="75">
        <f>-CF!CF50</f>
        <v>110.19999999999999</v>
      </c>
      <c r="CG107" s="75">
        <f>-CF!CG50</f>
        <v>133.29999999999998</v>
      </c>
      <c r="CH107" s="75">
        <f>-CF!CH50</f>
        <v>159.50000000000003</v>
      </c>
      <c r="CI107" s="342">
        <f>-CF!CI50</f>
        <v>531.9</v>
      </c>
      <c r="CJ107" s="75">
        <f>-CF!CJ50</f>
        <v>153.5</v>
      </c>
      <c r="CK107" s="75">
        <f>-CF!CK50</f>
        <v>160.30000000000001</v>
      </c>
      <c r="CL107" s="75">
        <f>-CF!CL50</f>
        <v>202.7</v>
      </c>
      <c r="CM107" s="75">
        <f>-CF!CM50</f>
        <v>339.7</v>
      </c>
      <c r="CN107" s="342">
        <f>-CF!CN50</f>
        <v>856.2</v>
      </c>
      <c r="CO107" s="75">
        <f>-CF!CO50</f>
        <v>242.3</v>
      </c>
      <c r="CP107" s="75">
        <f>-CF!CP50</f>
        <v>242.59999999999997</v>
      </c>
      <c r="CQ107" s="75">
        <f>-CF!CQ50</f>
        <v>297.30000000000007</v>
      </c>
      <c r="CR107" s="75">
        <f>-CF!CR50</f>
        <v>369</v>
      </c>
      <c r="CS107" s="342">
        <f>-CF!CS50</f>
        <v>1151.2</v>
      </c>
      <c r="CT107" s="75">
        <f>-CF!CT50</f>
        <v>256.10000000000002</v>
      </c>
      <c r="CU107" s="75">
        <f>-CF!CU50</f>
        <v>247.5</v>
      </c>
      <c r="CV107" s="75">
        <f>-CF!CV50</f>
        <v>307.60000000000002</v>
      </c>
      <c r="CW107" s="75">
        <f>-CF!CW50</f>
        <v>349.70000000000005</v>
      </c>
      <c r="CX107" s="342">
        <f>-CF!CX50</f>
        <v>1160.9000000000001</v>
      </c>
      <c r="CY107" s="75">
        <f>-CF!CY50</f>
        <v>291.8</v>
      </c>
      <c r="CZ107" s="75">
        <f>-CF!CZ50</f>
        <v>314.8</v>
      </c>
      <c r="DA107" s="75">
        <f>-CF!DA50</f>
        <v>336.90000000000003</v>
      </c>
      <c r="DB107" s="75">
        <f>-CF!DB50</f>
        <v>360.2</v>
      </c>
      <c r="DC107" s="342">
        <f>-CF!DC50</f>
        <v>1303.7</v>
      </c>
      <c r="DD107" s="75">
        <f>-CF!DD50</f>
        <v>331.8</v>
      </c>
      <c r="DE107" s="75">
        <f>-CF!DE50</f>
        <v>336.40000000000003</v>
      </c>
      <c r="DF107" s="75">
        <f>-CF!DF50</f>
        <v>361.49999999999994</v>
      </c>
      <c r="DG107" s="75">
        <f>-CF!DG50</f>
        <v>410.59999999999985</v>
      </c>
      <c r="DH107" s="342">
        <f>-CF!DH50</f>
        <v>1440.3</v>
      </c>
      <c r="DI107" s="75">
        <f>-CF!DI50</f>
        <v>307.39999999999998</v>
      </c>
      <c r="DJ107" s="75">
        <f>-CF!DJ50</f>
        <v>330.5</v>
      </c>
      <c r="DK107" s="75">
        <f>-CF!DK50</f>
        <v>387.4</v>
      </c>
      <c r="DL107" s="75">
        <f>-CF!DL50</f>
        <v>494.10000000000014</v>
      </c>
      <c r="DM107" s="342">
        <f>-CF!DM50</f>
        <v>1519.4</v>
      </c>
      <c r="DN107" s="75">
        <f>-CF!DN50</f>
        <v>455.52750000000003</v>
      </c>
      <c r="DO107" s="75">
        <f>-CF!DO50</f>
        <v>446.31284650869549</v>
      </c>
      <c r="DP107" s="75">
        <f>-CF!DP50</f>
        <v>475.02614293340901</v>
      </c>
      <c r="DQ107" s="75">
        <f>-CF!DQ50</f>
        <v>640.74872737742783</v>
      </c>
      <c r="DR107" s="342">
        <f>-CF!DR50</f>
        <v>2017.6152168195322</v>
      </c>
      <c r="DS107" s="75">
        <f>-CF!DS50</f>
        <v>471.5287887765536</v>
      </c>
      <c r="DT107" s="75">
        <f>-CF!DT50</f>
        <v>456.08240170847802</v>
      </c>
      <c r="DU107" s="75">
        <f>-CF!DU50</f>
        <v>486.15069537741164</v>
      </c>
      <c r="DV107" s="75">
        <f>-CF!DV50</f>
        <v>632.52171085256782</v>
      </c>
      <c r="DW107" s="342">
        <f>-CF!DW50</f>
        <v>2046.2835967150111</v>
      </c>
      <c r="DX107" s="75">
        <f>-CF!DX50</f>
        <v>479.264179047097</v>
      </c>
      <c r="DY107" s="75">
        <f>-CF!DY50</f>
        <v>463.93703722547525</v>
      </c>
      <c r="DZ107" s="75">
        <f>-CF!DZ50</f>
        <v>494.18641702393228</v>
      </c>
      <c r="EA107" s="75">
        <f>-CF!EA50</f>
        <v>614.87722458525354</v>
      </c>
      <c r="EB107" s="342">
        <f>-CF!EB50</f>
        <v>2052.264857881758</v>
      </c>
      <c r="ED107" s="28"/>
      <c r="EE107" s="28"/>
      <c r="FD107" s="20" t="s">
        <v>550</v>
      </c>
      <c r="FE107" s="269">
        <f>DN107</f>
        <v>455.52750000000003</v>
      </c>
      <c r="FF107" s="269">
        <v>466.54129098087469</v>
      </c>
      <c r="FG107" s="269">
        <f>FE107-FF107</f>
        <v>-11.01379098087466</v>
      </c>
      <c r="FH107" s="269">
        <f>DI107</f>
        <v>307.39999999999998</v>
      </c>
      <c r="FI107" s="327">
        <f>FE107/FH107-1</f>
        <v>0.48187215354586876</v>
      </c>
      <c r="FJ107"/>
      <c r="FK107"/>
      <c r="FL107"/>
      <c r="FM107"/>
      <c r="FN107"/>
      <c r="FO107"/>
      <c r="FP107"/>
      <c r="FQ107"/>
      <c r="FR107"/>
    </row>
    <row r="108" spans="1:174" s="1" customFormat="1" x14ac:dyDescent="0.2">
      <c r="A108" s="2" t="s">
        <v>551</v>
      </c>
      <c r="B108" s="19"/>
      <c r="C108" s="2"/>
      <c r="D108" s="2"/>
      <c r="E108" s="2"/>
      <c r="F108" s="2"/>
      <c r="G108" s="19"/>
      <c r="H108" s="2"/>
      <c r="I108" s="2"/>
      <c r="J108" s="2"/>
      <c r="K108" s="2"/>
      <c r="L108" s="19"/>
      <c r="M108" s="2"/>
      <c r="N108" s="2"/>
      <c r="O108" s="2"/>
      <c r="P108" s="2"/>
      <c r="Q108" s="19"/>
      <c r="R108" s="2"/>
      <c r="S108" s="2"/>
      <c r="T108" s="2"/>
      <c r="U108" s="2"/>
      <c r="V108" s="19"/>
      <c r="W108" s="2"/>
      <c r="X108" s="2"/>
      <c r="Y108" s="2"/>
      <c r="Z108" s="2"/>
      <c r="AA108" s="19"/>
      <c r="AB108" s="2"/>
      <c r="AC108" s="2"/>
      <c r="AD108" s="2"/>
      <c r="AE108" s="2"/>
      <c r="AF108" s="19"/>
      <c r="AG108" s="2"/>
      <c r="AH108" s="2"/>
      <c r="AI108" s="2"/>
      <c r="AJ108" s="2"/>
      <c r="AK108" s="19"/>
      <c r="AL108" s="2"/>
      <c r="AM108" s="2"/>
      <c r="AN108" s="2"/>
      <c r="AO108" s="2"/>
      <c r="AP108" s="19"/>
      <c r="AQ108" s="2"/>
      <c r="AR108" s="2"/>
      <c r="AS108" s="2"/>
      <c r="AT108" s="2"/>
      <c r="AU108" s="19"/>
      <c r="AV108" s="2"/>
      <c r="AW108" s="2"/>
      <c r="AX108" s="2"/>
      <c r="AY108" s="2"/>
      <c r="AZ108" s="346">
        <f t="shared" ref="AZ108:CE108" si="366">AZ106-AZ107</f>
        <v>445.99999999999983</v>
      </c>
      <c r="BA108" s="399">
        <f t="shared" si="366"/>
        <v>245.78300000000002</v>
      </c>
      <c r="BB108" s="399">
        <f t="shared" si="366"/>
        <v>9.0200000000000102</v>
      </c>
      <c r="BC108" s="399">
        <f t="shared" si="366"/>
        <v>44.164999999999964</v>
      </c>
      <c r="BD108" s="399">
        <f t="shared" si="366"/>
        <v>-19.349000000000046</v>
      </c>
      <c r="BE108" s="346">
        <f t="shared" si="366"/>
        <v>279.6189999999998</v>
      </c>
      <c r="BF108" s="399">
        <f t="shared" si="366"/>
        <v>461.53899999999999</v>
      </c>
      <c r="BG108" s="399">
        <f t="shared" si="366"/>
        <v>-9.8780000000000712</v>
      </c>
      <c r="BH108" s="399">
        <f t="shared" si="366"/>
        <v>-38.234999999999928</v>
      </c>
      <c r="BI108" s="399">
        <f t="shared" si="366"/>
        <v>-53.023000000000053</v>
      </c>
      <c r="BJ108" s="346">
        <f t="shared" si="366"/>
        <v>360.40300000000002</v>
      </c>
      <c r="BK108" s="399">
        <f t="shared" si="366"/>
        <v>407.86200000000008</v>
      </c>
      <c r="BL108" s="399">
        <f t="shared" si="366"/>
        <v>-177.24499999999998</v>
      </c>
      <c r="BM108" s="399">
        <f t="shared" si="366"/>
        <v>37.090000000000032</v>
      </c>
      <c r="BN108" s="399">
        <f t="shared" si="366"/>
        <v>-16.833999999999889</v>
      </c>
      <c r="BO108" s="346">
        <f t="shared" si="366"/>
        <v>250.87299999999982</v>
      </c>
      <c r="BP108" s="399">
        <f t="shared" si="366"/>
        <v>543.99999999999989</v>
      </c>
      <c r="BQ108" s="399">
        <f t="shared" si="366"/>
        <v>-283.69999999999993</v>
      </c>
      <c r="BR108" s="399">
        <f t="shared" si="366"/>
        <v>84.500000000000171</v>
      </c>
      <c r="BS108" s="399">
        <f t="shared" si="366"/>
        <v>-70.60000000000008</v>
      </c>
      <c r="BT108" s="346">
        <f t="shared" si="366"/>
        <v>274.20000000000005</v>
      </c>
      <c r="BU108" s="399">
        <f t="shared" si="366"/>
        <v>520.90000000000009</v>
      </c>
      <c r="BV108" s="399">
        <f t="shared" si="366"/>
        <v>-42.400000000000063</v>
      </c>
      <c r="BW108" s="399">
        <f t="shared" si="366"/>
        <v>194.00000000000003</v>
      </c>
      <c r="BX108" s="399">
        <f t="shared" si="366"/>
        <v>270.89999999999986</v>
      </c>
      <c r="BY108" s="346">
        <f t="shared" si="366"/>
        <v>943.4</v>
      </c>
      <c r="BZ108" s="399">
        <f t="shared" si="366"/>
        <v>669</v>
      </c>
      <c r="CA108" s="399">
        <f t="shared" si="366"/>
        <v>104.30000000000008</v>
      </c>
      <c r="CB108" s="399">
        <f t="shared" si="366"/>
        <v>316.5</v>
      </c>
      <c r="CC108" s="399">
        <f t="shared" si="366"/>
        <v>174.40000000000003</v>
      </c>
      <c r="CD108" s="346">
        <f t="shared" si="366"/>
        <v>1264.2</v>
      </c>
      <c r="CE108" s="399">
        <f t="shared" si="366"/>
        <v>544.70000000000016</v>
      </c>
      <c r="CF108" s="399">
        <f t="shared" ref="CF108:DK108" si="367">CF106-CF107</f>
        <v>-114.30000000000013</v>
      </c>
      <c r="CG108" s="399">
        <f t="shared" si="367"/>
        <v>323.89999999999998</v>
      </c>
      <c r="CH108" s="399">
        <f t="shared" si="367"/>
        <v>326.19999999999993</v>
      </c>
      <c r="CI108" s="346">
        <f t="shared" si="367"/>
        <v>1080.5</v>
      </c>
      <c r="CJ108" s="399">
        <f t="shared" si="367"/>
        <v>312.79999999999995</v>
      </c>
      <c r="CK108" s="399">
        <f t="shared" si="367"/>
        <v>-51.000000000000114</v>
      </c>
      <c r="CL108" s="399">
        <f t="shared" si="367"/>
        <v>348.60000000000019</v>
      </c>
      <c r="CM108" s="399">
        <f t="shared" si="367"/>
        <v>252.90000000000003</v>
      </c>
      <c r="CN108" s="346">
        <f t="shared" si="367"/>
        <v>863.30000000000018</v>
      </c>
      <c r="CO108" s="399">
        <f t="shared" si="367"/>
        <v>825.00000000000023</v>
      </c>
      <c r="CP108" s="399">
        <f t="shared" si="367"/>
        <v>62.600000000000023</v>
      </c>
      <c r="CQ108" s="399">
        <f t="shared" si="367"/>
        <v>367.99999999999989</v>
      </c>
      <c r="CR108" s="399">
        <f t="shared" si="367"/>
        <v>501.49999999999636</v>
      </c>
      <c r="CS108" s="346">
        <f t="shared" si="367"/>
        <v>1757.0999999999965</v>
      </c>
      <c r="CT108" s="399">
        <f t="shared" si="367"/>
        <v>-1658</v>
      </c>
      <c r="CU108" s="399">
        <f t="shared" si="367"/>
        <v>170.89999999999975</v>
      </c>
      <c r="CV108" s="399">
        <f t="shared" si="367"/>
        <v>542.50000000000034</v>
      </c>
      <c r="CW108" s="399">
        <f t="shared" si="367"/>
        <v>391.50000000000227</v>
      </c>
      <c r="CX108" s="346">
        <f t="shared" si="367"/>
        <v>-553.09999999999809</v>
      </c>
      <c r="CY108" s="399">
        <f t="shared" si="367"/>
        <v>1133.3999999999999</v>
      </c>
      <c r="CZ108" s="399">
        <f t="shared" si="367"/>
        <v>260.90000000000003</v>
      </c>
      <c r="DA108" s="399">
        <f t="shared" si="367"/>
        <v>441.40000000000003</v>
      </c>
      <c r="DB108" s="399">
        <f t="shared" si="367"/>
        <v>609.70000000000005</v>
      </c>
      <c r="DC108" s="346">
        <f t="shared" si="367"/>
        <v>2445.4000000000005</v>
      </c>
      <c r="DD108" s="399">
        <f t="shared" si="367"/>
        <v>1304.1999999999998</v>
      </c>
      <c r="DE108" s="399">
        <f t="shared" si="367"/>
        <v>213.09999999999974</v>
      </c>
      <c r="DF108" s="399">
        <f t="shared" si="367"/>
        <v>719.90000000000009</v>
      </c>
      <c r="DG108" s="399">
        <f t="shared" si="367"/>
        <v>897.59999999999991</v>
      </c>
      <c r="DH108" s="346">
        <f t="shared" si="367"/>
        <v>3134.8000000000011</v>
      </c>
      <c r="DI108" s="399">
        <f t="shared" si="367"/>
        <v>1188.3000000000002</v>
      </c>
      <c r="DJ108" s="399">
        <f t="shared" si="367"/>
        <v>112.79999999999967</v>
      </c>
      <c r="DK108" s="399">
        <f t="shared" si="367"/>
        <v>763.19999999999993</v>
      </c>
      <c r="DL108" s="399">
        <f t="shared" ref="DL108:DR108" si="368">DL106-DL107</f>
        <v>590.59999999999968</v>
      </c>
      <c r="DM108" s="346">
        <f t="shared" si="368"/>
        <v>2654.9</v>
      </c>
      <c r="DN108" s="399">
        <f t="shared" si="368"/>
        <v>2265.1602831135679</v>
      </c>
      <c r="DO108" s="399">
        <f t="shared" si="368"/>
        <v>331.27353885356769</v>
      </c>
      <c r="DP108" s="399">
        <f t="shared" si="368"/>
        <v>739.4817257634835</v>
      </c>
      <c r="DQ108" s="399">
        <f t="shared" si="368"/>
        <v>635.77723079487384</v>
      </c>
      <c r="DR108" s="346">
        <f t="shared" si="368"/>
        <v>3971.692778525492</v>
      </c>
      <c r="DS108" s="399">
        <f t="shared" ref="DS108:EB108" si="369">DS106-DS107</f>
        <v>963.12852460138095</v>
      </c>
      <c r="DT108" s="399">
        <f t="shared" si="369"/>
        <v>465.1472288304887</v>
      </c>
      <c r="DU108" s="399">
        <f t="shared" si="369"/>
        <v>858.7749050964992</v>
      </c>
      <c r="DV108" s="399">
        <f t="shared" si="369"/>
        <v>781.02850530544765</v>
      </c>
      <c r="DW108" s="346">
        <f t="shared" si="369"/>
        <v>3068.0791638338169</v>
      </c>
      <c r="DX108" s="399">
        <f t="shared" si="369"/>
        <v>1078.1773630926152</v>
      </c>
      <c r="DY108" s="399">
        <f t="shared" si="369"/>
        <v>580.37062182605587</v>
      </c>
      <c r="DZ108" s="399">
        <f t="shared" si="369"/>
        <v>999.23446766643178</v>
      </c>
      <c r="EA108" s="399">
        <f t="shared" si="369"/>
        <v>951.76560051634237</v>
      </c>
      <c r="EB108" s="346">
        <f t="shared" si="369"/>
        <v>3609.5480531014464</v>
      </c>
      <c r="ED108" s="28"/>
      <c r="EE108" s="28"/>
      <c r="FD108" s="19" t="s">
        <v>551</v>
      </c>
      <c r="FE108" s="529">
        <f>DN108</f>
        <v>2265.1602831135679</v>
      </c>
      <c r="FF108" s="529">
        <v>808.0593337802602</v>
      </c>
      <c r="FG108" s="529">
        <f>FE108-FF108</f>
        <v>1457.1009493333077</v>
      </c>
      <c r="FH108" s="529">
        <f>DI108</f>
        <v>1188.3000000000002</v>
      </c>
      <c r="FI108" s="328">
        <f>FE108/FH108-1</f>
        <v>0.90621920652492438</v>
      </c>
      <c r="FJ108"/>
      <c r="FK108"/>
      <c r="FL108"/>
      <c r="FM108"/>
      <c r="FN108"/>
      <c r="FO108"/>
      <c r="FP108"/>
      <c r="FQ108"/>
      <c r="FR108"/>
    </row>
    <row r="109" spans="1:174" s="168" customFormat="1" x14ac:dyDescent="0.2">
      <c r="A109" s="320" t="s">
        <v>552</v>
      </c>
      <c r="BF109" s="544">
        <f>BF189+BA189</f>
        <v>0.12</v>
      </c>
      <c r="BG109" s="544">
        <f>BG189+BB189</f>
        <v>0.12</v>
      </c>
      <c r="BH109" s="544">
        <f>BH189+BC189</f>
        <v>0.08</v>
      </c>
      <c r="BI109" s="544">
        <f>BI189+BD189</f>
        <v>0.08</v>
      </c>
      <c r="ED109" s="96"/>
      <c r="EE109" s="96"/>
      <c r="FJ109"/>
      <c r="FK109"/>
      <c r="FL109"/>
      <c r="FM109"/>
      <c r="FN109"/>
      <c r="FO109"/>
      <c r="FP109"/>
      <c r="FQ109"/>
      <c r="FR109"/>
    </row>
    <row r="110" spans="1:174" s="168" customFormat="1" x14ac:dyDescent="0.2">
      <c r="A110" s="320"/>
      <c r="BF110" s="544"/>
      <c r="BG110" s="544"/>
      <c r="BH110" s="544"/>
      <c r="BI110" s="544"/>
      <c r="ED110" s="96"/>
      <c r="EE110" s="96"/>
      <c r="FJ110"/>
      <c r="FK110"/>
      <c r="FL110"/>
      <c r="FM110"/>
      <c r="FN110"/>
      <c r="FO110"/>
      <c r="FP110"/>
      <c r="FQ110"/>
      <c r="FR110"/>
    </row>
    <row r="111" spans="1:174" s="1" customFormat="1" ht="9" hidden="1" customHeight="1" outlineLevel="1" x14ac:dyDescent="0.2">
      <c r="BZ111" s="1">
        <v>100</v>
      </c>
      <c r="CA111" s="1">
        <v>100</v>
      </c>
      <c r="CB111" s="1">
        <v>250</v>
      </c>
      <c r="CC111" s="1">
        <v>250</v>
      </c>
      <c r="CD111" s="1">
        <v>700</v>
      </c>
      <c r="CE111" s="1">
        <v>400</v>
      </c>
      <c r="CF111" s="1">
        <v>350</v>
      </c>
      <c r="CG111" s="1">
        <v>100</v>
      </c>
      <c r="CH111" s="1">
        <v>100</v>
      </c>
      <c r="CI111" s="1">
        <v>950</v>
      </c>
      <c r="CJ111" s="1">
        <v>200</v>
      </c>
      <c r="CK111" s="1">
        <v>150</v>
      </c>
      <c r="CL111" s="1">
        <v>100</v>
      </c>
      <c r="CM111" s="1">
        <v>100</v>
      </c>
      <c r="CN111" s="1">
        <v>550</v>
      </c>
      <c r="CO111" s="1">
        <v>200</v>
      </c>
      <c r="CP111" s="1">
        <v>150</v>
      </c>
      <c r="CQ111" s="1">
        <v>100</v>
      </c>
      <c r="CR111" s="1">
        <v>100</v>
      </c>
      <c r="CS111" s="1">
        <v>550</v>
      </c>
      <c r="CT111" s="1">
        <v>200</v>
      </c>
      <c r="CU111" s="1">
        <v>150</v>
      </c>
      <c r="CV111" s="1">
        <v>100</v>
      </c>
      <c r="CW111" s="1">
        <v>100</v>
      </c>
      <c r="CX111" s="1">
        <v>550</v>
      </c>
      <c r="CY111" s="1">
        <v>200</v>
      </c>
      <c r="CZ111" s="1">
        <v>150</v>
      </c>
      <c r="DA111" s="1">
        <v>100</v>
      </c>
      <c r="DB111" s="1">
        <v>100</v>
      </c>
      <c r="DC111" s="1">
        <v>550</v>
      </c>
      <c r="DD111" s="1">
        <v>200</v>
      </c>
      <c r="DE111" s="1">
        <v>150</v>
      </c>
      <c r="DF111" s="1">
        <v>100</v>
      </c>
      <c r="DG111" s="1">
        <v>100</v>
      </c>
      <c r="DH111" s="1">
        <v>550</v>
      </c>
      <c r="DI111" s="1">
        <v>200</v>
      </c>
      <c r="DJ111" s="1">
        <v>150</v>
      </c>
      <c r="DK111" s="1">
        <v>100</v>
      </c>
      <c r="DL111" s="1">
        <v>100</v>
      </c>
      <c r="DM111" s="1">
        <v>550</v>
      </c>
      <c r="DN111" s="1">
        <v>200</v>
      </c>
      <c r="DO111" s="1">
        <v>150</v>
      </c>
      <c r="DP111" s="1">
        <v>100</v>
      </c>
      <c r="DQ111" s="1">
        <v>100</v>
      </c>
      <c r="DR111" s="1">
        <v>550</v>
      </c>
      <c r="DS111" s="1">
        <v>200</v>
      </c>
      <c r="DT111" s="1">
        <v>150</v>
      </c>
      <c r="DU111" s="1">
        <v>100</v>
      </c>
      <c r="DV111" s="1">
        <v>100</v>
      </c>
      <c r="DW111" s="1">
        <v>550</v>
      </c>
      <c r="DX111" s="1">
        <v>200</v>
      </c>
      <c r="DY111" s="1">
        <v>150</v>
      </c>
      <c r="DZ111" s="1">
        <v>100</v>
      </c>
      <c r="EA111" s="1">
        <v>100</v>
      </c>
      <c r="EB111" s="1">
        <v>550</v>
      </c>
      <c r="ED111" s="28"/>
      <c r="EE111" s="28"/>
      <c r="FJ111"/>
      <c r="FK111"/>
      <c r="FL111"/>
      <c r="FM111"/>
      <c r="FN111"/>
      <c r="FO111"/>
      <c r="FP111"/>
      <c r="FQ111"/>
      <c r="FR111"/>
    </row>
    <row r="112" spans="1:174" s="1" customFormat="1" ht="13.5" customHeight="1" collapsed="1" x14ac:dyDescent="0.2">
      <c r="A112" s="17" t="s">
        <v>558</v>
      </c>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v>4</v>
      </c>
      <c r="CA112" s="2">
        <v>4</v>
      </c>
      <c r="CB112" s="2">
        <v>8</v>
      </c>
      <c r="CC112" s="2">
        <v>8</v>
      </c>
      <c r="CD112" s="2">
        <v>24</v>
      </c>
      <c r="CE112" s="2">
        <v>5</v>
      </c>
      <c r="CF112" s="2">
        <v>5</v>
      </c>
      <c r="CG112" s="2">
        <v>6</v>
      </c>
      <c r="CH112" s="2">
        <v>6</v>
      </c>
      <c r="CI112" s="2">
        <v>22</v>
      </c>
      <c r="CJ112" s="2"/>
      <c r="CK112" s="2"/>
      <c r="CL112" s="2"/>
      <c r="CM112" s="2"/>
      <c r="CN112" s="2"/>
      <c r="CO112" s="2"/>
      <c r="CP112" s="2"/>
      <c r="CQ112" s="2"/>
      <c r="CR112" s="2"/>
      <c r="CS112" s="2"/>
      <c r="CT112" s="28"/>
      <c r="CU112" s="28"/>
      <c r="CV112" s="28"/>
      <c r="CW112" s="28"/>
      <c r="CX112" s="28">
        <f>CY121/2</f>
        <v>750.4</v>
      </c>
      <c r="CY112" s="28">
        <v>2</v>
      </c>
      <c r="CZ112" s="2"/>
      <c r="DA112" s="2"/>
      <c r="DB112" s="2"/>
      <c r="DC112" s="2"/>
      <c r="DD112" s="165"/>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D112" s="28"/>
      <c r="EE112" s="28"/>
      <c r="FJ112"/>
      <c r="FK112"/>
      <c r="FL112"/>
      <c r="FM112"/>
      <c r="FN112"/>
      <c r="FO112"/>
      <c r="FP112"/>
      <c r="FQ112"/>
      <c r="FR112"/>
    </row>
    <row r="113" spans="1:174" s="1" customFormat="1" ht="13.5" customHeight="1" x14ac:dyDescent="0.2">
      <c r="A113" s="1" t="s">
        <v>559</v>
      </c>
      <c r="B113" s="18"/>
      <c r="G113" s="18"/>
      <c r="H113" s="49">
        <f>F54</f>
        <v>1178.432</v>
      </c>
      <c r="I113" s="49">
        <f>H124</f>
        <v>1184.9280000000001</v>
      </c>
      <c r="J113" s="49">
        <f>I124</f>
        <v>1190.864</v>
      </c>
      <c r="K113" s="49">
        <f>J124</f>
        <v>1288.56</v>
      </c>
      <c r="L113" s="59">
        <f>H113</f>
        <v>1178.432</v>
      </c>
      <c r="M113" s="49">
        <f>K54</f>
        <v>1296.816</v>
      </c>
      <c r="N113" s="49">
        <f>M124</f>
        <v>1435.616</v>
      </c>
      <c r="O113" s="49">
        <f>N124</f>
        <v>1437.152</v>
      </c>
      <c r="P113" s="49">
        <f>O124</f>
        <v>1437.8879999999999</v>
      </c>
      <c r="Q113" s="59">
        <f>M113</f>
        <v>1296.816</v>
      </c>
      <c r="R113" s="49">
        <f>P54</f>
        <v>1454.4960000000001</v>
      </c>
      <c r="S113" s="49">
        <f>R124</f>
        <v>1466.2719999999999</v>
      </c>
      <c r="T113" s="49">
        <f>S124</f>
        <v>1464.8799999999999</v>
      </c>
      <c r="U113" s="49">
        <f>T124</f>
        <v>1481.184</v>
      </c>
      <c r="V113" s="59">
        <f>R113</f>
        <v>1454.4960000000001</v>
      </c>
      <c r="W113" s="49">
        <f>U54</f>
        <v>1478.384</v>
      </c>
      <c r="X113" s="49">
        <f>W124</f>
        <v>1483.7280000000001</v>
      </c>
      <c r="Y113" s="49">
        <f>X124</f>
        <v>1506.796</v>
      </c>
      <c r="Z113" s="49">
        <f>Y124</f>
        <v>1530.684</v>
      </c>
      <c r="AA113" s="59">
        <f>W113</f>
        <v>1478.384</v>
      </c>
      <c r="AB113" s="49">
        <f>Z54</f>
        <v>1505.376</v>
      </c>
      <c r="AC113" s="49">
        <f>AB124</f>
        <v>1514.72</v>
      </c>
      <c r="AD113" s="49">
        <f>AC124</f>
        <v>1539.34</v>
      </c>
      <c r="AE113" s="49">
        <f>AD124</f>
        <v>1551.048</v>
      </c>
      <c r="AF113" s="59">
        <f>AB113</f>
        <v>1505.376</v>
      </c>
      <c r="AG113" s="49">
        <f>AE54</f>
        <v>1562.3520000000001</v>
      </c>
      <c r="AH113" s="49">
        <f>AG124</f>
        <v>1574.64</v>
      </c>
      <c r="AI113" s="49">
        <f>AH124</f>
        <v>1582.8040000000001</v>
      </c>
      <c r="AJ113" s="49">
        <f>AI124</f>
        <v>1577.9280000000001</v>
      </c>
      <c r="AK113" s="59">
        <f>AG113</f>
        <v>1562.3520000000001</v>
      </c>
      <c r="AL113" s="49">
        <f>AJ54</f>
        <v>1574.26</v>
      </c>
      <c r="AM113" s="49">
        <f>AL124</f>
        <v>1567.9960000000001</v>
      </c>
      <c r="AN113" s="49">
        <f>AM124</f>
        <v>1591.444</v>
      </c>
      <c r="AO113" s="49">
        <f>AN124</f>
        <v>1604.7639999999999</v>
      </c>
      <c r="AP113" s="59">
        <f>AL113</f>
        <v>1574.26</v>
      </c>
      <c r="AQ113" s="49">
        <f>AO54</f>
        <v>1596.9079999999999</v>
      </c>
      <c r="AR113" s="49">
        <f>AQ124</f>
        <v>1596.8720000000001</v>
      </c>
      <c r="AS113" s="49">
        <f>AR124</f>
        <v>1598.4880000000001</v>
      </c>
      <c r="AT113" s="49">
        <f>AS124</f>
        <v>1610.6559999999999</v>
      </c>
      <c r="AU113" s="59">
        <f>AQ113</f>
        <v>1596.9079999999999</v>
      </c>
      <c r="AV113" s="780">
        <f>AT54</f>
        <v>1618</v>
      </c>
      <c r="AW113" s="781">
        <f>AV124</f>
        <v>1630.58</v>
      </c>
      <c r="AX113" s="781">
        <f>AW124</f>
        <v>1646.2360000000001</v>
      </c>
      <c r="AY113" s="781">
        <f>AX124</f>
        <v>1649.1559999999999</v>
      </c>
      <c r="AZ113" s="777">
        <f>AV113</f>
        <v>1618</v>
      </c>
      <c r="BA113" s="780">
        <f>AY54</f>
        <v>1653.508</v>
      </c>
      <c r="BB113" s="781">
        <f>BA124</f>
        <v>1661.31</v>
      </c>
      <c r="BC113" s="781">
        <f>BB124</f>
        <v>1656.124</v>
      </c>
      <c r="BD113" s="781">
        <f>BC124</f>
        <v>1616.076</v>
      </c>
      <c r="BE113" s="777">
        <f>BA113</f>
        <v>1653.508</v>
      </c>
      <c r="BF113" s="780">
        <f>BD54</f>
        <v>1589.884</v>
      </c>
      <c r="BG113" s="781">
        <f>BF124</f>
        <v>1585.8979999999999</v>
      </c>
      <c r="BH113" s="781">
        <f>BG124</f>
        <v>1589.2260000000001</v>
      </c>
      <c r="BI113" s="781">
        <f>BH124</f>
        <v>1596.518</v>
      </c>
      <c r="BJ113" s="777">
        <f>BF113</f>
        <v>1589.884</v>
      </c>
      <c r="BK113" s="780">
        <f>BI54</f>
        <v>1568.3920000000001</v>
      </c>
      <c r="BL113" s="781">
        <f>BK124</f>
        <v>1565.528</v>
      </c>
      <c r="BM113" s="781">
        <f>BL124</f>
        <v>1548.11</v>
      </c>
      <c r="BN113" s="781">
        <f>BM124</f>
        <v>1527.1179999999999</v>
      </c>
      <c r="BO113" s="777">
        <f>BK113</f>
        <v>1568.3920000000001</v>
      </c>
      <c r="BP113" s="780">
        <f>BN54</f>
        <v>1518.2260000000001</v>
      </c>
      <c r="BQ113" s="781">
        <f>BO54</f>
        <v>1539.7455</v>
      </c>
      <c r="BR113" s="781">
        <f>BP54</f>
        <v>1489.8</v>
      </c>
      <c r="BS113" s="781">
        <f>BQ54</f>
        <v>1478.6</v>
      </c>
      <c r="BT113" s="777">
        <f>BP113</f>
        <v>1518.2260000000001</v>
      </c>
      <c r="BU113" s="780">
        <f>BS54</f>
        <v>1483.8</v>
      </c>
      <c r="BV113" s="781">
        <f>BU124</f>
        <v>1478.2</v>
      </c>
      <c r="BW113" s="781">
        <f>BV124</f>
        <v>1479.8</v>
      </c>
      <c r="BX113" s="781">
        <f>BW124</f>
        <v>1493.4</v>
      </c>
      <c r="BY113" s="777">
        <f>BU113</f>
        <v>1483.8</v>
      </c>
      <c r="BZ113" s="780">
        <f>BX54</f>
        <v>1515.8</v>
      </c>
      <c r="CA113" s="781">
        <f>BZ124</f>
        <v>1525.8</v>
      </c>
      <c r="CB113" s="781">
        <f>CA124</f>
        <v>1533.8</v>
      </c>
      <c r="CC113" s="781">
        <f>CB124</f>
        <v>1533.4</v>
      </c>
      <c r="CD113" s="777">
        <f>BZ113</f>
        <v>1515.8</v>
      </c>
      <c r="CE113" s="780">
        <f>CC54</f>
        <v>1521.8</v>
      </c>
      <c r="CF113" s="781">
        <f>CE124</f>
        <v>1533.4</v>
      </c>
      <c r="CG113" s="781">
        <f>CF124</f>
        <v>1543.6</v>
      </c>
      <c r="CH113" s="781">
        <f>CG124</f>
        <v>1543.8</v>
      </c>
      <c r="CI113" s="911">
        <f>CE113</f>
        <v>1521.8</v>
      </c>
      <c r="CJ113" s="912">
        <f>CH54</f>
        <v>1537</v>
      </c>
      <c r="CK113" s="913">
        <f>CJ124</f>
        <v>1537</v>
      </c>
      <c r="CL113" s="913">
        <f>CK124</f>
        <v>1546.6</v>
      </c>
      <c r="CM113" s="913">
        <f>CL124</f>
        <v>1553.6</v>
      </c>
      <c r="CN113" s="911">
        <f>CJ113</f>
        <v>1537</v>
      </c>
      <c r="CO113" s="912">
        <f>CM54</f>
        <v>1547</v>
      </c>
      <c r="CP113" s="913">
        <f>CO124</f>
        <v>1522.6</v>
      </c>
      <c r="CQ113" s="913">
        <f>CP124</f>
        <v>1522.6</v>
      </c>
      <c r="CR113" s="913">
        <f>CQ124</f>
        <v>1523.8</v>
      </c>
      <c r="CS113" s="911">
        <f>CO113</f>
        <v>1547</v>
      </c>
      <c r="CT113" s="912">
        <f>CR54</f>
        <v>1528.2</v>
      </c>
      <c r="CU113" s="913">
        <f>CT124</f>
        <v>1532.4</v>
      </c>
      <c r="CV113" s="913">
        <f>CU124</f>
        <v>1529.2</v>
      </c>
      <c r="CW113" s="913">
        <f>CV124</f>
        <v>1522</v>
      </c>
      <c r="CX113" s="911">
        <f>CT113</f>
        <v>1528.2</v>
      </c>
      <c r="CY113" s="911">
        <f>CW54</f>
        <v>1521.6</v>
      </c>
      <c r="CZ113" s="110">
        <f>CY124</f>
        <v>1516.8</v>
      </c>
      <c r="DA113" s="110">
        <f>CZ124</f>
        <v>1516.5</v>
      </c>
      <c r="DB113" s="110">
        <f>DA124</f>
        <v>1515.7</v>
      </c>
      <c r="DC113" s="914">
        <f>CY113</f>
        <v>1521.6</v>
      </c>
      <c r="DD113" s="111">
        <f>DB54</f>
        <v>1504.5</v>
      </c>
      <c r="DE113" s="111">
        <f t="shared" ref="DE113:DG113" si="370">DC54</f>
        <v>1513.375</v>
      </c>
      <c r="DF113" s="111">
        <f t="shared" si="370"/>
        <v>1503.3</v>
      </c>
      <c r="DG113" s="111">
        <f t="shared" si="370"/>
        <v>1486.6</v>
      </c>
      <c r="DH113" s="388">
        <f>DD113</f>
        <v>1504.5</v>
      </c>
      <c r="DI113" s="111">
        <f>DG54</f>
        <v>1478.4</v>
      </c>
      <c r="DJ113" s="111">
        <f>DI124</f>
        <v>1470.5</v>
      </c>
      <c r="DK113" s="111">
        <f>DJ124</f>
        <v>1464.8</v>
      </c>
      <c r="DL113" s="111">
        <f>DK124</f>
        <v>1452.2642498205314</v>
      </c>
      <c r="DM113" s="388">
        <f>DI113</f>
        <v>1478.4</v>
      </c>
      <c r="DN113" s="111">
        <f>DL54</f>
        <v>1451.2</v>
      </c>
      <c r="DO113" s="111">
        <f>DN124</f>
        <v>1433.3540254877648</v>
      </c>
      <c r="DP113" s="111">
        <f>DO124</f>
        <v>1421.8879460078447</v>
      </c>
      <c r="DQ113" s="111">
        <f>DP124</f>
        <v>1411.9095974911286</v>
      </c>
      <c r="DR113" s="388">
        <f>DN113</f>
        <v>1451.2</v>
      </c>
      <c r="DS113" s="111">
        <f>DQ54</f>
        <v>1402.1857263963088</v>
      </c>
      <c r="DT113" s="111">
        <f>DS124</f>
        <v>1394.1230387926648</v>
      </c>
      <c r="DU113" s="111">
        <f>DT124</f>
        <v>1386.7085702980171</v>
      </c>
      <c r="DV113" s="111">
        <f>DU124</f>
        <v>1378.5179149111073</v>
      </c>
      <c r="DW113" s="388">
        <f>DS113</f>
        <v>1402.1857263963088</v>
      </c>
      <c r="DX113" s="111">
        <f>DV54</f>
        <v>1370.5466841396269</v>
      </c>
      <c r="DY113" s="111">
        <f>DX124</f>
        <v>1365.3119487508141</v>
      </c>
      <c r="DZ113" s="111">
        <f>DY124</f>
        <v>1361.7796598155967</v>
      </c>
      <c r="EA113" s="111">
        <f>DZ124</f>
        <v>1354.4704699508554</v>
      </c>
      <c r="EB113" s="388">
        <f>DX113</f>
        <v>1370.5466841396269</v>
      </c>
      <c r="ED113" s="28"/>
      <c r="EE113" s="28"/>
      <c r="FJ113"/>
      <c r="FK113"/>
      <c r="FL113"/>
      <c r="FM113"/>
      <c r="FN113"/>
      <c r="FO113"/>
      <c r="FP113"/>
      <c r="FQ113"/>
      <c r="FR113"/>
    </row>
    <row r="114" spans="1:174" s="1" customFormat="1" ht="13.5" customHeight="1" x14ac:dyDescent="0.2">
      <c r="A114" s="1" t="s">
        <v>234</v>
      </c>
      <c r="B114" s="20"/>
      <c r="G114" s="20"/>
      <c r="H114" s="49">
        <f>-CF!H68</f>
        <v>2.3210000000000002</v>
      </c>
      <c r="I114" s="49">
        <f>-CF!I68</f>
        <v>0.46100000000000002</v>
      </c>
      <c r="J114" s="49">
        <f>-CF!J68</f>
        <v>-9.4220000000000006</v>
      </c>
      <c r="K114" s="49">
        <f>-CF!K68</f>
        <v>4.4089999999999998</v>
      </c>
      <c r="L114" s="45">
        <f>-CF!L68</f>
        <v>-2.23</v>
      </c>
      <c r="M114" s="49">
        <f>-CF!M68</f>
        <v>-11.385999999999999</v>
      </c>
      <c r="N114" s="49">
        <f>-CF!N68</f>
        <v>-11.994614</v>
      </c>
      <c r="O114" s="49">
        <f>-CF!O68</f>
        <v>-17.692619386000001</v>
      </c>
      <c r="P114" s="49">
        <f>-CF!P68</f>
        <v>-20.769926766613999</v>
      </c>
      <c r="Q114" s="45">
        <f>-CF!Q68</f>
        <v>-34.25</v>
      </c>
      <c r="R114" s="49">
        <f>-CF!R68</f>
        <v>-8.6010000000000009</v>
      </c>
      <c r="S114" s="49">
        <f>-CF!S68</f>
        <v>3.7650000000000006</v>
      </c>
      <c r="T114" s="49">
        <f>-CF!T68</f>
        <v>-8.0579999999999998</v>
      </c>
      <c r="U114" s="49">
        <f>-CF!U68</f>
        <v>-20.045999999999999</v>
      </c>
      <c r="V114" s="45">
        <f>-CF!V68</f>
        <v>-32.94</v>
      </c>
      <c r="W114" s="49">
        <f>-CF!W68</f>
        <v>-9.83</v>
      </c>
      <c r="X114" s="49">
        <f>-CF!X68</f>
        <v>-6.24</v>
      </c>
      <c r="Y114" s="49">
        <f>-CF!Y68</f>
        <v>-8.0489999999999977</v>
      </c>
      <c r="Z114" s="49">
        <f>-CF!Z68</f>
        <v>-23.225000000000001</v>
      </c>
      <c r="AA114" s="45">
        <f>-CF!AA68</f>
        <v>-47.344000000000001</v>
      </c>
      <c r="AB114" s="49">
        <f>-CF!AB68</f>
        <v>0</v>
      </c>
      <c r="AC114" s="49">
        <f>-CF!AC68</f>
        <v>0</v>
      </c>
      <c r="AD114" s="49">
        <f>-CF!AD68</f>
        <v>0</v>
      </c>
      <c r="AE114" s="49">
        <f>-CF!AE68</f>
        <v>0</v>
      </c>
      <c r="AF114" s="45">
        <f>-CF!AF68</f>
        <v>0</v>
      </c>
      <c r="AG114" s="49">
        <f>-CF!AG68</f>
        <v>0</v>
      </c>
      <c r="AH114" s="49">
        <f>-CF!AH68</f>
        <v>0</v>
      </c>
      <c r="AI114" s="49">
        <f>-CF!AI68</f>
        <v>0</v>
      </c>
      <c r="AJ114" s="49">
        <f>-CF!AJ68</f>
        <v>49.787999999999997</v>
      </c>
      <c r="AK114" s="45">
        <f>-CF!AK68</f>
        <v>49.787999999999997</v>
      </c>
      <c r="AL114" s="49">
        <f>-CF!AL68</f>
        <v>1.829</v>
      </c>
      <c r="AM114" s="49">
        <f>-CF!AM68</f>
        <v>0</v>
      </c>
      <c r="AN114" s="1">
        <f>-CF!AN68</f>
        <v>0</v>
      </c>
      <c r="AO114" s="49">
        <f>-CF!AO68</f>
        <v>50.418999999999997</v>
      </c>
      <c r="AP114" s="45">
        <f>-CF!AP68</f>
        <v>52.247999999999998</v>
      </c>
      <c r="AQ114" s="49">
        <f>-CF!AQ68</f>
        <v>29.936</v>
      </c>
      <c r="AR114" s="49">
        <f>-CF!AR68</f>
        <v>0.20799999999999841</v>
      </c>
      <c r="AS114" s="49">
        <f>-CF!AS68</f>
        <v>31.097999999999999</v>
      </c>
      <c r="AT114" s="49">
        <f>-CF!AT68</f>
        <v>14.467999999999996</v>
      </c>
      <c r="AU114" s="45">
        <f>-CF!AU68</f>
        <v>75.709999999999994</v>
      </c>
      <c r="AV114" s="782">
        <f>-CF!AV68</f>
        <v>0</v>
      </c>
      <c r="AW114" s="783">
        <f>-CF!AW68</f>
        <v>40.723999999999997</v>
      </c>
      <c r="AX114" s="783">
        <f>-CF!AX68</f>
        <v>41.48</v>
      </c>
      <c r="AY114" s="783">
        <f>-CF!AY68</f>
        <v>121.20900000000003</v>
      </c>
      <c r="AZ114" s="778">
        <f>-CF!AZ68</f>
        <v>203.41300000000001</v>
      </c>
      <c r="BA114" s="782">
        <f>-CF!BA68</f>
        <v>0</v>
      </c>
      <c r="BB114" s="783">
        <f>-CF!BB68</f>
        <v>334.74900000000002</v>
      </c>
      <c r="BC114" s="783">
        <f>-CF!BC68</f>
        <v>472.27199999999993</v>
      </c>
      <c r="BD114" s="783">
        <f>-CF!BD68</f>
        <v>306.62599999999998</v>
      </c>
      <c r="BE114" s="778">
        <f>-CF!BE68</f>
        <v>1113.6469999999999</v>
      </c>
      <c r="BF114" s="782">
        <f>-CF!BF68</f>
        <v>134.30099999999999</v>
      </c>
      <c r="BG114" s="783">
        <f>-CF!BG68</f>
        <v>69.885000000000019</v>
      </c>
      <c r="BH114" s="783">
        <f>-CF!BH68</f>
        <v>163.58499999999998</v>
      </c>
      <c r="BI114" s="783">
        <f>-CF!BI68</f>
        <v>486.27400000000006</v>
      </c>
      <c r="BJ114" s="778">
        <f>-CF!BJ68</f>
        <v>854.04499999999996</v>
      </c>
      <c r="BK114" s="782">
        <f>-CF!BK68</f>
        <v>115.288</v>
      </c>
      <c r="BL114" s="783">
        <f>-CF!BL68</f>
        <v>447.84899999999993</v>
      </c>
      <c r="BM114" s="783">
        <f>-CF!BM68</f>
        <v>107.85100000000013</v>
      </c>
      <c r="BN114" s="783">
        <f>-CF!BN68</f>
        <v>325.80999999999995</v>
      </c>
      <c r="BO114" s="778">
        <f>-CF!BO68</f>
        <v>996.798</v>
      </c>
      <c r="BP114" s="782">
        <f>-CF!BP68</f>
        <v>311.3</v>
      </c>
      <c r="BQ114" s="783">
        <f>-CF!BQ68</f>
        <v>9.9999999999965894E-2</v>
      </c>
      <c r="BR114" s="783">
        <f>-CF!BR68</f>
        <v>0</v>
      </c>
      <c r="BS114" s="783">
        <f>-CF!BS68</f>
        <v>0</v>
      </c>
      <c r="BT114" s="778">
        <f>-CF!BT68</f>
        <v>311.39999999999998</v>
      </c>
      <c r="BU114" s="782">
        <f>-CF!BU68</f>
        <v>0</v>
      </c>
      <c r="BV114" s="783">
        <f>-CF!BV68</f>
        <v>0</v>
      </c>
      <c r="BW114" s="783">
        <f>-CF!BW68</f>
        <v>0</v>
      </c>
      <c r="BX114" s="783">
        <f>-CF!BX68</f>
        <v>0</v>
      </c>
      <c r="BY114" s="778">
        <f>-CF!BY68</f>
        <v>0</v>
      </c>
      <c r="BZ114" s="782">
        <f>-CF!BZ68</f>
        <v>0</v>
      </c>
      <c r="CA114" s="783">
        <f>-CF!CA68</f>
        <v>0</v>
      </c>
      <c r="CB114" s="783">
        <f>-CF!CB68</f>
        <v>169.1</v>
      </c>
      <c r="CC114" s="783">
        <f>-CF!CC68</f>
        <v>116.50000000000003</v>
      </c>
      <c r="CD114" s="778">
        <f>-CF!CD68</f>
        <v>285.60000000000002</v>
      </c>
      <c r="CE114" s="782">
        <f>-CF!CE68</f>
        <v>11.8</v>
      </c>
      <c r="CF114" s="783">
        <f>-CF!CF68</f>
        <v>48.7</v>
      </c>
      <c r="CG114" s="783">
        <f>-CF!CG68</f>
        <v>261.39999999999998</v>
      </c>
      <c r="CH114" s="783">
        <f>-CF!CH68</f>
        <v>234</v>
      </c>
      <c r="CI114" s="915">
        <f>-CF!CI68</f>
        <v>555.9</v>
      </c>
      <c r="CJ114" s="916">
        <f>-CF!CJ68</f>
        <v>15.7</v>
      </c>
      <c r="CK114" s="917">
        <f>-CF!CK68</f>
        <v>0</v>
      </c>
      <c r="CL114" s="917">
        <f>-CF!CL68</f>
        <v>0</v>
      </c>
      <c r="CM114" s="917">
        <f>-CF!CM68</f>
        <v>533.4</v>
      </c>
      <c r="CN114" s="915">
        <f>-CF!CN68</f>
        <v>549.1</v>
      </c>
      <c r="CO114" s="916">
        <f>-CF!CO68</f>
        <v>424.8</v>
      </c>
      <c r="CP114" s="917">
        <f>-CF!CP68</f>
        <v>163.30000000000001</v>
      </c>
      <c r="CQ114" s="917">
        <f>-CF!CQ68</f>
        <v>0</v>
      </c>
      <c r="CR114" s="917">
        <f>-CF!CR68</f>
        <v>0</v>
      </c>
      <c r="CS114" s="915">
        <f>-CF!CS68</f>
        <v>588.1</v>
      </c>
      <c r="CT114" s="916">
        <f>-CF!CT68</f>
        <v>38.5</v>
      </c>
      <c r="CU114" s="917">
        <f>-CF!CU68</f>
        <v>251.60000000000002</v>
      </c>
      <c r="CV114" s="917">
        <f>-CF!CV68</f>
        <v>305.10000000000002</v>
      </c>
      <c r="CW114" s="917">
        <f>-CF!CW68</f>
        <v>163.39999999999998</v>
      </c>
      <c r="CX114" s="915">
        <f>-CF!CX68</f>
        <v>758.6</v>
      </c>
      <c r="CY114" s="915">
        <f>-CF!CY68</f>
        <v>215</v>
      </c>
      <c r="CZ114" s="110">
        <f>-CF!CZ68</f>
        <v>131.39999999999998</v>
      </c>
      <c r="DA114" s="110">
        <f>-CF!DA68</f>
        <v>574.70000000000005</v>
      </c>
      <c r="DB114" s="110">
        <f>-CF!DB68</f>
        <v>514.99999999999989</v>
      </c>
      <c r="DC114" s="918">
        <f>-CF!DC68</f>
        <v>1436.1</v>
      </c>
      <c r="DD114" s="111">
        <f>-CF!DD68</f>
        <v>245.8</v>
      </c>
      <c r="DE114" s="111">
        <f>-CF!DE68</f>
        <v>1338.7</v>
      </c>
      <c r="DF114" s="111">
        <f>-CF!DF68</f>
        <v>5.9000000000000341</v>
      </c>
      <c r="DG114" s="111">
        <f>-CF!DG68</f>
        <v>405.19999999999976</v>
      </c>
      <c r="DH114" s="125">
        <f>-CF!DH68</f>
        <v>1995.6</v>
      </c>
      <c r="DI114" s="111">
        <f>-CF!DI68</f>
        <v>408.1</v>
      </c>
      <c r="DJ114" s="111">
        <f>-CF!DJ68</f>
        <v>637.99999999999989</v>
      </c>
      <c r="DK114" s="111">
        <f>-CF!DK68</f>
        <v>168</v>
      </c>
      <c r="DL114" s="111">
        <f>-CF!DL68</f>
        <v>828.40000000000009</v>
      </c>
      <c r="DM114" s="125">
        <f>-CF!DM68</f>
        <v>2042.5</v>
      </c>
      <c r="DN114" s="111">
        <f>-CF!DN68</f>
        <v>1000</v>
      </c>
      <c r="DO114" s="143">
        <f>-CF!DO68</f>
        <v>750</v>
      </c>
      <c r="DP114" s="143">
        <f>-CF!DP68</f>
        <v>750</v>
      </c>
      <c r="DQ114" s="143">
        <f>-CF!DQ68</f>
        <v>750</v>
      </c>
      <c r="DR114" s="125">
        <f>-CF!DR68</f>
        <v>3250</v>
      </c>
      <c r="DS114" s="143">
        <f>-CF!DS68</f>
        <v>700</v>
      </c>
      <c r="DT114" s="143">
        <f>-CF!DT68</f>
        <v>700</v>
      </c>
      <c r="DU114" s="143">
        <f>-CF!DU68</f>
        <v>700</v>
      </c>
      <c r="DV114" s="143">
        <f>-CF!DV68</f>
        <v>700</v>
      </c>
      <c r="DW114" s="125">
        <f>-CF!DW68</f>
        <v>2800</v>
      </c>
      <c r="DX114" s="143">
        <f>-CF!DX68</f>
        <v>500</v>
      </c>
      <c r="DY114" s="143">
        <f>-CF!DY68</f>
        <v>500</v>
      </c>
      <c r="DZ114" s="143">
        <f>-CF!DZ68</f>
        <v>900</v>
      </c>
      <c r="EA114" s="143">
        <f>-CF!EA68</f>
        <v>900</v>
      </c>
      <c r="EB114" s="125">
        <f>-CF!EB68</f>
        <v>2800</v>
      </c>
      <c r="ED114" s="28"/>
      <c r="EE114" s="28"/>
      <c r="FJ114"/>
      <c r="FK114"/>
      <c r="FL114"/>
      <c r="FM114"/>
      <c r="FN114"/>
      <c r="FO114"/>
      <c r="FP114"/>
      <c r="FQ114"/>
      <c r="FR114"/>
    </row>
    <row r="115" spans="1:174" s="1" customFormat="1" ht="13.5" customHeight="1" x14ac:dyDescent="0.2">
      <c r="A115" s="1" t="s">
        <v>560</v>
      </c>
      <c r="B115" s="20"/>
      <c r="G115" s="20"/>
      <c r="L115" s="20"/>
      <c r="Q115" s="20"/>
      <c r="V115" s="20"/>
      <c r="AA115" s="20"/>
      <c r="AF115" s="20"/>
      <c r="AK115" s="20"/>
      <c r="AP115" s="20"/>
      <c r="AU115" s="20"/>
      <c r="AV115" s="784">
        <v>7.25</v>
      </c>
      <c r="AW115" s="521">
        <v>18.510000000000002</v>
      </c>
      <c r="AX115" s="521">
        <v>18.645</v>
      </c>
      <c r="AY115" s="521">
        <v>21.84</v>
      </c>
      <c r="AZ115" s="788">
        <v>21.299572004391997</v>
      </c>
      <c r="BA115" s="784">
        <v>13.25</v>
      </c>
      <c r="BB115" s="521">
        <v>25.56</v>
      </c>
      <c r="BC115" s="521">
        <v>25.234999999999999</v>
      </c>
      <c r="BD115" s="521">
        <v>12.63</v>
      </c>
      <c r="BE115" s="788">
        <v>12.373855555555554</v>
      </c>
      <c r="BF115" s="784">
        <v>14.05</v>
      </c>
      <c r="BG115" s="521">
        <v>14.5</v>
      </c>
      <c r="BH115" s="521">
        <v>16.015000000000001</v>
      </c>
      <c r="BI115" s="521">
        <v>16.285</v>
      </c>
      <c r="BJ115" s="788">
        <v>16.645436732196597</v>
      </c>
      <c r="BK115" s="784">
        <v>18.02</v>
      </c>
      <c r="BL115" s="521">
        <v>16.61</v>
      </c>
      <c r="BM115" s="521">
        <v>16.484999999999999</v>
      </c>
      <c r="BN115" s="521">
        <v>13.545</v>
      </c>
      <c r="BO115" s="788">
        <v>15.139929959457167</v>
      </c>
      <c r="BP115" s="784">
        <v>12.06</v>
      </c>
      <c r="BQ115" s="521">
        <v>8.75</v>
      </c>
      <c r="BR115" s="521">
        <v>8.25</v>
      </c>
      <c r="BS115" s="521">
        <v>7.25</v>
      </c>
      <c r="BT115" s="788">
        <v>12.756320224719103</v>
      </c>
      <c r="BU115" s="784">
        <v>4.75</v>
      </c>
      <c r="BV115" s="521">
        <v>4.75</v>
      </c>
      <c r="BW115" s="521">
        <v>6.5</v>
      </c>
      <c r="BX115" s="521">
        <v>9.3450000000000006</v>
      </c>
      <c r="BY115" s="788">
        <v>6.3362499999999997</v>
      </c>
      <c r="BZ115" s="784">
        <v>10.25</v>
      </c>
      <c r="CA115" s="521">
        <v>11</v>
      </c>
      <c r="CB115" s="521">
        <v>12.955</v>
      </c>
      <c r="CC115" s="521">
        <v>12.484999999999999</v>
      </c>
      <c r="CD115" s="788">
        <v>12.776538696091597</v>
      </c>
      <c r="CE115" s="784">
        <v>15.315</v>
      </c>
      <c r="CF115" s="521">
        <v>16.233333333333334</v>
      </c>
      <c r="CG115" s="521">
        <v>14.206521739130435</v>
      </c>
      <c r="CH115" s="521">
        <v>18.05</v>
      </c>
      <c r="CI115" s="788">
        <v>15.80770280722508</v>
      </c>
      <c r="CJ115" s="784">
        <v>18.245000000000001</v>
      </c>
      <c r="CK115" s="521">
        <v>24</v>
      </c>
      <c r="CL115" s="521">
        <v>27.5</v>
      </c>
      <c r="CM115" s="521">
        <v>24.29</v>
      </c>
      <c r="CN115" s="788">
        <v>22.343699898596796</v>
      </c>
      <c r="CO115" s="784">
        <v>24.44</v>
      </c>
      <c r="CP115" s="521">
        <v>26.884000000000004</v>
      </c>
      <c r="CQ115" s="521">
        <v>29</v>
      </c>
      <c r="CR115" s="521">
        <v>35.950000000000003</v>
      </c>
      <c r="CS115" s="788">
        <v>26.560391494521021</v>
      </c>
      <c r="CT115" s="784">
        <v>38.625</v>
      </c>
      <c r="CU115" s="521">
        <v>36.734999999999999</v>
      </c>
      <c r="CV115" s="521">
        <v>35.340000000000003</v>
      </c>
      <c r="CW115" s="521">
        <v>38.39</v>
      </c>
      <c r="CX115" s="788">
        <v>36.115888105685009</v>
      </c>
      <c r="CY115" s="27">
        <v>38.6</v>
      </c>
      <c r="CZ115" s="830">
        <v>42.53</v>
      </c>
      <c r="DA115" s="800">
        <v>52.16</v>
      </c>
      <c r="DB115" s="800">
        <v>55.17</v>
      </c>
      <c r="DC115" s="556">
        <f>DC114/DC117</f>
        <v>50.224518478094275</v>
      </c>
      <c r="DD115" s="100">
        <v>60</v>
      </c>
      <c r="DE115" s="100">
        <v>57.2</v>
      </c>
      <c r="DF115" s="100">
        <v>56.94</v>
      </c>
      <c r="DG115" s="933">
        <v>55.74</v>
      </c>
      <c r="DH115" s="167">
        <f>DH114/DH117</f>
        <v>57.253987882558967</v>
      </c>
      <c r="DI115" s="100">
        <v>54.18</v>
      </c>
      <c r="DJ115" s="100">
        <v>55.72</v>
      </c>
      <c r="DK115" s="100">
        <f>DJ115*(1+DK116)</f>
        <v>58.506</v>
      </c>
      <c r="DL115" s="100">
        <v>55</v>
      </c>
      <c r="DM115" s="167">
        <f>DM114/DM117</f>
        <v>55.326185454136116</v>
      </c>
      <c r="DN115" s="100">
        <f>DL115*(1+DN116)</f>
        <v>56.1</v>
      </c>
      <c r="DO115" s="116">
        <f>DN115*(1+DO116)</f>
        <v>57.222000000000001</v>
      </c>
      <c r="DP115" s="116">
        <f>DO115*(1+DP116)</f>
        <v>58.366440000000004</v>
      </c>
      <c r="DQ115" s="116">
        <f>DP115*(1+DQ116)</f>
        <v>59.533768800000004</v>
      </c>
      <c r="DR115" s="275">
        <f>DR114/DR117</f>
        <v>57.644655874498142</v>
      </c>
      <c r="DS115" s="116">
        <f>DQ115*(1+DS116)</f>
        <v>60.724444176000006</v>
      </c>
      <c r="DT115" s="116">
        <f>DS115*(1+DT116)</f>
        <v>61.938933059520004</v>
      </c>
      <c r="DU115" s="116">
        <f>DT115*(1+DU116)</f>
        <v>63.177711720710406</v>
      </c>
      <c r="DV115" s="116">
        <f>DU115*(1+DV116)</f>
        <v>64.441265955124621</v>
      </c>
      <c r="DW115" s="275">
        <f>DW114/DW117</f>
        <v>62.539927091683253</v>
      </c>
      <c r="DX115" s="116">
        <f>DV115*(1+DX116)</f>
        <v>65.730091274227121</v>
      </c>
      <c r="DY115" s="116">
        <f>DX115*(1+DY116)</f>
        <v>67.044693099711665</v>
      </c>
      <c r="DZ115" s="116">
        <f>DY115*(1+DZ116)</f>
        <v>68.385586961705897</v>
      </c>
      <c r="EA115" s="116">
        <f>DZ115*(1+EA116)</f>
        <v>69.753298700940022</v>
      </c>
      <c r="EB115" s="275">
        <f>EB114/EB117</f>
        <v>68.080369506816098</v>
      </c>
      <c r="ED115" s="28"/>
      <c r="EE115" s="28"/>
      <c r="FJ115"/>
      <c r="FK115"/>
      <c r="FL115"/>
      <c r="FM115"/>
      <c r="FN115"/>
      <c r="FO115"/>
      <c r="FP115"/>
      <c r="FQ115"/>
      <c r="FR115"/>
    </row>
    <row r="116" spans="1:174" s="1" customFormat="1" ht="13.5" customHeight="1" x14ac:dyDescent="0.2">
      <c r="A116" s="1" t="s">
        <v>561</v>
      </c>
      <c r="B116" s="20"/>
      <c r="G116" s="20"/>
      <c r="L116" s="20"/>
      <c r="Q116" s="20"/>
      <c r="V116" s="20"/>
      <c r="AA116" s="20"/>
      <c r="AF116" s="20"/>
      <c r="AK116" s="20"/>
      <c r="AP116" s="20"/>
      <c r="AU116" s="20"/>
      <c r="AV116" s="785"/>
      <c r="AW116" s="786">
        <f>AW115/AV115-1</f>
        <v>1.5531034482758623</v>
      </c>
      <c r="AX116" s="786">
        <f>AX115/AW115-1</f>
        <v>7.2933549432738776E-3</v>
      </c>
      <c r="AY116" s="786">
        <f>AY115/AX115-1</f>
        <v>0.17135961383748999</v>
      </c>
      <c r="AZ116" s="789"/>
      <c r="BA116" s="785">
        <f>BA115/AY115-1</f>
        <v>-0.39331501831501836</v>
      </c>
      <c r="BB116" s="786">
        <f>BB115/BA115-1</f>
        <v>0.92905660377358479</v>
      </c>
      <c r="BC116" s="786">
        <f>BC115/BB115-1</f>
        <v>-1.2715179968701085E-2</v>
      </c>
      <c r="BD116" s="786">
        <f>BD115/BC115-1</f>
        <v>-0.49950465623142459</v>
      </c>
      <c r="BE116" s="789">
        <f>BE115/AZ115-1</f>
        <v>-0.41905614098705601</v>
      </c>
      <c r="BF116" s="785">
        <f>BF115/BD115-1</f>
        <v>0.11243072050673009</v>
      </c>
      <c r="BG116" s="786">
        <f>BG115/BF115-1</f>
        <v>3.2028469750889688E-2</v>
      </c>
      <c r="BH116" s="786">
        <f>BH115/BG115-1</f>
        <v>0.10448275862068979</v>
      </c>
      <c r="BI116" s="786">
        <f>BI115/BH115-1</f>
        <v>1.6859194505151498E-2</v>
      </c>
      <c r="BJ116" s="789">
        <f>BJ115/BE115-1</f>
        <v>0.34521020206375441</v>
      </c>
      <c r="BK116" s="785">
        <f>BK115/BI115-1</f>
        <v>0.10653976051581204</v>
      </c>
      <c r="BL116" s="786">
        <f>BL115/BK115-1</f>
        <v>-7.8246392896781369E-2</v>
      </c>
      <c r="BM116" s="786">
        <f>BM115/BL115-1</f>
        <v>-7.5255869957856492E-3</v>
      </c>
      <c r="BN116" s="786">
        <f>BN115/BM115-1</f>
        <v>-0.17834394904458595</v>
      </c>
      <c r="BO116" s="789">
        <f>BO115/BJ115-1</f>
        <v>-9.0445615633946597E-2</v>
      </c>
      <c r="BP116" s="785">
        <f>BP115/BN115-1</f>
        <v>-0.10963455149501655</v>
      </c>
      <c r="BQ116" s="786">
        <f>BQ115/BP115-1</f>
        <v>-0.2744610281923715</v>
      </c>
      <c r="BR116" s="786">
        <f>BR115/BQ115-1</f>
        <v>-5.7142857142857162E-2</v>
      </c>
      <c r="BS116" s="786">
        <f>BS115/BR115-1</f>
        <v>-0.12121212121212122</v>
      </c>
      <c r="BT116" s="789">
        <f>BT115/BO115-1</f>
        <v>-0.15743862363439409</v>
      </c>
      <c r="BU116" s="785">
        <f>BU115/BS115-1</f>
        <v>-0.34482758620689657</v>
      </c>
      <c r="BV116" s="786">
        <f>BV115/BU115-1</f>
        <v>0</v>
      </c>
      <c r="BW116" s="786">
        <f>BW115/BV115-1</f>
        <v>0.36842105263157898</v>
      </c>
      <c r="BX116" s="786">
        <f>BX115/BW115-1</f>
        <v>0.43769230769230782</v>
      </c>
      <c r="BY116" s="789">
        <f>BY115/BT115-1</f>
        <v>-0.5032854390311039</v>
      </c>
      <c r="BZ116" s="785">
        <f>BZ115/BX115-1</f>
        <v>9.6843231674692332E-2</v>
      </c>
      <c r="CA116" s="786">
        <f>CA115/BZ115-1</f>
        <v>7.3170731707317138E-2</v>
      </c>
      <c r="CB116" s="786">
        <f>CB115/CA115-1</f>
        <v>0.17772727272727273</v>
      </c>
      <c r="CC116" s="786">
        <f>CC115/CB115-1</f>
        <v>-3.6279428791972212E-2</v>
      </c>
      <c r="CD116" s="789">
        <f>CD115/BY115-1</f>
        <v>1.0164196008824775</v>
      </c>
      <c r="CE116" s="785">
        <f>CE115/CC115-1</f>
        <v>0.22667200640768925</v>
      </c>
      <c r="CF116" s="786">
        <f>CF115/CE115-1</f>
        <v>5.9962999238219794E-2</v>
      </c>
      <c r="CG116" s="786">
        <f>CG115/CF115-1</f>
        <v>-0.1248549236675297</v>
      </c>
      <c r="CH116" s="786">
        <f>CH115/CG115-1</f>
        <v>0.27054322876817127</v>
      </c>
      <c r="CI116" s="789">
        <f>CI115/CD115-1</f>
        <v>0.23724454511774229</v>
      </c>
      <c r="CJ116" s="785">
        <f>CJ115/CH115-1</f>
        <v>1.0803324099722955E-2</v>
      </c>
      <c r="CK116" s="786">
        <f>CK115/CJ115-1</f>
        <v>0.31542888462592478</v>
      </c>
      <c r="CL116" s="786">
        <f>CL115/CK115-1</f>
        <v>0.14583333333333326</v>
      </c>
      <c r="CM116" s="786">
        <f>CM115/CL115-1</f>
        <v>-0.11672727272727279</v>
      </c>
      <c r="CN116" s="789">
        <f>CN115/CI115-1</f>
        <v>0.41346912774602318</v>
      </c>
      <c r="CO116" s="785">
        <f>CO115/CN115-1</f>
        <v>9.382063449280631E-2</v>
      </c>
      <c r="CP116" s="786">
        <v>0.1</v>
      </c>
      <c r="CQ116" s="786">
        <v>0.01</v>
      </c>
      <c r="CR116" s="786">
        <v>0.22</v>
      </c>
      <c r="CS116" s="789">
        <f>CS115/CN115-1</f>
        <v>0.18871948759878565</v>
      </c>
      <c r="CT116" s="785">
        <v>0.22</v>
      </c>
      <c r="CU116" s="786">
        <f>CU115/CT115-1</f>
        <v>-4.8932038834951452E-2</v>
      </c>
      <c r="CV116" s="786">
        <f>CV115/CU115-1</f>
        <v>-3.7974683544303667E-2</v>
      </c>
      <c r="CW116" s="786">
        <f>CW115/CV115-1</f>
        <v>8.6304470854555726E-2</v>
      </c>
      <c r="CX116" s="789">
        <f>CX115/CS115-1</f>
        <v>0.35976490079730694</v>
      </c>
      <c r="CY116" s="790">
        <f>CY115/CX115-1</f>
        <v>6.8781692064329158E-2</v>
      </c>
      <c r="CZ116" s="828">
        <f>CZ115/CY115-1</f>
        <v>0.10181347150259068</v>
      </c>
      <c r="DA116" s="828">
        <f>DA115/CZ115-1</f>
        <v>0.22642840347989646</v>
      </c>
      <c r="DB116" s="828">
        <f>DB115/DA115-1</f>
        <v>5.7707055214724079E-2</v>
      </c>
      <c r="DC116" s="808">
        <f>DC115/CX115-1</f>
        <v>0.39064885601382793</v>
      </c>
      <c r="DD116" s="790">
        <f>DD115/DB115-1</f>
        <v>8.7547580206634112E-2</v>
      </c>
      <c r="DE116" s="828">
        <f>DE115/DD115-1</f>
        <v>-4.6666666666666634E-2</v>
      </c>
      <c r="DF116" s="828">
        <f>DF115/DE115-1</f>
        <v>-4.5454545454546302E-3</v>
      </c>
      <c r="DG116" s="828">
        <f>DG115/DF115-1</f>
        <v>-2.1074815595363505E-2</v>
      </c>
      <c r="DH116" s="274">
        <f>DH115/DC115-1</f>
        <v>0.13996091187077564</v>
      </c>
      <c r="DI116" s="790">
        <f>DI115/DG115-1</f>
        <v>-2.7987082884822434E-2</v>
      </c>
      <c r="DJ116" s="828">
        <f>DJ115/DI115-1</f>
        <v>2.8423772609819098E-2</v>
      </c>
      <c r="DK116" s="87">
        <v>0.05</v>
      </c>
      <c r="DL116" s="87">
        <v>0.01</v>
      </c>
      <c r="DM116" s="274">
        <f>DM115/DH115-1</f>
        <v>-3.3671059426938377E-2</v>
      </c>
      <c r="DN116" s="87">
        <v>0.02</v>
      </c>
      <c r="DO116" s="276">
        <v>0.02</v>
      </c>
      <c r="DP116" s="276">
        <v>0.02</v>
      </c>
      <c r="DQ116" s="276">
        <v>0.02</v>
      </c>
      <c r="DR116" s="298">
        <f>DR115/DM115-1</f>
        <v>4.1905481126725652E-2</v>
      </c>
      <c r="DS116" s="276">
        <v>0.02</v>
      </c>
      <c r="DT116" s="276">
        <v>0.02</v>
      </c>
      <c r="DU116" s="276">
        <v>0.02</v>
      </c>
      <c r="DV116" s="276">
        <v>0.02</v>
      </c>
      <c r="DW116" s="298">
        <f>DW115/DR115-1</f>
        <v>8.4921509946089602E-2</v>
      </c>
      <c r="DX116" s="276">
        <v>0.02</v>
      </c>
      <c r="DY116" s="276">
        <v>0.02</v>
      </c>
      <c r="DZ116" s="276">
        <v>0.02</v>
      </c>
      <c r="EA116" s="276">
        <v>0.02</v>
      </c>
      <c r="EB116" s="298">
        <f>EB115/DW115-1</f>
        <v>8.8590484076046083E-2</v>
      </c>
      <c r="ED116" s="28"/>
      <c r="EE116" s="28"/>
      <c r="FJ116"/>
      <c r="FK116"/>
      <c r="FL116"/>
      <c r="FM116"/>
      <c r="FN116"/>
      <c r="FO116"/>
      <c r="FP116"/>
      <c r="FQ116"/>
      <c r="FR116"/>
    </row>
    <row r="117" spans="1:174" s="1" customFormat="1" ht="13.5" customHeight="1" x14ac:dyDescent="0.2">
      <c r="A117" s="1" t="s">
        <v>562</v>
      </c>
      <c r="B117" s="2">
        <v>0</v>
      </c>
      <c r="C117" s="2">
        <v>0</v>
      </c>
      <c r="D117" s="2">
        <v>0</v>
      </c>
      <c r="E117" s="2">
        <v>0</v>
      </c>
      <c r="F117" s="2">
        <v>0</v>
      </c>
      <c r="G117" s="2">
        <v>0</v>
      </c>
      <c r="H117" s="2">
        <v>0</v>
      </c>
      <c r="I117" s="2">
        <v>0</v>
      </c>
      <c r="J117" s="2">
        <v>0</v>
      </c>
      <c r="K117" s="2">
        <v>0</v>
      </c>
      <c r="L117" s="2">
        <v>0</v>
      </c>
      <c r="M117" s="2">
        <v>0</v>
      </c>
      <c r="N117" s="2">
        <v>0</v>
      </c>
      <c r="O117" s="2">
        <v>0</v>
      </c>
      <c r="P117" s="2">
        <v>0</v>
      </c>
      <c r="Q117" s="2">
        <v>0</v>
      </c>
      <c r="R117" s="2">
        <v>0</v>
      </c>
      <c r="S117" s="2">
        <v>0</v>
      </c>
      <c r="T117" s="2">
        <v>0</v>
      </c>
      <c r="U117" s="2">
        <v>0</v>
      </c>
      <c r="V117" s="2">
        <v>0</v>
      </c>
      <c r="W117" s="2">
        <v>0</v>
      </c>
      <c r="X117" s="2">
        <v>0</v>
      </c>
      <c r="Y117" s="2">
        <v>0</v>
      </c>
      <c r="Z117" s="2">
        <v>0</v>
      </c>
      <c r="AA117" s="2">
        <v>0</v>
      </c>
      <c r="AB117" s="2">
        <v>0</v>
      </c>
      <c r="AC117" s="2">
        <v>0</v>
      </c>
      <c r="AD117" s="2">
        <v>0</v>
      </c>
      <c r="AE117" s="2">
        <v>0</v>
      </c>
      <c r="AF117" s="2">
        <v>0</v>
      </c>
      <c r="AG117" s="2">
        <v>0</v>
      </c>
      <c r="AH117" s="2">
        <v>0</v>
      </c>
      <c r="AI117" s="2">
        <v>0</v>
      </c>
      <c r="AJ117" s="2">
        <v>0</v>
      </c>
      <c r="AK117" s="2">
        <v>0</v>
      </c>
      <c r="AL117" s="2">
        <v>0</v>
      </c>
      <c r="AM117" s="2">
        <v>0</v>
      </c>
      <c r="AN117" s="2">
        <v>0</v>
      </c>
      <c r="AO117" s="2">
        <v>0</v>
      </c>
      <c r="AP117" s="2">
        <v>0</v>
      </c>
      <c r="AQ117" s="2">
        <v>0</v>
      </c>
      <c r="AR117" s="2">
        <v>0</v>
      </c>
      <c r="AS117" s="2">
        <v>0</v>
      </c>
      <c r="AT117" s="2">
        <v>0</v>
      </c>
      <c r="AU117" s="2">
        <v>0</v>
      </c>
      <c r="AV117" s="784">
        <v>0</v>
      </c>
      <c r="AW117" s="521">
        <v>2.2000000000000002</v>
      </c>
      <c r="AX117" s="521">
        <v>1.8</v>
      </c>
      <c r="AY117" s="521">
        <v>5.5500980000000002</v>
      </c>
      <c r="AZ117" s="788">
        <v>9.5500980000000002</v>
      </c>
      <c r="BA117" s="784">
        <v>0</v>
      </c>
      <c r="BB117" s="521">
        <v>13</v>
      </c>
      <c r="BC117" s="521">
        <v>19</v>
      </c>
      <c r="BD117" s="521">
        <v>58</v>
      </c>
      <c r="BE117" s="788">
        <v>90</v>
      </c>
      <c r="BF117" s="784">
        <v>8.6</v>
      </c>
      <c r="BG117" s="521">
        <v>3.6</v>
      </c>
      <c r="BH117" s="521">
        <v>10</v>
      </c>
      <c r="BI117" s="521">
        <v>29.108056000000001</v>
      </c>
      <c r="BJ117" s="788">
        <v>51.308056000000001</v>
      </c>
      <c r="BK117" s="784">
        <v>7.2</v>
      </c>
      <c r="BL117" s="521">
        <v>28.6</v>
      </c>
      <c r="BM117" s="521">
        <v>4.8</v>
      </c>
      <c r="BN117" s="521">
        <v>25.23901</v>
      </c>
      <c r="BO117" s="788">
        <v>65.839010000000002</v>
      </c>
      <c r="BP117" s="784">
        <v>24.4</v>
      </c>
      <c r="BQ117" s="521">
        <v>1.1428571428567531E-2</v>
      </c>
      <c r="BR117" s="521">
        <v>0</v>
      </c>
      <c r="BS117" s="521">
        <v>0</v>
      </c>
      <c r="BT117" s="788">
        <v>24.411428571428566</v>
      </c>
      <c r="BU117" s="784">
        <v>0</v>
      </c>
      <c r="BV117" s="521">
        <v>0</v>
      </c>
      <c r="BW117" s="521">
        <v>0</v>
      </c>
      <c r="BX117" s="521">
        <v>3.5599999999999998E-3</v>
      </c>
      <c r="BY117" s="788">
        <v>3.5599999999999998E-3</v>
      </c>
      <c r="BZ117" s="784">
        <v>0</v>
      </c>
      <c r="CA117" s="521">
        <v>0</v>
      </c>
      <c r="CB117" s="521">
        <v>13.378232000000001</v>
      </c>
      <c r="CC117" s="521">
        <v>8.9752399999999994</v>
      </c>
      <c r="CD117" s="788">
        <v>22.353472</v>
      </c>
      <c r="CE117" s="784">
        <v>0.8</v>
      </c>
      <c r="CF117" s="521">
        <v>3</v>
      </c>
      <c r="CG117" s="521">
        <v>18.399999999999999</v>
      </c>
      <c r="CH117" s="521">
        <v>12.9664</v>
      </c>
      <c r="CI117" s="788">
        <v>35.166399999999996</v>
      </c>
      <c r="CJ117" s="784">
        <v>0.8</v>
      </c>
      <c r="CK117" s="521">
        <v>0</v>
      </c>
      <c r="CL117" s="521">
        <v>0</v>
      </c>
      <c r="CM117" s="521">
        <v>23.77516</v>
      </c>
      <c r="CN117" s="788">
        <v>24.57516</v>
      </c>
      <c r="CO117" s="784">
        <v>16.067748000000002</v>
      </c>
      <c r="CP117" s="521">
        <v>6.0742449040321373</v>
      </c>
      <c r="CQ117" s="521">
        <v>0</v>
      </c>
      <c r="CR117" s="521">
        <v>0</v>
      </c>
      <c r="CS117" s="788">
        <v>22.14199290403214</v>
      </c>
      <c r="CT117" s="784">
        <v>1.2101820000000001</v>
      </c>
      <c r="CU117" s="521">
        <v>6.9261520000000001</v>
      </c>
      <c r="CV117" s="521">
        <v>8.3185540000000007</v>
      </c>
      <c r="CW117" s="521">
        <v>4.5497180000000004</v>
      </c>
      <c r="CX117" s="788">
        <v>21.004606000000003</v>
      </c>
      <c r="CY117" s="788">
        <v>5.1813471502590698</v>
      </c>
      <c r="CZ117" s="829">
        <v>2.9704299999999999</v>
      </c>
      <c r="DA117" s="277">
        <v>12.145091000000001</v>
      </c>
      <c r="DB117" s="277">
        <v>8.2967359999999992</v>
      </c>
      <c r="DC117" s="278">
        <f>SUM(CY117:DB117)</f>
        <v>28.593604150259072</v>
      </c>
      <c r="DD117" s="49">
        <v>4.4521129999999998</v>
      </c>
      <c r="DE117" s="49">
        <v>23.030604</v>
      </c>
      <c r="DF117" s="49">
        <v>0.10274999999999999</v>
      </c>
      <c r="DG117" s="934">
        <v>7.2697469999999997</v>
      </c>
      <c r="DH117" s="45">
        <f>SUM(DD117:DG117)</f>
        <v>34.855214000000004</v>
      </c>
      <c r="DI117" s="49">
        <v>7.6348140000000004</v>
      </c>
      <c r="DJ117" s="49">
        <v>11.349287</v>
      </c>
      <c r="DK117" s="49">
        <f>DK114/DK115</f>
        <v>2.8715003589375447</v>
      </c>
      <c r="DL117" s="49">
        <f>DL114/DL115</f>
        <v>15.061818181818184</v>
      </c>
      <c r="DM117" s="45">
        <f>SUM(DI117:DL117)</f>
        <v>36.917419540755731</v>
      </c>
      <c r="DN117" s="49">
        <f>DN114/DN115</f>
        <v>17.825311942959001</v>
      </c>
      <c r="DO117" s="49">
        <f>DO114/DO115</f>
        <v>13.106847016881618</v>
      </c>
      <c r="DP117" s="49">
        <f>DP114/DP115</f>
        <v>12.849850016550606</v>
      </c>
      <c r="DQ117" s="49">
        <f>DQ114/DQ115</f>
        <v>12.597892173088828</v>
      </c>
      <c r="DR117" s="45">
        <f>SUM(DN117:DQ117)</f>
        <v>56.379901149480055</v>
      </c>
      <c r="DS117" s="49">
        <f>DS114/DS115</f>
        <v>11.527483034198928</v>
      </c>
      <c r="DT117" s="49">
        <f>DT114/DT115</f>
        <v>11.301453955096989</v>
      </c>
      <c r="DU117" s="49">
        <f>DU114/DU115</f>
        <v>11.079856818722538</v>
      </c>
      <c r="DV117" s="49">
        <f>DV114/DV115</f>
        <v>10.862604724237782</v>
      </c>
      <c r="DW117" s="45">
        <f>SUM(DS117:DV117)</f>
        <v>44.771398532256242</v>
      </c>
      <c r="DX117" s="49">
        <f>DX114/DX115</f>
        <v>7.606866053387801</v>
      </c>
      <c r="DY117" s="49">
        <f>DY114/DY115</f>
        <v>7.4577118170468637</v>
      </c>
      <c r="DZ117" s="49">
        <f>DZ114/DZ115</f>
        <v>13.160667912435642</v>
      </c>
      <c r="EA117" s="49">
        <f>EA114/EA115</f>
        <v>12.902615600427099</v>
      </c>
      <c r="EB117" s="45">
        <f>SUM(DX117:EA117)</f>
        <v>41.127861383297407</v>
      </c>
      <c r="ED117" s="28"/>
      <c r="EE117" s="28"/>
      <c r="FJ117"/>
      <c r="FK117"/>
      <c r="FL117"/>
      <c r="FM117"/>
      <c r="FN117"/>
      <c r="FO117"/>
      <c r="FP117"/>
      <c r="FQ117"/>
      <c r="FR117"/>
    </row>
    <row r="118" spans="1:174" s="1" customFormat="1" ht="13.5" customHeight="1" x14ac:dyDescent="0.2">
      <c r="A118" s="1" t="s">
        <v>235</v>
      </c>
      <c r="B118" s="20"/>
      <c r="G118" s="20"/>
      <c r="L118" s="20"/>
      <c r="Q118" s="20"/>
      <c r="V118" s="20"/>
      <c r="AA118" s="20"/>
      <c r="AF118" s="20"/>
      <c r="AK118" s="20"/>
      <c r="AP118" s="20"/>
      <c r="AU118" s="20"/>
      <c r="AV118" s="782"/>
      <c r="AW118" s="783"/>
      <c r="AX118" s="783"/>
      <c r="AY118" s="783"/>
      <c r="AZ118" s="278"/>
      <c r="BA118" s="782"/>
      <c r="BB118" s="783"/>
      <c r="BC118" s="783"/>
      <c r="BD118" s="783"/>
      <c r="BE118" s="278"/>
      <c r="BF118" s="782"/>
      <c r="BG118" s="783"/>
      <c r="BH118" s="783"/>
      <c r="BI118" s="783"/>
      <c r="BJ118" s="278"/>
      <c r="BK118" s="782"/>
      <c r="BL118" s="783"/>
      <c r="BM118" s="783"/>
      <c r="BN118" s="783"/>
      <c r="BO118" s="278"/>
      <c r="BP118" s="782"/>
      <c r="BQ118" s="783"/>
      <c r="BR118" s="783"/>
      <c r="BS118" s="783"/>
      <c r="BT118" s="278"/>
      <c r="BU118" s="782"/>
      <c r="BV118" s="783"/>
      <c r="BW118" s="783"/>
      <c r="BX118" s="783"/>
      <c r="BY118" s="278"/>
      <c r="BZ118" s="782">
        <f>CF!BZ60</f>
        <v>38.1</v>
      </c>
      <c r="CA118" s="783">
        <f>CF!CA60</f>
        <v>24.6</v>
      </c>
      <c r="CB118" s="783">
        <f>CF!CB60</f>
        <v>27.9</v>
      </c>
      <c r="CC118" s="783">
        <f>CF!CC60</f>
        <v>37.300000000000004</v>
      </c>
      <c r="CD118" s="778">
        <f>SUM(BZ118:CC118)</f>
        <v>127.9</v>
      </c>
      <c r="CE118" s="782">
        <f>CF!CE60</f>
        <v>62.3</v>
      </c>
      <c r="CF118" s="783">
        <f>CF!CF60</f>
        <v>64.100000000000009</v>
      </c>
      <c r="CG118" s="783">
        <f>CF!CG60</f>
        <v>61</v>
      </c>
      <c r="CH118" s="783">
        <f>CF!CH60</f>
        <v>48</v>
      </c>
      <c r="CI118" s="778">
        <f>SUM(CE118:CH118)</f>
        <v>235.4</v>
      </c>
      <c r="CJ118" s="782">
        <f>CF!CJ60</f>
        <v>93.7</v>
      </c>
      <c r="CK118" s="783">
        <f>CF!CK60</f>
        <v>30.099999999999994</v>
      </c>
      <c r="CL118" s="783">
        <f>CF!CL60</f>
        <v>31.399999999999991</v>
      </c>
      <c r="CM118" s="783">
        <f>CF!CM60</f>
        <v>81.399999999999991</v>
      </c>
      <c r="CN118" s="778">
        <f>SUM(CJ118:CM118)</f>
        <v>236.59999999999997</v>
      </c>
      <c r="CO118" s="782">
        <f>CF!CO60</f>
        <v>98.3</v>
      </c>
      <c r="CP118" s="783">
        <f>CF!CP60</f>
        <v>42.7</v>
      </c>
      <c r="CQ118" s="783">
        <f>CF!CQ60</f>
        <v>58.5</v>
      </c>
      <c r="CR118" s="783">
        <f>CF!CR60</f>
        <v>47.699999999999989</v>
      </c>
      <c r="CS118" s="778">
        <f>SUM(CO118:CR118)</f>
        <v>247.2</v>
      </c>
      <c r="CT118" s="782">
        <f>CF!CT60</f>
        <v>61.6</v>
      </c>
      <c r="CU118" s="783">
        <f>CF!CU60</f>
        <v>27.9</v>
      </c>
      <c r="CV118" s="783">
        <f>CF!CV60</f>
        <v>28.099999999999987</v>
      </c>
      <c r="CW118" s="783">
        <f>CF!CW60</f>
        <v>22.099999999999987</v>
      </c>
      <c r="CX118" s="278">
        <f>SUM(CT118:CW118)</f>
        <v>139.69999999999999</v>
      </c>
      <c r="CY118" s="783">
        <f>CF!CY60</f>
        <v>64.099999999999994</v>
      </c>
      <c r="CZ118" s="783">
        <f>CF!CZ60</f>
        <v>47</v>
      </c>
      <c r="DA118" s="783">
        <f>CF!DA60</f>
        <v>35.800000000000011</v>
      </c>
      <c r="DB118" s="783">
        <f>CF!DB60</f>
        <v>44.900000000000006</v>
      </c>
      <c r="DC118" s="278">
        <f>SUM(CY118:DB118)</f>
        <v>191.8</v>
      </c>
      <c r="DD118" s="783">
        <f>CF!DD60</f>
        <v>48.4</v>
      </c>
      <c r="DE118" s="277">
        <f>CF!DE60</f>
        <v>31.199999999999996</v>
      </c>
      <c r="DF118" s="277">
        <f>CF!DF60</f>
        <v>41.300000000000018</v>
      </c>
      <c r="DG118" s="783">
        <f>CF!DG60</f>
        <v>39.79999999999999</v>
      </c>
      <c r="DH118" s="278">
        <f>SUM(DD118:DG118)</f>
        <v>160.69999999999999</v>
      </c>
      <c r="DI118" s="783">
        <f>CF!DI60</f>
        <v>51.2</v>
      </c>
      <c r="DJ118" s="277">
        <f>CF!DJ60</f>
        <v>46.3</v>
      </c>
      <c r="DK118" s="277">
        <f>DK119*DK120</f>
        <v>39.003999999999998</v>
      </c>
      <c r="DL118" s="277">
        <f>DL119*DL120</f>
        <v>55</v>
      </c>
      <c r="DM118" s="278">
        <f>SUM(DI118:DL118)</f>
        <v>191.50399999999999</v>
      </c>
      <c r="DN118" s="277">
        <f>DN119*DN120</f>
        <v>93.5</v>
      </c>
      <c r="DO118" s="277">
        <f>DO119*DO120</f>
        <v>57.222000000000008</v>
      </c>
      <c r="DP118" s="277">
        <f>DP119*DP120</f>
        <v>58.366440000000004</v>
      </c>
      <c r="DQ118" s="277">
        <f>DQ119*DQ120</f>
        <v>59.533768800000004</v>
      </c>
      <c r="DR118" s="278">
        <f>SUM(DN118:DQ118)</f>
        <v>268.62220880000001</v>
      </c>
      <c r="DS118" s="277">
        <f>DS119*DS120</f>
        <v>101.20740696</v>
      </c>
      <c r="DT118" s="277">
        <f>DT119*DT120</f>
        <v>61.938933059520011</v>
      </c>
      <c r="DU118" s="277">
        <f>DU119*DU120</f>
        <v>63.177711720710406</v>
      </c>
      <c r="DV118" s="277">
        <f>DV119*DV120</f>
        <v>64.441265955124621</v>
      </c>
      <c r="DW118" s="278">
        <f>SUM(DS118:DV118)</f>
        <v>290.76531769535501</v>
      </c>
      <c r="DX118" s="277">
        <f>DX119*DX120</f>
        <v>109.55015212371187</v>
      </c>
      <c r="DY118" s="277">
        <f>DY119*DY120</f>
        <v>67.044693099711665</v>
      </c>
      <c r="DZ118" s="277">
        <f>DZ119*DZ120</f>
        <v>68.385586961705897</v>
      </c>
      <c r="EA118" s="277">
        <f>EA119*EA120</f>
        <v>69.753298700940022</v>
      </c>
      <c r="EB118" s="278">
        <f>SUM(DX118:EA118)</f>
        <v>314.73373088606945</v>
      </c>
      <c r="ED118" s="28"/>
      <c r="EE118" s="28"/>
      <c r="FJ118"/>
      <c r="FK118"/>
      <c r="FL118"/>
      <c r="FM118"/>
      <c r="FN118"/>
      <c r="FO118"/>
      <c r="FP118"/>
      <c r="FQ118"/>
      <c r="FR118"/>
    </row>
    <row r="119" spans="1:174" s="1" customFormat="1" ht="13.5" customHeight="1" x14ac:dyDescent="0.2">
      <c r="A119" s="1" t="s">
        <v>560</v>
      </c>
      <c r="B119" s="20"/>
      <c r="G119" s="20"/>
      <c r="L119" s="20"/>
      <c r="Q119" s="20"/>
      <c r="V119" s="20"/>
      <c r="AA119" s="20"/>
      <c r="AF119" s="20"/>
      <c r="AK119" s="20"/>
      <c r="AP119" s="20"/>
      <c r="AU119" s="20"/>
      <c r="AV119" s="782"/>
      <c r="AW119" s="783"/>
      <c r="AX119" s="783"/>
      <c r="AY119" s="783"/>
      <c r="AZ119" s="778"/>
      <c r="BA119" s="782"/>
      <c r="BB119" s="783"/>
      <c r="BC119" s="783"/>
      <c r="BD119" s="783"/>
      <c r="BE119" s="778"/>
      <c r="BF119" s="782"/>
      <c r="BG119" s="783"/>
      <c r="BH119" s="783"/>
      <c r="BI119" s="783"/>
      <c r="BJ119" s="778"/>
      <c r="BK119" s="782"/>
      <c r="BL119" s="783"/>
      <c r="BM119" s="783"/>
      <c r="BN119" s="783"/>
      <c r="BO119" s="778"/>
      <c r="BP119" s="782"/>
      <c r="BQ119" s="783"/>
      <c r="BR119" s="783"/>
      <c r="BS119" s="783"/>
      <c r="BT119" s="778"/>
      <c r="BU119" s="782"/>
      <c r="BV119" s="783"/>
      <c r="BW119" s="783"/>
      <c r="BX119" s="783"/>
      <c r="BY119" s="778"/>
      <c r="BZ119" s="782">
        <f t="shared" ref="BZ119:CQ119" si="371">BZ118/BZ120</f>
        <v>5.2916666666666332</v>
      </c>
      <c r="CA119" s="783">
        <f t="shared" si="371"/>
        <v>7.2352941176468661</v>
      </c>
      <c r="CB119" s="783">
        <f t="shared" si="371"/>
        <v>6.3724352661074137</v>
      </c>
      <c r="CC119" s="783">
        <f t="shared" si="371"/>
        <v>5.5053400322350585</v>
      </c>
      <c r="CD119" s="778">
        <f t="shared" si="371"/>
        <v>5.8795212093039435</v>
      </c>
      <c r="CE119" s="782">
        <f t="shared" si="371"/>
        <v>4.7196969696970177</v>
      </c>
      <c r="CF119" s="783">
        <f t="shared" si="371"/>
        <v>21.366666666666671</v>
      </c>
      <c r="CG119" s="783">
        <f t="shared" si="371"/>
        <v>3.4659090909090824</v>
      </c>
      <c r="CH119" s="783">
        <f t="shared" si="371"/>
        <v>8.3240843507214866</v>
      </c>
      <c r="CI119" s="778">
        <f t="shared" si="371"/>
        <v>5.9494924986857738</v>
      </c>
      <c r="CJ119" s="782">
        <f t="shared" si="371"/>
        <v>5.7134146341462939</v>
      </c>
      <c r="CK119" s="783">
        <f t="shared" si="371"/>
        <v>2.8396226415094579</v>
      </c>
      <c r="CL119" s="783">
        <f t="shared" si="371"/>
        <v>8.2631578947369384</v>
      </c>
      <c r="CM119" s="783">
        <f t="shared" si="371"/>
        <v>29.331642139552315</v>
      </c>
      <c r="CN119" s="778">
        <f t="shared" si="371"/>
        <v>7.0468763216616086</v>
      </c>
      <c r="CO119" s="782">
        <f t="shared" si="371"/>
        <v>6.4384085983079951</v>
      </c>
      <c r="CP119" s="783">
        <f t="shared" si="371"/>
        <v>8.7603312596536842</v>
      </c>
      <c r="CQ119" s="783">
        <f t="shared" si="371"/>
        <v>10.446428571428317</v>
      </c>
      <c r="CR119" s="783">
        <f t="shared" ref="CR119:DD119" si="372">CR118/CR120</f>
        <v>11.357142857142732</v>
      </c>
      <c r="CS119" s="778">
        <f t="shared" si="372"/>
        <v>8.2559634822005883</v>
      </c>
      <c r="CT119" s="782">
        <f t="shared" si="372"/>
        <v>8.543473659888198</v>
      </c>
      <c r="CU119" s="783">
        <f t="shared" si="372"/>
        <v>10.234205576211622</v>
      </c>
      <c r="CV119" s="783">
        <f t="shared" si="372"/>
        <v>13.263763869129878</v>
      </c>
      <c r="CW119" s="783">
        <f t="shared" si="372"/>
        <v>14.260659036031059</v>
      </c>
      <c r="CX119" s="778">
        <f t="shared" si="372"/>
        <v>10.268581096725692</v>
      </c>
      <c r="CY119" s="779">
        <f t="shared" si="372"/>
        <v>9.1816090247885374</v>
      </c>
      <c r="CZ119" s="830">
        <f t="shared" si="372"/>
        <v>14.824487530082457</v>
      </c>
      <c r="DA119" s="830">
        <f t="shared" si="372"/>
        <v>18.40530854340534</v>
      </c>
      <c r="DB119" s="830">
        <f t="shared" si="372"/>
        <v>17.29093754621217</v>
      </c>
      <c r="DC119" s="556">
        <f>DC118/DC120</f>
        <v>13.053298430978861</v>
      </c>
      <c r="DD119" s="779">
        <f t="shared" si="372"/>
        <v>9.7736057315331859</v>
      </c>
      <c r="DE119" s="800">
        <f>DE118/DE120</f>
        <v>16.160745549060564</v>
      </c>
      <c r="DF119" s="800">
        <f>DF118/DF120</f>
        <v>20.6216452377971</v>
      </c>
      <c r="DG119" s="800">
        <f>DG118/DG120</f>
        <v>29.056460791666375</v>
      </c>
      <c r="DH119" s="556">
        <f>DH118/DH120</f>
        <v>15.67007767951001</v>
      </c>
      <c r="DI119" s="779">
        <f t="shared" ref="DI119" si="373">DI118/DI120</f>
        <v>11.811348768366869</v>
      </c>
      <c r="DJ119" s="800">
        <f>DJ118/DJ120</f>
        <v>25.036676297405425</v>
      </c>
      <c r="DK119" s="800">
        <f>DK115/3</f>
        <v>19.501999999999999</v>
      </c>
      <c r="DL119" s="800">
        <f>DL115/3</f>
        <v>18.333333333333332</v>
      </c>
      <c r="DM119" s="556">
        <f>DM118/DM120</f>
        <v>17.122878271574908</v>
      </c>
      <c r="DN119" s="800">
        <f>DN115/3</f>
        <v>18.7</v>
      </c>
      <c r="DO119" s="557">
        <f>DO115/3</f>
        <v>19.074000000000002</v>
      </c>
      <c r="DP119" s="557">
        <f>DP115/3</f>
        <v>19.455480000000001</v>
      </c>
      <c r="DQ119" s="557">
        <f>DQ115/3</f>
        <v>19.844589600000003</v>
      </c>
      <c r="DR119" s="556">
        <f>DR118/DR120</f>
        <v>19.187300628571428</v>
      </c>
      <c r="DS119" s="557">
        <f>DS115/3</f>
        <v>20.241481392000001</v>
      </c>
      <c r="DT119" s="557">
        <f>DT115/3</f>
        <v>20.646311019840002</v>
      </c>
      <c r="DU119" s="557">
        <f>DU115/3</f>
        <v>21.059237240236801</v>
      </c>
      <c r="DV119" s="557">
        <f>DV115/3</f>
        <v>21.480421985041541</v>
      </c>
      <c r="DW119" s="556">
        <f>DW118/DW120</f>
        <v>20.76895126395393</v>
      </c>
      <c r="DX119" s="557">
        <f>DX115/3</f>
        <v>21.910030424742374</v>
      </c>
      <c r="DY119" s="557">
        <f>DY115/3</f>
        <v>22.348231033237223</v>
      </c>
      <c r="DZ119" s="557">
        <f>DZ115/3</f>
        <v>22.795195653901967</v>
      </c>
      <c r="EA119" s="557">
        <f>EA115/3</f>
        <v>23.251099566980006</v>
      </c>
      <c r="EB119" s="556">
        <f>EB118/EB120</f>
        <v>22.480980777576388</v>
      </c>
      <c r="ED119" s="28"/>
      <c r="EE119" s="28"/>
      <c r="FJ119"/>
      <c r="FK119"/>
      <c r="FL119"/>
      <c r="FM119"/>
      <c r="FN119"/>
      <c r="FO119"/>
      <c r="FP119"/>
      <c r="FQ119"/>
      <c r="FR119"/>
    </row>
    <row r="120" spans="1:174" s="1" customFormat="1" ht="13.5" customHeight="1" x14ac:dyDescent="0.2">
      <c r="A120" s="1" t="s">
        <v>563</v>
      </c>
      <c r="B120" s="20"/>
      <c r="G120" s="20"/>
      <c r="L120" s="20"/>
      <c r="Q120" s="20"/>
      <c r="V120" s="20"/>
      <c r="AA120" s="20"/>
      <c r="AF120" s="20"/>
      <c r="AK120" s="20"/>
      <c r="AP120" s="20"/>
      <c r="AU120" s="20"/>
      <c r="AV120" s="782"/>
      <c r="AW120" s="783"/>
      <c r="AX120" s="783"/>
      <c r="AY120" s="783"/>
      <c r="AZ120" s="778">
        <f>SUM(AV120:AY120)</f>
        <v>0</v>
      </c>
      <c r="BA120" s="782">
        <f>-(BA113-BA117-BA124)</f>
        <v>7.8019999999999072</v>
      </c>
      <c r="BB120" s="783">
        <v>8</v>
      </c>
      <c r="BC120" s="783">
        <v>7.1081081081081301</v>
      </c>
      <c r="BD120" s="783">
        <v>6.6081081081081301</v>
      </c>
      <c r="BE120" s="778">
        <f>SUM(BA120:BD120)</f>
        <v>29.518216216216167</v>
      </c>
      <c r="BF120" s="782">
        <f>-(BF113-BF117-BF124)</f>
        <v>4.6139999999998054</v>
      </c>
      <c r="BG120" s="783">
        <v>8</v>
      </c>
      <c r="BH120" s="783">
        <v>7.1081081081081301</v>
      </c>
      <c r="BI120" s="783">
        <v>6.6081081081081301</v>
      </c>
      <c r="BJ120" s="778">
        <f>SUM(BF120:BI120)</f>
        <v>26.330216216216066</v>
      </c>
      <c r="BK120" s="782">
        <f>-(BK113-BK117-BK124)</f>
        <v>4.3360000000000127</v>
      </c>
      <c r="BL120" s="783">
        <v>8</v>
      </c>
      <c r="BM120" s="783">
        <v>7.1081081081081301</v>
      </c>
      <c r="BN120" s="783">
        <v>6.6081081081081301</v>
      </c>
      <c r="BO120" s="778">
        <f>SUM(BK120:BN120)</f>
        <v>26.052216216216273</v>
      </c>
      <c r="BP120" s="782">
        <f>-(BP113-BP117-BP124)</f>
        <v>-4.0260000000000673</v>
      </c>
      <c r="BQ120" s="783">
        <v>8</v>
      </c>
      <c r="BR120" s="783">
        <v>7.1081081081081301</v>
      </c>
      <c r="BS120" s="783">
        <v>6.6081081081081301</v>
      </c>
      <c r="BT120" s="778">
        <f>SUM(BP120:BS120)</f>
        <v>17.690216216216193</v>
      </c>
      <c r="BU120" s="782">
        <v>0.5</v>
      </c>
      <c r="BV120" s="783">
        <v>0.5</v>
      </c>
      <c r="BW120" s="783">
        <v>0.5</v>
      </c>
      <c r="BX120" s="783">
        <v>0.5</v>
      </c>
      <c r="BY120" s="778">
        <f>SUM(BU120:BX120)</f>
        <v>2</v>
      </c>
      <c r="BZ120" s="782">
        <f>BZ121-BY121+BZ117</f>
        <v>7.2000000000000455</v>
      </c>
      <c r="CA120" s="783">
        <f>CA121-BZ121+CA117</f>
        <v>3.4000000000000909</v>
      </c>
      <c r="CB120" s="783">
        <f>CB121-CA121+CB117</f>
        <v>4.3782320000000006</v>
      </c>
      <c r="CC120" s="783">
        <f>CC121-CB121+CC117</f>
        <v>6.775239999999954</v>
      </c>
      <c r="CD120" s="778">
        <f>SUM(BZ120:CC120)</f>
        <v>21.753472000000091</v>
      </c>
      <c r="CE120" s="782">
        <f>CE121-CD121+CE117</f>
        <v>13.199999999999864</v>
      </c>
      <c r="CF120" s="783">
        <f>CF121-CE121+CF117</f>
        <v>3</v>
      </c>
      <c r="CG120" s="783">
        <f>CG121-CF121+CG117</f>
        <v>17.600000000000044</v>
      </c>
      <c r="CH120" s="783">
        <f>CH121-CG121+CH117</f>
        <v>5.7663999999999547</v>
      </c>
      <c r="CI120" s="778">
        <f>SUM(CE120:CH120)</f>
        <v>39.566399999999867</v>
      </c>
      <c r="CJ120" s="782">
        <f>CJ121-CI121+CJ117</f>
        <v>16.400000000000137</v>
      </c>
      <c r="CK120" s="783">
        <f>CK121-CJ121+CK117</f>
        <v>10.599999999999909</v>
      </c>
      <c r="CL120" s="783">
        <f>CL121-CK121+CL117</f>
        <v>3.7999999999999545</v>
      </c>
      <c r="CM120" s="783">
        <f>CM121-CL121+CM117</f>
        <v>2.7751599999999996</v>
      </c>
      <c r="CN120" s="778">
        <f>SUM(CJ120:CM120)</f>
        <v>33.575159999999997</v>
      </c>
      <c r="CO120" s="782">
        <f>CO121-CN121+CO117</f>
        <v>15.267748000000047</v>
      </c>
      <c r="CP120" s="783">
        <f>CP121-CO121+CP117</f>
        <v>4.8742449040320919</v>
      </c>
      <c r="CQ120" s="783">
        <f>CQ121-CP121+CQ117</f>
        <v>5.6000000000001364</v>
      </c>
      <c r="CR120" s="783">
        <f>CR121-CQ121+CR117</f>
        <v>4.2000000000000455</v>
      </c>
      <c r="CS120" s="778">
        <f>SUM(CO120:CR120)</f>
        <v>29.941992904032322</v>
      </c>
      <c r="CT120" s="782">
        <f>CT121-CS121+CT117</f>
        <v>7.2101819999999996</v>
      </c>
      <c r="CU120" s="783">
        <f>CU121-CT121+CU117</f>
        <v>2.7261519999999546</v>
      </c>
      <c r="CV120" s="783">
        <f>CV121-CU121+CV117</f>
        <v>2.1185539999999552</v>
      </c>
      <c r="CW120" s="783">
        <f>CW121-CV121+CW117</f>
        <v>1.5497180000000004</v>
      </c>
      <c r="CX120" s="778">
        <f>SUM(CT120:CW120)</f>
        <v>13.60460599999991</v>
      </c>
      <c r="CY120" s="778">
        <f>CY121-CX121+CY117</f>
        <v>6.9813471502590243</v>
      </c>
      <c r="CZ120" s="829">
        <f>CZ121-CY121+CZ117</f>
        <v>3.1704300000000454</v>
      </c>
      <c r="DA120" s="829">
        <f>DA121-CZ121+DA117</f>
        <v>1.9450909999999553</v>
      </c>
      <c r="DB120" s="829">
        <f>DB121-DA121+DB117</f>
        <v>2.5967359999999537</v>
      </c>
      <c r="DC120" s="278">
        <f>SUM(CY120:DB120)</f>
        <v>14.693604150258979</v>
      </c>
      <c r="DD120" s="778">
        <f>DD121-DC121+DD117</f>
        <v>4.9521129999999998</v>
      </c>
      <c r="DE120" s="829">
        <f>DE121-DD121+DE117</f>
        <v>1.9306040000000912</v>
      </c>
      <c r="DF120" s="829">
        <f>DF121-DE121+DF117</f>
        <v>2.0027500000000908</v>
      </c>
      <c r="DG120" s="829">
        <f>DG121-DF121+DG117</f>
        <v>1.3697469999999088</v>
      </c>
      <c r="DH120" s="278">
        <f>SUM(DD120:DG120)</f>
        <v>10.255214000000091</v>
      </c>
      <c r="DI120" s="778">
        <f>DI121-DH121+DI117</f>
        <v>4.3348140000000459</v>
      </c>
      <c r="DJ120" s="829">
        <f>DJ121-DI121+DJ117</f>
        <v>1.8492870000000003</v>
      </c>
      <c r="DK120" s="277">
        <v>2</v>
      </c>
      <c r="DL120" s="277">
        <v>3</v>
      </c>
      <c r="DM120" s="278">
        <f>SUM(DI120:DL120)</f>
        <v>11.184101000000046</v>
      </c>
      <c r="DN120" s="277">
        <v>5</v>
      </c>
      <c r="DO120" s="555">
        <v>3</v>
      </c>
      <c r="DP120" s="555">
        <v>3</v>
      </c>
      <c r="DQ120" s="555">
        <v>3</v>
      </c>
      <c r="DR120" s="278">
        <f>SUM(DN120:DQ120)</f>
        <v>14</v>
      </c>
      <c r="DS120" s="555">
        <v>5</v>
      </c>
      <c r="DT120" s="555">
        <v>3</v>
      </c>
      <c r="DU120" s="555">
        <v>3</v>
      </c>
      <c r="DV120" s="555">
        <v>3</v>
      </c>
      <c r="DW120" s="278">
        <f>SUM(DS120:DV120)</f>
        <v>14</v>
      </c>
      <c r="DX120" s="555">
        <v>5</v>
      </c>
      <c r="DY120" s="555">
        <v>3</v>
      </c>
      <c r="DZ120" s="555">
        <v>3</v>
      </c>
      <c r="EA120" s="555">
        <v>3</v>
      </c>
      <c r="EB120" s="278">
        <f>SUM(DX120:EA120)</f>
        <v>14</v>
      </c>
      <c r="ED120" s="28"/>
      <c r="EE120" s="28"/>
      <c r="FJ120"/>
      <c r="FK120"/>
      <c r="FL120"/>
      <c r="FM120"/>
      <c r="FN120"/>
      <c r="FO120"/>
      <c r="FP120"/>
      <c r="FQ120"/>
      <c r="FR120"/>
    </row>
    <row r="121" spans="1:174" s="1" customFormat="1" ht="13.5" customHeight="1" x14ac:dyDescent="0.2">
      <c r="A121" s="1" t="s">
        <v>565</v>
      </c>
      <c r="B121" s="20"/>
      <c r="G121" s="20"/>
      <c r="L121" s="20"/>
      <c r="Q121" s="20"/>
      <c r="V121" s="20"/>
      <c r="AA121" s="20"/>
      <c r="AF121" s="20"/>
      <c r="AK121" s="20"/>
      <c r="AP121" s="20"/>
      <c r="AU121" s="20"/>
      <c r="AV121" s="784"/>
      <c r="AW121" s="521"/>
      <c r="AX121" s="521"/>
      <c r="AY121" s="521"/>
      <c r="AZ121" s="788">
        <f>(AY121)</f>
        <v>0</v>
      </c>
      <c r="BA121" s="784" t="s">
        <v>75</v>
      </c>
      <c r="BB121" s="521" t="s">
        <v>75</v>
      </c>
      <c r="BC121" s="521" t="s">
        <v>75</v>
      </c>
      <c r="BD121" s="521" t="s">
        <v>75</v>
      </c>
      <c r="BE121" s="788" t="str">
        <f>(BD121)</f>
        <v>ND</v>
      </c>
      <c r="BF121" s="784" t="s">
        <v>75</v>
      </c>
      <c r="BG121" s="521" t="s">
        <v>75</v>
      </c>
      <c r="BH121" s="521" t="s">
        <v>75</v>
      </c>
      <c r="BI121" s="521" t="s">
        <v>75</v>
      </c>
      <c r="BJ121" s="788" t="str">
        <f>(BI121)</f>
        <v>ND</v>
      </c>
      <c r="BK121" s="784" t="s">
        <v>75</v>
      </c>
      <c r="BL121" s="521" t="s">
        <v>75</v>
      </c>
      <c r="BM121" s="521" t="s">
        <v>75</v>
      </c>
      <c r="BN121" s="521" t="s">
        <v>75</v>
      </c>
      <c r="BO121" s="788" t="str">
        <f>(BN121)</f>
        <v>ND</v>
      </c>
      <c r="BP121" s="784" t="s">
        <v>75</v>
      </c>
      <c r="BQ121" s="521" t="s">
        <v>75</v>
      </c>
      <c r="BR121" s="521" t="s">
        <v>75</v>
      </c>
      <c r="BS121" s="521" t="s">
        <v>75</v>
      </c>
      <c r="BT121" s="788" t="str">
        <f>(BS121)</f>
        <v>ND</v>
      </c>
      <c r="BU121" s="784" t="s">
        <v>75</v>
      </c>
      <c r="BV121" s="521" t="s">
        <v>75</v>
      </c>
      <c r="BW121" s="521" t="s">
        <v>75</v>
      </c>
      <c r="BX121" s="521">
        <v>1485.8</v>
      </c>
      <c r="BY121" s="788">
        <f>(BX121)</f>
        <v>1485.8</v>
      </c>
      <c r="BZ121" s="784">
        <v>1493</v>
      </c>
      <c r="CA121" s="521">
        <v>1496.4</v>
      </c>
      <c r="CB121" s="521">
        <v>1487.4</v>
      </c>
      <c r="CC121" s="521">
        <v>1485.2</v>
      </c>
      <c r="CD121" s="788">
        <f>(CC121)</f>
        <v>1485.2</v>
      </c>
      <c r="CE121" s="784">
        <v>1497.6</v>
      </c>
      <c r="CF121" s="521">
        <v>1497.6</v>
      </c>
      <c r="CG121" s="521">
        <v>1496.8</v>
      </c>
      <c r="CH121" s="521">
        <v>1489.6</v>
      </c>
      <c r="CI121" s="308">
        <f>(CH121)</f>
        <v>1489.6</v>
      </c>
      <c r="CJ121" s="919">
        <v>1505.2</v>
      </c>
      <c r="CK121" s="920">
        <v>1515.8</v>
      </c>
      <c r="CL121" s="920">
        <v>1519.6</v>
      </c>
      <c r="CM121" s="920">
        <v>1498.6</v>
      </c>
      <c r="CN121" s="308">
        <f>(CM121)</f>
        <v>1498.6</v>
      </c>
      <c r="CO121" s="919">
        <v>1497.8</v>
      </c>
      <c r="CP121" s="920">
        <v>1496.6</v>
      </c>
      <c r="CQ121" s="920">
        <v>1502.2</v>
      </c>
      <c r="CR121" s="920">
        <v>1506.4</v>
      </c>
      <c r="CS121" s="308">
        <f>(CR121)</f>
        <v>1506.4</v>
      </c>
      <c r="CT121" s="919">
        <v>1512.4</v>
      </c>
      <c r="CU121" s="920">
        <v>1508.2</v>
      </c>
      <c r="CV121" s="920">
        <v>1502</v>
      </c>
      <c r="CW121" s="920">
        <v>1499</v>
      </c>
      <c r="CX121" s="308">
        <f>(CW121)</f>
        <v>1499</v>
      </c>
      <c r="CY121" s="308">
        <v>1500.8</v>
      </c>
      <c r="CZ121" s="112">
        <v>1501</v>
      </c>
      <c r="DA121" s="110">
        <v>1490.8</v>
      </c>
      <c r="DB121" s="110">
        <v>1485.1</v>
      </c>
      <c r="DC121" s="918">
        <f>DB121</f>
        <v>1485.1</v>
      </c>
      <c r="DD121" s="110">
        <v>1485.6</v>
      </c>
      <c r="DE121" s="110">
        <v>1464.5</v>
      </c>
      <c r="DF121" s="110">
        <v>1466.4</v>
      </c>
      <c r="DG121" s="935">
        <v>1460.5</v>
      </c>
      <c r="DH121" s="918">
        <f>DG121</f>
        <v>1460.5</v>
      </c>
      <c r="DI121" s="110">
        <v>1457.2</v>
      </c>
      <c r="DJ121" s="110">
        <v>1447.7</v>
      </c>
      <c r="DK121" s="110">
        <f>DJ121+DK120-DK117</f>
        <v>1446.8284996410625</v>
      </c>
      <c r="DL121" s="110">
        <f>DK121+DL120-DL117</f>
        <v>1434.7666814592444</v>
      </c>
      <c r="DM121" s="918">
        <f>DL121</f>
        <v>1434.7666814592444</v>
      </c>
      <c r="DN121" s="110">
        <f>DM121+DN120-DN117</f>
        <v>1421.9413695162855</v>
      </c>
      <c r="DO121" s="110">
        <f>DN121+DO120-DO117</f>
        <v>1411.8345224994039</v>
      </c>
      <c r="DP121" s="110">
        <f>DO121+DP120-DP117</f>
        <v>1401.9846724828533</v>
      </c>
      <c r="DQ121" s="110">
        <f>DP121+DQ120-DQ117</f>
        <v>1392.3867803097644</v>
      </c>
      <c r="DR121" s="918">
        <f>DQ121</f>
        <v>1392.3867803097644</v>
      </c>
      <c r="DS121" s="110">
        <f>DR121+DS120-DS117</f>
        <v>1385.8592972755655</v>
      </c>
      <c r="DT121" s="110">
        <f>DS121+DT120-DT117</f>
        <v>1377.5578433204685</v>
      </c>
      <c r="DU121" s="110">
        <f>DT121+DU120-DU117</f>
        <v>1369.4779865017458</v>
      </c>
      <c r="DV121" s="110">
        <f>DU121+DV120-DV117</f>
        <v>1361.615381777508</v>
      </c>
      <c r="DW121" s="918">
        <f>DV121</f>
        <v>1361.615381777508</v>
      </c>
      <c r="DX121" s="110">
        <f>DW121+DX120-DX117</f>
        <v>1359.0085157241201</v>
      </c>
      <c r="DY121" s="110">
        <f>DX121+DY120-DY117</f>
        <v>1354.5508039070733</v>
      </c>
      <c r="DZ121" s="110">
        <f>DY121+DZ120-DZ117</f>
        <v>1344.3901359946376</v>
      </c>
      <c r="EA121" s="110">
        <f>DZ121+EA120-EA117</f>
        <v>1334.4875203942106</v>
      </c>
      <c r="EB121" s="918">
        <f>EA121</f>
        <v>1334.4875203942106</v>
      </c>
      <c r="ED121" s="28"/>
      <c r="EE121" s="28"/>
      <c r="FJ121"/>
      <c r="FK121"/>
      <c r="FL121"/>
      <c r="FM121"/>
      <c r="FN121"/>
      <c r="FO121"/>
      <c r="FP121"/>
      <c r="FQ121"/>
      <c r="FR121"/>
    </row>
    <row r="122" spans="1:174" s="1" customFormat="1" ht="13.5" customHeight="1" x14ac:dyDescent="0.2">
      <c r="A122" s="1" t="s">
        <v>626</v>
      </c>
      <c r="B122" s="20"/>
      <c r="G122" s="20"/>
      <c r="L122" s="20"/>
      <c r="Q122" s="20"/>
      <c r="V122" s="20"/>
      <c r="AA122" s="20"/>
      <c r="AF122" s="20"/>
      <c r="AK122" s="20"/>
      <c r="AP122" s="20">
        <f>385.575*2</f>
        <v>771.15</v>
      </c>
      <c r="AU122" s="45">
        <f>390.753*2</f>
        <v>781.50599999999997</v>
      </c>
      <c r="AV122" s="784"/>
      <c r="AW122" s="521"/>
      <c r="AX122" s="521"/>
      <c r="AY122" s="521"/>
      <c r="AZ122" s="788">
        <f>(397.173*2)*2</f>
        <v>1588.692</v>
      </c>
      <c r="BA122" s="784" t="s">
        <v>75</v>
      </c>
      <c r="BB122" s="521" t="s">
        <v>75</v>
      </c>
      <c r="BC122" s="521" t="s">
        <v>75</v>
      </c>
      <c r="BD122" s="521" t="s">
        <v>75</v>
      </c>
      <c r="BE122" s="788">
        <v>1579.14</v>
      </c>
      <c r="BF122" s="784" t="s">
        <v>75</v>
      </c>
      <c r="BG122" s="521" t="s">
        <v>75</v>
      </c>
      <c r="BH122" s="521" t="s">
        <v>75</v>
      </c>
      <c r="BI122" s="521" t="s">
        <v>75</v>
      </c>
      <c r="BJ122" s="788">
        <v>1532.2280000000001</v>
      </c>
      <c r="BK122" s="784" t="s">
        <v>75</v>
      </c>
      <c r="BL122" s="521" t="s">
        <v>75</v>
      </c>
      <c r="BM122" s="521" t="s">
        <v>75</v>
      </c>
      <c r="BN122" s="521" t="s">
        <v>75</v>
      </c>
      <c r="BO122" s="788">
        <v>1499.5260000000001</v>
      </c>
      <c r="BP122" s="784" t="s">
        <v>75</v>
      </c>
      <c r="BQ122" s="521" t="s">
        <v>75</v>
      </c>
      <c r="BR122" s="521" t="s">
        <v>75</v>
      </c>
      <c r="BS122" s="521" t="s">
        <v>75</v>
      </c>
      <c r="BT122" s="788">
        <v>1463</v>
      </c>
      <c r="BU122" s="784">
        <v>1472.6</v>
      </c>
      <c r="BV122" s="521">
        <v>1476</v>
      </c>
      <c r="BW122" s="521">
        <v>1478.8</v>
      </c>
      <c r="BX122" s="521">
        <f>(BY122*4-SUM(BU122:BW122))</f>
        <v>1482.2000000000007</v>
      </c>
      <c r="BY122" s="788">
        <v>1477.4</v>
      </c>
      <c r="BZ122" s="784">
        <v>1488.4</v>
      </c>
      <c r="CA122" s="521">
        <v>1494.2</v>
      </c>
      <c r="CB122" s="521">
        <v>1492.2</v>
      </c>
      <c r="CC122" s="521">
        <f>(CD122*4-SUM(BZ122:CB122))</f>
        <v>1480.3999999999996</v>
      </c>
      <c r="CD122" s="788">
        <v>1488.8</v>
      </c>
      <c r="CE122" s="784">
        <v>1491.4</v>
      </c>
      <c r="CF122" s="521">
        <v>1500.6</v>
      </c>
      <c r="CG122" s="521">
        <v>1501</v>
      </c>
      <c r="CH122" s="521">
        <f>(CI122*4-SUM(CE122:CG122))</f>
        <v>1493.3999999999996</v>
      </c>
      <c r="CI122" s="308">
        <v>1496.6</v>
      </c>
      <c r="CJ122" s="919">
        <v>1495.8</v>
      </c>
      <c r="CK122" s="920">
        <v>1509.2</v>
      </c>
      <c r="CL122" s="920">
        <v>1517.8</v>
      </c>
      <c r="CM122" s="920">
        <f>(CN122*4-SUM(CJ122:CL122))</f>
        <v>1512.3999999999996</v>
      </c>
      <c r="CN122" s="308">
        <v>1508.8</v>
      </c>
      <c r="CO122" s="919">
        <v>1492.2</v>
      </c>
      <c r="CP122" s="920">
        <v>1498.2</v>
      </c>
      <c r="CQ122" s="920">
        <v>1499.4</v>
      </c>
      <c r="CR122" s="920">
        <f>(CS122*4-SUM(CO122:CQ122))</f>
        <v>1504.5999999999995</v>
      </c>
      <c r="CS122" s="308">
        <v>1498.6</v>
      </c>
      <c r="CT122" s="919">
        <v>1509.8</v>
      </c>
      <c r="CU122" s="920">
        <v>1510.4</v>
      </c>
      <c r="CV122" s="920">
        <v>1503.6</v>
      </c>
      <c r="CW122" s="920">
        <f>(CX122*4-SUM(CT122:CV122))</f>
        <v>1501.0000000000009</v>
      </c>
      <c r="CX122" s="308">
        <v>1506.2</v>
      </c>
      <c r="CY122" s="308">
        <v>1498.8</v>
      </c>
      <c r="CZ122" s="112">
        <v>1500.5</v>
      </c>
      <c r="DA122" s="110">
        <v>1498.5</v>
      </c>
      <c r="DB122" s="920">
        <f>(DC122*4-SUM(CY122:DA122))</f>
        <v>1485.8000000000002</v>
      </c>
      <c r="DC122" s="918">
        <v>1495.9</v>
      </c>
      <c r="DD122" s="110">
        <v>1485.9</v>
      </c>
      <c r="DE122" s="110">
        <v>1472.1</v>
      </c>
      <c r="DF122" s="110">
        <v>1465.3</v>
      </c>
      <c r="DG122" s="920">
        <f>(DH122*4-SUM(DD122:DF122))</f>
        <v>1463.0999999999995</v>
      </c>
      <c r="DH122" s="918">
        <v>1471.6</v>
      </c>
      <c r="DI122" s="110">
        <v>1457.5</v>
      </c>
      <c r="DJ122" s="110">
        <v>1453.2</v>
      </c>
      <c r="DK122" s="110">
        <f>AVERAGE(DJ121:DK121)</f>
        <v>1447.2642498205314</v>
      </c>
      <c r="DL122" s="110">
        <f>AVERAGE(DK121:DL121)</f>
        <v>1440.7975905501535</v>
      </c>
      <c r="DM122" s="918">
        <f>AVERAGE(DI122:DL122)</f>
        <v>1449.6904600926712</v>
      </c>
      <c r="DN122" s="110">
        <f>AVERAGE(DM121:DN121)</f>
        <v>1428.3540254877648</v>
      </c>
      <c r="DO122" s="110">
        <f>AVERAGE(DN121:DO121)</f>
        <v>1416.8879460078447</v>
      </c>
      <c r="DP122" s="110">
        <f>AVERAGE(DO121:DP121)</f>
        <v>1406.9095974911286</v>
      </c>
      <c r="DQ122" s="110">
        <f>AVERAGE(DP121:DQ121)</f>
        <v>1397.1857263963088</v>
      </c>
      <c r="DR122" s="918">
        <f>AVERAGE(DN122:DQ122)</f>
        <v>1412.3343238457619</v>
      </c>
      <c r="DS122" s="110">
        <f>AVERAGE(DR121:DS121)</f>
        <v>1389.1230387926648</v>
      </c>
      <c r="DT122" s="110">
        <f>AVERAGE(DS121:DT121)</f>
        <v>1381.7085702980171</v>
      </c>
      <c r="DU122" s="110">
        <f>AVERAGE(DT121:DU121)</f>
        <v>1373.5179149111073</v>
      </c>
      <c r="DV122" s="110">
        <f>AVERAGE(DU121:DV121)</f>
        <v>1365.5466841396269</v>
      </c>
      <c r="DW122" s="918">
        <f>AVERAGE(DS122:DV122)</f>
        <v>1377.4740520353539</v>
      </c>
      <c r="DX122" s="110">
        <f>AVERAGE(DW121:DX121)</f>
        <v>1360.3119487508141</v>
      </c>
      <c r="DY122" s="110">
        <f>AVERAGE(DX121:DY121)</f>
        <v>1356.7796598155967</v>
      </c>
      <c r="DZ122" s="110">
        <f>AVERAGE(DY121:DZ121)</f>
        <v>1349.4704699508554</v>
      </c>
      <c r="EA122" s="110">
        <f>AVERAGE(DZ121:EA121)</f>
        <v>1339.4388281944241</v>
      </c>
      <c r="EB122" s="918">
        <f>AVERAGE(DX122:EA122)</f>
        <v>1351.5002266779225</v>
      </c>
      <c r="EC122" s="27"/>
      <c r="ED122" s="28"/>
      <c r="EE122" s="28"/>
      <c r="EF122" s="28"/>
      <c r="FJ122"/>
      <c r="FK122"/>
      <c r="FL122"/>
      <c r="FM122"/>
      <c r="FN122"/>
      <c r="FO122"/>
      <c r="FP122"/>
      <c r="FQ122"/>
      <c r="FR122"/>
    </row>
    <row r="123" spans="1:174" s="1" customFormat="1" ht="13.5" customHeight="1" x14ac:dyDescent="0.2">
      <c r="A123" s="2" t="s">
        <v>236</v>
      </c>
      <c r="B123" s="19"/>
      <c r="C123" s="2"/>
      <c r="D123" s="2"/>
      <c r="E123" s="2"/>
      <c r="F123" s="2"/>
      <c r="G123" s="19"/>
      <c r="H123" s="2"/>
      <c r="I123" s="2"/>
      <c r="J123" s="2"/>
      <c r="K123" s="2"/>
      <c r="L123" s="19"/>
      <c r="M123" s="2"/>
      <c r="N123" s="2"/>
      <c r="O123" s="2"/>
      <c r="P123" s="2"/>
      <c r="Q123" s="19"/>
      <c r="R123" s="2"/>
      <c r="S123" s="2"/>
      <c r="T123" s="2"/>
      <c r="U123" s="2"/>
      <c r="V123" s="19"/>
      <c r="W123" s="2"/>
      <c r="X123" s="2"/>
      <c r="Y123" s="2"/>
      <c r="Z123" s="2"/>
      <c r="AA123" s="19"/>
      <c r="AB123" s="2"/>
      <c r="AC123" s="2"/>
      <c r="AD123" s="2"/>
      <c r="AE123" s="2"/>
      <c r="AF123" s="19"/>
      <c r="AG123" s="2"/>
      <c r="AH123" s="2"/>
      <c r="AI123" s="2"/>
      <c r="AJ123" s="2"/>
      <c r="AK123" s="19"/>
      <c r="AL123" s="2"/>
      <c r="AM123" s="2"/>
      <c r="AN123" s="2"/>
      <c r="AO123" s="2"/>
      <c r="AP123" s="19"/>
      <c r="AQ123" s="2"/>
      <c r="AR123" s="2"/>
      <c r="AS123" s="2"/>
      <c r="AT123" s="2"/>
      <c r="AU123" s="48"/>
      <c r="AV123" s="787"/>
      <c r="AW123" s="279"/>
      <c r="AX123" s="279"/>
      <c r="AY123" s="279"/>
      <c r="AZ123" s="787"/>
      <c r="BA123" s="787"/>
      <c r="BB123" s="279"/>
      <c r="BC123" s="279"/>
      <c r="BD123" s="279"/>
      <c r="BE123" s="787"/>
      <c r="BF123" s="787"/>
      <c r="BG123" s="279"/>
      <c r="BH123" s="279"/>
      <c r="BI123" s="279"/>
      <c r="BJ123" s="787"/>
      <c r="BK123" s="787"/>
      <c r="BL123" s="279"/>
      <c r="BM123" s="279"/>
      <c r="BN123" s="279"/>
      <c r="BO123" s="787">
        <f>BO124-BO122</f>
        <v>40.219499999999925</v>
      </c>
      <c r="BP123" s="787"/>
      <c r="BQ123" s="279"/>
      <c r="BR123" s="279"/>
      <c r="BS123" s="279"/>
      <c r="BT123" s="787">
        <f t="shared" ref="BT123:CQ123" si="374">BT124-BT122</f>
        <v>15.899999999999864</v>
      </c>
      <c r="BU123" s="787">
        <f t="shared" si="374"/>
        <v>5.6000000000001364</v>
      </c>
      <c r="BV123" s="279">
        <f t="shared" si="374"/>
        <v>3.7999999999999545</v>
      </c>
      <c r="BW123" s="279">
        <f t="shared" si="374"/>
        <v>14.600000000000136</v>
      </c>
      <c r="BX123" s="279">
        <f t="shared" si="374"/>
        <v>33.599999999999227</v>
      </c>
      <c r="BY123" s="787">
        <f t="shared" si="374"/>
        <v>14.399999999999864</v>
      </c>
      <c r="BZ123" s="787">
        <f t="shared" si="374"/>
        <v>37.399999999999864</v>
      </c>
      <c r="CA123" s="279">
        <f t="shared" si="374"/>
        <v>39.599999999999909</v>
      </c>
      <c r="CB123" s="279">
        <f t="shared" si="374"/>
        <v>41.200000000000045</v>
      </c>
      <c r="CC123" s="279">
        <f t="shared" si="374"/>
        <v>41.400000000000318</v>
      </c>
      <c r="CD123" s="787">
        <f t="shared" si="374"/>
        <v>39.600000000000136</v>
      </c>
      <c r="CE123" s="787">
        <f t="shared" si="374"/>
        <v>42</v>
      </c>
      <c r="CF123" s="279">
        <f t="shared" si="374"/>
        <v>43</v>
      </c>
      <c r="CG123" s="279">
        <f t="shared" si="374"/>
        <v>42.799999999999955</v>
      </c>
      <c r="CH123" s="279">
        <f t="shared" si="374"/>
        <v>43.600000000000364</v>
      </c>
      <c r="CI123" s="787">
        <f t="shared" si="374"/>
        <v>42.800000000000182</v>
      </c>
      <c r="CJ123" s="787">
        <f t="shared" si="374"/>
        <v>41.200000000000045</v>
      </c>
      <c r="CK123" s="279">
        <f t="shared" si="374"/>
        <v>37.399999999999864</v>
      </c>
      <c r="CL123" s="279">
        <f t="shared" si="374"/>
        <v>35.799999999999955</v>
      </c>
      <c r="CM123" s="279">
        <f t="shared" si="374"/>
        <v>34.600000000000364</v>
      </c>
      <c r="CN123" s="787">
        <f t="shared" si="374"/>
        <v>37.200000000000045</v>
      </c>
      <c r="CO123" s="787">
        <f t="shared" si="374"/>
        <v>30.399999999999864</v>
      </c>
      <c r="CP123" s="279">
        <f t="shared" si="374"/>
        <v>24.399999999999864</v>
      </c>
      <c r="CQ123" s="279">
        <f t="shared" si="374"/>
        <v>24.399999999999864</v>
      </c>
      <c r="CR123" s="279">
        <f t="shared" ref="CR123:DD123" si="375">CR124-CR122</f>
        <v>23.600000000000591</v>
      </c>
      <c r="CS123" s="787">
        <f t="shared" si="375"/>
        <v>26</v>
      </c>
      <c r="CT123" s="787">
        <f t="shared" si="375"/>
        <v>22.600000000000136</v>
      </c>
      <c r="CU123" s="279">
        <f t="shared" si="375"/>
        <v>18.799999999999955</v>
      </c>
      <c r="CV123" s="279">
        <f t="shared" si="375"/>
        <v>18.400000000000091</v>
      </c>
      <c r="CW123" s="279">
        <f t="shared" si="375"/>
        <v>20.599999999999</v>
      </c>
      <c r="CX123" s="787">
        <f t="shared" si="375"/>
        <v>20</v>
      </c>
      <c r="CY123" s="778">
        <f t="shared" si="375"/>
        <v>18</v>
      </c>
      <c r="CZ123" s="829">
        <f t="shared" si="375"/>
        <v>16</v>
      </c>
      <c r="DA123" s="829">
        <f t="shared" si="375"/>
        <v>17.200000000000045</v>
      </c>
      <c r="DB123" s="829">
        <f t="shared" si="375"/>
        <v>18.699999999999818</v>
      </c>
      <c r="DC123" s="280">
        <f>DC124-DC122</f>
        <v>17.474999999999909</v>
      </c>
      <c r="DD123" s="778">
        <f t="shared" si="375"/>
        <v>17.399999999999864</v>
      </c>
      <c r="DE123" s="279">
        <f>DE124-DE122</f>
        <v>14.5</v>
      </c>
      <c r="DF123" s="279">
        <f>DF124-DF122</f>
        <v>14</v>
      </c>
      <c r="DG123" s="279">
        <f>DG124-DG122</f>
        <v>15.300000000000637</v>
      </c>
      <c r="DH123" s="280">
        <f>DH124-DH122</f>
        <v>15.300000000000182</v>
      </c>
      <c r="DI123" s="778">
        <f t="shared" ref="DI123" si="376">DI124-DI122</f>
        <v>13</v>
      </c>
      <c r="DJ123" s="279">
        <f>DJ124-DJ122</f>
        <v>11.599999999999909</v>
      </c>
      <c r="DK123" s="279">
        <v>5</v>
      </c>
      <c r="DL123" s="279">
        <v>5</v>
      </c>
      <c r="DM123" s="280">
        <f>DM124-DM122</f>
        <v>11.784539907328963</v>
      </c>
      <c r="DN123" s="279">
        <v>5</v>
      </c>
      <c r="DO123" s="560">
        <v>5</v>
      </c>
      <c r="DP123" s="560">
        <v>5</v>
      </c>
      <c r="DQ123" s="560">
        <v>5</v>
      </c>
      <c r="DR123" s="280">
        <f>DR124-DR122</f>
        <v>5.3114936280585425</v>
      </c>
      <c r="DS123" s="560">
        <v>5</v>
      </c>
      <c r="DT123" s="560">
        <v>5</v>
      </c>
      <c r="DU123" s="560">
        <v>5</v>
      </c>
      <c r="DV123" s="560">
        <v>5</v>
      </c>
      <c r="DW123" s="280">
        <f>DW124-DW122</f>
        <v>5</v>
      </c>
      <c r="DX123" s="560">
        <v>5</v>
      </c>
      <c r="DY123" s="560">
        <v>5</v>
      </c>
      <c r="DZ123" s="560">
        <v>5</v>
      </c>
      <c r="EA123" s="560">
        <v>5</v>
      </c>
      <c r="EB123" s="280">
        <f>EB124-EB122</f>
        <v>5</v>
      </c>
      <c r="EC123" s="28"/>
      <c r="ED123" s="28"/>
      <c r="EE123" s="28"/>
      <c r="EF123" s="28"/>
      <c r="FJ123"/>
      <c r="FK123"/>
      <c r="FL123"/>
      <c r="FM123"/>
      <c r="FN123"/>
      <c r="FO123"/>
      <c r="FP123"/>
      <c r="FQ123"/>
      <c r="FR123"/>
    </row>
    <row r="124" spans="1:174" s="16" customFormat="1" ht="13.5" customHeight="1" x14ac:dyDescent="0.2">
      <c r="A124" s="17" t="s">
        <v>564</v>
      </c>
      <c r="B124" s="553">
        <f>B54</f>
        <v>956.12</v>
      </c>
      <c r="C124" s="17"/>
      <c r="D124" s="17"/>
      <c r="E124" s="17"/>
      <c r="F124" s="17"/>
      <c r="G124" s="553">
        <f t="shared" ref="G124:AL124" si="377">G54</f>
        <v>1150.54</v>
      </c>
      <c r="H124" s="554">
        <f t="shared" si="377"/>
        <v>1184.9280000000001</v>
      </c>
      <c r="I124" s="554">
        <f t="shared" si="377"/>
        <v>1190.864</v>
      </c>
      <c r="J124" s="554">
        <f t="shared" si="377"/>
        <v>1288.56</v>
      </c>
      <c r="K124" s="554">
        <f t="shared" si="377"/>
        <v>1296.816</v>
      </c>
      <c r="L124" s="553">
        <f t="shared" si="377"/>
        <v>1294.6600000000001</v>
      </c>
      <c r="M124" s="554">
        <f t="shared" si="377"/>
        <v>1435.616</v>
      </c>
      <c r="N124" s="554">
        <f t="shared" si="377"/>
        <v>1437.152</v>
      </c>
      <c r="O124" s="554">
        <f t="shared" si="377"/>
        <v>1437.8879999999999</v>
      </c>
      <c r="P124" s="554">
        <f t="shared" si="377"/>
        <v>1454.4960000000001</v>
      </c>
      <c r="Q124" s="553">
        <f t="shared" si="377"/>
        <v>1442.54</v>
      </c>
      <c r="R124" s="554">
        <f t="shared" si="377"/>
        <v>1466.2719999999999</v>
      </c>
      <c r="S124" s="554">
        <f t="shared" si="377"/>
        <v>1464.8799999999999</v>
      </c>
      <c r="T124" s="554">
        <f t="shared" si="377"/>
        <v>1481.184</v>
      </c>
      <c r="U124" s="554">
        <f t="shared" si="377"/>
        <v>1478.384</v>
      </c>
      <c r="V124" s="553">
        <f t="shared" si="377"/>
        <v>1470.164</v>
      </c>
      <c r="W124" s="554">
        <f t="shared" si="377"/>
        <v>1483.7280000000001</v>
      </c>
      <c r="X124" s="554">
        <f t="shared" si="377"/>
        <v>1506.796</v>
      </c>
      <c r="Y124" s="554">
        <f t="shared" si="377"/>
        <v>1530.684</v>
      </c>
      <c r="Z124" s="554">
        <f t="shared" si="377"/>
        <v>1505.376</v>
      </c>
      <c r="AA124" s="553">
        <f t="shared" si="377"/>
        <v>1508.248</v>
      </c>
      <c r="AB124" s="554">
        <f t="shared" si="377"/>
        <v>1514.72</v>
      </c>
      <c r="AC124" s="554">
        <f t="shared" si="377"/>
        <v>1539.34</v>
      </c>
      <c r="AD124" s="554">
        <f t="shared" si="377"/>
        <v>1551.048</v>
      </c>
      <c r="AE124" s="554">
        <f t="shared" si="377"/>
        <v>1562.3520000000001</v>
      </c>
      <c r="AF124" s="553">
        <f t="shared" si="377"/>
        <v>1543.9960000000001</v>
      </c>
      <c r="AG124" s="554">
        <f t="shared" si="377"/>
        <v>1574.64</v>
      </c>
      <c r="AH124" s="554">
        <f t="shared" si="377"/>
        <v>1582.8040000000001</v>
      </c>
      <c r="AI124" s="554">
        <f t="shared" si="377"/>
        <v>1577.9280000000001</v>
      </c>
      <c r="AJ124" s="554">
        <f t="shared" si="377"/>
        <v>1574.26</v>
      </c>
      <c r="AK124" s="553">
        <f t="shared" si="377"/>
        <v>1577.396</v>
      </c>
      <c r="AL124" s="554">
        <f t="shared" si="377"/>
        <v>1567.9960000000001</v>
      </c>
      <c r="AM124" s="554">
        <f t="shared" ref="AM124:BR124" si="378">AM54</f>
        <v>1591.444</v>
      </c>
      <c r="AN124" s="554">
        <f t="shared" si="378"/>
        <v>1604.7639999999999</v>
      </c>
      <c r="AO124" s="554">
        <f t="shared" si="378"/>
        <v>1596.9079999999999</v>
      </c>
      <c r="AP124" s="553">
        <f t="shared" si="378"/>
        <v>1590</v>
      </c>
      <c r="AQ124" s="554">
        <f t="shared" si="378"/>
        <v>1596.8720000000001</v>
      </c>
      <c r="AR124" s="554">
        <f t="shared" si="378"/>
        <v>1598.4880000000001</v>
      </c>
      <c r="AS124" s="554">
        <f t="shared" si="378"/>
        <v>1610.6559999999999</v>
      </c>
      <c r="AT124" s="554">
        <f t="shared" si="378"/>
        <v>1618</v>
      </c>
      <c r="AU124" s="553">
        <f t="shared" si="378"/>
        <v>1606.5920000000001</v>
      </c>
      <c r="AV124" s="559">
        <f t="shared" si="378"/>
        <v>1630.58</v>
      </c>
      <c r="AW124" s="559">
        <f t="shared" si="378"/>
        <v>1646.2360000000001</v>
      </c>
      <c r="AX124" s="559">
        <f t="shared" si="378"/>
        <v>1649.1559999999999</v>
      </c>
      <c r="AY124" s="559">
        <f t="shared" si="378"/>
        <v>1653.508</v>
      </c>
      <c r="AZ124" s="558">
        <f t="shared" si="378"/>
        <v>1645.86</v>
      </c>
      <c r="BA124" s="559">
        <f t="shared" si="378"/>
        <v>1661.31</v>
      </c>
      <c r="BB124" s="559">
        <f t="shared" si="378"/>
        <v>1656.124</v>
      </c>
      <c r="BC124" s="559">
        <f t="shared" si="378"/>
        <v>1616.076</v>
      </c>
      <c r="BD124" s="559">
        <f t="shared" si="378"/>
        <v>1589.884</v>
      </c>
      <c r="BE124" s="558">
        <f t="shared" si="378"/>
        <v>1630.8340000000001</v>
      </c>
      <c r="BF124" s="559">
        <f t="shared" si="378"/>
        <v>1585.8979999999999</v>
      </c>
      <c r="BG124" s="559">
        <f t="shared" si="378"/>
        <v>1589.2260000000001</v>
      </c>
      <c r="BH124" s="559">
        <f t="shared" si="378"/>
        <v>1596.518</v>
      </c>
      <c r="BI124" s="559">
        <f t="shared" si="378"/>
        <v>1568.3920000000001</v>
      </c>
      <c r="BJ124" s="558">
        <f t="shared" si="378"/>
        <v>1585.0084999999999</v>
      </c>
      <c r="BK124" s="559">
        <f t="shared" si="378"/>
        <v>1565.528</v>
      </c>
      <c r="BL124" s="559">
        <f t="shared" si="378"/>
        <v>1548.11</v>
      </c>
      <c r="BM124" s="559">
        <f t="shared" si="378"/>
        <v>1527.1179999999999</v>
      </c>
      <c r="BN124" s="559">
        <f t="shared" si="378"/>
        <v>1518.2260000000001</v>
      </c>
      <c r="BO124" s="558">
        <f t="shared" si="378"/>
        <v>1539.7455</v>
      </c>
      <c r="BP124" s="559">
        <f t="shared" si="378"/>
        <v>1489.8</v>
      </c>
      <c r="BQ124" s="559">
        <f t="shared" si="378"/>
        <v>1478.6</v>
      </c>
      <c r="BR124" s="559">
        <f t="shared" si="378"/>
        <v>1463.4</v>
      </c>
      <c r="BS124" s="559">
        <f t="shared" ref="BS124:DB124" si="379">BS54</f>
        <v>1483.8</v>
      </c>
      <c r="BT124" s="558">
        <f t="shared" si="379"/>
        <v>1478.8999999999999</v>
      </c>
      <c r="BU124" s="559">
        <f t="shared" si="379"/>
        <v>1478.2</v>
      </c>
      <c r="BV124" s="559">
        <f t="shared" si="379"/>
        <v>1479.8</v>
      </c>
      <c r="BW124" s="559">
        <f t="shared" si="379"/>
        <v>1493.4</v>
      </c>
      <c r="BX124" s="559">
        <f t="shared" si="379"/>
        <v>1515.8</v>
      </c>
      <c r="BY124" s="558">
        <f t="shared" si="379"/>
        <v>1491.8</v>
      </c>
      <c r="BZ124" s="559">
        <f t="shared" si="379"/>
        <v>1525.8</v>
      </c>
      <c r="CA124" s="559">
        <f t="shared" si="379"/>
        <v>1533.8</v>
      </c>
      <c r="CB124" s="559">
        <f t="shared" si="379"/>
        <v>1533.4</v>
      </c>
      <c r="CC124" s="559">
        <f t="shared" si="379"/>
        <v>1521.8</v>
      </c>
      <c r="CD124" s="558">
        <f t="shared" si="379"/>
        <v>1528.4</v>
      </c>
      <c r="CE124" s="559">
        <f t="shared" si="379"/>
        <v>1533.4</v>
      </c>
      <c r="CF124" s="559">
        <f t="shared" si="379"/>
        <v>1543.6</v>
      </c>
      <c r="CG124" s="559">
        <f t="shared" si="379"/>
        <v>1543.8</v>
      </c>
      <c r="CH124" s="559">
        <f t="shared" si="379"/>
        <v>1537</v>
      </c>
      <c r="CI124" s="921">
        <f t="shared" si="379"/>
        <v>1539.4</v>
      </c>
      <c r="CJ124" s="922">
        <f t="shared" si="379"/>
        <v>1537</v>
      </c>
      <c r="CK124" s="922">
        <f t="shared" si="379"/>
        <v>1546.6</v>
      </c>
      <c r="CL124" s="922">
        <f t="shared" si="379"/>
        <v>1553.6</v>
      </c>
      <c r="CM124" s="922">
        <f t="shared" si="379"/>
        <v>1547</v>
      </c>
      <c r="CN124" s="921">
        <f t="shared" si="379"/>
        <v>1546</v>
      </c>
      <c r="CO124" s="922">
        <f t="shared" si="379"/>
        <v>1522.6</v>
      </c>
      <c r="CP124" s="922">
        <f t="shared" si="379"/>
        <v>1522.6</v>
      </c>
      <c r="CQ124" s="922">
        <f t="shared" si="379"/>
        <v>1523.8</v>
      </c>
      <c r="CR124" s="922">
        <f t="shared" si="379"/>
        <v>1528.2</v>
      </c>
      <c r="CS124" s="921">
        <f>CS54</f>
        <v>1524.6</v>
      </c>
      <c r="CT124" s="922">
        <f t="shared" si="379"/>
        <v>1532.4</v>
      </c>
      <c r="CU124" s="922">
        <f t="shared" si="379"/>
        <v>1529.2</v>
      </c>
      <c r="CV124" s="922">
        <f t="shared" si="379"/>
        <v>1522</v>
      </c>
      <c r="CW124" s="922">
        <f t="shared" si="379"/>
        <v>1521.6</v>
      </c>
      <c r="CX124" s="923">
        <f>CX54</f>
        <v>1526.2</v>
      </c>
      <c r="CY124" s="924">
        <f t="shared" si="379"/>
        <v>1516.8</v>
      </c>
      <c r="CZ124" s="925">
        <f t="shared" si="379"/>
        <v>1516.5</v>
      </c>
      <c r="DA124" s="925">
        <f t="shared" si="379"/>
        <v>1515.7</v>
      </c>
      <c r="DB124" s="925">
        <f t="shared" si="379"/>
        <v>1504.5</v>
      </c>
      <c r="DC124" s="926">
        <f t="shared" ref="DC124:DJ124" si="380">DC54</f>
        <v>1513.375</v>
      </c>
      <c r="DD124" s="924">
        <f t="shared" si="380"/>
        <v>1503.3</v>
      </c>
      <c r="DE124" s="925">
        <f t="shared" si="380"/>
        <v>1486.6</v>
      </c>
      <c r="DF124" s="925">
        <f t="shared" si="380"/>
        <v>1479.3</v>
      </c>
      <c r="DG124" s="925">
        <f t="shared" si="380"/>
        <v>1478.4</v>
      </c>
      <c r="DH124" s="928">
        <f t="shared" si="380"/>
        <v>1486.9</v>
      </c>
      <c r="DI124" s="924">
        <f t="shared" si="380"/>
        <v>1470.5</v>
      </c>
      <c r="DJ124" s="925">
        <f t="shared" si="380"/>
        <v>1464.8</v>
      </c>
      <c r="DK124" s="950">
        <f>DK122+DK123</f>
        <v>1452.2642498205314</v>
      </c>
      <c r="DL124" s="950">
        <f>DL122+DL123</f>
        <v>1445.7975905501535</v>
      </c>
      <c r="DM124" s="928">
        <f>DM54</f>
        <v>1461.4750000000001</v>
      </c>
      <c r="DN124" s="950">
        <f>DN122+DN123</f>
        <v>1433.3540254877648</v>
      </c>
      <c r="DO124" s="922">
        <f>DO122+DO123</f>
        <v>1421.8879460078447</v>
      </c>
      <c r="DP124" s="922">
        <f>DP122+DP123</f>
        <v>1411.9095974911286</v>
      </c>
      <c r="DQ124" s="922">
        <f>DQ122+DQ123</f>
        <v>1402.1857263963088</v>
      </c>
      <c r="DR124" s="921">
        <f>DR54</f>
        <v>1417.6458174738204</v>
      </c>
      <c r="DS124" s="922">
        <f>DS122+DS123</f>
        <v>1394.1230387926648</v>
      </c>
      <c r="DT124" s="922">
        <f>DT122+DT123</f>
        <v>1386.7085702980171</v>
      </c>
      <c r="DU124" s="922">
        <f>DU122+DU123</f>
        <v>1378.5179149111073</v>
      </c>
      <c r="DV124" s="922">
        <f>DV122+DV123</f>
        <v>1370.5466841396269</v>
      </c>
      <c r="DW124" s="921">
        <f>DW54</f>
        <v>1382.4740520353539</v>
      </c>
      <c r="DX124" s="922">
        <f>DX122+DX123</f>
        <v>1365.3119487508141</v>
      </c>
      <c r="DY124" s="922">
        <f>DY122+DY123</f>
        <v>1361.7796598155967</v>
      </c>
      <c r="DZ124" s="922">
        <f>DZ122+DZ123</f>
        <v>1354.4704699508554</v>
      </c>
      <c r="EA124" s="922">
        <f>EA122+EA123</f>
        <v>1344.4388281944241</v>
      </c>
      <c r="EB124" s="921">
        <f>EB54</f>
        <v>1356.5002266779225</v>
      </c>
      <c r="ED124" s="80"/>
      <c r="EE124" s="80"/>
      <c r="FJ124" s="77"/>
      <c r="FK124" s="77"/>
      <c r="FL124"/>
      <c r="FM124"/>
      <c r="FN124"/>
      <c r="FO124"/>
      <c r="FP124"/>
      <c r="FQ124"/>
      <c r="FR124" s="77"/>
    </row>
    <row r="125" spans="1:174" s="1" customFormat="1" x14ac:dyDescent="0.2">
      <c r="CO125" s="49"/>
      <c r="CT125" s="49"/>
      <c r="EC125" s="28"/>
      <c r="ED125" s="28"/>
      <c r="EE125" s="28"/>
      <c r="EF125" s="28"/>
      <c r="FJ125"/>
      <c r="FK125"/>
      <c r="FL125"/>
      <c r="FM125"/>
      <c r="FN125"/>
      <c r="FO125"/>
      <c r="FP125"/>
      <c r="FQ125"/>
      <c r="FR125"/>
    </row>
    <row r="126" spans="1:174" s="1" customFormat="1" x14ac:dyDescent="0.2">
      <c r="A126" s="83" t="s">
        <v>630</v>
      </c>
      <c r="CO126" s="49"/>
      <c r="CT126" s="49"/>
      <c r="EC126" s="28"/>
      <c r="ED126" s="28"/>
      <c r="EE126" s="28"/>
      <c r="EF126" s="28"/>
      <c r="FJ126"/>
      <c r="FK126"/>
      <c r="FL126"/>
      <c r="FM126"/>
      <c r="FN126"/>
      <c r="FO126"/>
      <c r="FP126"/>
      <c r="FQ126"/>
      <c r="FR126"/>
    </row>
    <row r="127" spans="1:174" s="1" customFormat="1" x14ac:dyDescent="0.2">
      <c r="A127" s="24" t="s">
        <v>631</v>
      </c>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388"/>
      <c r="CJ127" s="311"/>
      <c r="CK127" s="311"/>
      <c r="CL127" s="311"/>
      <c r="CM127" s="311"/>
      <c r="CN127" s="388">
        <f>CN25</f>
        <v>801.2</v>
      </c>
      <c r="CO127" s="311"/>
      <c r="CP127" s="311"/>
      <c r="CQ127" s="311"/>
      <c r="CR127" s="311"/>
      <c r="CS127" s="388">
        <f>CS25</f>
        <v>937.90000000000009</v>
      </c>
      <c r="CT127" s="311"/>
      <c r="CU127" s="311"/>
      <c r="CV127" s="311"/>
      <c r="CW127" s="311"/>
      <c r="CX127" s="388">
        <f>CX25+0.1</f>
        <v>991.3</v>
      </c>
      <c r="CY127" s="311"/>
      <c r="CZ127" s="311"/>
      <c r="DA127" s="311"/>
      <c r="DB127" s="311"/>
      <c r="DC127" s="388">
        <f>DC25</f>
        <v>1196.6999999999998</v>
      </c>
      <c r="DD127" s="311"/>
      <c r="DE127" s="311"/>
      <c r="DF127" s="311"/>
      <c r="DG127" s="311"/>
      <c r="DH127" s="388">
        <f>DH25</f>
        <v>1360.6</v>
      </c>
      <c r="DI127" s="311"/>
      <c r="DJ127" s="311"/>
      <c r="DK127" s="311"/>
      <c r="DL127" s="311"/>
      <c r="DM127" s="388"/>
      <c r="DN127" s="311"/>
      <c r="DO127" s="311"/>
      <c r="DP127" s="311"/>
      <c r="DQ127" s="311"/>
      <c r="DR127" s="388"/>
      <c r="DS127" s="311"/>
      <c r="DT127" s="311"/>
      <c r="DU127" s="311"/>
      <c r="DV127" s="311"/>
      <c r="DW127" s="388"/>
      <c r="DX127" s="311"/>
      <c r="DY127" s="311"/>
      <c r="DZ127" s="311"/>
      <c r="EA127" s="311"/>
      <c r="EB127" s="388"/>
      <c r="EC127" s="28"/>
      <c r="ED127" s="28"/>
      <c r="EE127" s="28"/>
      <c r="EF127" s="28"/>
      <c r="FJ127"/>
      <c r="FK127"/>
      <c r="FL127"/>
      <c r="FM127"/>
      <c r="FN127"/>
      <c r="FO127"/>
      <c r="FP127"/>
      <c r="FQ127"/>
      <c r="FR127"/>
    </row>
    <row r="128" spans="1:174" s="1" customFormat="1" x14ac:dyDescent="0.2">
      <c r="A128" s="27" t="s">
        <v>637</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125"/>
      <c r="CJ128" s="113"/>
      <c r="CK128" s="113"/>
      <c r="CL128" s="113"/>
      <c r="CM128" s="113"/>
      <c r="CN128" s="125"/>
      <c r="CO128" s="113"/>
      <c r="CP128" s="113"/>
      <c r="CQ128" s="113"/>
      <c r="CR128" s="113"/>
      <c r="CS128" s="125"/>
      <c r="CT128" s="113"/>
      <c r="CU128" s="113"/>
      <c r="CV128" s="113"/>
      <c r="CW128" s="113"/>
      <c r="CX128" s="125"/>
      <c r="CY128" s="113"/>
      <c r="CZ128" s="113"/>
      <c r="DA128" s="113"/>
      <c r="DB128" s="113"/>
      <c r="DC128" s="125">
        <v>-13.6</v>
      </c>
      <c r="DD128" s="113"/>
      <c r="DE128" s="113"/>
      <c r="DF128" s="113"/>
      <c r="DG128" s="113"/>
      <c r="DH128" s="125">
        <v>-10</v>
      </c>
      <c r="DI128" s="113"/>
      <c r="DJ128" s="113"/>
      <c r="DK128" s="113"/>
      <c r="DL128" s="113"/>
      <c r="DM128" s="125"/>
      <c r="DN128" s="113"/>
      <c r="DO128" s="113"/>
      <c r="DP128" s="113"/>
      <c r="DQ128" s="113"/>
      <c r="DR128" s="125"/>
      <c r="DS128" s="113"/>
      <c r="DT128" s="113"/>
      <c r="DU128" s="113"/>
      <c r="DV128" s="113"/>
      <c r="DW128" s="125"/>
      <c r="DX128" s="113"/>
      <c r="DY128" s="113"/>
      <c r="DZ128" s="113"/>
      <c r="EA128" s="113"/>
      <c r="EB128" s="125"/>
      <c r="EC128" s="28"/>
      <c r="ED128" s="28"/>
      <c r="EE128" s="28"/>
      <c r="EF128" s="28"/>
      <c r="FJ128"/>
      <c r="FK128"/>
      <c r="FL128"/>
      <c r="FM128"/>
      <c r="FN128"/>
      <c r="FO128"/>
      <c r="FP128"/>
      <c r="FQ128"/>
      <c r="FR128"/>
    </row>
    <row r="129" spans="1:174" s="1" customFormat="1" x14ac:dyDescent="0.2">
      <c r="A129" s="27" t="s">
        <v>632</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125"/>
      <c r="CJ129" s="113"/>
      <c r="CK129" s="113"/>
      <c r="CL129" s="113"/>
      <c r="CM129" s="113"/>
      <c r="CN129" s="125">
        <v>0</v>
      </c>
      <c r="CO129" s="113"/>
      <c r="CP129" s="113"/>
      <c r="CQ129" s="113"/>
      <c r="CR129" s="113"/>
      <c r="CS129" s="125">
        <v>0</v>
      </c>
      <c r="CT129" s="113"/>
      <c r="CU129" s="113"/>
      <c r="CV129" s="113"/>
      <c r="CW129" s="113"/>
      <c r="CX129" s="125">
        <v>0</v>
      </c>
      <c r="CY129" s="113"/>
      <c r="CZ129" s="113"/>
      <c r="DA129" s="113"/>
      <c r="DB129" s="113"/>
      <c r="DC129" s="125">
        <f>-74.5-DC128</f>
        <v>-60.9</v>
      </c>
      <c r="DD129" s="113"/>
      <c r="DE129" s="113"/>
      <c r="DF129" s="113"/>
      <c r="DG129" s="113"/>
      <c r="DH129" s="125">
        <v>0</v>
      </c>
      <c r="DI129" s="113"/>
      <c r="DJ129" s="113"/>
      <c r="DK129" s="113"/>
      <c r="DL129" s="113"/>
      <c r="DM129" s="125"/>
      <c r="DN129" s="113"/>
      <c r="DO129" s="113"/>
      <c r="DP129" s="113"/>
      <c r="DQ129" s="113"/>
      <c r="DR129" s="125"/>
      <c r="DS129" s="113"/>
      <c r="DT129" s="113"/>
      <c r="DU129" s="113"/>
      <c r="DV129" s="113"/>
      <c r="DW129" s="125"/>
      <c r="DX129" s="113"/>
      <c r="DY129" s="113"/>
      <c r="DZ129" s="113"/>
      <c r="EA129" s="113"/>
      <c r="EB129" s="125"/>
      <c r="EC129" s="28"/>
      <c r="ED129" s="28"/>
      <c r="EE129" s="28"/>
      <c r="EF129" s="28"/>
      <c r="FJ129"/>
      <c r="FK129"/>
      <c r="FL129"/>
      <c r="FM129"/>
      <c r="FN129"/>
      <c r="FO129"/>
      <c r="FP129"/>
      <c r="FQ129"/>
      <c r="FR129"/>
    </row>
    <row r="130" spans="1:174" s="1" customFormat="1" x14ac:dyDescent="0.2">
      <c r="A130" s="27" t="s">
        <v>633</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125"/>
      <c r="CJ130" s="113"/>
      <c r="CK130" s="113"/>
      <c r="CL130" s="113"/>
      <c r="CM130" s="113"/>
      <c r="CN130" s="125">
        <v>4.3</v>
      </c>
      <c r="CO130" s="113"/>
      <c r="CP130" s="113"/>
      <c r="CQ130" s="113"/>
      <c r="CR130" s="113"/>
      <c r="CS130" s="125">
        <v>-22.7</v>
      </c>
      <c r="CT130" s="113"/>
      <c r="CU130" s="113"/>
      <c r="CV130" s="113"/>
      <c r="CW130" s="113"/>
      <c r="CX130" s="125">
        <v>9.6999999999999993</v>
      </c>
      <c r="CY130" s="113"/>
      <c r="CZ130" s="113"/>
      <c r="DA130" s="113"/>
      <c r="DB130" s="113"/>
      <c r="DC130" s="125">
        <v>-12.3</v>
      </c>
      <c r="DD130" s="113"/>
      <c r="DE130" s="113"/>
      <c r="DF130" s="113"/>
      <c r="DG130" s="113"/>
      <c r="DH130" s="125">
        <v>4.5999999999999996</v>
      </c>
      <c r="DI130" s="113"/>
      <c r="DJ130" s="113"/>
      <c r="DK130" s="113"/>
      <c r="DL130" s="113"/>
      <c r="DM130" s="125"/>
      <c r="DN130" s="113"/>
      <c r="DO130" s="113"/>
      <c r="DP130" s="113"/>
      <c r="DQ130" s="113"/>
      <c r="DR130" s="125"/>
      <c r="DS130" s="113"/>
      <c r="DT130" s="113"/>
      <c r="DU130" s="113"/>
      <c r="DV130" s="113"/>
      <c r="DW130" s="125"/>
      <c r="DX130" s="113"/>
      <c r="DY130" s="113"/>
      <c r="DZ130" s="113"/>
      <c r="EA130" s="113"/>
      <c r="EB130" s="125"/>
      <c r="EC130" s="28"/>
      <c r="ED130" s="28"/>
      <c r="EE130" s="28"/>
      <c r="EF130" s="28"/>
      <c r="FJ130"/>
      <c r="FK130"/>
      <c r="FL130"/>
      <c r="FM130"/>
      <c r="FN130"/>
      <c r="FO130"/>
      <c r="FP130"/>
      <c r="FQ130"/>
      <c r="FR130"/>
    </row>
    <row r="131" spans="1:174" s="1" customFormat="1" x14ac:dyDescent="0.2">
      <c r="A131" s="27" t="s">
        <v>634</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125"/>
      <c r="CJ131" s="113"/>
      <c r="CK131" s="113"/>
      <c r="CL131" s="113"/>
      <c r="CM131" s="113"/>
      <c r="CN131" s="125">
        <v>0</v>
      </c>
      <c r="CO131" s="113"/>
      <c r="CP131" s="113"/>
      <c r="CQ131" s="113"/>
      <c r="CR131" s="113"/>
      <c r="CS131" s="125">
        <v>0</v>
      </c>
      <c r="CT131" s="113"/>
      <c r="CU131" s="113"/>
      <c r="CV131" s="113"/>
      <c r="CW131" s="113"/>
      <c r="CX131" s="125">
        <v>0</v>
      </c>
      <c r="CY131" s="113"/>
      <c r="CZ131" s="113"/>
      <c r="DA131" s="113"/>
      <c r="DB131" s="113"/>
      <c r="DC131" s="125">
        <v>-49.2</v>
      </c>
      <c r="DD131" s="113"/>
      <c r="DE131" s="113"/>
      <c r="DF131" s="113"/>
      <c r="DG131" s="113"/>
      <c r="DH131" s="125">
        <v>-41.4</v>
      </c>
      <c r="DI131" s="113"/>
      <c r="DJ131" s="113"/>
      <c r="DK131" s="113"/>
      <c r="DL131" s="113"/>
      <c r="DM131" s="125"/>
      <c r="DN131" s="113"/>
      <c r="DO131" s="113"/>
      <c r="DP131" s="113"/>
      <c r="DQ131" s="113"/>
      <c r="DR131" s="125"/>
      <c r="DS131" s="113"/>
      <c r="DT131" s="113"/>
      <c r="DU131" s="113"/>
      <c r="DV131" s="113"/>
      <c r="DW131" s="125"/>
      <c r="DX131" s="113"/>
      <c r="DY131" s="113"/>
      <c r="DZ131" s="113"/>
      <c r="EA131" s="113"/>
      <c r="EB131" s="125"/>
      <c r="EC131" s="28"/>
      <c r="ED131" s="28"/>
      <c r="EE131" s="28"/>
      <c r="EF131" s="28"/>
      <c r="FJ131"/>
      <c r="FK131"/>
      <c r="FL131"/>
      <c r="FM131"/>
      <c r="FN131"/>
      <c r="FO131"/>
      <c r="FP131"/>
      <c r="FQ131"/>
      <c r="FR131"/>
    </row>
    <row r="132" spans="1:174" s="1" customFormat="1" x14ac:dyDescent="0.2">
      <c r="A132" s="27" t="s">
        <v>635</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125"/>
      <c r="CJ132" s="113"/>
      <c r="CK132" s="113"/>
      <c r="CL132" s="113"/>
      <c r="CM132" s="113"/>
      <c r="CN132" s="125">
        <v>0</v>
      </c>
      <c r="CO132" s="113"/>
      <c r="CP132" s="113"/>
      <c r="CQ132" s="113"/>
      <c r="CR132" s="113"/>
      <c r="CS132" s="125">
        <v>0</v>
      </c>
      <c r="CT132" s="113"/>
      <c r="CU132" s="113"/>
      <c r="CV132" s="113"/>
      <c r="CW132" s="113"/>
      <c r="CX132" s="125"/>
      <c r="CY132" s="113"/>
      <c r="CZ132" s="113"/>
      <c r="DA132" s="113"/>
      <c r="DB132" s="113"/>
      <c r="DC132" s="125">
        <v>0</v>
      </c>
      <c r="DD132" s="113"/>
      <c r="DE132" s="113"/>
      <c r="DF132" s="113"/>
      <c r="DG132" s="113"/>
      <c r="DH132" s="125">
        <v>-16.5</v>
      </c>
      <c r="DI132" s="113"/>
      <c r="DJ132" s="113"/>
      <c r="DK132" s="113"/>
      <c r="DL132" s="113"/>
      <c r="DM132" s="125"/>
      <c r="DN132" s="113"/>
      <c r="DO132" s="113"/>
      <c r="DP132" s="113"/>
      <c r="DQ132" s="113"/>
      <c r="DR132" s="125"/>
      <c r="DS132" s="113"/>
      <c r="DT132" s="113"/>
      <c r="DU132" s="113"/>
      <c r="DV132" s="113"/>
      <c r="DW132" s="125"/>
      <c r="DX132" s="113"/>
      <c r="DY132" s="113"/>
      <c r="DZ132" s="113"/>
      <c r="EA132" s="113"/>
      <c r="EB132" s="125"/>
      <c r="EC132" s="28"/>
      <c r="ED132" s="28"/>
      <c r="EE132" s="28"/>
      <c r="EF132" s="28"/>
      <c r="FJ132"/>
      <c r="FK132"/>
      <c r="FL132"/>
      <c r="FM132"/>
      <c r="FN132"/>
      <c r="FO132"/>
      <c r="FP132"/>
      <c r="FQ132"/>
      <c r="FR132"/>
    </row>
    <row r="133" spans="1:174" s="1" customFormat="1" x14ac:dyDescent="0.2">
      <c r="A133" s="347" t="s">
        <v>639</v>
      </c>
      <c r="B133" s="223"/>
      <c r="C133" s="223"/>
      <c r="D133" s="223"/>
      <c r="E133" s="223"/>
      <c r="F133" s="223"/>
      <c r="G133" s="223"/>
      <c r="H133" s="223"/>
      <c r="I133" s="223"/>
      <c r="J133" s="223"/>
      <c r="K133" s="223"/>
      <c r="L133" s="223"/>
      <c r="M133" s="223"/>
      <c r="N133" s="223"/>
      <c r="O133" s="223"/>
      <c r="P133" s="223"/>
      <c r="Q133" s="223"/>
      <c r="R133" s="223"/>
      <c r="S133" s="223"/>
      <c r="T133" s="223"/>
      <c r="U133" s="223"/>
      <c r="V133" s="223"/>
      <c r="W133" s="223"/>
      <c r="X133" s="223"/>
      <c r="Y133" s="223"/>
      <c r="Z133" s="223"/>
      <c r="AA133" s="223"/>
      <c r="AB133" s="223"/>
      <c r="AC133" s="223"/>
      <c r="AD133" s="223"/>
      <c r="AE133" s="223"/>
      <c r="AF133" s="223"/>
      <c r="AG133" s="223"/>
      <c r="AH133" s="223"/>
      <c r="AI133" s="223"/>
      <c r="AJ133" s="223"/>
      <c r="AK133" s="223"/>
      <c r="AL133" s="223"/>
      <c r="AM133" s="223"/>
      <c r="AN133" s="223"/>
      <c r="AO133" s="223"/>
      <c r="AP133" s="223"/>
      <c r="AQ133" s="223"/>
      <c r="AR133" s="223"/>
      <c r="AS133" s="223"/>
      <c r="AT133" s="223"/>
      <c r="AU133" s="223"/>
      <c r="AV133" s="223"/>
      <c r="AW133" s="223"/>
      <c r="AX133" s="223"/>
      <c r="AY133" s="223"/>
      <c r="AZ133" s="223"/>
      <c r="BA133" s="223"/>
      <c r="BB133" s="223"/>
      <c r="BC133" s="223"/>
      <c r="BD133" s="223"/>
      <c r="BE133" s="223"/>
      <c r="BF133" s="223"/>
      <c r="BG133" s="223"/>
      <c r="BH133" s="223"/>
      <c r="BI133" s="223"/>
      <c r="BJ133" s="223"/>
      <c r="BK133" s="223"/>
      <c r="BL133" s="223"/>
      <c r="BM133" s="223"/>
      <c r="BN133" s="223"/>
      <c r="BO133" s="223"/>
      <c r="BP133" s="223"/>
      <c r="BQ133" s="223"/>
      <c r="BR133" s="223"/>
      <c r="BS133" s="223"/>
      <c r="BT133" s="223"/>
      <c r="BU133" s="223"/>
      <c r="BV133" s="223"/>
      <c r="BW133" s="223"/>
      <c r="BX133" s="223"/>
      <c r="BY133" s="223"/>
      <c r="BZ133" s="223"/>
      <c r="CA133" s="223"/>
      <c r="CB133" s="223"/>
      <c r="CC133" s="223"/>
      <c r="CD133" s="223"/>
      <c r="CE133" s="223"/>
      <c r="CF133" s="223"/>
      <c r="CG133" s="223"/>
      <c r="CH133" s="223"/>
      <c r="CI133" s="580"/>
      <c r="CJ133" s="579"/>
      <c r="CK133" s="579"/>
      <c r="CL133" s="579"/>
      <c r="CM133" s="579"/>
      <c r="CN133" s="580">
        <f>SUM(CN127:CN132)</f>
        <v>805.5</v>
      </c>
      <c r="CO133" s="579"/>
      <c r="CP133" s="579"/>
      <c r="CQ133" s="579"/>
      <c r="CR133" s="579"/>
      <c r="CS133" s="580">
        <f>SUM(CS127:CS132)</f>
        <v>915.2</v>
      </c>
      <c r="CT133" s="579"/>
      <c r="CU133" s="579"/>
      <c r="CV133" s="579"/>
      <c r="CW133" s="579"/>
      <c r="CX133" s="580">
        <f>SUM(CX127:CX132)</f>
        <v>1001</v>
      </c>
      <c r="CY133" s="579"/>
      <c r="CZ133" s="579"/>
      <c r="DA133" s="579"/>
      <c r="DB133" s="579"/>
      <c r="DC133" s="580">
        <f>SUM(DC127:DC128,DC130:DC132)</f>
        <v>1121.5999999999999</v>
      </c>
      <c r="DD133" s="579"/>
      <c r="DE133" s="579"/>
      <c r="DF133" s="579"/>
      <c r="DG133" s="579"/>
      <c r="DH133" s="580">
        <f>SUM(DH127:DH132)</f>
        <v>1297.2999999999997</v>
      </c>
      <c r="DI133" s="579"/>
      <c r="DJ133" s="579"/>
      <c r="DK133" s="579"/>
      <c r="DL133" s="579"/>
      <c r="DM133" s="580"/>
      <c r="DN133" s="579"/>
      <c r="DO133" s="579"/>
      <c r="DP133" s="579"/>
      <c r="DQ133" s="579"/>
      <c r="DR133" s="580"/>
      <c r="DS133" s="579"/>
      <c r="DT133" s="579"/>
      <c r="DU133" s="579"/>
      <c r="DV133" s="579"/>
      <c r="DW133" s="580"/>
      <c r="DX133" s="579"/>
      <c r="DY133" s="579"/>
      <c r="DZ133" s="579"/>
      <c r="EA133" s="579"/>
      <c r="EB133" s="580"/>
      <c r="EC133" s="28"/>
      <c r="ED133" s="28"/>
      <c r="EE133" s="28"/>
      <c r="EF133" s="28"/>
      <c r="FJ133"/>
      <c r="FK133"/>
      <c r="FL133"/>
      <c r="FM133"/>
      <c r="FN133"/>
      <c r="FO133"/>
      <c r="FP133"/>
      <c r="FQ133"/>
      <c r="FR133"/>
    </row>
    <row r="134" spans="1:174" s="1" customFormat="1" x14ac:dyDescent="0.2">
      <c r="A134" s="373" t="s">
        <v>636</v>
      </c>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c r="AA134" s="378"/>
      <c r="AB134" s="378"/>
      <c r="AC134" s="378"/>
      <c r="AD134" s="378"/>
      <c r="AE134" s="378"/>
      <c r="AF134" s="378"/>
      <c r="AG134" s="378"/>
      <c r="AH134" s="378"/>
      <c r="AI134" s="378"/>
      <c r="AJ134" s="378"/>
      <c r="AK134" s="378"/>
      <c r="AL134" s="378"/>
      <c r="AM134" s="378"/>
      <c r="AN134" s="378"/>
      <c r="AO134" s="378"/>
      <c r="AP134" s="378"/>
      <c r="AQ134" s="378"/>
      <c r="AR134" s="378"/>
      <c r="AS134" s="378"/>
      <c r="AT134" s="378"/>
      <c r="AU134" s="378"/>
      <c r="AV134" s="378"/>
      <c r="AW134" s="378"/>
      <c r="AX134" s="378"/>
      <c r="AY134" s="378"/>
      <c r="AZ134" s="378"/>
      <c r="BA134" s="378"/>
      <c r="BB134" s="378"/>
      <c r="BC134" s="378"/>
      <c r="BD134" s="378"/>
      <c r="BE134" s="378"/>
      <c r="BF134" s="378"/>
      <c r="BG134" s="378"/>
      <c r="BH134" s="378"/>
      <c r="BI134" s="378"/>
      <c r="BJ134" s="378"/>
      <c r="BK134" s="378"/>
      <c r="BL134" s="378"/>
      <c r="BM134" s="378"/>
      <c r="BN134" s="378"/>
      <c r="BO134" s="378"/>
      <c r="BP134" s="378"/>
      <c r="BQ134" s="378"/>
      <c r="BR134" s="378"/>
      <c r="BS134" s="378"/>
      <c r="BT134" s="378"/>
      <c r="BU134" s="378"/>
      <c r="BV134" s="378"/>
      <c r="BW134" s="378"/>
      <c r="BX134" s="378"/>
      <c r="BY134" s="378"/>
      <c r="BZ134" s="378"/>
      <c r="CA134" s="378"/>
      <c r="CB134" s="378"/>
      <c r="CC134" s="378"/>
      <c r="CD134" s="378"/>
      <c r="CE134" s="378"/>
      <c r="CF134" s="378"/>
      <c r="CG134" s="378"/>
      <c r="CH134" s="378"/>
      <c r="CI134" s="336"/>
      <c r="CJ134" s="374"/>
      <c r="CK134" s="374"/>
      <c r="CL134" s="374"/>
      <c r="CM134" s="374"/>
      <c r="CN134" s="336"/>
      <c r="CO134" s="374"/>
      <c r="CP134" s="374"/>
      <c r="CQ134" s="374"/>
      <c r="CR134" s="374"/>
      <c r="CS134" s="274">
        <f>CS133/CN133-1</f>
        <v>0.13618870266914973</v>
      </c>
      <c r="CT134" s="374"/>
      <c r="CU134" s="374"/>
      <c r="CV134" s="374"/>
      <c r="CW134" s="374"/>
      <c r="CX134" s="274">
        <f>CX133/CS133-1</f>
        <v>9.375E-2</v>
      </c>
      <c r="CY134" s="374"/>
      <c r="CZ134" s="374"/>
      <c r="DA134" s="374"/>
      <c r="DB134" s="374"/>
      <c r="DC134" s="274">
        <f>DC135/CX133-1</f>
        <v>5.9640359640359408E-2</v>
      </c>
      <c r="DD134" s="374"/>
      <c r="DE134" s="374"/>
      <c r="DF134" s="374"/>
      <c r="DG134" s="374"/>
      <c r="DH134" s="274">
        <f>DH133/DC133-1</f>
        <v>0.1566512125534949</v>
      </c>
      <c r="DI134" s="374"/>
      <c r="DJ134" s="374"/>
      <c r="DK134" s="374"/>
      <c r="DL134" s="374"/>
      <c r="DM134" s="336"/>
      <c r="DN134" s="374"/>
      <c r="DO134" s="374"/>
      <c r="DP134" s="374"/>
      <c r="DQ134" s="374"/>
      <c r="DR134" s="336"/>
      <c r="DS134" s="374"/>
      <c r="DT134" s="374"/>
      <c r="DU134" s="374"/>
      <c r="DV134" s="374"/>
      <c r="DW134" s="336"/>
      <c r="DX134" s="374"/>
      <c r="DY134" s="374"/>
      <c r="DZ134" s="374"/>
      <c r="EA134" s="374"/>
      <c r="EB134" s="336"/>
      <c r="EC134" s="28"/>
      <c r="ED134" s="28"/>
      <c r="EE134" s="28"/>
      <c r="EF134" s="28"/>
      <c r="FJ134"/>
      <c r="FK134"/>
      <c r="FL134"/>
      <c r="FM134"/>
      <c r="FN134"/>
      <c r="FO134"/>
      <c r="FP134"/>
      <c r="FQ134"/>
      <c r="FR134"/>
    </row>
    <row r="135" spans="1:174" s="1" customFormat="1" x14ac:dyDescent="0.2">
      <c r="A135" s="936" t="s">
        <v>638</v>
      </c>
      <c r="B135" s="937"/>
      <c r="C135" s="937"/>
      <c r="D135" s="937"/>
      <c r="E135" s="937"/>
      <c r="F135" s="937"/>
      <c r="G135" s="937"/>
      <c r="H135" s="937"/>
      <c r="I135" s="937"/>
      <c r="J135" s="937"/>
      <c r="K135" s="937"/>
      <c r="L135" s="937"/>
      <c r="M135" s="937"/>
      <c r="N135" s="937"/>
      <c r="O135" s="937"/>
      <c r="P135" s="937"/>
      <c r="Q135" s="937"/>
      <c r="R135" s="937"/>
      <c r="S135" s="937"/>
      <c r="T135" s="937"/>
      <c r="U135" s="937"/>
      <c r="V135" s="937"/>
      <c r="W135" s="937"/>
      <c r="X135" s="937"/>
      <c r="Y135" s="937"/>
      <c r="Z135" s="937"/>
      <c r="AA135" s="937"/>
      <c r="AB135" s="937"/>
      <c r="AC135" s="937"/>
      <c r="AD135" s="937"/>
      <c r="AE135" s="937"/>
      <c r="AF135" s="937"/>
      <c r="AG135" s="937"/>
      <c r="AH135" s="937"/>
      <c r="AI135" s="937"/>
      <c r="AJ135" s="937"/>
      <c r="AK135" s="937"/>
      <c r="AL135" s="937"/>
      <c r="AM135" s="937"/>
      <c r="AN135" s="937"/>
      <c r="AO135" s="937"/>
      <c r="AP135" s="937"/>
      <c r="AQ135" s="937"/>
      <c r="AR135" s="937"/>
      <c r="AS135" s="937"/>
      <c r="AT135" s="937"/>
      <c r="AU135" s="937"/>
      <c r="AV135" s="937"/>
      <c r="AW135" s="937"/>
      <c r="AX135" s="937"/>
      <c r="AY135" s="937"/>
      <c r="AZ135" s="937"/>
      <c r="BA135" s="937"/>
      <c r="BB135" s="937"/>
      <c r="BC135" s="937"/>
      <c r="BD135" s="937"/>
      <c r="BE135" s="937"/>
      <c r="BF135" s="937"/>
      <c r="BG135" s="937"/>
      <c r="BH135" s="937"/>
      <c r="BI135" s="937"/>
      <c r="BJ135" s="937"/>
      <c r="BK135" s="937"/>
      <c r="BL135" s="937"/>
      <c r="BM135" s="937"/>
      <c r="BN135" s="937"/>
      <c r="BO135" s="937"/>
      <c r="BP135" s="937"/>
      <c r="BQ135" s="937"/>
      <c r="BR135" s="937"/>
      <c r="BS135" s="937"/>
      <c r="BT135" s="937"/>
      <c r="BU135" s="937"/>
      <c r="BV135" s="937"/>
      <c r="BW135" s="937"/>
      <c r="BX135" s="937"/>
      <c r="BY135" s="937"/>
      <c r="BZ135" s="937"/>
      <c r="CA135" s="937"/>
      <c r="CB135" s="937"/>
      <c r="CC135" s="937"/>
      <c r="CD135" s="937"/>
      <c r="CE135" s="937"/>
      <c r="CF135" s="937"/>
      <c r="CG135" s="937"/>
      <c r="CH135" s="937"/>
      <c r="CI135" s="831"/>
      <c r="CJ135" s="938"/>
      <c r="CK135" s="938"/>
      <c r="CL135" s="938"/>
      <c r="CM135" s="938"/>
      <c r="CN135" s="831"/>
      <c r="CO135" s="938"/>
      <c r="CP135" s="938"/>
      <c r="CQ135" s="938"/>
      <c r="CR135" s="938"/>
      <c r="CS135" s="831"/>
      <c r="CT135" s="938"/>
      <c r="CU135" s="938"/>
      <c r="CV135" s="938"/>
      <c r="CW135" s="938"/>
      <c r="CX135" s="831"/>
      <c r="CY135" s="938"/>
      <c r="CZ135" s="938"/>
      <c r="DA135" s="938"/>
      <c r="DB135" s="938"/>
      <c r="DC135" s="831">
        <f>DC133+DC129</f>
        <v>1060.6999999999998</v>
      </c>
      <c r="DD135" s="938"/>
      <c r="DE135" s="938"/>
      <c r="DF135" s="938"/>
      <c r="DG135" s="938"/>
      <c r="DH135" s="831"/>
      <c r="DI135" s="938"/>
      <c r="DJ135" s="938"/>
      <c r="DK135" s="938"/>
      <c r="DL135" s="938"/>
      <c r="DM135" s="831"/>
      <c r="DN135" s="938"/>
      <c r="DO135" s="938"/>
      <c r="DP135" s="938"/>
      <c r="DQ135" s="938"/>
      <c r="DR135" s="831"/>
      <c r="DS135" s="938"/>
      <c r="DT135" s="938"/>
      <c r="DU135" s="938"/>
      <c r="DV135" s="938"/>
      <c r="DW135" s="831"/>
      <c r="DX135" s="938"/>
      <c r="DY135" s="938"/>
      <c r="DZ135" s="938"/>
      <c r="EA135" s="938"/>
      <c r="EB135" s="831"/>
      <c r="EC135" s="28"/>
      <c r="ED135" s="28"/>
      <c r="EE135" s="28"/>
      <c r="EF135" s="28"/>
      <c r="FJ135" s="773"/>
      <c r="FK135" s="773"/>
      <c r="FL135"/>
      <c r="FM135"/>
      <c r="FN135"/>
      <c r="FO135"/>
      <c r="FP135"/>
      <c r="FQ135"/>
      <c r="FR135" s="773"/>
    </row>
    <row r="136" spans="1:174" s="1" customFormat="1" x14ac:dyDescent="0.2">
      <c r="CO136" s="49"/>
      <c r="CT136" s="49"/>
      <c r="EC136" s="28"/>
      <c r="ED136" s="28"/>
      <c r="EE136" s="28"/>
      <c r="EF136" s="28"/>
      <c r="FJ136"/>
      <c r="FK136"/>
      <c r="FL136"/>
      <c r="FM136"/>
      <c r="FN136"/>
      <c r="FO136"/>
      <c r="FP136"/>
      <c r="FQ136"/>
      <c r="FR136"/>
    </row>
    <row r="137" spans="1:174" s="1" customFormat="1" x14ac:dyDescent="0.2">
      <c r="A137" s="17" t="s">
        <v>566</v>
      </c>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8"/>
      <c r="ED137" s="28"/>
      <c r="EE137" s="28"/>
      <c r="EF137" s="28"/>
      <c r="FJ137"/>
      <c r="FK137"/>
      <c r="FL137"/>
      <c r="FM137"/>
      <c r="FN137"/>
      <c r="FO137"/>
      <c r="FP137"/>
      <c r="FQ137"/>
      <c r="FR137"/>
    </row>
    <row r="138" spans="1:174" s="1" customFormat="1" x14ac:dyDescent="0.2">
      <c r="A138" s="1" t="s">
        <v>567</v>
      </c>
      <c r="B138" s="18"/>
      <c r="G138" s="18"/>
      <c r="L138" s="18"/>
      <c r="Q138" s="18"/>
      <c r="V138" s="18"/>
      <c r="AA138" s="18"/>
      <c r="AF138" s="18"/>
      <c r="AK138" s="18"/>
      <c r="AP138" s="18"/>
      <c r="AU138" s="18"/>
      <c r="AZ138" s="240">
        <f>AZ66</f>
        <v>0.37322068999946861</v>
      </c>
      <c r="BA138" s="282" t="s">
        <v>75</v>
      </c>
      <c r="BB138" s="282" t="s">
        <v>75</v>
      </c>
      <c r="BC138" s="282" t="s">
        <v>75</v>
      </c>
      <c r="BD138" s="282" t="s">
        <v>75</v>
      </c>
      <c r="BE138" s="285">
        <f>BE66</f>
        <v>0.37915660109185356</v>
      </c>
      <c r="BF138" s="282" t="s">
        <v>75</v>
      </c>
      <c r="BG138" s="282" t="s">
        <v>75</v>
      </c>
      <c r="BH138" s="282" t="s">
        <v>75</v>
      </c>
      <c r="BI138" s="282" t="s">
        <v>75</v>
      </c>
      <c r="BJ138" s="285">
        <f>BJ66</f>
        <v>0.35835622000778999</v>
      </c>
      <c r="BK138" s="282" t="s">
        <v>75</v>
      </c>
      <c r="BL138" s="282" t="s">
        <v>75</v>
      </c>
      <c r="BM138" s="282" t="s">
        <v>75</v>
      </c>
      <c r="BN138" s="282" t="s">
        <v>75</v>
      </c>
      <c r="BO138" s="285">
        <f t="shared" ref="BO138:CT138" si="381">BO66</f>
        <v>0.36323070733842916</v>
      </c>
      <c r="BP138" s="282">
        <f t="shared" si="381"/>
        <v>0.36302418120599944</v>
      </c>
      <c r="BQ138" s="282">
        <f t="shared" si="381"/>
        <v>0.34996410624551327</v>
      </c>
      <c r="BR138" s="282">
        <f t="shared" si="381"/>
        <v>0.79579579579578996</v>
      </c>
      <c r="BS138" s="282">
        <f t="shared" si="381"/>
        <v>6.0000000000001465</v>
      </c>
      <c r="BT138" s="285">
        <f t="shared" si="381"/>
        <v>0.31341139598659318</v>
      </c>
      <c r="BU138" s="282">
        <f t="shared" si="381"/>
        <v>0.34587995930824073</v>
      </c>
      <c r="BV138" s="282">
        <f t="shared" si="381"/>
        <v>0.28285714285714192</v>
      </c>
      <c r="BW138" s="282">
        <f t="shared" si="381"/>
        <v>0.30747663551401866</v>
      </c>
      <c r="BX138" s="282">
        <f t="shared" si="381"/>
        <v>0.27662582469368491</v>
      </c>
      <c r="BY138" s="285">
        <f t="shared" si="381"/>
        <v>0.30098302055406612</v>
      </c>
      <c r="BZ138" s="282">
        <f t="shared" si="381"/>
        <v>0.34100135317997277</v>
      </c>
      <c r="CA138" s="282">
        <f t="shared" si="381"/>
        <v>0.3527488855869238</v>
      </c>
      <c r="CB138" s="282">
        <f t="shared" si="381"/>
        <v>0.3451633165829146</v>
      </c>
      <c r="CC138" s="282">
        <f t="shared" si="381"/>
        <v>0.32501211827435755</v>
      </c>
      <c r="CD138" s="285">
        <f t="shared" si="381"/>
        <v>0.34008350730688958</v>
      </c>
      <c r="CE138" s="282">
        <f t="shared" si="381"/>
        <v>0.3162863886703382</v>
      </c>
      <c r="CF138" s="282">
        <f t="shared" si="381"/>
        <v>0.32527642067369522</v>
      </c>
      <c r="CG138" s="282">
        <f t="shared" si="381"/>
        <v>0.31706126433976062</v>
      </c>
      <c r="CH138" s="282">
        <f t="shared" si="381"/>
        <v>0.28936929789765964</v>
      </c>
      <c r="CI138" s="285">
        <f t="shared" si="381"/>
        <v>0.310898851590106</v>
      </c>
      <c r="CJ138" s="282">
        <f t="shared" si="381"/>
        <v>0.33017875920084117</v>
      </c>
      <c r="CK138" s="282">
        <f t="shared" si="381"/>
        <v>0.3212956883344279</v>
      </c>
      <c r="CL138" s="282">
        <f t="shared" si="381"/>
        <v>0.32311129163281893</v>
      </c>
      <c r="CM138" s="282">
        <f t="shared" si="381"/>
        <v>0.33401297497683036</v>
      </c>
      <c r="CN138" s="285">
        <f t="shared" si="381"/>
        <v>0.32752257939205598</v>
      </c>
      <c r="CO138" s="282">
        <f t="shared" si="381"/>
        <v>0.30381581065850904</v>
      </c>
      <c r="CP138" s="282">
        <f t="shared" si="381"/>
        <v>0.33644701086956535</v>
      </c>
      <c r="CQ138" s="282">
        <f t="shared" si="381"/>
        <v>0.3177661659046373</v>
      </c>
      <c r="CR138" s="282">
        <f t="shared" si="381"/>
        <v>0.39961992008576169</v>
      </c>
      <c r="CS138" s="285">
        <f t="shared" si="381"/>
        <v>0.32600000000000001</v>
      </c>
      <c r="CT138" s="282">
        <f t="shared" si="381"/>
        <v>0.3396433805569124</v>
      </c>
      <c r="CU138" s="282">
        <f t="shared" ref="CU138:EB138" si="382">CU66</f>
        <v>0.33834469931804073</v>
      </c>
      <c r="CV138" s="282">
        <f t="shared" si="382"/>
        <v>0.33570965651328588</v>
      </c>
      <c r="CW138" s="282">
        <f t="shared" si="382"/>
        <v>0.36420688162735321</v>
      </c>
      <c r="CX138" s="285">
        <f t="shared" si="382"/>
        <v>0.34560243061050078</v>
      </c>
      <c r="CY138" s="282">
        <f t="shared" si="382"/>
        <v>0.2424009234320891</v>
      </c>
      <c r="CZ138" s="282">
        <f t="shared" si="382"/>
        <v>0.34952093450584071</v>
      </c>
      <c r="DA138" s="282">
        <f t="shared" si="382"/>
        <v>0.33703703703703713</v>
      </c>
      <c r="DB138" s="282">
        <f t="shared" si="382"/>
        <v>0.27216954824316802</v>
      </c>
      <c r="DC138" s="285">
        <f t="shared" si="382"/>
        <v>0.29306413179943108</v>
      </c>
      <c r="DD138" s="282">
        <f t="shared" si="382"/>
        <v>0.34479801829268292</v>
      </c>
      <c r="DE138" s="282">
        <f t="shared" si="382"/>
        <v>0.3317061831706184</v>
      </c>
      <c r="DF138" s="282">
        <f t="shared" si="382"/>
        <v>0.29709334823923983</v>
      </c>
      <c r="DG138" s="282">
        <f t="shared" si="382"/>
        <v>0.34024520694478705</v>
      </c>
      <c r="DH138" s="285">
        <f t="shared" si="382"/>
        <v>0.32860171005311151</v>
      </c>
      <c r="DI138" s="282">
        <f t="shared" si="382"/>
        <v>0.33665813399240901</v>
      </c>
      <c r="DJ138" s="282">
        <f t="shared" si="382"/>
        <v>0.3341493268053855</v>
      </c>
      <c r="DK138" s="282">
        <f t="shared" si="382"/>
        <v>0.34312048650703153</v>
      </c>
      <c r="DL138" s="282">
        <f t="shared" si="382"/>
        <v>0.31472477860739706</v>
      </c>
      <c r="DM138" s="285">
        <f t="shared" si="382"/>
        <v>0.33181239143022567</v>
      </c>
      <c r="DN138" s="282">
        <f t="shared" si="382"/>
        <v>0.25143883695399039</v>
      </c>
      <c r="DO138" s="282">
        <f t="shared" si="382"/>
        <v>0.26</v>
      </c>
      <c r="DP138" s="282">
        <f t="shared" si="382"/>
        <v>0.26</v>
      </c>
      <c r="DQ138" s="282">
        <f t="shared" si="382"/>
        <v>0.26</v>
      </c>
      <c r="DR138" s="285">
        <f t="shared" si="382"/>
        <v>0.25601589954162146</v>
      </c>
      <c r="DS138" s="282">
        <f t="shared" si="382"/>
        <v>0.26</v>
      </c>
      <c r="DT138" s="282">
        <f t="shared" si="382"/>
        <v>0.26</v>
      </c>
      <c r="DU138" s="282">
        <f t="shared" si="382"/>
        <v>0.26</v>
      </c>
      <c r="DV138" s="282">
        <f t="shared" si="382"/>
        <v>0.26</v>
      </c>
      <c r="DW138" s="285">
        <f t="shared" si="382"/>
        <v>0.26000000000000012</v>
      </c>
      <c r="DX138" s="282">
        <f t="shared" si="382"/>
        <v>0.26</v>
      </c>
      <c r="DY138" s="282">
        <f t="shared" si="382"/>
        <v>0.26</v>
      </c>
      <c r="DZ138" s="282">
        <f t="shared" si="382"/>
        <v>0.26</v>
      </c>
      <c r="EA138" s="282">
        <f t="shared" si="382"/>
        <v>0.26</v>
      </c>
      <c r="EB138" s="285">
        <f t="shared" si="382"/>
        <v>0.25999999999999968</v>
      </c>
      <c r="EC138" s="27"/>
      <c r="ED138" s="28"/>
      <c r="EE138" s="28"/>
      <c r="EF138" s="28"/>
      <c r="FJ138"/>
      <c r="FK138"/>
      <c r="FL138"/>
      <c r="FM138"/>
      <c r="FN138"/>
      <c r="FO138"/>
      <c r="FP138"/>
      <c r="FQ138"/>
      <c r="FR138"/>
    </row>
    <row r="139" spans="1:174" s="1" customFormat="1" hidden="1" outlineLevel="1" x14ac:dyDescent="0.2">
      <c r="A139" s="1" t="s">
        <v>568</v>
      </c>
      <c r="B139" s="20"/>
      <c r="G139" s="20"/>
      <c r="L139" s="20"/>
      <c r="Q139" s="20"/>
      <c r="V139" s="20"/>
      <c r="AA139" s="20"/>
      <c r="AF139" s="20"/>
      <c r="AK139" s="20"/>
      <c r="AP139" s="20"/>
      <c r="AU139" s="20"/>
      <c r="AZ139" s="61">
        <v>0.35</v>
      </c>
      <c r="BA139" s="282" t="s">
        <v>75</v>
      </c>
      <c r="BB139" s="282" t="s">
        <v>75</v>
      </c>
      <c r="BC139" s="282" t="s">
        <v>75</v>
      </c>
      <c r="BD139" s="282" t="s">
        <v>75</v>
      </c>
      <c r="BE139" s="281">
        <v>0.35</v>
      </c>
      <c r="BF139" s="282" t="s">
        <v>75</v>
      </c>
      <c r="BG139" s="282" t="s">
        <v>75</v>
      </c>
      <c r="BH139" s="282" t="s">
        <v>75</v>
      </c>
      <c r="BI139" s="282" t="s">
        <v>75</v>
      </c>
      <c r="BJ139" s="281">
        <v>0.35</v>
      </c>
      <c r="BK139" s="282" t="s">
        <v>75</v>
      </c>
      <c r="BL139" s="282" t="s">
        <v>75</v>
      </c>
      <c r="BM139" s="282" t="s">
        <v>75</v>
      </c>
      <c r="BN139" s="282" t="s">
        <v>75</v>
      </c>
      <c r="BO139" s="281">
        <v>0.35</v>
      </c>
      <c r="BP139" s="282"/>
      <c r="BQ139" s="282"/>
      <c r="BR139" s="282"/>
      <c r="BS139" s="282"/>
      <c r="BT139" s="281"/>
      <c r="BU139" s="282"/>
      <c r="BV139" s="282"/>
      <c r="BW139" s="282"/>
      <c r="BX139" s="282"/>
      <c r="BY139" s="281"/>
      <c r="BZ139" s="282"/>
      <c r="CA139" s="282"/>
      <c r="CB139" s="282"/>
      <c r="CC139" s="282"/>
      <c r="CD139" s="281"/>
      <c r="CE139" s="282"/>
      <c r="CF139" s="282"/>
      <c r="CG139" s="282"/>
      <c r="CH139" s="282"/>
      <c r="CI139" s="281"/>
      <c r="CJ139" s="282"/>
      <c r="CK139" s="282"/>
      <c r="CL139" s="282"/>
      <c r="CM139" s="282"/>
      <c r="CN139" s="281"/>
      <c r="CO139" s="282"/>
      <c r="CP139" s="282"/>
      <c r="CQ139" s="282"/>
      <c r="CR139" s="282"/>
      <c r="CS139" s="281"/>
      <c r="CT139" s="282"/>
      <c r="CU139" s="282"/>
      <c r="CV139" s="282"/>
      <c r="CW139" s="282"/>
      <c r="CX139" s="281"/>
      <c r="CY139" s="282"/>
      <c r="CZ139" s="282"/>
      <c r="DA139" s="282"/>
      <c r="DB139" s="282"/>
      <c r="DC139" s="281"/>
      <c r="DD139" s="282"/>
      <c r="DE139" s="282"/>
      <c r="DF139" s="282"/>
      <c r="DG139" s="282"/>
      <c r="DH139" s="281"/>
      <c r="DI139" s="282"/>
      <c r="DJ139" s="282"/>
      <c r="DK139" s="282"/>
      <c r="DL139" s="282"/>
      <c r="DM139" s="281"/>
      <c r="DN139" s="282"/>
      <c r="DO139" s="282"/>
      <c r="DP139" s="282"/>
      <c r="DQ139" s="282"/>
      <c r="DR139" s="281"/>
      <c r="DS139" s="282"/>
      <c r="DT139" s="282"/>
      <c r="DU139" s="282"/>
      <c r="DV139" s="282"/>
      <c r="DW139" s="281"/>
      <c r="DX139" s="282"/>
      <c r="DY139" s="282"/>
      <c r="DZ139" s="282"/>
      <c r="EA139" s="282"/>
      <c r="EB139" s="281"/>
      <c r="EC139" s="27"/>
      <c r="ED139" s="28"/>
      <c r="EE139" s="28"/>
      <c r="EF139" s="28"/>
      <c r="FJ139"/>
      <c r="FK139"/>
      <c r="FL139"/>
      <c r="FM139"/>
      <c r="FN139"/>
      <c r="FO139"/>
      <c r="FP139"/>
      <c r="FQ139"/>
      <c r="FR139"/>
    </row>
    <row r="140" spans="1:174" s="1" customFormat="1" hidden="1" outlineLevel="1" x14ac:dyDescent="0.2">
      <c r="A140" s="1" t="s">
        <v>569</v>
      </c>
      <c r="B140" s="20"/>
      <c r="G140" s="20"/>
      <c r="L140" s="20"/>
      <c r="Q140" s="20"/>
      <c r="V140" s="20"/>
      <c r="AA140" s="20"/>
      <c r="AF140" s="20"/>
      <c r="AK140" s="20"/>
      <c r="AP140" s="20"/>
      <c r="AU140" s="20"/>
      <c r="AZ140" s="61">
        <v>3.4000000000000002E-2</v>
      </c>
      <c r="BA140" s="282"/>
      <c r="BB140" s="282"/>
      <c r="BC140" s="282"/>
      <c r="BD140" s="282"/>
      <c r="BE140" s="281">
        <v>3.4000000000000002E-2</v>
      </c>
      <c r="BF140" s="282"/>
      <c r="BG140" s="282"/>
      <c r="BH140" s="282"/>
      <c r="BI140" s="282"/>
      <c r="BJ140" s="281">
        <v>3.4000000000000002E-2</v>
      </c>
      <c r="BK140" s="282"/>
      <c r="BL140" s="282"/>
      <c r="BM140" s="282"/>
      <c r="BN140" s="282"/>
      <c r="BO140" s="281">
        <v>3.4000000000000002E-2</v>
      </c>
      <c r="BP140" s="282"/>
      <c r="BQ140" s="282"/>
      <c r="BR140" s="282"/>
      <c r="BS140" s="282"/>
      <c r="BT140" s="281"/>
      <c r="BU140" s="282"/>
      <c r="BV140" s="282"/>
      <c r="BW140" s="282"/>
      <c r="BX140" s="282"/>
      <c r="BY140" s="281"/>
      <c r="BZ140" s="282"/>
      <c r="CA140" s="282"/>
      <c r="CB140" s="282"/>
      <c r="CC140" s="282"/>
      <c r="CD140" s="281"/>
      <c r="CE140" s="282"/>
      <c r="CF140" s="282"/>
      <c r="CG140" s="282"/>
      <c r="CH140" s="282"/>
      <c r="CI140" s="281"/>
      <c r="CJ140" s="282"/>
      <c r="CK140" s="282"/>
      <c r="CL140" s="282"/>
      <c r="CM140" s="282"/>
      <c r="CN140" s="281"/>
      <c r="CO140" s="282"/>
      <c r="CP140" s="282"/>
      <c r="CQ140" s="282"/>
      <c r="CR140" s="282"/>
      <c r="CS140" s="281"/>
      <c r="CT140" s="282"/>
      <c r="CU140" s="282"/>
      <c r="CV140" s="282"/>
      <c r="CW140" s="282"/>
      <c r="CX140" s="281"/>
      <c r="CY140" s="282"/>
      <c r="CZ140" s="282"/>
      <c r="DA140" s="282"/>
      <c r="DB140" s="282"/>
      <c r="DC140" s="281"/>
      <c r="DD140" s="282"/>
      <c r="DE140" s="282"/>
      <c r="DF140" s="282"/>
      <c r="DG140" s="282"/>
      <c r="DH140" s="281"/>
      <c r="DI140" s="282"/>
      <c r="DJ140" s="282"/>
      <c r="DK140" s="282"/>
      <c r="DL140" s="282"/>
      <c r="DM140" s="281"/>
      <c r="DN140" s="282"/>
      <c r="DO140" s="282"/>
      <c r="DP140" s="282"/>
      <c r="DQ140" s="282"/>
      <c r="DR140" s="281"/>
      <c r="DS140" s="282"/>
      <c r="DT140" s="282"/>
      <c r="DU140" s="282"/>
      <c r="DV140" s="282"/>
      <c r="DW140" s="281"/>
      <c r="DX140" s="282"/>
      <c r="DY140" s="282"/>
      <c r="DZ140" s="282"/>
      <c r="EA140" s="282"/>
      <c r="EB140" s="281"/>
      <c r="EC140" s="27"/>
      <c r="ED140" s="28"/>
      <c r="EE140" s="28"/>
      <c r="EF140" s="28"/>
      <c r="FJ140"/>
      <c r="FK140"/>
      <c r="FL140"/>
      <c r="FM140"/>
      <c r="FN140"/>
      <c r="FO140"/>
      <c r="FP140"/>
      <c r="FQ140"/>
      <c r="FR140"/>
    </row>
    <row r="141" spans="1:174" s="1" customFormat="1" hidden="1" outlineLevel="1" x14ac:dyDescent="0.2">
      <c r="A141" s="1" t="s">
        <v>570</v>
      </c>
      <c r="B141" s="20"/>
      <c r="G141" s="20"/>
      <c r="L141" s="20"/>
      <c r="Q141" s="20"/>
      <c r="V141" s="20"/>
      <c r="AA141" s="20"/>
      <c r="AF141" s="20"/>
      <c r="AK141" s="20"/>
      <c r="AP141" s="20"/>
      <c r="AU141" s="20"/>
      <c r="AZ141" s="61">
        <v>-2.1000000000000001E-2</v>
      </c>
      <c r="BA141" s="282"/>
      <c r="BB141" s="282"/>
      <c r="BC141" s="282"/>
      <c r="BD141" s="282"/>
      <c r="BE141" s="281">
        <v>-2.1000000000000001E-2</v>
      </c>
      <c r="BF141" s="282"/>
      <c r="BG141" s="282"/>
      <c r="BH141" s="282"/>
      <c r="BI141" s="282"/>
      <c r="BJ141" s="281">
        <v>-2.1000000000000001E-2</v>
      </c>
      <c r="BK141" s="282"/>
      <c r="BL141" s="282"/>
      <c r="BM141" s="282"/>
      <c r="BN141" s="282"/>
      <c r="BO141" s="281">
        <v>-2.1000000000000001E-2</v>
      </c>
      <c r="BP141" s="282"/>
      <c r="BQ141" s="282"/>
      <c r="BR141" s="282"/>
      <c r="BS141" s="282"/>
      <c r="BT141" s="281"/>
      <c r="BU141" s="282"/>
      <c r="BV141" s="282"/>
      <c r="BW141" s="282"/>
      <c r="BX141" s="282"/>
      <c r="BY141" s="281"/>
      <c r="BZ141" s="282"/>
      <c r="CA141" s="282"/>
      <c r="CB141" s="282"/>
      <c r="CC141" s="282"/>
      <c r="CD141" s="281"/>
      <c r="CE141" s="282"/>
      <c r="CF141" s="282"/>
      <c r="CG141" s="282"/>
      <c r="CH141" s="282"/>
      <c r="CI141" s="281"/>
      <c r="CJ141" s="282"/>
      <c r="CK141" s="282"/>
      <c r="CL141" s="282"/>
      <c r="CM141" s="282"/>
      <c r="CN141" s="281"/>
      <c r="CO141" s="282"/>
      <c r="CP141" s="282"/>
      <c r="CQ141" s="282"/>
      <c r="CR141" s="282"/>
      <c r="CS141" s="281"/>
      <c r="CT141" s="282"/>
      <c r="CU141" s="282"/>
      <c r="CV141" s="282"/>
      <c r="CW141" s="282"/>
      <c r="CX141" s="281"/>
      <c r="CY141" s="282"/>
      <c r="CZ141" s="282"/>
      <c r="DA141" s="282"/>
      <c r="DB141" s="282"/>
      <c r="DC141" s="281"/>
      <c r="DD141" s="282"/>
      <c r="DE141" s="282"/>
      <c r="DF141" s="282"/>
      <c r="DG141" s="282"/>
      <c r="DH141" s="281"/>
      <c r="DI141" s="282"/>
      <c r="DJ141" s="282"/>
      <c r="DK141" s="282"/>
      <c r="DL141" s="282"/>
      <c r="DM141" s="281"/>
      <c r="DN141" s="282"/>
      <c r="DO141" s="282"/>
      <c r="DP141" s="282"/>
      <c r="DQ141" s="282"/>
      <c r="DR141" s="281"/>
      <c r="DS141" s="282"/>
      <c r="DT141" s="282"/>
      <c r="DU141" s="282"/>
      <c r="DV141" s="282"/>
      <c r="DW141" s="281"/>
      <c r="DX141" s="282"/>
      <c r="DY141" s="282"/>
      <c r="DZ141" s="282"/>
      <c r="EA141" s="282"/>
      <c r="EB141" s="281"/>
      <c r="EC141" s="27"/>
      <c r="ED141" s="28"/>
      <c r="EE141" s="28"/>
      <c r="EF141" s="28"/>
      <c r="FJ141"/>
      <c r="FK141"/>
      <c r="FL141"/>
      <c r="FM141"/>
      <c r="FN141"/>
      <c r="FO141"/>
      <c r="FP141"/>
      <c r="FQ141"/>
      <c r="FR141"/>
    </row>
    <row r="142" spans="1:174" s="1" customFormat="1" collapsed="1" x14ac:dyDescent="0.2">
      <c r="A142" s="2" t="s">
        <v>568</v>
      </c>
      <c r="B142" s="19"/>
      <c r="C142" s="2"/>
      <c r="D142" s="2"/>
      <c r="E142" s="2"/>
      <c r="F142" s="2"/>
      <c r="G142" s="19"/>
      <c r="H142" s="2"/>
      <c r="I142" s="2"/>
      <c r="J142" s="2"/>
      <c r="K142" s="2"/>
      <c r="L142" s="19"/>
      <c r="M142" s="2"/>
      <c r="N142" s="2"/>
      <c r="O142" s="2"/>
      <c r="P142" s="2"/>
      <c r="Q142" s="19"/>
      <c r="R142" s="2"/>
      <c r="S142" s="2"/>
      <c r="T142" s="2"/>
      <c r="U142" s="2"/>
      <c r="V142" s="19"/>
      <c r="W142" s="2"/>
      <c r="X142" s="2"/>
      <c r="Y142" s="2"/>
      <c r="Z142" s="2"/>
      <c r="AA142" s="19"/>
      <c r="AB142" s="2"/>
      <c r="AC142" s="2"/>
      <c r="AD142" s="2"/>
      <c r="AE142" s="2"/>
      <c r="AF142" s="19"/>
      <c r="AG142" s="2"/>
      <c r="AH142" s="2"/>
      <c r="AI142" s="2"/>
      <c r="AJ142" s="2"/>
      <c r="AK142" s="19"/>
      <c r="AL142" s="2"/>
      <c r="AM142" s="2"/>
      <c r="AN142" s="2"/>
      <c r="AO142" s="2"/>
      <c r="AP142" s="19"/>
      <c r="AQ142" s="2"/>
      <c r="AR142" s="2"/>
      <c r="AS142" s="2"/>
      <c r="AT142" s="2"/>
      <c r="AU142" s="19"/>
      <c r="AV142" s="2"/>
      <c r="AW142" s="2"/>
      <c r="AX142" s="2"/>
      <c r="AY142" s="2"/>
      <c r="AZ142" s="236">
        <f>AZ139+AZ140+AZ141</f>
        <v>0.36299999999999999</v>
      </c>
      <c r="BA142" s="284">
        <f>AZ142</f>
        <v>0.36299999999999999</v>
      </c>
      <c r="BB142" s="284">
        <f>BA142</f>
        <v>0.36299999999999999</v>
      </c>
      <c r="BC142" s="284">
        <f>BB142</f>
        <v>0.36299999999999999</v>
      </c>
      <c r="BD142" s="284">
        <f>BC142</f>
        <v>0.36299999999999999</v>
      </c>
      <c r="BE142" s="283">
        <f>BE139+BE140+BE141</f>
        <v>0.36299999999999999</v>
      </c>
      <c r="BF142" s="284">
        <f>BE142</f>
        <v>0.36299999999999999</v>
      </c>
      <c r="BG142" s="284">
        <f>BF142</f>
        <v>0.36299999999999999</v>
      </c>
      <c r="BH142" s="284">
        <f>BG142</f>
        <v>0.36299999999999999</v>
      </c>
      <c r="BI142" s="284">
        <f>BH142</f>
        <v>0.36299999999999999</v>
      </c>
      <c r="BJ142" s="283">
        <f>BJ139+BJ140+BJ141</f>
        <v>0.36299999999999999</v>
      </c>
      <c r="BK142" s="284">
        <f>BJ142</f>
        <v>0.36299999999999999</v>
      </c>
      <c r="BL142" s="284">
        <f>BK142</f>
        <v>0.36299999999999999</v>
      </c>
      <c r="BM142" s="284">
        <f>BL142</f>
        <v>0.36299999999999999</v>
      </c>
      <c r="BN142" s="284">
        <f>BM142</f>
        <v>0.36299999999999999</v>
      </c>
      <c r="BO142" s="283">
        <f>BO139+BO140+BO141</f>
        <v>0.36299999999999999</v>
      </c>
      <c r="BP142" s="284">
        <f>BP138</f>
        <v>0.36302418120599944</v>
      </c>
      <c r="BQ142" s="284">
        <f>BQ138</f>
        <v>0.34996410624551327</v>
      </c>
      <c r="BR142" s="284">
        <v>0.35</v>
      </c>
      <c r="BS142" s="284">
        <v>0.35</v>
      </c>
      <c r="BT142" s="283">
        <f t="shared" ref="BT142:CY142" si="383">BT138</f>
        <v>0.31341139598659318</v>
      </c>
      <c r="BU142" s="284">
        <f t="shared" si="383"/>
        <v>0.34587995930824073</v>
      </c>
      <c r="BV142" s="284">
        <f t="shared" si="383"/>
        <v>0.28285714285714192</v>
      </c>
      <c r="BW142" s="284">
        <f t="shared" si="383"/>
        <v>0.30747663551401866</v>
      </c>
      <c r="BX142" s="284">
        <f t="shared" si="383"/>
        <v>0.27662582469368491</v>
      </c>
      <c r="BY142" s="283">
        <f t="shared" si="383"/>
        <v>0.30098302055406612</v>
      </c>
      <c r="BZ142" s="284">
        <f t="shared" si="383"/>
        <v>0.34100135317997277</v>
      </c>
      <c r="CA142" s="284">
        <f t="shared" si="383"/>
        <v>0.3527488855869238</v>
      </c>
      <c r="CB142" s="284">
        <f t="shared" si="383"/>
        <v>0.3451633165829146</v>
      </c>
      <c r="CC142" s="284">
        <f t="shared" si="383"/>
        <v>0.32501211827435755</v>
      </c>
      <c r="CD142" s="283">
        <f t="shared" si="383"/>
        <v>0.34008350730688958</v>
      </c>
      <c r="CE142" s="284">
        <f t="shared" si="383"/>
        <v>0.3162863886703382</v>
      </c>
      <c r="CF142" s="284">
        <f t="shared" si="383"/>
        <v>0.32527642067369522</v>
      </c>
      <c r="CG142" s="284">
        <f t="shared" si="383"/>
        <v>0.31706126433976062</v>
      </c>
      <c r="CH142" s="284">
        <f t="shared" si="383"/>
        <v>0.28936929789765964</v>
      </c>
      <c r="CI142" s="283">
        <f t="shared" si="383"/>
        <v>0.310898851590106</v>
      </c>
      <c r="CJ142" s="284">
        <f t="shared" si="383"/>
        <v>0.33017875920084117</v>
      </c>
      <c r="CK142" s="284">
        <f t="shared" si="383"/>
        <v>0.3212956883344279</v>
      </c>
      <c r="CL142" s="284">
        <f t="shared" si="383"/>
        <v>0.32311129163281893</v>
      </c>
      <c r="CM142" s="284">
        <f t="shared" si="383"/>
        <v>0.33401297497683036</v>
      </c>
      <c r="CN142" s="283">
        <f t="shared" si="383"/>
        <v>0.32752257939205598</v>
      </c>
      <c r="CO142" s="284">
        <f t="shared" si="383"/>
        <v>0.30381581065850904</v>
      </c>
      <c r="CP142" s="284">
        <f t="shared" si="383"/>
        <v>0.33644701086956535</v>
      </c>
      <c r="CQ142" s="284">
        <f t="shared" si="383"/>
        <v>0.3177661659046373</v>
      </c>
      <c r="CR142" s="284">
        <f t="shared" si="383"/>
        <v>0.39961992008576169</v>
      </c>
      <c r="CS142" s="283">
        <f t="shared" si="383"/>
        <v>0.32600000000000001</v>
      </c>
      <c r="CT142" s="284">
        <f t="shared" si="383"/>
        <v>0.3396433805569124</v>
      </c>
      <c r="CU142" s="284">
        <f t="shared" si="383"/>
        <v>0.33834469931804073</v>
      </c>
      <c r="CV142" s="284">
        <f t="shared" si="383"/>
        <v>0.33570965651328588</v>
      </c>
      <c r="CW142" s="284">
        <f t="shared" si="383"/>
        <v>0.36420688162735321</v>
      </c>
      <c r="CX142" s="283">
        <f t="shared" si="383"/>
        <v>0.34560243061050078</v>
      </c>
      <c r="CY142" s="284">
        <f t="shared" si="383"/>
        <v>0.2424009234320891</v>
      </c>
      <c r="CZ142" s="284">
        <f t="shared" ref="CZ142:DR142" si="384">CZ138</f>
        <v>0.34952093450584071</v>
      </c>
      <c r="DA142" s="284">
        <f t="shared" si="384"/>
        <v>0.33703703703703713</v>
      </c>
      <c r="DB142" s="284">
        <f t="shared" si="384"/>
        <v>0.27216954824316802</v>
      </c>
      <c r="DC142" s="283">
        <f t="shared" si="384"/>
        <v>0.29306413179943108</v>
      </c>
      <c r="DD142" s="284">
        <f t="shared" si="384"/>
        <v>0.34479801829268292</v>
      </c>
      <c r="DE142" s="284">
        <f t="shared" si="384"/>
        <v>0.3317061831706184</v>
      </c>
      <c r="DF142" s="284">
        <f t="shared" si="384"/>
        <v>0.29709334823923983</v>
      </c>
      <c r="DG142" s="284">
        <f t="shared" si="384"/>
        <v>0.34024520694478705</v>
      </c>
      <c r="DH142" s="283">
        <f t="shared" si="384"/>
        <v>0.32860171005311151</v>
      </c>
      <c r="DI142" s="284">
        <f t="shared" si="384"/>
        <v>0.33665813399240901</v>
      </c>
      <c r="DJ142" s="284">
        <f t="shared" si="384"/>
        <v>0.3341493268053855</v>
      </c>
      <c r="DK142" s="284">
        <f t="shared" si="384"/>
        <v>0.34312048650703153</v>
      </c>
      <c r="DL142" s="284">
        <f t="shared" si="384"/>
        <v>0.31472477860739706</v>
      </c>
      <c r="DM142" s="283">
        <f t="shared" si="384"/>
        <v>0.33181239143022567</v>
      </c>
      <c r="DN142" s="284">
        <f t="shared" si="384"/>
        <v>0.25143883695399039</v>
      </c>
      <c r="DO142" s="284">
        <f t="shared" si="384"/>
        <v>0.26</v>
      </c>
      <c r="DP142" s="284">
        <f t="shared" si="384"/>
        <v>0.26</v>
      </c>
      <c r="DQ142" s="284">
        <f t="shared" si="384"/>
        <v>0.26</v>
      </c>
      <c r="DR142" s="283">
        <f t="shared" si="384"/>
        <v>0.25601589954162146</v>
      </c>
      <c r="DS142" s="284">
        <f t="shared" ref="DS142:EB142" si="385">DS138</f>
        <v>0.26</v>
      </c>
      <c r="DT142" s="284">
        <f t="shared" si="385"/>
        <v>0.26</v>
      </c>
      <c r="DU142" s="284">
        <f t="shared" si="385"/>
        <v>0.26</v>
      </c>
      <c r="DV142" s="284">
        <f t="shared" si="385"/>
        <v>0.26</v>
      </c>
      <c r="DW142" s="283">
        <f t="shared" si="385"/>
        <v>0.26000000000000012</v>
      </c>
      <c r="DX142" s="284">
        <f t="shared" si="385"/>
        <v>0.26</v>
      </c>
      <c r="DY142" s="284">
        <f t="shared" si="385"/>
        <v>0.26</v>
      </c>
      <c r="DZ142" s="284">
        <f t="shared" si="385"/>
        <v>0.26</v>
      </c>
      <c r="EA142" s="284">
        <f t="shared" si="385"/>
        <v>0.26</v>
      </c>
      <c r="EB142" s="283">
        <f t="shared" si="385"/>
        <v>0.25999999999999968</v>
      </c>
      <c r="EC142" s="27"/>
      <c r="ED142" s="28"/>
      <c r="EE142" s="28"/>
      <c r="EF142" s="28"/>
      <c r="FJ142"/>
      <c r="FK142"/>
      <c r="FL142"/>
      <c r="FM142"/>
      <c r="FN142"/>
      <c r="FO142"/>
      <c r="FP142"/>
      <c r="FQ142"/>
      <c r="FR142"/>
    </row>
    <row r="143" spans="1:174" s="1" customFormat="1" x14ac:dyDescent="0.2">
      <c r="ED143" s="28"/>
      <c r="EE143" s="28"/>
      <c r="FJ143"/>
      <c r="FK143"/>
      <c r="FL143"/>
      <c r="FM143"/>
      <c r="FN143"/>
      <c r="FO143"/>
      <c r="FP143"/>
      <c r="FQ143"/>
      <c r="FR143"/>
    </row>
    <row r="144" spans="1:174" s="1" customFormat="1" x14ac:dyDescent="0.2">
      <c r="A144" s="17" t="s">
        <v>571</v>
      </c>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ED144" s="28"/>
      <c r="EE144" s="28"/>
      <c r="FJ144"/>
      <c r="FK144"/>
      <c r="FL144"/>
      <c r="FM144"/>
      <c r="FN144"/>
      <c r="FO144"/>
      <c r="FP144"/>
      <c r="FQ144"/>
      <c r="FR144"/>
    </row>
    <row r="145" spans="1:174" s="83" customFormat="1" x14ac:dyDescent="0.2">
      <c r="A145" s="83" t="s">
        <v>179</v>
      </c>
      <c r="B145" s="974"/>
      <c r="G145" s="974"/>
      <c r="L145" s="974"/>
      <c r="Q145" s="974"/>
      <c r="V145" s="974"/>
      <c r="AA145" s="974"/>
      <c r="AF145" s="974"/>
      <c r="AK145" s="974"/>
      <c r="AP145" s="974"/>
      <c r="AU145" s="974"/>
      <c r="AZ145" s="974"/>
      <c r="BA145" s="975"/>
      <c r="BB145" s="976"/>
      <c r="BC145" s="976"/>
      <c r="BD145" s="977"/>
      <c r="BE145" s="974"/>
      <c r="BF145" s="975"/>
      <c r="BG145" s="976"/>
      <c r="BH145" s="976"/>
      <c r="BI145" s="977"/>
      <c r="BJ145" s="974"/>
      <c r="BK145" s="975"/>
      <c r="BL145" s="976"/>
      <c r="BM145" s="976"/>
      <c r="BN145" s="977"/>
      <c r="BO145" s="974"/>
      <c r="BP145" s="978">
        <f>BP34</f>
        <v>17.100000000000001</v>
      </c>
      <c r="BQ145" s="775">
        <f>BQ34</f>
        <v>11.2</v>
      </c>
      <c r="BR145" s="775">
        <f>BR34</f>
        <v>12.5</v>
      </c>
      <c r="BS145" s="979">
        <f>BS34</f>
        <v>12.6</v>
      </c>
      <c r="BT145" s="980">
        <f>SUM(BP145:BS145)</f>
        <v>53.4</v>
      </c>
      <c r="BU145" s="978">
        <f>BU34</f>
        <v>13</v>
      </c>
      <c r="BV145" s="775">
        <f>BV34</f>
        <v>8.9</v>
      </c>
      <c r="BW145" s="775">
        <f>BW34</f>
        <v>8.6</v>
      </c>
      <c r="BX145" s="979">
        <f>BX34</f>
        <v>8.6</v>
      </c>
      <c r="BY145" s="980">
        <f>SUM(BU145:BX145)</f>
        <v>39.1</v>
      </c>
      <c r="BZ145" s="978">
        <f>BZ34</f>
        <v>8.1999999999999993</v>
      </c>
      <c r="CA145" s="775">
        <f>CA34</f>
        <v>8</v>
      </c>
      <c r="CB145" s="775">
        <f>CB34</f>
        <v>7.9</v>
      </c>
      <c r="CC145" s="979">
        <f>CC34</f>
        <v>8.6</v>
      </c>
      <c r="CD145" s="980">
        <f>SUM(BZ145:CC145)</f>
        <v>32.700000000000003</v>
      </c>
      <c r="CE145" s="978">
        <f>CE34</f>
        <v>7.9</v>
      </c>
      <c r="CF145" s="775">
        <f>CF34</f>
        <v>7.1</v>
      </c>
      <c r="CG145" s="775">
        <f>CG34</f>
        <v>8.5</v>
      </c>
      <c r="CH145" s="979">
        <f>CH34</f>
        <v>9.8000000000000007</v>
      </c>
      <c r="CI145" s="980">
        <f>SUM(CE145:CH145)</f>
        <v>33.299999999999997</v>
      </c>
      <c r="CJ145" s="978">
        <f>CJ34</f>
        <v>8.6</v>
      </c>
      <c r="CK145" s="775">
        <f>CK34</f>
        <v>8.8000000000000007</v>
      </c>
      <c r="CL145" s="775">
        <f>CL34</f>
        <v>8.9</v>
      </c>
      <c r="CM145" s="979">
        <f>CM34</f>
        <v>6.4</v>
      </c>
      <c r="CN145" s="980">
        <f>SUM(CJ145:CM145)</f>
        <v>32.699999999999996</v>
      </c>
      <c r="CO145" s="978">
        <f>CO34</f>
        <v>6.6</v>
      </c>
      <c r="CP145" s="775">
        <f>CP34</f>
        <v>6.1</v>
      </c>
      <c r="CQ145" s="775">
        <f>CQ34</f>
        <v>6.3</v>
      </c>
      <c r="CR145" s="979">
        <f>CR34</f>
        <v>9.1</v>
      </c>
      <c r="CS145" s="980">
        <f>SUM(CO145:CR145)</f>
        <v>28.1</v>
      </c>
      <c r="CT145" s="978">
        <f>CT34</f>
        <v>14.5</v>
      </c>
      <c r="CU145" s="775">
        <f>CU34</f>
        <v>16.7</v>
      </c>
      <c r="CV145" s="775">
        <f>CV34</f>
        <v>16.399999999999999</v>
      </c>
      <c r="CW145" s="775">
        <f>CW34</f>
        <v>16.399999999999999</v>
      </c>
      <c r="CX145" s="980">
        <f>SUM(CT145:CW145)</f>
        <v>63.999999999999993</v>
      </c>
      <c r="CY145" s="775">
        <f>CY34</f>
        <v>16.3</v>
      </c>
      <c r="CZ145" s="775">
        <f>CZ34</f>
        <v>16.899999999999999</v>
      </c>
      <c r="DA145" s="775">
        <f>DA34</f>
        <v>19.100000000000001</v>
      </c>
      <c r="DB145" s="775">
        <f>DB34</f>
        <v>18.2</v>
      </c>
      <c r="DC145" s="980">
        <f>SUM(CY145:DB145)</f>
        <v>70.5</v>
      </c>
      <c r="DD145" s="775">
        <f>DD34</f>
        <v>16.5</v>
      </c>
      <c r="DE145" s="775">
        <f>DE34</f>
        <v>18.3</v>
      </c>
      <c r="DF145" s="775">
        <f>DF34</f>
        <v>21.8</v>
      </c>
      <c r="DG145" s="775">
        <f>DG34</f>
        <v>24.7</v>
      </c>
      <c r="DH145" s="980">
        <f>SUM(DD145:DG145)</f>
        <v>81.3</v>
      </c>
      <c r="DI145" s="775">
        <f>DI34</f>
        <v>23.8</v>
      </c>
      <c r="DJ145" s="775">
        <f>DJ34</f>
        <v>22.9</v>
      </c>
      <c r="DK145" s="775">
        <f>DK34</f>
        <v>23.5</v>
      </c>
      <c r="DL145" s="979">
        <f>(DL146*AVERAGE(SUM(BS!DL45,BS!DL35),SUM(BS!DK45,BS!DK35)))/4</f>
        <v>24.587812500000002</v>
      </c>
      <c r="DM145" s="980">
        <f>SUM(DI145:DL145)</f>
        <v>94.787812500000001</v>
      </c>
      <c r="DN145" s="978">
        <f>(DN146*AVERAGE(SUM(BS!DN45,BS!DN35),SUM(BS!DM45,BS!DM35)))/4</f>
        <v>29.266250000000003</v>
      </c>
      <c r="DO145" s="775">
        <f>(DO146*AVERAGE(SUM(BS!DO45,BS!DO35),SUM(BS!DN45,BS!DN35)))/4</f>
        <v>33.953750000000007</v>
      </c>
      <c r="DP145" s="775">
        <f>(DP146*AVERAGE(SUM(BS!DP45,BS!DP35),SUM(BS!DO45,BS!DO35)))/4</f>
        <v>32.308262685056313</v>
      </c>
      <c r="DQ145" s="979">
        <f>(DQ146*AVERAGE(SUM(BS!DQ45,BS!DQ35),SUM(BS!DP45,BS!DP35)))/4</f>
        <v>33.953750000000007</v>
      </c>
      <c r="DR145" s="980">
        <f>SUM(DN145:DQ145)</f>
        <v>129.48201268505633</v>
      </c>
      <c r="DS145" s="978">
        <f>(DS146*AVERAGE(SUM(BS!DS45,BS!DS35),SUM(BS!DR45,BS!DR35)))/4</f>
        <v>38.641250000000007</v>
      </c>
      <c r="DT145" s="775">
        <f>(DT146*AVERAGE(SUM(BS!DT45,BS!DT35),SUM(BS!DS45,BS!DS35)))/4</f>
        <v>43.328750000000007</v>
      </c>
      <c r="DU145" s="775">
        <f>(DU146*AVERAGE(SUM(BS!DU45,BS!DU35),SUM(BS!DT45,BS!DT35)))/4</f>
        <v>41.228925724408455</v>
      </c>
      <c r="DV145" s="979">
        <f>(DV146*AVERAGE(SUM(BS!DV45,BS!DV35),SUM(BS!DU45,BS!DU35)))/4</f>
        <v>43.328750000000007</v>
      </c>
      <c r="DW145" s="980">
        <f>SUM(DS145:DV145)</f>
        <v>166.52767572440848</v>
      </c>
      <c r="DX145" s="978">
        <f>(DX146*AVERAGE(SUM(BS!DX45,BS!DX35),SUM(BS!DW45,BS!DW35)))/4</f>
        <v>46.453750000000007</v>
      </c>
      <c r="DY145" s="775">
        <f>(DY146*AVERAGE(SUM(BS!DY45,BS!DY35),SUM(BS!DX45,BS!DX35)))/4</f>
        <v>49.578750000000007</v>
      </c>
      <c r="DZ145" s="775">
        <f>(DZ146*AVERAGE(SUM(BS!DZ45,BS!DZ35),SUM(BS!DY45,BS!DY35)))/4</f>
        <v>47.176034417309886</v>
      </c>
      <c r="EA145" s="979">
        <f>(EA146*AVERAGE(SUM(BS!EA45,BS!EA35),SUM(BS!DZ45,BS!DZ35)))/4</f>
        <v>49.578750000000007</v>
      </c>
      <c r="EB145" s="980">
        <f>SUM(DX145:EA145)</f>
        <v>192.78728441730991</v>
      </c>
      <c r="ED145" s="771"/>
      <c r="EE145" s="771"/>
      <c r="FJ145" s="766"/>
      <c r="FK145" s="766"/>
      <c r="FL145"/>
      <c r="FM145"/>
      <c r="FN145"/>
      <c r="FO145"/>
      <c r="FP145"/>
      <c r="FQ145"/>
      <c r="FR145" s="766"/>
    </row>
    <row r="146" spans="1:174" s="1" customFormat="1" x14ac:dyDescent="0.2">
      <c r="A146" s="2" t="s">
        <v>572</v>
      </c>
      <c r="B146" s="19"/>
      <c r="C146" s="2"/>
      <c r="D146" s="2"/>
      <c r="E146" s="2"/>
      <c r="F146" s="2"/>
      <c r="G146" s="19"/>
      <c r="H146" s="2"/>
      <c r="I146" s="2"/>
      <c r="J146" s="2"/>
      <c r="K146" s="2"/>
      <c r="L146" s="19"/>
      <c r="M146" s="2"/>
      <c r="N146" s="2"/>
      <c r="O146" s="2"/>
      <c r="P146" s="2"/>
      <c r="Q146" s="19"/>
      <c r="R146" s="2"/>
      <c r="S146" s="2"/>
      <c r="T146" s="2"/>
      <c r="U146" s="2"/>
      <c r="V146" s="19"/>
      <c r="W146" s="2"/>
      <c r="X146" s="2"/>
      <c r="Y146" s="2"/>
      <c r="Z146" s="2"/>
      <c r="AA146" s="19"/>
      <c r="AB146" s="2"/>
      <c r="AC146" s="2"/>
      <c r="AD146" s="2"/>
      <c r="AE146" s="2"/>
      <c r="AF146" s="19"/>
      <c r="AG146" s="2"/>
      <c r="AH146" s="2"/>
      <c r="AI146" s="2"/>
      <c r="AJ146" s="2"/>
      <c r="AK146" s="19"/>
      <c r="AL146" s="2"/>
      <c r="AM146" s="2"/>
      <c r="AN146" s="2"/>
      <c r="AO146" s="2"/>
      <c r="AP146" s="19"/>
      <c r="AQ146" s="2"/>
      <c r="AR146" s="2"/>
      <c r="AS146" s="2"/>
      <c r="AT146" s="2"/>
      <c r="AU146" s="19"/>
      <c r="AV146" s="2"/>
      <c r="AW146" s="2"/>
      <c r="AX146" s="2"/>
      <c r="AY146" s="2"/>
      <c r="AZ146" s="19"/>
      <c r="BA146" s="30"/>
      <c r="BB146" s="2"/>
      <c r="BC146" s="2"/>
      <c r="BD146" s="31"/>
      <c r="BE146" s="19"/>
      <c r="BF146" s="30"/>
      <c r="BG146" s="2"/>
      <c r="BH146" s="2"/>
      <c r="BI146" s="31"/>
      <c r="BJ146" s="19"/>
      <c r="BK146" s="30"/>
      <c r="BL146" s="2"/>
      <c r="BM146" s="2"/>
      <c r="BN146" s="31"/>
      <c r="BO146" s="19"/>
      <c r="BP146" s="315">
        <f>(BP145*4)/(BS!BP45+BS!BP35)</f>
        <v>6.3362667901806391E-2</v>
      </c>
      <c r="BQ146" s="295">
        <f>(BQ145*4)/(BS!BQ45+BS!BQ35)</f>
        <v>3.5791323799632506E-2</v>
      </c>
      <c r="BR146" s="295">
        <f>(BR145*4)/(BS!BR45+BS!BR35)</f>
        <v>4.2892682508364081E-2</v>
      </c>
      <c r="BS146" s="316">
        <f>(BS145*4)/(BS!BS45+BS!BS35)</f>
        <v>3.9917630286709964E-2</v>
      </c>
      <c r="BT146" s="236"/>
      <c r="BU146" s="315">
        <f>(BU145*4)/(BS!BU45+BS!BU35)</f>
        <v>6.1926878647135877E-2</v>
      </c>
      <c r="BV146" s="295">
        <f>(BV145*4)/(BS!BV45+BS!BV35)</f>
        <v>4.5911787464534434E-2</v>
      </c>
      <c r="BW146" s="295">
        <f>(BW145*4)/(BS!BW45+BS!BW35)</f>
        <v>6.261376046596287E-2</v>
      </c>
      <c r="BX146" s="316">
        <f>(BX145*4)/(BS!BX45+BS!BX35)</f>
        <v>6.2625159293646468E-2</v>
      </c>
      <c r="BY146" s="236"/>
      <c r="BZ146" s="315">
        <f>(BZ145*4)/(BS!BZ45+BS!BZ35)</f>
        <v>5.9712361186965227E-2</v>
      </c>
      <c r="CA146" s="295">
        <f>(CA145*4)/(BS!CA45+BS!CA35)</f>
        <v>5.825596213362462E-2</v>
      </c>
      <c r="CB146" s="295">
        <f>(CB145*4)/(BS!CB45+BS!CB35)</f>
        <v>5.7517291590826358E-2</v>
      </c>
      <c r="CC146" s="316">
        <f>(CC145*4)/(BS!CC45+BS!CC35)</f>
        <v>6.261376046596287E-2</v>
      </c>
      <c r="CD146" s="236"/>
      <c r="CE146" s="315">
        <f>(CE145*4)/(BS!CE45+BS!CE35)</f>
        <v>5.7517291590826358E-2</v>
      </c>
      <c r="CF146" s="295">
        <f>(CF145*4)/(BS!CF45+BS!CF35)</f>
        <v>5.1692755733527482E-2</v>
      </c>
      <c r="CG146" s="295">
        <f>(CG145*4)/(BS!CG45+BS!CG35)</f>
        <v>6.1885693483800512E-2</v>
      </c>
      <c r="CH146" s="316">
        <f>(CH145*4)/(BS!CH45+BS!CH35)</f>
        <v>7.1337579617834407E-2</v>
      </c>
      <c r="CI146" s="236"/>
      <c r="CJ146" s="315">
        <f>(CJ145*4)/(BS!CJ45+BS!CJ35)</f>
        <v>6.2602365787079159E-2</v>
      </c>
      <c r="CK146" s="295">
        <f>(CK145*4)/(BS!CK45+BS!CK35)</f>
        <v>6.4046579330422126E-2</v>
      </c>
      <c r="CL146" s="295">
        <f>(CL145*4)/(BS!CL45+BS!CL35)</f>
        <v>6.4774381368267825E-2</v>
      </c>
      <c r="CM146" s="316">
        <f>(CM145*4)/(BS!CM45+BS!CM35)</f>
        <v>4.6579330422125184E-2</v>
      </c>
      <c r="CN146" s="236"/>
      <c r="CO146" s="315">
        <f>(CO145*4)/(BS!CO45+BS!CO35)</f>
        <v>4.8034934497816588E-2</v>
      </c>
      <c r="CP146" s="295">
        <f>(CP145*4)/(BS!CP45+BS!CP35)</f>
        <v>4.4395924308588061E-2</v>
      </c>
      <c r="CQ146" s="295">
        <f>(CQ145*4)/(BS!CQ45+BS!CQ35)</f>
        <v>4.5843187193014369E-2</v>
      </c>
      <c r="CR146" s="295">
        <f>(CR145*4)/AVERAGE(SUM(BS!CR45,BS!CR35),SUM(BS!CQ45,BS!CQ35))</f>
        <v>3.9370504569790701E-2</v>
      </c>
      <c r="CS146" s="236"/>
      <c r="CT146" s="295">
        <f>(CT145*4)/AVERAGE(SUM(BS!CT45,BS!CT35),SUM(BS!CS45,BS!CS35))</f>
        <v>3.4654796403071127E-2</v>
      </c>
      <c r="CU146" s="295">
        <f>(CU145*4)/(BS!CU45+BS!CU35)</f>
        <v>3.2617187499999999E-2</v>
      </c>
      <c r="CV146" s="295">
        <f>(CV145*4)/(BS!CV45+BS!CV35)</f>
        <v>3.2029686050485812E-2</v>
      </c>
      <c r="CW146" s="295">
        <f>(CW145*4)/(BS!CW45+BS!CW35)</f>
        <v>3.2026558609578669E-2</v>
      </c>
      <c r="CX146" s="236"/>
      <c r="CY146" s="295">
        <f>(CY145*4)/AVERAGE(SUM(BS!CY45,BS!CY35),SUM(BS!CX45,BS!CX35))</f>
        <v>3.1830497717675196E-2</v>
      </c>
      <c r="CZ146" s="295">
        <f>(CZ145*4)/(BS!CZ45+BS!CZ35)</f>
        <v>3.299975591896509E-2</v>
      </c>
      <c r="DA146" s="295">
        <f>(DA145*4)/(BS!DA45+BS!DA35)</f>
        <v>3.2546647354519898E-2</v>
      </c>
      <c r="DB146" s="295">
        <f>(DB145*4)/(BS!DB45+BS!DB35)</f>
        <v>3.1011714589989348E-2</v>
      </c>
      <c r="DC146" s="236"/>
      <c r="DD146" s="295">
        <f>(DD145*4)/AVERAGE(SUM(BS!DD45,BS!DD35),SUM(BS!DC45,BS!DC35))</f>
        <v>3.0730548959351869E-2</v>
      </c>
      <c r="DE146" s="295">
        <f>(DE145*4)/AVERAGE(SUM(BS!DE45,BS!DE35),SUM(BS!DD45,BS!DD35))</f>
        <v>3.3306791036287114E-2</v>
      </c>
      <c r="DF146" s="295">
        <f>(DF145*4)/AVERAGE(SUM(BS!DF45,BS!DF35),SUM(BS!DE45,BS!DE35))</f>
        <v>3.0867256637168144E-2</v>
      </c>
      <c r="DG146" s="295">
        <f>(DG145*4)/AVERAGE(SUM(BS!DG45,BS!DG35),SUM(BS!DF45,BS!DF35))</f>
        <v>3.0852824532367359E-2</v>
      </c>
      <c r="DH146" s="236"/>
      <c r="DI146" s="295">
        <f>(DI145*4)/AVERAGE(SUM(BS!DH45,BS!DH35),SUM(BS!DI45,BS!DI35))</f>
        <v>2.9806352635451405E-2</v>
      </c>
      <c r="DJ146" s="295">
        <f>(DJ145*4)/AVERAGE(SUM(BS!DI45,BS!DI35),SUM(BS!DJ45,BS!DJ35))</f>
        <v>2.561091539450875E-2</v>
      </c>
      <c r="DK146" s="295">
        <f>(DK145*4)/AVERAGE(SUM(BS!DK45,BS!DK35),SUM(BS!DJ45,BS!DJ35))</f>
        <v>2.3788434771605721E-2</v>
      </c>
      <c r="DL146" s="316">
        <v>2.5000000000000001E-2</v>
      </c>
      <c r="DM146" s="236"/>
      <c r="DN146" s="315">
        <f>DL146</f>
        <v>2.5000000000000001E-2</v>
      </c>
      <c r="DO146" s="294">
        <f>DN146</f>
        <v>2.5000000000000001E-2</v>
      </c>
      <c r="DP146" s="294">
        <f>DK146</f>
        <v>2.3788434771605721E-2</v>
      </c>
      <c r="DQ146" s="769">
        <f>DL146</f>
        <v>2.5000000000000001E-2</v>
      </c>
      <c r="DR146" s="19"/>
      <c r="DS146" s="768">
        <f>DQ146</f>
        <v>2.5000000000000001E-2</v>
      </c>
      <c r="DT146" s="294">
        <f>DS146</f>
        <v>2.5000000000000001E-2</v>
      </c>
      <c r="DU146" s="294">
        <f>DP146</f>
        <v>2.3788434771605721E-2</v>
      </c>
      <c r="DV146" s="769">
        <f>DQ146</f>
        <v>2.5000000000000001E-2</v>
      </c>
      <c r="DW146" s="19"/>
      <c r="DX146" s="768">
        <f>DV146</f>
        <v>2.5000000000000001E-2</v>
      </c>
      <c r="DY146" s="294">
        <f>DX146</f>
        <v>2.5000000000000001E-2</v>
      </c>
      <c r="DZ146" s="294">
        <f>DU146</f>
        <v>2.3788434771605721E-2</v>
      </c>
      <c r="EA146" s="769">
        <f>DV146</f>
        <v>2.5000000000000001E-2</v>
      </c>
      <c r="EB146" s="19"/>
      <c r="ED146" s="28"/>
      <c r="EE146" s="28"/>
      <c r="FJ146"/>
      <c r="FK146"/>
      <c r="FL146"/>
      <c r="FM146"/>
      <c r="FN146"/>
      <c r="FO146"/>
      <c r="FP146"/>
      <c r="FQ146"/>
      <c r="FR146"/>
    </row>
    <row r="147" spans="1:174" s="1" customFormat="1" x14ac:dyDescent="0.2">
      <c r="B147" s="20"/>
      <c r="G147" s="20"/>
      <c r="L147" s="20"/>
      <c r="Q147" s="20"/>
      <c r="V147" s="20"/>
      <c r="AA147" s="20"/>
      <c r="AF147" s="20"/>
      <c r="AK147" s="20"/>
      <c r="AP147" s="20"/>
      <c r="AU147" s="20"/>
      <c r="AZ147" s="20"/>
      <c r="BA147" s="27"/>
      <c r="BB147" s="28"/>
      <c r="BC147" s="28"/>
      <c r="BD147" s="29"/>
      <c r="BE147" s="20"/>
      <c r="BF147" s="27"/>
      <c r="BG147" s="28"/>
      <c r="BH147" s="28"/>
      <c r="BI147" s="29"/>
      <c r="BJ147" s="20"/>
      <c r="BK147" s="27"/>
      <c r="BL147" s="28"/>
      <c r="BM147" s="28"/>
      <c r="BN147" s="29"/>
      <c r="BO147" s="20"/>
      <c r="BP147" s="286"/>
      <c r="BQ147" s="238"/>
      <c r="BR147" s="238"/>
      <c r="BS147" s="249"/>
      <c r="BT147" s="61"/>
      <c r="BU147" s="286"/>
      <c r="BV147" s="238"/>
      <c r="BW147" s="238"/>
      <c r="BX147" s="249"/>
      <c r="BY147" s="61"/>
      <c r="BZ147" s="286"/>
      <c r="CA147" s="238"/>
      <c r="CB147" s="238"/>
      <c r="CC147" s="249"/>
      <c r="CD147" s="61"/>
      <c r="CE147" s="286"/>
      <c r="CF147" s="238"/>
      <c r="CG147" s="238"/>
      <c r="CH147" s="249"/>
      <c r="CI147" s="61"/>
      <c r="CJ147" s="286"/>
      <c r="CK147" s="238"/>
      <c r="CL147" s="238"/>
      <c r="CM147" s="249"/>
      <c r="CN147" s="61"/>
      <c r="CO147" s="286"/>
      <c r="CP147" s="238"/>
      <c r="CQ147" s="238"/>
      <c r="CR147" s="238"/>
      <c r="CS147" s="61"/>
      <c r="CT147" s="238"/>
      <c r="CU147" s="238"/>
      <c r="CV147" s="238"/>
      <c r="CW147" s="238"/>
      <c r="CX147" s="61"/>
      <c r="CY147" s="238"/>
      <c r="CZ147" s="238"/>
      <c r="DA147" s="238"/>
      <c r="DB147" s="238"/>
      <c r="DC147" s="61"/>
      <c r="DD147" s="238"/>
      <c r="DE147" s="238"/>
      <c r="DF147" s="238"/>
      <c r="DG147" s="238"/>
      <c r="DH147" s="61"/>
      <c r="DI147" s="238"/>
      <c r="DJ147" s="238"/>
      <c r="DK147" s="238"/>
      <c r="DL147" s="249"/>
      <c r="DM147" s="61"/>
      <c r="DN147" s="286"/>
      <c r="DO147" s="299"/>
      <c r="DP147" s="299"/>
      <c r="DQ147" s="400"/>
      <c r="DR147" s="20"/>
      <c r="DS147" s="313"/>
      <c r="DT147" s="299"/>
      <c r="DU147" s="299"/>
      <c r="DV147" s="400"/>
      <c r="DW147" s="20"/>
      <c r="DX147" s="313"/>
      <c r="DY147" s="299"/>
      <c r="DZ147" s="299"/>
      <c r="EA147" s="400"/>
      <c r="EB147" s="20"/>
      <c r="ED147" s="28"/>
      <c r="EE147" s="28"/>
      <c r="FJ147"/>
      <c r="FK147"/>
      <c r="FL147"/>
      <c r="FM147"/>
      <c r="FN147"/>
      <c r="FO147"/>
      <c r="FP147"/>
      <c r="FQ147"/>
      <c r="FR147"/>
    </row>
    <row r="148" spans="1:174" s="83" customFormat="1" x14ac:dyDescent="0.2">
      <c r="A148" s="83" t="s">
        <v>43</v>
      </c>
      <c r="B148" s="767"/>
      <c r="G148" s="767"/>
      <c r="L148" s="767"/>
      <c r="Q148" s="767"/>
      <c r="V148" s="767"/>
      <c r="AA148" s="767"/>
      <c r="AF148" s="767"/>
      <c r="AK148" s="767"/>
      <c r="AP148" s="767"/>
      <c r="AU148" s="767"/>
      <c r="AZ148" s="767"/>
      <c r="BA148" s="931"/>
      <c r="BB148" s="771"/>
      <c r="BC148" s="771"/>
      <c r="BD148" s="971"/>
      <c r="BE148" s="767"/>
      <c r="BF148" s="931"/>
      <c r="BG148" s="771"/>
      <c r="BH148" s="771"/>
      <c r="BI148" s="971"/>
      <c r="BJ148" s="767"/>
      <c r="BK148" s="931"/>
      <c r="BL148" s="771"/>
      <c r="BM148" s="771"/>
      <c r="BN148" s="971"/>
      <c r="BO148" s="767"/>
      <c r="BP148" s="972">
        <f>BP33</f>
        <v>10.7</v>
      </c>
      <c r="BQ148" s="551">
        <f>BQ33</f>
        <v>0.2</v>
      </c>
      <c r="BR148" s="551">
        <f>BR33</f>
        <v>0.9</v>
      </c>
      <c r="BS148" s="973">
        <f>BS33</f>
        <v>-2.8</v>
      </c>
      <c r="BT148" s="148">
        <f>SUM(BP148:BS148)</f>
        <v>9</v>
      </c>
      <c r="BU148" s="972">
        <f>BU33</f>
        <v>-6.4</v>
      </c>
      <c r="BV148" s="551">
        <f>BV33</f>
        <v>3</v>
      </c>
      <c r="BW148" s="551">
        <f>BW33</f>
        <v>18.600000000000001</v>
      </c>
      <c r="BX148" s="973">
        <f>BX33</f>
        <v>21.4</v>
      </c>
      <c r="BY148" s="148">
        <f>SUM(BU148:BX148)</f>
        <v>36.6</v>
      </c>
      <c r="BZ148" s="972">
        <f>BZ33</f>
        <v>25.1</v>
      </c>
      <c r="CA148" s="551">
        <f>CA33</f>
        <v>4.7</v>
      </c>
      <c r="CB148" s="551">
        <f>CB33</f>
        <v>-1.4</v>
      </c>
      <c r="CC148" s="973">
        <f>CC33</f>
        <v>21.9</v>
      </c>
      <c r="CD148" s="148">
        <f>SUM(BZ148:CC148)</f>
        <v>50.3</v>
      </c>
      <c r="CE148" s="972">
        <f>CE33</f>
        <v>14.4</v>
      </c>
      <c r="CF148" s="551">
        <f>CF33</f>
        <v>19.899999999999999</v>
      </c>
      <c r="CG148" s="551">
        <f>CG33</f>
        <v>16</v>
      </c>
      <c r="CH148" s="973">
        <f>CH33</f>
        <v>65.7</v>
      </c>
      <c r="CI148" s="148">
        <f>SUM(CE148:CH148)</f>
        <v>116</v>
      </c>
      <c r="CJ148" s="972">
        <f>CJ33</f>
        <v>23.2</v>
      </c>
      <c r="CK148" s="551">
        <f>CK33</f>
        <v>35.299999999999997</v>
      </c>
      <c r="CL148" s="551">
        <f>CL33</f>
        <v>9.6999999999999993</v>
      </c>
      <c r="CM148" s="973">
        <f>CM33</f>
        <v>26.3</v>
      </c>
      <c r="CN148" s="148">
        <f>SUM(CJ148:CM148)</f>
        <v>94.5</v>
      </c>
      <c r="CO148" s="972">
        <f>CO33</f>
        <v>-2.9</v>
      </c>
      <c r="CP148" s="551">
        <f>CP33</f>
        <v>50.8</v>
      </c>
      <c r="CQ148" s="551">
        <f>CQ33</f>
        <v>3.5</v>
      </c>
      <c r="CR148" s="973">
        <f>CR33</f>
        <v>72.099999999999994</v>
      </c>
      <c r="CS148" s="148">
        <f>SUM(CO148:CR148)</f>
        <v>123.5</v>
      </c>
      <c r="CT148" s="551">
        <f>CT33</f>
        <v>19.8</v>
      </c>
      <c r="CU148" s="551">
        <f>CU33</f>
        <v>17.8</v>
      </c>
      <c r="CV148" s="551">
        <f>CV33</f>
        <v>19.399999999999999</v>
      </c>
      <c r="CW148" s="551">
        <f>CW33</f>
        <v>85.7</v>
      </c>
      <c r="CX148" s="148">
        <f>SUM(CT148:CW148)</f>
        <v>142.69999999999999</v>
      </c>
      <c r="CY148" s="551">
        <f>CY33</f>
        <v>9.6999999999999993</v>
      </c>
      <c r="CZ148" s="551">
        <f>CZ33</f>
        <v>1.3</v>
      </c>
      <c r="DA148" s="551">
        <f>DA33</f>
        <v>25.5</v>
      </c>
      <c r="DB148" s="551">
        <f>DB33</f>
        <v>6.4</v>
      </c>
      <c r="DC148" s="148">
        <f>SUM(CY148:DB148)</f>
        <v>42.9</v>
      </c>
      <c r="DD148" s="551">
        <f>DD33</f>
        <v>8.1</v>
      </c>
      <c r="DE148" s="551">
        <f>DE33</f>
        <v>14.5</v>
      </c>
      <c r="DF148" s="551">
        <f>DF33</f>
        <v>72.900000000000006</v>
      </c>
      <c r="DG148" s="551">
        <f>DG33</f>
        <v>12.5</v>
      </c>
      <c r="DH148" s="148">
        <f>SUM(DD148:DG148)</f>
        <v>108</v>
      </c>
      <c r="DI148" s="551">
        <f>DI33</f>
        <v>24.1</v>
      </c>
      <c r="DJ148" s="551">
        <f>DJ33</f>
        <v>67.900000000000006</v>
      </c>
      <c r="DK148" s="551">
        <f>DK33</f>
        <v>31.7</v>
      </c>
      <c r="DL148" s="973">
        <f>(DL152*(1000))/4</f>
        <v>17.5</v>
      </c>
      <c r="DM148" s="148">
        <f>SUM(DI148:DL148)</f>
        <v>141.19999999999999</v>
      </c>
      <c r="DN148" s="972">
        <f>(DN152*(1000))/4</f>
        <v>26.25</v>
      </c>
      <c r="DO148" s="551">
        <f>(DO152*(1000))/4</f>
        <v>26.25</v>
      </c>
      <c r="DP148" s="551">
        <f>(DP152*(1000))/4</f>
        <v>26.25</v>
      </c>
      <c r="DQ148" s="973">
        <f>(DQ152*(1000))/4</f>
        <v>26.25</v>
      </c>
      <c r="DR148" s="148">
        <f>SUM(DN148:DQ148)</f>
        <v>105</v>
      </c>
      <c r="DS148" s="972">
        <f>(DS152*(1000))/4</f>
        <v>27.5</v>
      </c>
      <c r="DT148" s="551">
        <f>(DT152*(1000))/4</f>
        <v>27.5</v>
      </c>
      <c r="DU148" s="551">
        <f>(DU152*(1000))/4</f>
        <v>27.5</v>
      </c>
      <c r="DV148" s="973">
        <f>(DV152*(1000))/4</f>
        <v>27.5</v>
      </c>
      <c r="DW148" s="148">
        <f>SUM(DS148:DV148)</f>
        <v>110</v>
      </c>
      <c r="DX148" s="972">
        <f>(DX152*(1000))/4</f>
        <v>27.5</v>
      </c>
      <c r="DY148" s="551">
        <f>(DY152*(1000))/4</f>
        <v>27.5</v>
      </c>
      <c r="DZ148" s="551">
        <f>(DZ152*(1000))/4</f>
        <v>27.5</v>
      </c>
      <c r="EA148" s="973">
        <f>(EA152*(1000))/4</f>
        <v>27.5</v>
      </c>
      <c r="EB148" s="148">
        <f>SUM(DX148:EA148)</f>
        <v>110</v>
      </c>
      <c r="ED148" s="771"/>
      <c r="EE148" s="771"/>
      <c r="FJ148" s="766"/>
      <c r="FK148" s="766"/>
      <c r="FL148"/>
      <c r="FM148"/>
      <c r="FN148"/>
      <c r="FO148"/>
      <c r="FP148"/>
      <c r="FQ148"/>
      <c r="FR148" s="766"/>
    </row>
    <row r="149" spans="1:174" s="1" customFormat="1" x14ac:dyDescent="0.2">
      <c r="A149" s="111" t="str">
        <f>A153</f>
        <v>Breakage income (from stored value cards)</v>
      </c>
      <c r="B149" s="20"/>
      <c r="G149" s="20"/>
      <c r="L149" s="20"/>
      <c r="Q149" s="20"/>
      <c r="V149" s="20"/>
      <c r="AA149" s="20"/>
      <c r="AF149" s="20"/>
      <c r="AK149" s="20"/>
      <c r="AP149" s="20"/>
      <c r="AU149" s="20"/>
      <c r="AZ149" s="20"/>
      <c r="BA149" s="27"/>
      <c r="BB149" s="28"/>
      <c r="BC149" s="28"/>
      <c r="BD149" s="29"/>
      <c r="BE149" s="20"/>
      <c r="BF149" s="27"/>
      <c r="BG149" s="28"/>
      <c r="BH149" s="28"/>
      <c r="BI149" s="29"/>
      <c r="BJ149" s="20"/>
      <c r="BK149" s="27"/>
      <c r="BL149" s="28"/>
      <c r="BM149" s="28"/>
      <c r="BN149" s="29"/>
      <c r="BO149" s="20"/>
      <c r="BP149" s="308"/>
      <c r="BQ149" s="113"/>
      <c r="BR149" s="113"/>
      <c r="BS149" s="309"/>
      <c r="BT149" s="125"/>
      <c r="BU149" s="308"/>
      <c r="BV149" s="113"/>
      <c r="BW149" s="113"/>
      <c r="BX149" s="309"/>
      <c r="BY149" s="125"/>
      <c r="BZ149" s="308"/>
      <c r="CA149" s="113"/>
      <c r="CB149" s="113"/>
      <c r="CC149" s="309"/>
      <c r="CD149" s="125"/>
      <c r="CE149" s="308"/>
      <c r="CF149" s="113"/>
      <c r="CG149" s="113"/>
      <c r="CH149" s="309"/>
      <c r="CI149" s="125"/>
      <c r="CJ149" s="308"/>
      <c r="CK149" s="113"/>
      <c r="CL149" s="113"/>
      <c r="CM149" s="309"/>
      <c r="CN149" s="125"/>
      <c r="CO149" s="113"/>
      <c r="CP149" s="113"/>
      <c r="CQ149" s="113"/>
      <c r="CR149" s="113"/>
      <c r="CS149" s="125">
        <f>CS153</f>
        <v>33</v>
      </c>
      <c r="CT149" s="113"/>
      <c r="CU149" s="113"/>
      <c r="CV149" s="113"/>
      <c r="CW149" s="113"/>
      <c r="CX149" s="125">
        <f>CX153</f>
        <v>38.299999999999997</v>
      </c>
      <c r="CY149" s="113"/>
      <c r="CZ149" s="113"/>
      <c r="DA149" s="113"/>
      <c r="DB149" s="113"/>
      <c r="DC149" s="125">
        <f>DC153</f>
        <v>39.299999999999997</v>
      </c>
      <c r="DD149" s="113"/>
      <c r="DE149" s="113"/>
      <c r="DF149" s="113"/>
      <c r="DG149" s="113"/>
      <c r="DH149" s="125">
        <f>DH153</f>
        <v>60.5</v>
      </c>
      <c r="DI149" s="113"/>
      <c r="DJ149" s="113"/>
      <c r="DK149" s="113"/>
      <c r="DL149" s="113"/>
      <c r="DM149" s="125">
        <f>DM153</f>
        <v>62.821252512063332</v>
      </c>
      <c r="DN149" s="308">
        <f>DR149/4</f>
        <v>16.417365253251681</v>
      </c>
      <c r="DO149" s="113">
        <f>DR149/4</f>
        <v>16.417365253251681</v>
      </c>
      <c r="DP149" s="113">
        <f>DR149/4</f>
        <v>16.417365253251681</v>
      </c>
      <c r="DQ149" s="309">
        <f>DR149/4</f>
        <v>16.417365253251681</v>
      </c>
      <c r="DR149" s="125">
        <f>DR153</f>
        <v>65.669461013006725</v>
      </c>
      <c r="DS149" s="308">
        <f>DW149/4</f>
        <v>17.42640829474885</v>
      </c>
      <c r="DT149" s="113">
        <f>DW149/4</f>
        <v>17.42640829474885</v>
      </c>
      <c r="DU149" s="113">
        <f>DW149/4</f>
        <v>17.42640829474885</v>
      </c>
      <c r="DV149" s="309">
        <f>DW149/4</f>
        <v>17.42640829474885</v>
      </c>
      <c r="DW149" s="125">
        <f>DW153</f>
        <v>69.705633178995399</v>
      </c>
      <c r="DX149" s="308">
        <f>EB149/4</f>
        <v>17.351896272362623</v>
      </c>
      <c r="DY149" s="113">
        <f>EB149/4</f>
        <v>17.351896272362623</v>
      </c>
      <c r="DZ149" s="113">
        <f>EB149/4</f>
        <v>17.351896272362623</v>
      </c>
      <c r="EA149" s="309">
        <f>EB149/4</f>
        <v>17.351896272362623</v>
      </c>
      <c r="EB149" s="125">
        <f>EB153</f>
        <v>69.407585089450492</v>
      </c>
      <c r="ED149" s="28"/>
      <c r="EE149" s="28"/>
      <c r="FJ149"/>
      <c r="FK149"/>
      <c r="FL149"/>
      <c r="FM149"/>
      <c r="FN149"/>
      <c r="FO149"/>
      <c r="FP149"/>
      <c r="FQ149"/>
      <c r="FR149"/>
    </row>
    <row r="150" spans="1:174" s="1" customFormat="1" x14ac:dyDescent="0.2">
      <c r="A150" s="1" t="s">
        <v>646</v>
      </c>
      <c r="B150" s="20"/>
      <c r="G150" s="20"/>
      <c r="L150" s="20"/>
      <c r="Q150" s="20"/>
      <c r="V150" s="20"/>
      <c r="AA150" s="20"/>
      <c r="AF150" s="20"/>
      <c r="AK150" s="20"/>
      <c r="AP150" s="20"/>
      <c r="AU150" s="20"/>
      <c r="AZ150" s="20"/>
      <c r="BA150" s="27"/>
      <c r="BB150" s="28"/>
      <c r="BC150" s="28"/>
      <c r="BD150" s="29"/>
      <c r="BE150" s="20"/>
      <c r="BF150" s="27"/>
      <c r="BG150" s="28"/>
      <c r="BH150" s="28"/>
      <c r="BI150" s="29"/>
      <c r="BJ150" s="20"/>
      <c r="BK150" s="27"/>
      <c r="BL150" s="28"/>
      <c r="BM150" s="28"/>
      <c r="BN150" s="29"/>
      <c r="BO150" s="20"/>
      <c r="BP150" s="308"/>
      <c r="BQ150" s="113"/>
      <c r="BR150" s="113"/>
      <c r="BS150" s="309"/>
      <c r="BT150" s="125"/>
      <c r="BU150" s="308"/>
      <c r="BV150" s="113"/>
      <c r="BW150" s="113"/>
      <c r="BX150" s="309"/>
      <c r="BY150" s="125"/>
      <c r="BZ150" s="308"/>
      <c r="CA150" s="113"/>
      <c r="CB150" s="113"/>
      <c r="CC150" s="309"/>
      <c r="CD150" s="125"/>
      <c r="CE150" s="308"/>
      <c r="CF150" s="113"/>
      <c r="CG150" s="113"/>
      <c r="CH150" s="309"/>
      <c r="CI150" s="125"/>
      <c r="CJ150" s="308"/>
      <c r="CK150" s="113"/>
      <c r="CL150" s="113"/>
      <c r="CM150" s="309"/>
      <c r="CN150" s="125"/>
      <c r="CO150" s="113">
        <v>0</v>
      </c>
      <c r="CP150" s="113">
        <v>35.200000000000003</v>
      </c>
      <c r="CQ150" s="113">
        <v>0</v>
      </c>
      <c r="CR150" s="113">
        <f>45.9+-1</f>
        <v>44.9</v>
      </c>
      <c r="CS150" s="125">
        <f>SUM(CO150:CR150)</f>
        <v>80.099999999999994</v>
      </c>
      <c r="CT150" s="113">
        <v>0</v>
      </c>
      <c r="CU150" s="113">
        <v>0</v>
      </c>
      <c r="CV150" s="113">
        <v>0</v>
      </c>
      <c r="CW150" s="301">
        <f>2.4+67.8</f>
        <v>70.2</v>
      </c>
      <c r="CX150" s="125">
        <f>SUM(CT150:CW150)</f>
        <v>70.2</v>
      </c>
      <c r="CY150" s="113">
        <v>0</v>
      </c>
      <c r="CZ150" s="113">
        <v>0</v>
      </c>
      <c r="DA150" s="113">
        <v>0</v>
      </c>
      <c r="DB150" s="301">
        <v>3.7</v>
      </c>
      <c r="DC150" s="125">
        <f>SUM(CY150:DB150)</f>
        <v>3.7</v>
      </c>
      <c r="DD150" s="301">
        <v>0.6</v>
      </c>
      <c r="DE150" s="113">
        <v>0</v>
      </c>
      <c r="DF150" s="113">
        <v>30.1</v>
      </c>
      <c r="DG150" s="113">
        <v>0</v>
      </c>
      <c r="DH150" s="125">
        <f>SUM(DD150:DG150)</f>
        <v>30.700000000000003</v>
      </c>
      <c r="DI150" s="113">
        <v>0</v>
      </c>
      <c r="DJ150" s="113">
        <v>40.5</v>
      </c>
      <c r="DK150" s="113">
        <v>0</v>
      </c>
      <c r="DL150" s="113"/>
      <c r="DM150" s="125">
        <f>SUM(DI150:DL150)</f>
        <v>40.5</v>
      </c>
      <c r="DN150" s="308"/>
      <c r="DO150" s="113"/>
      <c r="DP150" s="113"/>
      <c r="DQ150" s="309"/>
      <c r="DR150" s="125">
        <f>SUM(DN150:DQ150)</f>
        <v>0</v>
      </c>
      <c r="DS150" s="308"/>
      <c r="DT150" s="113"/>
      <c r="DU150" s="113"/>
      <c r="DV150" s="309"/>
      <c r="DW150" s="125">
        <f>SUM(DS150:DV150)</f>
        <v>0</v>
      </c>
      <c r="DX150" s="308"/>
      <c r="DY150" s="113"/>
      <c r="DZ150" s="113"/>
      <c r="EA150" s="309"/>
      <c r="EB150" s="125">
        <f>SUM(DX150:EA150)</f>
        <v>0</v>
      </c>
      <c r="ED150" s="28"/>
      <c r="EE150" s="28"/>
      <c r="FJ150"/>
      <c r="FK150"/>
      <c r="FL150"/>
      <c r="FM150"/>
      <c r="FN150"/>
      <c r="FO150"/>
      <c r="FP150"/>
      <c r="FQ150"/>
      <c r="FR150"/>
    </row>
    <row r="151" spans="1:174" s="1" customFormat="1" x14ac:dyDescent="0.2">
      <c r="A151" s="168" t="s">
        <v>651</v>
      </c>
      <c r="B151" s="20"/>
      <c r="G151" s="20"/>
      <c r="L151" s="20"/>
      <c r="Q151" s="20"/>
      <c r="V151" s="20"/>
      <c r="AA151" s="20"/>
      <c r="AF151" s="20"/>
      <c r="AK151" s="20"/>
      <c r="AP151" s="20"/>
      <c r="AU151" s="20"/>
      <c r="AZ151" s="20"/>
      <c r="BA151" s="27"/>
      <c r="BB151" s="28"/>
      <c r="BC151" s="28"/>
      <c r="BD151" s="29"/>
      <c r="BE151" s="20"/>
      <c r="BF151" s="27"/>
      <c r="BG151" s="28"/>
      <c r="BH151" s="28"/>
      <c r="BI151" s="29"/>
      <c r="BJ151" s="20"/>
      <c r="BK151" s="27"/>
      <c r="BL151" s="28"/>
      <c r="BM151" s="28"/>
      <c r="BN151" s="29"/>
      <c r="BO151" s="20"/>
      <c r="BP151" s="308"/>
      <c r="BQ151" s="113"/>
      <c r="BR151" s="113"/>
      <c r="BS151" s="309"/>
      <c r="BT151" s="125"/>
      <c r="BU151" s="308"/>
      <c r="BV151" s="113"/>
      <c r="BW151" s="113"/>
      <c r="BX151" s="309"/>
      <c r="BY151" s="125"/>
      <c r="BZ151" s="308"/>
      <c r="CA151" s="113"/>
      <c r="CB151" s="113"/>
      <c r="CC151" s="309"/>
      <c r="CD151" s="125"/>
      <c r="CE151" s="308"/>
      <c r="CF151" s="113"/>
      <c r="CG151" s="113"/>
      <c r="CH151" s="309"/>
      <c r="CI151" s="125"/>
      <c r="CJ151" s="308"/>
      <c r="CK151" s="113"/>
      <c r="CL151" s="113"/>
      <c r="CM151" s="309"/>
      <c r="CN151" s="125"/>
      <c r="CO151" s="113"/>
      <c r="CP151" s="113"/>
      <c r="CQ151" s="113"/>
      <c r="CR151" s="113"/>
      <c r="CS151" s="125">
        <f>CS148-CS149-CS150</f>
        <v>10.400000000000006</v>
      </c>
      <c r="CT151" s="113"/>
      <c r="CU151" s="113"/>
      <c r="CV151" s="113"/>
      <c r="CW151" s="113"/>
      <c r="CX151" s="125">
        <f>CX148-CX149-CX150</f>
        <v>34.199999999999989</v>
      </c>
      <c r="CY151" s="113">
        <f t="shared" ref="CY151" si="386">CY148-CY149-CY150</f>
        <v>9.6999999999999993</v>
      </c>
      <c r="CZ151" s="113">
        <f t="shared" ref="CZ151" si="387">CZ148-CZ149-CZ150</f>
        <v>1.3</v>
      </c>
      <c r="DA151" s="113">
        <f t="shared" ref="DA151" si="388">DA148-DA149-DA150</f>
        <v>25.5</v>
      </c>
      <c r="DB151" s="113">
        <f t="shared" ref="DB151" si="389">DB148-DB149-DB150</f>
        <v>2.7</v>
      </c>
      <c r="DC151" s="125">
        <f>DC148-DC149-DC150</f>
        <v>-9.9999999999998757E-2</v>
      </c>
      <c r="DD151" s="113">
        <f t="shared" ref="DD151" si="390">DD148-DD149-DD150</f>
        <v>7.5</v>
      </c>
      <c r="DE151" s="113">
        <f t="shared" ref="DE151" si="391">DE148-DE149-DE150</f>
        <v>14.5</v>
      </c>
      <c r="DF151" s="113">
        <f t="shared" ref="DF151" si="392">DF148-DF149-DF150</f>
        <v>42.800000000000004</v>
      </c>
      <c r="DG151" s="113">
        <f t="shared" ref="DG151" si="393">DG148-DG149-DG150</f>
        <v>12.5</v>
      </c>
      <c r="DH151" s="125">
        <f t="shared" ref="DH151:EB151" si="394">DH148-DH149-DH150</f>
        <v>16.799999999999997</v>
      </c>
      <c r="DI151" s="113">
        <f t="shared" si="394"/>
        <v>24.1</v>
      </c>
      <c r="DJ151" s="113">
        <f t="shared" si="394"/>
        <v>27.400000000000006</v>
      </c>
      <c r="DK151" s="113">
        <f t="shared" si="394"/>
        <v>31.7</v>
      </c>
      <c r="DL151" s="113">
        <f t="shared" si="394"/>
        <v>17.5</v>
      </c>
      <c r="DM151" s="125">
        <f t="shared" si="394"/>
        <v>37.878747487936664</v>
      </c>
      <c r="DN151" s="308">
        <f t="shared" si="394"/>
        <v>9.8326347467483188</v>
      </c>
      <c r="DO151" s="113">
        <f t="shared" si="394"/>
        <v>9.8326347467483188</v>
      </c>
      <c r="DP151" s="113">
        <f t="shared" si="394"/>
        <v>9.8326347467483188</v>
      </c>
      <c r="DQ151" s="309">
        <f t="shared" si="394"/>
        <v>9.8326347467483188</v>
      </c>
      <c r="DR151" s="125">
        <f t="shared" si="394"/>
        <v>39.330538986993275</v>
      </c>
      <c r="DS151" s="308">
        <f t="shared" si="394"/>
        <v>10.07359170525115</v>
      </c>
      <c r="DT151" s="113">
        <f t="shared" si="394"/>
        <v>10.07359170525115</v>
      </c>
      <c r="DU151" s="113">
        <f t="shared" si="394"/>
        <v>10.07359170525115</v>
      </c>
      <c r="DV151" s="309">
        <f t="shared" si="394"/>
        <v>10.07359170525115</v>
      </c>
      <c r="DW151" s="125">
        <f t="shared" si="394"/>
        <v>40.294366821004601</v>
      </c>
      <c r="DX151" s="308">
        <f t="shared" si="394"/>
        <v>10.148103727637377</v>
      </c>
      <c r="DY151" s="113">
        <f t="shared" si="394"/>
        <v>10.148103727637377</v>
      </c>
      <c r="DZ151" s="113">
        <f t="shared" si="394"/>
        <v>10.148103727637377</v>
      </c>
      <c r="EA151" s="309">
        <f t="shared" si="394"/>
        <v>10.148103727637377</v>
      </c>
      <c r="EB151" s="125">
        <f t="shared" si="394"/>
        <v>40.592414910549508</v>
      </c>
      <c r="ED151" s="28"/>
      <c r="EE151" s="28"/>
      <c r="FJ151"/>
      <c r="FK151"/>
      <c r="FL151"/>
      <c r="FM151"/>
      <c r="FN151"/>
      <c r="FO151"/>
      <c r="FP151"/>
      <c r="FQ151"/>
      <c r="FR151"/>
    </row>
    <row r="152" spans="1:174" s="1" customFormat="1" x14ac:dyDescent="0.2">
      <c r="A152" s="98" t="s">
        <v>572</v>
      </c>
      <c r="B152" s="19"/>
      <c r="C152" s="2"/>
      <c r="D152" s="2"/>
      <c r="E152" s="2"/>
      <c r="F152" s="2"/>
      <c r="G152" s="19"/>
      <c r="H152" s="2"/>
      <c r="I152" s="2"/>
      <c r="J152" s="2"/>
      <c r="K152" s="2"/>
      <c r="L152" s="19"/>
      <c r="M152" s="2"/>
      <c r="N152" s="2"/>
      <c r="O152" s="2"/>
      <c r="P152" s="2"/>
      <c r="Q152" s="19"/>
      <c r="R152" s="2"/>
      <c r="S152" s="2"/>
      <c r="T152" s="2"/>
      <c r="U152" s="2"/>
      <c r="V152" s="19"/>
      <c r="W152" s="2"/>
      <c r="X152" s="2"/>
      <c r="Y152" s="2"/>
      <c r="Z152" s="2"/>
      <c r="AA152" s="19"/>
      <c r="AB152" s="2"/>
      <c r="AC152" s="2"/>
      <c r="AD152" s="2"/>
      <c r="AE152" s="2"/>
      <c r="AF152" s="19"/>
      <c r="AG152" s="2"/>
      <c r="AH152" s="2"/>
      <c r="AI152" s="2"/>
      <c r="AJ152" s="2"/>
      <c r="AK152" s="19"/>
      <c r="AL152" s="2"/>
      <c r="AM152" s="2"/>
      <c r="AN152" s="2"/>
      <c r="AO152" s="2"/>
      <c r="AP152" s="19"/>
      <c r="AQ152" s="2"/>
      <c r="AR152" s="2"/>
      <c r="AS152" s="2"/>
      <c r="AT152" s="2"/>
      <c r="AU152" s="19"/>
      <c r="AV152" s="2"/>
      <c r="AW152" s="2"/>
      <c r="AX152" s="2"/>
      <c r="AY152" s="2"/>
      <c r="AZ152" s="19"/>
      <c r="BA152" s="30"/>
      <c r="BB152" s="2"/>
      <c r="BC152" s="2"/>
      <c r="BD152" s="31"/>
      <c r="BE152" s="19"/>
      <c r="BF152" s="30"/>
      <c r="BG152" s="2"/>
      <c r="BH152" s="2"/>
      <c r="BI152" s="31"/>
      <c r="BJ152" s="19"/>
      <c r="BK152" s="30"/>
      <c r="BL152" s="2"/>
      <c r="BM152" s="2"/>
      <c r="BN152" s="31"/>
      <c r="BO152" s="19"/>
      <c r="BP152" s="315">
        <f>(BP148*4)/(BS!BP9+BS!BP10+BS!BP11)</f>
        <v>7.9940231602540157E-2</v>
      </c>
      <c r="BQ152" s="295">
        <f>(BQ148*4)/(BS!BQ9+BS!BQ10+BS!BQ11)</f>
        <v>2.1534320323014808E-3</v>
      </c>
      <c r="BR152" s="295">
        <f>(BR148*4)/(BS!BR9+BS!BR10+BS!BR11)</f>
        <v>1.0294538175579068E-2</v>
      </c>
      <c r="BS152" s="316">
        <f>(BS148*4)/(BS!BS9+BS!BS10+BS!BS11)</f>
        <v>-3.4750232702451131E-2</v>
      </c>
      <c r="BT152" s="236"/>
      <c r="BU152" s="315">
        <f>(BU148*4)/(BS!BU9+BS!BU10+BS!BU11)</f>
        <v>-6.4728192161820478E-2</v>
      </c>
      <c r="BV152" s="295">
        <f>(BV148*4)/(BS!BV9+BS!BV10+BS!BV11)</f>
        <v>4.074702886247878E-2</v>
      </c>
      <c r="BW152" s="295">
        <f>(BW148*4)/(BS!BW9+BS!BW10+BS!BW11)</f>
        <v>0.22096822096822097</v>
      </c>
      <c r="BX152" s="316">
        <f>(BX148*4)/(BS!BX9+BS!BX10+BS!BX11)</f>
        <v>0.12850923284792073</v>
      </c>
      <c r="BY152" s="236"/>
      <c r="BZ152" s="315">
        <f>(BZ148*4)/(BS!BZ9+BS!BZ10+BS!BZ11)</f>
        <v>7.4003095747033246E-2</v>
      </c>
      <c r="CA152" s="295">
        <f>(CA148*4)/(BS!CA9+BS!CA10+BS!CA11)</f>
        <v>1.4529716361388053E-2</v>
      </c>
      <c r="CB152" s="295">
        <f>(CB148*4)/(BS!CB9+BS!CB10+BS!CB11)</f>
        <v>-4.014049172102358E-3</v>
      </c>
      <c r="CC152" s="316">
        <f>(CC148*4)/(BS!CC9+BS!CC10+BS!CC11)</f>
        <v>6.0426295095537E-2</v>
      </c>
      <c r="CD152" s="236"/>
      <c r="CE152" s="315">
        <f>(CE148*4)/(BS!CE9+BS!CE10+BS!CE11)</f>
        <v>2.8089339705452066E-2</v>
      </c>
      <c r="CF152" s="295">
        <f>(CF148*4)/(BS!CF9+BS!CF10+BS!CF11)</f>
        <v>4.1297016861219192E-2</v>
      </c>
      <c r="CG152" s="295">
        <f>(CG148*4)/(BS!CG9+BS!CG10+BS!CG11)</f>
        <v>3.277848911651729E-2</v>
      </c>
      <c r="CH152" s="316">
        <f>(CH148*4)/(BS!CH9+BS!CH10+BS!CH11)</f>
        <v>0.12815136294923687</v>
      </c>
      <c r="CI152" s="236"/>
      <c r="CJ152" s="315">
        <f>(CJ148*4)/(BS!CJ9+BS!CJ10+BS!CJ11)</f>
        <v>4.0823508710188285E-2</v>
      </c>
      <c r="CK152" s="295">
        <f>(CK148*4)/(BS!CK9+BS!CK10+BS!CK11)</f>
        <v>6.3196526876426615E-2</v>
      </c>
      <c r="CL152" s="295">
        <f>(CL148*4)/(BS!CL9+BS!CL10+BS!CL11)</f>
        <v>1.5534913516976296E-2</v>
      </c>
      <c r="CM152" s="316">
        <f>(CM148*4)/(BS!CM9+BS!CM10+BS!CM11)</f>
        <v>5.1644575355915566E-2</v>
      </c>
      <c r="CN152" s="236"/>
      <c r="CO152" s="315"/>
      <c r="CP152" s="295"/>
      <c r="CQ152" s="295"/>
      <c r="CR152" s="316"/>
      <c r="CS152" s="236">
        <f>(CS151*4)/(BS!CS9+BS!CS10+BS!CS11)</f>
        <v>1.2864122703939647E-2</v>
      </c>
      <c r="CT152" s="315"/>
      <c r="CU152" s="295"/>
      <c r="CV152" s="295"/>
      <c r="CW152" s="316"/>
      <c r="CX152" s="236">
        <f>(CX151*4)/(BS!CX9+BS!CX10+BS!CX11)</f>
        <v>7.4194598112593518E-2</v>
      </c>
      <c r="CY152" s="315"/>
      <c r="CZ152" s="295"/>
      <c r="DA152" s="295"/>
      <c r="DB152" s="316"/>
      <c r="DC152" s="236">
        <f>(DC151*4)/(BS!DC9+BS!DC10+BS!DC11)</f>
        <v>-2.4823135161970651E-4</v>
      </c>
      <c r="DD152" s="315"/>
      <c r="DE152" s="295"/>
      <c r="DF152" s="295"/>
      <c r="DG152" s="316"/>
      <c r="DH152" s="236">
        <f>(DH151*4)/(BS!DH9+BS!DH10+BS!DH11)</f>
        <v>2.9692470837751846E-2</v>
      </c>
      <c r="DI152" s="315">
        <f>(DI151*4)/(BS!DI9+BS!DI10+BS!DI11)</f>
        <v>4.4313689436425482E-2</v>
      </c>
      <c r="DJ152" s="295">
        <f>(DJ151*4)/(BS!DJ9+BS!DJ10+BS!DJ11)</f>
        <v>4.5763914986011948E-2</v>
      </c>
      <c r="DK152" s="295">
        <f>(DK151*4)/(BS!DK9+BS!DK10+BS!DK11)</f>
        <v>4.2180898839027314E-2</v>
      </c>
      <c r="DL152" s="295">
        <v>7.0000000000000007E-2</v>
      </c>
      <c r="DM152" s="236">
        <f>(DM151*4)/(BS!DM9+BS!DM10+BS!DM11)</f>
        <v>5.63064364902994E-2</v>
      </c>
      <c r="DN152" s="315">
        <v>0.105</v>
      </c>
      <c r="DO152" s="294">
        <v>0.105</v>
      </c>
      <c r="DP152" s="294">
        <v>0.105</v>
      </c>
      <c r="DQ152" s="769">
        <v>0.105</v>
      </c>
      <c r="DR152" s="236">
        <f>(DR151*4)/(BS!DR9+BS!DR10+BS!DR11)</f>
        <v>4.5915823444415506E-2</v>
      </c>
      <c r="DS152" s="768">
        <v>0.11</v>
      </c>
      <c r="DT152" s="294">
        <v>0.11</v>
      </c>
      <c r="DU152" s="294">
        <v>0.11</v>
      </c>
      <c r="DV152" s="769">
        <v>0.11</v>
      </c>
      <c r="DW152" s="236">
        <f>(DW151*4)/(BS!DW9+BS!DW10+BS!DW11)</f>
        <v>4.691224957215788E-2</v>
      </c>
      <c r="DX152" s="768">
        <v>0.11</v>
      </c>
      <c r="DY152" s="294">
        <v>0.11</v>
      </c>
      <c r="DZ152" s="294">
        <v>0.11</v>
      </c>
      <c r="EA152" s="769">
        <v>0.11</v>
      </c>
      <c r="EB152" s="236">
        <f>(EB151*4)/(BS!EB9+BS!EB10+BS!EB11)</f>
        <v>5.1627837267952656E-2</v>
      </c>
      <c r="ED152" s="28"/>
      <c r="EE152" s="28"/>
      <c r="FJ152"/>
      <c r="FK152"/>
      <c r="FL152"/>
      <c r="FM152"/>
      <c r="FN152"/>
      <c r="FO152"/>
      <c r="FP152"/>
      <c r="FQ152"/>
      <c r="FR152"/>
    </row>
    <row r="153" spans="1:174" s="111" customFormat="1" x14ac:dyDescent="0.2">
      <c r="A153" s="957" t="s">
        <v>648</v>
      </c>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c r="AB153" s="311"/>
      <c r="AC153" s="311"/>
      <c r="AD153" s="311"/>
      <c r="AE153" s="311"/>
      <c r="AF153" s="311"/>
      <c r="AG153" s="311"/>
      <c r="AH153" s="311"/>
      <c r="AI153" s="311"/>
      <c r="AJ153" s="311"/>
      <c r="AK153" s="311"/>
      <c r="AL153" s="311"/>
      <c r="AM153" s="311"/>
      <c r="AN153" s="311"/>
      <c r="AO153" s="311"/>
      <c r="AP153" s="311"/>
      <c r="AQ153" s="311"/>
      <c r="AR153" s="311"/>
      <c r="AS153" s="311"/>
      <c r="AT153" s="311"/>
      <c r="AU153" s="311"/>
      <c r="AV153" s="311"/>
      <c r="AW153" s="311"/>
      <c r="AX153" s="311"/>
      <c r="AY153" s="311"/>
      <c r="AZ153" s="311"/>
      <c r="BA153" s="311"/>
      <c r="BB153" s="311"/>
      <c r="BC153" s="311"/>
      <c r="BD153" s="311"/>
      <c r="BE153" s="311"/>
      <c r="BF153" s="311"/>
      <c r="BG153" s="311"/>
      <c r="BH153" s="311"/>
      <c r="BI153" s="311"/>
      <c r="BJ153" s="311"/>
      <c r="BK153" s="311"/>
      <c r="BL153" s="311"/>
      <c r="BM153" s="311"/>
      <c r="BN153" s="311"/>
      <c r="BO153" s="311"/>
      <c r="BP153" s="958"/>
      <c r="BQ153" s="958"/>
      <c r="BR153" s="958"/>
      <c r="BS153" s="958"/>
      <c r="BT153" s="958"/>
      <c r="BU153" s="958"/>
      <c r="BV153" s="958"/>
      <c r="BW153" s="958"/>
      <c r="BX153" s="958"/>
      <c r="BY153" s="958"/>
      <c r="BZ153" s="958"/>
      <c r="CA153" s="958"/>
      <c r="CB153" s="958"/>
      <c r="CC153" s="958"/>
      <c r="CD153" s="958"/>
      <c r="CE153" s="958"/>
      <c r="CF153" s="958"/>
      <c r="CG153" s="958"/>
      <c r="CH153" s="958"/>
      <c r="CI153" s="958"/>
      <c r="CJ153" s="958"/>
      <c r="CK153" s="958"/>
      <c r="CL153" s="958"/>
      <c r="CM153" s="958"/>
      <c r="CN153" s="963"/>
      <c r="CO153" s="958"/>
      <c r="CP153" s="958"/>
      <c r="CQ153" s="958"/>
      <c r="CR153" s="958"/>
      <c r="CS153" s="963">
        <v>33</v>
      </c>
      <c r="CT153" s="958"/>
      <c r="CU153" s="958"/>
      <c r="CV153" s="958"/>
      <c r="CW153" s="958"/>
      <c r="CX153" s="963">
        <v>38.299999999999997</v>
      </c>
      <c r="CY153" s="958"/>
      <c r="CZ153" s="958"/>
      <c r="DA153" s="958"/>
      <c r="DB153" s="958"/>
      <c r="DC153" s="963">
        <v>39.299999999999997</v>
      </c>
      <c r="DD153" s="958"/>
      <c r="DE153" s="958"/>
      <c r="DF153" s="958"/>
      <c r="DG153" s="958"/>
      <c r="DH153" s="963">
        <v>60.5</v>
      </c>
      <c r="DI153" s="958"/>
      <c r="DJ153" s="958"/>
      <c r="DK153" s="958"/>
      <c r="DL153" s="958"/>
      <c r="DM153" s="963">
        <f>DM155*AVERAGE(DM154,DH154)</f>
        <v>62.821252512063332</v>
      </c>
      <c r="DN153" s="958"/>
      <c r="DO153" s="959"/>
      <c r="DP153" s="959"/>
      <c r="DQ153" s="959"/>
      <c r="DR153" s="963">
        <f>DR155*AVERAGE(DR154,DM154)</f>
        <v>65.669461013006725</v>
      </c>
      <c r="DS153" s="959"/>
      <c r="DT153" s="959"/>
      <c r="DU153" s="959"/>
      <c r="DV153" s="959"/>
      <c r="DW153" s="963">
        <f>DW155*AVERAGE(DW154,DR154)</f>
        <v>69.705633178995399</v>
      </c>
      <c r="DX153" s="959"/>
      <c r="DY153" s="959"/>
      <c r="DZ153" s="959"/>
      <c r="EA153" s="959"/>
      <c r="EB153" s="963">
        <f>EB155*AVERAGE(EB154,DW154)</f>
        <v>69.407585089450492</v>
      </c>
      <c r="ED153" s="113"/>
      <c r="EE153" s="113"/>
      <c r="FJ153" s="956"/>
      <c r="FK153" s="956"/>
      <c r="FL153"/>
      <c r="FM153"/>
      <c r="FN153"/>
      <c r="FO153"/>
      <c r="FP153"/>
      <c r="FQ153"/>
      <c r="FR153" s="956"/>
    </row>
    <row r="154" spans="1:174" s="111" customFormat="1" x14ac:dyDescent="0.2">
      <c r="A154" s="960" t="s">
        <v>647</v>
      </c>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3"/>
      <c r="AY154" s="113"/>
      <c r="AZ154" s="113"/>
      <c r="BA154" s="113"/>
      <c r="BB154" s="113"/>
      <c r="BC154" s="113"/>
      <c r="BD154" s="113"/>
      <c r="BE154" s="113"/>
      <c r="BF154" s="113"/>
      <c r="BG154" s="113"/>
      <c r="BH154" s="113"/>
      <c r="BI154" s="113"/>
      <c r="BJ154" s="113"/>
      <c r="BK154" s="113"/>
      <c r="BL154" s="113"/>
      <c r="BM154" s="113"/>
      <c r="BN154" s="113"/>
      <c r="BO154" s="113"/>
      <c r="BP154" s="955"/>
      <c r="BQ154" s="955"/>
      <c r="BR154" s="955"/>
      <c r="BS154" s="955"/>
      <c r="BT154" s="955"/>
      <c r="BU154" s="955"/>
      <c r="BV154" s="955"/>
      <c r="BW154" s="955"/>
      <c r="BX154" s="955"/>
      <c r="BY154" s="955"/>
      <c r="BZ154" s="955"/>
      <c r="CA154" s="955"/>
      <c r="CB154" s="955"/>
      <c r="CC154" s="955"/>
      <c r="CD154" s="955"/>
      <c r="CE154" s="955"/>
      <c r="CF154" s="955"/>
      <c r="CG154" s="955"/>
      <c r="CH154" s="955"/>
      <c r="CI154" s="955"/>
      <c r="CJ154" s="955"/>
      <c r="CK154" s="955"/>
      <c r="CL154" s="955"/>
      <c r="CM154" s="955"/>
      <c r="CN154" s="964">
        <f>BS!CN37</f>
        <v>510.2</v>
      </c>
      <c r="CO154" s="955">
        <f>BS!CO37</f>
        <v>785.5</v>
      </c>
      <c r="CP154" s="955">
        <f>BS!CP37</f>
        <v>667.9</v>
      </c>
      <c r="CQ154" s="955">
        <f>BS!CQ37</f>
        <v>682</v>
      </c>
      <c r="CR154" s="955">
        <f>BS!CR37</f>
        <v>653.70000000000005</v>
      </c>
      <c r="CS154" s="964">
        <f>BS!CS37</f>
        <v>653.70000000000005</v>
      </c>
      <c r="CT154" s="955">
        <f>BS!CT37</f>
        <v>1013.4</v>
      </c>
      <c r="CU154" s="955">
        <f>BS!CU37</f>
        <v>816.3</v>
      </c>
      <c r="CV154" s="955">
        <f>BS!CV37</f>
        <v>830.8</v>
      </c>
      <c r="CW154" s="955">
        <f>BS!CW37</f>
        <v>794.5</v>
      </c>
      <c r="CX154" s="964">
        <f>BS!CX37</f>
        <v>794.5</v>
      </c>
      <c r="CY154" s="955">
        <f>BS!CY37</f>
        <v>1230.9000000000001</v>
      </c>
      <c r="CZ154" s="955">
        <f>BS!CZ37</f>
        <v>1018.5</v>
      </c>
      <c r="DA154" s="955">
        <f>BS!DA37</f>
        <v>1024.5999999999999</v>
      </c>
      <c r="DB154" s="955">
        <f>BS!DB37</f>
        <v>983.8</v>
      </c>
      <c r="DC154" s="964">
        <f>BS!DC37</f>
        <v>983.8</v>
      </c>
      <c r="DD154" s="955">
        <f>BS!DD37</f>
        <v>1448.8</v>
      </c>
      <c r="DE154" s="955">
        <f>BS!DE37</f>
        <v>1203.5</v>
      </c>
      <c r="DF154" s="955">
        <f>BS!DF37</f>
        <v>1216.5999999999999</v>
      </c>
      <c r="DG154" s="955">
        <f>BS!DG37</f>
        <v>1171.2</v>
      </c>
      <c r="DH154" s="964">
        <f>BS!DH37</f>
        <v>1171.2</v>
      </c>
      <c r="DI154" s="955">
        <f>BS!DI37</f>
        <v>1578.3</v>
      </c>
      <c r="DJ154" s="955">
        <f>BS!DJ37</f>
        <v>1339.7</v>
      </c>
      <c r="DK154" s="955">
        <f>BS!DK37</f>
        <v>1342.2</v>
      </c>
      <c r="DL154" s="955">
        <f>BS!DL37</f>
        <v>1288.5</v>
      </c>
      <c r="DM154" s="964">
        <f>BS!DM37</f>
        <v>1288.5</v>
      </c>
      <c r="DN154" s="955">
        <f>BS!DN37</f>
        <v>1513.5</v>
      </c>
      <c r="DO154" s="955">
        <f>BS!DO37</f>
        <v>1313.5</v>
      </c>
      <c r="DP154" s="955">
        <f>BS!DP37</f>
        <v>1313.5</v>
      </c>
      <c r="DQ154" s="955">
        <f>BS!DQ37</f>
        <v>1313.5</v>
      </c>
      <c r="DR154" s="964">
        <f>BS!DR37</f>
        <v>1313.5</v>
      </c>
      <c r="DS154" s="955">
        <f>BS!DS37</f>
        <v>1538.5</v>
      </c>
      <c r="DT154" s="955">
        <f>BS!DT37</f>
        <v>1338.5</v>
      </c>
      <c r="DU154" s="955">
        <f>BS!DU37</f>
        <v>1338.5</v>
      </c>
      <c r="DV154" s="955">
        <f>BS!DV37</f>
        <v>1338.5</v>
      </c>
      <c r="DW154" s="964">
        <f>BS!DW37</f>
        <v>1338.5</v>
      </c>
      <c r="DX154" s="955">
        <f>BS!DX37</f>
        <v>1563.5</v>
      </c>
      <c r="DY154" s="955">
        <f>BS!DY37</f>
        <v>1363.5</v>
      </c>
      <c r="DZ154" s="955">
        <f>BS!DZ37</f>
        <v>1363.5</v>
      </c>
      <c r="EA154" s="955">
        <f>BS!EA37</f>
        <v>1363.5</v>
      </c>
      <c r="EB154" s="964">
        <f>BS!EB37</f>
        <v>1363.5</v>
      </c>
      <c r="ED154" s="113"/>
      <c r="EE154" s="113"/>
      <c r="FJ154" s="956"/>
      <c r="FK154" s="956"/>
      <c r="FL154"/>
      <c r="FM154"/>
      <c r="FN154"/>
      <c r="FO154"/>
      <c r="FP154"/>
      <c r="FQ154"/>
      <c r="FR154" s="956"/>
    </row>
    <row r="155" spans="1:174" s="111" customFormat="1" x14ac:dyDescent="0.2">
      <c r="A155" s="961" t="s">
        <v>649</v>
      </c>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c r="AB155" s="141"/>
      <c r="AC155" s="141"/>
      <c r="AD155" s="141"/>
      <c r="AE155" s="141"/>
      <c r="AF155" s="141"/>
      <c r="AG155" s="141"/>
      <c r="AH155" s="141"/>
      <c r="AI155" s="141"/>
      <c r="AJ155" s="141"/>
      <c r="AK155" s="141"/>
      <c r="AL155" s="141"/>
      <c r="AM155" s="141"/>
      <c r="AN155" s="141"/>
      <c r="AO155" s="141"/>
      <c r="AP155" s="141"/>
      <c r="AQ155" s="141"/>
      <c r="AR155" s="141"/>
      <c r="AS155" s="141"/>
      <c r="AT155" s="141"/>
      <c r="AU155" s="141"/>
      <c r="AV155" s="141"/>
      <c r="AW155" s="141"/>
      <c r="AX155" s="141"/>
      <c r="AY155" s="141"/>
      <c r="AZ155" s="141"/>
      <c r="BA155" s="141"/>
      <c r="BB155" s="141"/>
      <c r="BC155" s="141"/>
      <c r="BD155" s="141"/>
      <c r="BE155" s="141"/>
      <c r="BF155" s="141"/>
      <c r="BG155" s="141"/>
      <c r="BH155" s="141"/>
      <c r="BI155" s="141"/>
      <c r="BJ155" s="141"/>
      <c r="BK155" s="141"/>
      <c r="BL155" s="141"/>
      <c r="BM155" s="141"/>
      <c r="BN155" s="141"/>
      <c r="BO155" s="141"/>
      <c r="BP155" s="962"/>
      <c r="BQ155" s="962"/>
      <c r="BR155" s="962"/>
      <c r="BS155" s="962"/>
      <c r="BT155" s="962"/>
      <c r="BU155" s="962"/>
      <c r="BV155" s="962"/>
      <c r="BW155" s="962"/>
      <c r="BX155" s="962"/>
      <c r="BY155" s="962"/>
      <c r="BZ155" s="962"/>
      <c r="CA155" s="962"/>
      <c r="CB155" s="962"/>
      <c r="CC155" s="962"/>
      <c r="CD155" s="962"/>
      <c r="CE155" s="962"/>
      <c r="CF155" s="962"/>
      <c r="CG155" s="962"/>
      <c r="CH155" s="962"/>
      <c r="CI155" s="962"/>
      <c r="CJ155" s="962"/>
      <c r="CK155" s="962"/>
      <c r="CL155" s="962"/>
      <c r="CM155" s="962"/>
      <c r="CN155" s="965"/>
      <c r="CO155" s="962"/>
      <c r="CP155" s="962"/>
      <c r="CQ155" s="962"/>
      <c r="CR155" s="962"/>
      <c r="CS155" s="236">
        <f>CS153/(AVERAGE(CN154,CS154))</f>
        <v>5.6705902568949217E-2</v>
      </c>
      <c r="CT155" s="962"/>
      <c r="CU155" s="962"/>
      <c r="CV155" s="962"/>
      <c r="CW155" s="962"/>
      <c r="CX155" s="236">
        <f>CX153/(AVERAGE(CS154,CX154))</f>
        <v>5.2893246789117519E-2</v>
      </c>
      <c r="CY155" s="962"/>
      <c r="CZ155" s="962"/>
      <c r="DA155" s="962"/>
      <c r="DB155" s="962"/>
      <c r="DC155" s="236">
        <f>DC153/(AVERAGE(CX154,DC154))</f>
        <v>4.419951639205983E-2</v>
      </c>
      <c r="DD155" s="962"/>
      <c r="DE155" s="962"/>
      <c r="DF155" s="962"/>
      <c r="DG155" s="962"/>
      <c r="DH155" s="236">
        <f>DH153/(AVERAGE(DC154,DH154))</f>
        <v>5.6148491879350351E-2</v>
      </c>
      <c r="DI155" s="295"/>
      <c r="DJ155" s="295"/>
      <c r="DK155" s="295"/>
      <c r="DL155" s="295"/>
      <c r="DM155" s="236">
        <f>AVERAGE(CX155,DC155,DH155)</f>
        <v>5.1080418353509238E-2</v>
      </c>
      <c r="DN155" s="295"/>
      <c r="DO155" s="295"/>
      <c r="DP155" s="295"/>
      <c r="DQ155" s="295"/>
      <c r="DR155" s="236">
        <f>AVERAGE(DC155,DH155,DM155)</f>
        <v>5.0476142208306478E-2</v>
      </c>
      <c r="DS155" s="295"/>
      <c r="DT155" s="295"/>
      <c r="DU155" s="295"/>
      <c r="DV155" s="295"/>
      <c r="DW155" s="236">
        <f>AVERAGE(DH155,DM155,DR155)</f>
        <v>5.256835081372202E-2</v>
      </c>
      <c r="DX155" s="295"/>
      <c r="DY155" s="295"/>
      <c r="DZ155" s="295"/>
      <c r="EA155" s="295"/>
      <c r="EB155" s="236">
        <f>AVERAGE(DM155,DR155,DW155)</f>
        <v>5.1374970458512581E-2</v>
      </c>
      <c r="ED155" s="113"/>
      <c r="EE155" s="113"/>
      <c r="FJ155" s="956"/>
      <c r="FK155" s="956"/>
      <c r="FL155"/>
      <c r="FM155"/>
      <c r="FN155"/>
      <c r="FO155"/>
      <c r="FP155"/>
      <c r="FQ155"/>
      <c r="FR155" s="956"/>
    </row>
    <row r="156" spans="1:174" s="1" customFormat="1" x14ac:dyDescent="0.2">
      <c r="ED156" s="28"/>
      <c r="EE156" s="28"/>
      <c r="FJ156"/>
      <c r="FK156"/>
      <c r="FL156"/>
      <c r="FM156"/>
      <c r="FN156"/>
      <c r="FO156"/>
      <c r="FP156"/>
      <c r="FQ156"/>
      <c r="FR156"/>
    </row>
    <row r="157" spans="1:174" s="1" customFormat="1" x14ac:dyDescent="0.2">
      <c r="A157" s="28"/>
      <c r="ED157" s="28"/>
      <c r="EE157" s="28"/>
      <c r="FJ157"/>
      <c r="FK157"/>
      <c r="FL157"/>
      <c r="FM157"/>
      <c r="FN157"/>
      <c r="FO157"/>
      <c r="FP157"/>
      <c r="FQ157"/>
      <c r="FR157"/>
    </row>
    <row r="158" spans="1:174" s="1" customFormat="1" x14ac:dyDescent="0.2">
      <c r="A158" s="24" t="s">
        <v>553</v>
      </c>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592">
        <f>AG17+AE17+AD17+AC17</f>
        <v>2315.623</v>
      </c>
      <c r="AH158" s="592">
        <f>AH17+AG17+AE17+AD17</f>
        <v>2438.2430000000004</v>
      </c>
      <c r="AI158" s="592">
        <f>AI17+AH17+AG17+AE17</f>
        <v>2543.5419999999999</v>
      </c>
      <c r="AJ158" s="592">
        <f>AJ17+AI17+AH17+AG17</f>
        <v>2648.98</v>
      </c>
      <c r="AK158" s="592">
        <f>AJ158</f>
        <v>2648.98</v>
      </c>
      <c r="AL158" s="592">
        <f>AL17+AJ17+AI17+AH17</f>
        <v>2786.9280000000003</v>
      </c>
      <c r="AM158" s="592">
        <f>AM17+AL17+AJ17+AI17</f>
        <v>2940.857</v>
      </c>
      <c r="AN158" s="592">
        <f>AN17+AM17+AL17+AJ17</f>
        <v>3113.2460000000001</v>
      </c>
      <c r="AO158" s="592">
        <f>AO17+AN17+AM17+AL17</f>
        <v>3288.9079999999994</v>
      </c>
      <c r="AP158" s="592">
        <f>AO158</f>
        <v>3288.9079999999994</v>
      </c>
      <c r="AQ158" s="592">
        <f>AQ17+AO17+AN17+AM17</f>
        <v>3487.0989999999993</v>
      </c>
      <c r="AR158" s="592">
        <f>AR17+AQ17+AO17+AN17</f>
        <v>3658.0879999999997</v>
      </c>
      <c r="AS158" s="592">
        <f>AS17+AR17+AQ17+AO17</f>
        <v>3859.7059999999997</v>
      </c>
      <c r="AT158" s="592">
        <f>AT17+AS17+AR17+AQ17</f>
        <v>4075.5209999999997</v>
      </c>
      <c r="AU158" s="592">
        <f>AT158</f>
        <v>4075.5209999999997</v>
      </c>
      <c r="AV158" s="592">
        <f>AV17+AT17+AS17+AR17</f>
        <v>4353.1859999999997</v>
      </c>
      <c r="AW158" s="592">
        <f>AW17+AV17+AT17+AS17</f>
        <v>4640.0479999999998</v>
      </c>
      <c r="AX158" s="592">
        <f>AX17+AW17+AV17+AT17</f>
        <v>4921.9629999999997</v>
      </c>
      <c r="AY158" s="592">
        <f>AY17+AX17+AW17+AV17</f>
        <v>5294.2470000000003</v>
      </c>
      <c r="AZ158" s="592">
        <f>AY158</f>
        <v>5294.2470000000003</v>
      </c>
      <c r="BA158" s="592">
        <f>BA17+AY17+AX17+AW17</f>
        <v>5602.6</v>
      </c>
      <c r="BB158" s="592">
        <f>BB17+BA17+AY17+AX17</f>
        <v>5880.2480000000005</v>
      </c>
      <c r="BC158" s="592">
        <f>BC17+BB17+BA17+AY17</f>
        <v>6163.3559999999998</v>
      </c>
      <c r="BD158" s="592">
        <f>BD17+BC17+BB17+BA17</f>
        <v>6369.2999999999993</v>
      </c>
      <c r="BE158" s="592">
        <f>BD158</f>
        <v>6369.2999999999993</v>
      </c>
      <c r="BF158" s="592">
        <f>BF17+BD17+BC17+BB17</f>
        <v>6713.848</v>
      </c>
      <c r="BG158" s="592">
        <f>BG17+BF17+BD17+BC17</f>
        <v>7080.9540000000006</v>
      </c>
      <c r="BH158" s="592">
        <f>BH17+BG17+BF17+BD17</f>
        <v>7442.8280000000004</v>
      </c>
      <c r="BI158" s="592">
        <f>BI17+BH17+BG17+BF17</f>
        <v>7786.9420000000009</v>
      </c>
      <c r="BJ158" s="592">
        <f>BI158</f>
        <v>7786.9420000000009</v>
      </c>
      <c r="BK158" s="592">
        <f>BK17+BI17+BH17+BG17</f>
        <v>8208.5730000000003</v>
      </c>
      <c r="BL158" s="592">
        <f>BL17+BK17+BI17+BH17</f>
        <v>8578.3450000000012</v>
      </c>
      <c r="BM158" s="592">
        <f>BM17+BL17+BK17+BI17</f>
        <v>8973.9169999999995</v>
      </c>
      <c r="BN158" s="592">
        <f>BN17+BM17+BL17+BK17</f>
        <v>9411.4969999999994</v>
      </c>
      <c r="BO158" s="592">
        <f>BN158</f>
        <v>9411.4969999999994</v>
      </c>
      <c r="BP158" s="592">
        <f>BP17+BN17+BM17+BL17</f>
        <v>9823.3739999999998</v>
      </c>
      <c r="BQ158" s="592">
        <f>BQ17+BP17+BN17+BM17</f>
        <v>10093.779999999999</v>
      </c>
      <c r="BR158" s="592">
        <f>BR17+BQ17+BP17+BN17</f>
        <v>10308.434999999999</v>
      </c>
      <c r="BS158" s="592">
        <f>BS17+BR17+BQ17+BP17</f>
        <v>10383</v>
      </c>
      <c r="BT158" s="592">
        <f>BS158</f>
        <v>10383</v>
      </c>
      <c r="BU158" s="592">
        <f>BU17+BS17+BR17+BQ17</f>
        <v>10230.599999999999</v>
      </c>
      <c r="BV158" s="592">
        <f>BV17+BU17+BS17+BR17</f>
        <v>10037.9</v>
      </c>
      <c r="BW158" s="592">
        <f>BW17+BV17+BU17+BS17</f>
        <v>9867.9000000000015</v>
      </c>
      <c r="BX158" s="592">
        <f>BX17+BW17+BV17+BU17</f>
        <v>9774.6</v>
      </c>
      <c r="BY158" s="592">
        <f>BX158</f>
        <v>9774.6</v>
      </c>
      <c r="BZ158" s="592">
        <f>BZ17+BX17+BW17+BV17</f>
        <v>9882.1000000000022</v>
      </c>
      <c r="CA158" s="592">
        <f>CA17+BZ17+BX17+BW17</f>
        <v>10083.5</v>
      </c>
      <c r="CB158" s="592">
        <f>CB17+CA17+BZ17+BX17</f>
        <v>10291.600000000002</v>
      </c>
      <c r="CC158" s="592">
        <f>CC17+CB17+CA17+BZ17</f>
        <v>10707.400000000001</v>
      </c>
      <c r="CD158" s="592">
        <f>CC158</f>
        <v>10707.400000000001</v>
      </c>
      <c r="CE158" s="592">
        <f>CE17+CC17+CB17+CA17</f>
        <v>10935.5</v>
      </c>
      <c r="CF158" s="592">
        <f>CF17+CE17+CC17+CB17</f>
        <v>11186.5</v>
      </c>
      <c r="CG158" s="592">
        <f>CG17+CF17+CE17+CC17</f>
        <v>11506.7</v>
      </c>
      <c r="CH158" s="592">
        <f>CH17+CG17+CF17+CE17</f>
        <v>11700.599999999999</v>
      </c>
      <c r="CI158" s="593">
        <f>CH158</f>
        <v>11700.599999999999</v>
      </c>
      <c r="CJ158" s="592">
        <f>CJ17+CH17+CG17+CF17</f>
        <v>12179.8</v>
      </c>
      <c r="CK158" s="592">
        <f>CK17+CJ17+CH17+CG17</f>
        <v>12584.300000000001</v>
      </c>
      <c r="CL158" s="592">
        <f>CL17+CK17+CJ17+CH17</f>
        <v>12950.3</v>
      </c>
      <c r="CM158" s="592">
        <f>CM17+CL17+CK17+CJ17</f>
        <v>13276.9</v>
      </c>
      <c r="CN158" s="593">
        <f>CM158</f>
        <v>13276.9</v>
      </c>
      <c r="CO158" s="592">
        <f>CO17+CM17+CL17+CK17</f>
        <v>13640.099999999999</v>
      </c>
      <c r="CP158" s="592">
        <f>CP17+CO17+CM17+CL17</f>
        <v>13999.5</v>
      </c>
      <c r="CQ158" s="592">
        <f>CQ17+CP17+CO17+CM17</f>
        <v>14436.599999999999</v>
      </c>
      <c r="CR158" s="592">
        <f>CR17+CQ17+CP17+CO17</f>
        <v>14866.900000000001</v>
      </c>
      <c r="CS158" s="593">
        <f>CR158</f>
        <v>14866.900000000001</v>
      </c>
      <c r="CT158" s="592">
        <f>CT17+CR17+CQ17+CP17</f>
        <v>15313.300000000001</v>
      </c>
      <c r="CU158" s="592">
        <f>CU17+CT17+CR17+CQ17</f>
        <v>15637.5</v>
      </c>
      <c r="CV158" s="592">
        <f>CV17+CU17+CT17+CR17</f>
        <v>16055.900000000001</v>
      </c>
      <c r="CW158" s="592">
        <f>CW17+CV17+CU17+CT17</f>
        <v>16447.900000000001</v>
      </c>
      <c r="CX158" s="593">
        <f>CW158</f>
        <v>16447.900000000001</v>
      </c>
      <c r="CY158" s="592">
        <f>CY17+CW17+CV17+CU17</f>
        <v>17011.5</v>
      </c>
      <c r="CZ158" s="592">
        <f>CZ17+CY17+CW17+CV17</f>
        <v>17701.2</v>
      </c>
      <c r="DA158" s="592">
        <f>DA17+CZ17+CY17+CW17</f>
        <v>18428.7</v>
      </c>
      <c r="DB158" s="592">
        <f>DB17+DA17+CZ17+CY17</f>
        <v>19162.7</v>
      </c>
      <c r="DC158" s="593">
        <f>DB158</f>
        <v>19162.7</v>
      </c>
      <c r="DD158" s="592">
        <f>DD17+DB17+DA17+CZ17</f>
        <v>19733</v>
      </c>
      <c r="DE158" s="592">
        <f>DE17+DD17+DB17+DA17</f>
        <v>20162.7</v>
      </c>
      <c r="DF158" s="592">
        <f>DF17+DE17+DD17+DB17</f>
        <v>20519.5</v>
      </c>
      <c r="DG158" s="592">
        <f>DG17+DF17+DE17+DD17</f>
        <v>21315.9</v>
      </c>
      <c r="DH158" s="593">
        <f>DG158</f>
        <v>21315.9</v>
      </c>
      <c r="DI158" s="592">
        <f>DI17+DG17+DF17+DE17</f>
        <v>21675.3</v>
      </c>
      <c r="DJ158" s="592">
        <f>DJ17+DI17+DG17+DF17</f>
        <v>21976.1</v>
      </c>
      <c r="DK158" s="592">
        <f>DK17+DJ17+DI17+DG17</f>
        <v>22399.600000000002</v>
      </c>
      <c r="DL158" s="592">
        <f>DL17+DK17+DJ17+DI17</f>
        <v>22386.699999999997</v>
      </c>
      <c r="DM158" s="593">
        <f>DL158</f>
        <v>22386.699999999997</v>
      </c>
      <c r="DN158" s="592">
        <f>DN17+DL17+DK17+DJ17</f>
        <v>22727.5</v>
      </c>
      <c r="DO158" s="592">
        <f>DO17+DN17+DL17+DK17</f>
        <v>23384.337953449274</v>
      </c>
      <c r="DP158" s="592">
        <f>DP17+DO17+DN17+DL17</f>
        <v>24056.519859228061</v>
      </c>
      <c r="DQ158" s="592">
        <f>DQ17+DP17+DO17+DN17</f>
        <v>24765.707133002339</v>
      </c>
      <c r="DR158" s="593">
        <f>DQ158</f>
        <v>24765.707133002339</v>
      </c>
      <c r="DS158" s="592">
        <f>DS17+DQ17+DP17+DO17</f>
        <v>25428.132686953104</v>
      </c>
      <c r="DT158" s="592">
        <f>DT17+DS17+DQ17+DP17</f>
        <v>25992.757615053513</v>
      </c>
      <c r="DU158" s="592">
        <f>DU17+DT17+DS17+DQ17</f>
        <v>26604.085643237751</v>
      </c>
      <c r="DV158" s="592">
        <f>DV17+DU17+DT17+DS17</f>
        <v>27224.617378936451</v>
      </c>
      <c r="DW158" s="593">
        <f>DV158</f>
        <v>27224.617378936451</v>
      </c>
      <c r="DX158" s="592">
        <f>DX17+DV17+DU17+DT17</f>
        <v>27861.786887248716</v>
      </c>
      <c r="DY158" s="592">
        <f>DY17+DX17+DV17+DU17</f>
        <v>28483.816886090954</v>
      </c>
      <c r="DZ158" s="592">
        <f>DZ17+DY17+DX17+DV17</f>
        <v>29141.674906342276</v>
      </c>
      <c r="EA158" s="592">
        <f>EA17+DZ17+DY17+DX17</f>
        <v>29799.621204184969</v>
      </c>
      <c r="EB158" s="593">
        <f>EA158</f>
        <v>29799.621204184969</v>
      </c>
      <c r="ED158" s="28"/>
      <c r="EE158" s="28"/>
      <c r="FJ158"/>
      <c r="FK158"/>
      <c r="FL158"/>
      <c r="FM158"/>
      <c r="FN158"/>
      <c r="FO158"/>
      <c r="FP158"/>
      <c r="FQ158"/>
      <c r="FR158"/>
    </row>
    <row r="159" spans="1:174" s="1" customFormat="1" x14ac:dyDescent="0.2">
      <c r="A159" s="27" t="s">
        <v>39</v>
      </c>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19">
        <f>AG30+AE30+AD30+AC30</f>
        <v>233.64000000000001</v>
      </c>
      <c r="AH159" s="219">
        <f>AH30+AG30+AE30+AD30</f>
        <v>249.27700000000002</v>
      </c>
      <c r="AI159" s="219">
        <f>AI30+AH30+AG30+AE30</f>
        <v>266.32400000000001</v>
      </c>
      <c r="AJ159" s="219">
        <f>AJ30+AI30+AH30+AG30</f>
        <v>281.09400000000011</v>
      </c>
      <c r="AK159" s="219">
        <f>AJ159</f>
        <v>281.09400000000011</v>
      </c>
      <c r="AL159" s="219">
        <f>AL30+AJ30+AI30+AH30</f>
        <v>297.04800000000012</v>
      </c>
      <c r="AM159" s="219">
        <f>AM30+AL30+AJ30+AI30</f>
        <v>312.62</v>
      </c>
      <c r="AN159" s="219">
        <f>AN30+AM30+AL30+AJ30</f>
        <v>328.51599999999991</v>
      </c>
      <c r="AO159" s="219">
        <f>AO30+AN30+AM30+AL30</f>
        <v>334.45099999999974</v>
      </c>
      <c r="AP159" s="219">
        <f>AO159</f>
        <v>334.45099999999974</v>
      </c>
      <c r="AQ159" s="219">
        <f>AQ30+AO30+AN30+AM30</f>
        <v>363.27499999999981</v>
      </c>
      <c r="AR159" s="219">
        <f>AR30+AQ30+AO30+AN30</f>
        <v>382.34299999999985</v>
      </c>
      <c r="AS159" s="219">
        <f>AS30+AR30+AQ30+AO30</f>
        <v>401.15809999999993</v>
      </c>
      <c r="AT159" s="219">
        <f>AT30+AS30+AR30+AQ30</f>
        <v>424.71209999999985</v>
      </c>
      <c r="AU159" s="219">
        <f>AT159</f>
        <v>424.71209999999985</v>
      </c>
      <c r="AV159" s="219">
        <f>AV30+AT30+AS30+AR30</f>
        <v>478.53809999999964</v>
      </c>
      <c r="AW159" s="219">
        <f>AW30+AV30+AT30+AS30</f>
        <v>516.80309999999963</v>
      </c>
      <c r="AX159" s="219">
        <f>AX30+AW30+AV30+AT30</f>
        <v>563.93299999999977</v>
      </c>
      <c r="AY159" s="219">
        <f>AY30+AX30+AW30+AV30</f>
        <v>606.81699999999989</v>
      </c>
      <c r="AZ159" s="219">
        <f>AY159</f>
        <v>606.81699999999989</v>
      </c>
      <c r="BA159" s="219">
        <f>BA30+AY30+AX30+AW30</f>
        <v>659.34700000000009</v>
      </c>
      <c r="BB159" s="219">
        <f>BB30+BA30+AY30+AX30</f>
        <v>692.86600000000021</v>
      </c>
      <c r="BC159" s="219">
        <f>BC30+BB30+BA30+AY30</f>
        <v>739.28800000000001</v>
      </c>
      <c r="BD159" s="219">
        <f>BD30+BC30+BB30+BA30</f>
        <v>780.55399999999997</v>
      </c>
      <c r="BE159" s="219">
        <f>BD159</f>
        <v>780.55399999999997</v>
      </c>
      <c r="BF159" s="219">
        <f>BF30+BD30+BC30+BB30</f>
        <v>833.24399999999991</v>
      </c>
      <c r="BG159" s="219">
        <f>BG30+BF30+BD30+BC30</f>
        <v>877.86</v>
      </c>
      <c r="BH159" s="219">
        <f>BH30+BG30+BF30+BD30</f>
        <v>892.86300000000017</v>
      </c>
      <c r="BI159" s="219">
        <f>BI30+BH30+BG30+BF30</f>
        <v>893.98600000000033</v>
      </c>
      <c r="BJ159" s="219">
        <f>BI159</f>
        <v>893.98600000000033</v>
      </c>
      <c r="BK159" s="219">
        <f>BK30+BI30+BH30+BG30</f>
        <v>933.82900000000018</v>
      </c>
      <c r="BL159" s="219">
        <f>BL30+BK30+BI30+BH30</f>
        <v>972.90900000000011</v>
      </c>
      <c r="BM159" s="219">
        <f>BM30+BL30+BK30+BI30</f>
        <v>1003.5500000000001</v>
      </c>
      <c r="BN159" s="219">
        <f>BN30+BM30+BL30+BK30</f>
        <v>1053.9449999999999</v>
      </c>
      <c r="BO159" s="219">
        <f>BN159</f>
        <v>1053.9449999999999</v>
      </c>
      <c r="BP159" s="219">
        <f>BP30+BN30+BM30+BL30</f>
        <v>1067.3209999999999</v>
      </c>
      <c r="BQ159" s="219">
        <f>BQ30+BP30+BN30+BM30</f>
        <v>1039.607</v>
      </c>
      <c r="BR159" s="219">
        <f>BR30+BQ30+BP30+BN30</f>
        <v>940.39299999999957</v>
      </c>
      <c r="BS159" s="219">
        <f>BS30+BR30+BQ30+BP30</f>
        <v>805.85999999999967</v>
      </c>
      <c r="BT159" s="219">
        <f>BS159</f>
        <v>805.85999999999967</v>
      </c>
      <c r="BU159" s="219">
        <f>BU30+BS30+BR30+BQ30</f>
        <v>665.95999999999958</v>
      </c>
      <c r="BV159" s="219">
        <f>BV30+BU30+BS30+BR30</f>
        <v>645.6999999999997</v>
      </c>
      <c r="BW159" s="219">
        <f>BW30+BV30+BU30+BS30</f>
        <v>755.3</v>
      </c>
      <c r="BX159" s="219">
        <f>BX30+BW30+BV30+BU30</f>
        <v>894.40000000000009</v>
      </c>
      <c r="BY159" s="219">
        <f>BX159</f>
        <v>894.40000000000009</v>
      </c>
      <c r="BZ159" s="219">
        <f>BZ30+BX30+BW30+BV30</f>
        <v>1072.1000000000006</v>
      </c>
      <c r="CA159" s="219">
        <f>CA30+BZ30+BX30+BW30</f>
        <v>1226.8000000000006</v>
      </c>
      <c r="CB159" s="219">
        <f>CB30+CA30+BZ30+BX30</f>
        <v>1319.3000000000009</v>
      </c>
      <c r="CC159" s="219">
        <f>CC30+CB30+CA30+BZ30</f>
        <v>1472.4000000000005</v>
      </c>
      <c r="CD159" s="219">
        <f>CC159</f>
        <v>1472.4000000000005</v>
      </c>
      <c r="CE159" s="219">
        <f>CE30+CC30+CB30+CA30</f>
        <v>1603.4000000000005</v>
      </c>
      <c r="CF159" s="219">
        <f>CF30+CE30+CC30+CB30</f>
        <v>1631.8000000000002</v>
      </c>
      <c r="CG159" s="219">
        <f>CG30+CF30+CE30+CC30</f>
        <v>1685.9000000000005</v>
      </c>
      <c r="CH159" s="219">
        <f>CH30+CG30+CF30+CE30</f>
        <v>1698.3000000000004</v>
      </c>
      <c r="CI159" s="128">
        <f>CH159</f>
        <v>1698.3000000000004</v>
      </c>
      <c r="CJ159" s="219">
        <f>CJ30+CH30+CG30+CF30</f>
        <v>1752.4</v>
      </c>
      <c r="CK159" s="219">
        <f>CK30+CJ30+CH30+CG30</f>
        <v>1806.7000000000003</v>
      </c>
      <c r="CL159" s="219">
        <f>CL30+CK30+CJ30+CH30</f>
        <v>1896.0999999999995</v>
      </c>
      <c r="CM159" s="219">
        <f>CM30+CL30+CK30+CJ30</f>
        <v>1997.5999999999995</v>
      </c>
      <c r="CN159" s="128">
        <f>CM159</f>
        <v>1997.5999999999995</v>
      </c>
      <c r="CO159" s="219">
        <f>CO30+CM30+CL30+CK30</f>
        <v>2072.1999999999998</v>
      </c>
      <c r="CP159" s="219">
        <f>CP30+CO30+CM30+CL30</f>
        <v>2185.8999999999996</v>
      </c>
      <c r="CQ159" s="219">
        <f>CQ30+CP30+CO30+CM30</f>
        <v>2309.5</v>
      </c>
      <c r="CR159" s="219">
        <f>CR30+CQ30+CP30+CO30</f>
        <v>2458.8000000000002</v>
      </c>
      <c r="CS159" s="128">
        <f>CR159</f>
        <v>2458.8000000000002</v>
      </c>
      <c r="CT159" s="219">
        <f>CT30+CR30+CQ30+CP30</f>
        <v>2621.5</v>
      </c>
      <c r="CU159" s="219">
        <f>CU30+CT30+CR30+CQ30</f>
        <v>2721.5000000000014</v>
      </c>
      <c r="CV159" s="219">
        <f>CV30+CU30+CT30+CR30</f>
        <v>2874.8000000000006</v>
      </c>
      <c r="CW159" s="219">
        <f>CW30+CV30+CU30+CT30</f>
        <v>3063.2000000000007</v>
      </c>
      <c r="CX159" s="128">
        <f>CW159</f>
        <v>3063.2000000000007</v>
      </c>
      <c r="CY159" s="219">
        <f>CY30+CW30+CV30+CU30</f>
        <v>3204.7000000000016</v>
      </c>
      <c r="CZ159" s="219">
        <f>CZ30+CY30+CW30+CV30</f>
        <v>3350.0000000000009</v>
      </c>
      <c r="DA159" s="219">
        <f>DA30+CZ30+CY30+CW30</f>
        <v>3531.6000000000004</v>
      </c>
      <c r="DB159" s="219">
        <f>DB30+DA30+CZ30+CY30</f>
        <v>3655.6</v>
      </c>
      <c r="DC159" s="128">
        <f>DB159</f>
        <v>3655.6</v>
      </c>
      <c r="DD159" s="219">
        <f>DD30+DB30+DA30+CZ30</f>
        <v>3791.099999999999</v>
      </c>
      <c r="DE159" s="219">
        <f>DE30+DD30+DB30+DA30</f>
        <v>3879.7999999999984</v>
      </c>
      <c r="DF159" s="219">
        <f>DF30+DE30+DD30+DB30</f>
        <v>3969.2999999999984</v>
      </c>
      <c r="DG159" s="219">
        <f>DG30+DF30+DE30+DD30</f>
        <v>4232.2000000000007</v>
      </c>
      <c r="DH159" s="128">
        <f>DG159</f>
        <v>4232.2000000000007</v>
      </c>
      <c r="DI159" s="219">
        <f>DI30+DG30+DF30+DE30</f>
        <v>4308.4999999999991</v>
      </c>
      <c r="DJ159" s="219">
        <f>DJ30+DI30+DG30+DF30</f>
        <v>4379.6000000000004</v>
      </c>
      <c r="DK159" s="219">
        <f>DK30+DJ30+DI30+DG30</f>
        <v>4518.4000000000005</v>
      </c>
      <c r="DL159" s="219">
        <f>DL30+DK30+DJ30+DI30</f>
        <v>4412.5</v>
      </c>
      <c r="DM159" s="128">
        <f>DL159</f>
        <v>4412.5</v>
      </c>
      <c r="DN159" s="219">
        <f>DN30+DL30+DK30+DJ30</f>
        <v>4433.4000000000005</v>
      </c>
      <c r="DO159" s="219">
        <f>DO30+DN30+DL30+DK30</f>
        <v>4504.4834870624563</v>
      </c>
      <c r="DP159" s="219">
        <f>DP30+DO30+DN30+DL30</f>
        <v>4560.4947436743687</v>
      </c>
      <c r="DQ159" s="219">
        <f>DQ30+DP30+DO30+DN30</f>
        <v>4685.1725039205812</v>
      </c>
      <c r="DR159" s="128">
        <f>DQ159</f>
        <v>4685.1725039205812</v>
      </c>
      <c r="DS159" s="219">
        <f>DS30+DQ30+DP30+DO30</f>
        <v>4795.7306284343713</v>
      </c>
      <c r="DT159" s="219">
        <f>DT30+DS30+DQ30+DP30</f>
        <v>4947.9196115675204</v>
      </c>
      <c r="DU159" s="219">
        <f>DU30+DT30+DS30+DQ30</f>
        <v>5116.8928334831244</v>
      </c>
      <c r="DV159" s="219">
        <f>DV30+DU30+DT30+DS30</f>
        <v>5280.6140339442691</v>
      </c>
      <c r="DW159" s="128">
        <f>DV159</f>
        <v>5280.6140339442691</v>
      </c>
      <c r="DX159" s="219">
        <f>DX30+DV30+DU30+DT30</f>
        <v>5432.3003625000592</v>
      </c>
      <c r="DY159" s="219">
        <f>DY30+DX30+DV30+DU30</f>
        <v>5580.9309624005909</v>
      </c>
      <c r="DZ159" s="219">
        <f>DZ30+DY30+DX30+DV30</f>
        <v>5753.2112625124964</v>
      </c>
      <c r="EA159" s="219">
        <f>EA30+DZ30+DY30+DX30</f>
        <v>5925.4951083208853</v>
      </c>
      <c r="EB159" s="128">
        <f>EA159</f>
        <v>5925.4951083208853</v>
      </c>
      <c r="ED159" s="28"/>
      <c r="EE159" s="28"/>
      <c r="FJ159"/>
      <c r="FK159"/>
      <c r="FL159"/>
      <c r="FM159"/>
      <c r="FN159"/>
      <c r="FO159"/>
      <c r="FP159"/>
      <c r="FQ159"/>
      <c r="FR159"/>
    </row>
    <row r="160" spans="1:174" s="1" customFormat="1" x14ac:dyDescent="0.2">
      <c r="A160" s="27" t="s">
        <v>38</v>
      </c>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38">
        <f t="shared" ref="AG160:BL160" si="395">AG159/AG158</f>
        <v>0.10089725313662889</v>
      </c>
      <c r="AH160" s="238">
        <f t="shared" si="395"/>
        <v>0.10223632345094397</v>
      </c>
      <c r="AI160" s="238">
        <f t="shared" si="395"/>
        <v>0.10470595728319014</v>
      </c>
      <c r="AJ160" s="238">
        <f t="shared" si="395"/>
        <v>0.10611405144621708</v>
      </c>
      <c r="AK160" s="238">
        <f t="shared" si="395"/>
        <v>0.10611405144621708</v>
      </c>
      <c r="AL160" s="238">
        <f t="shared" si="395"/>
        <v>0.10658617660736125</v>
      </c>
      <c r="AM160" s="238">
        <f t="shared" si="395"/>
        <v>0.10630234656088344</v>
      </c>
      <c r="AN160" s="238">
        <f t="shared" si="395"/>
        <v>0.10552201785531883</v>
      </c>
      <c r="AO160" s="238">
        <f t="shared" si="395"/>
        <v>0.10169059152764376</v>
      </c>
      <c r="AP160" s="238">
        <f t="shared" si="395"/>
        <v>0.10169059152764376</v>
      </c>
      <c r="AQ160" s="238">
        <f t="shared" si="395"/>
        <v>0.10417685302310026</v>
      </c>
      <c r="AR160" s="238">
        <f t="shared" si="395"/>
        <v>0.10451990220027509</v>
      </c>
      <c r="AS160" s="238">
        <f t="shared" si="395"/>
        <v>0.10393488519591906</v>
      </c>
      <c r="AT160" s="238">
        <f t="shared" si="395"/>
        <v>0.10421050462014547</v>
      </c>
      <c r="AU160" s="238">
        <f t="shared" si="395"/>
        <v>0.10421050462014547</v>
      </c>
      <c r="AV160" s="238">
        <f t="shared" si="395"/>
        <v>0.1099282456573185</v>
      </c>
      <c r="AW160" s="238">
        <f t="shared" si="395"/>
        <v>0.11137882625352144</v>
      </c>
      <c r="AX160" s="238">
        <f t="shared" si="395"/>
        <v>0.11457481496711776</v>
      </c>
      <c r="AY160" s="238">
        <f t="shared" si="395"/>
        <v>0.11461818838448601</v>
      </c>
      <c r="AZ160" s="238">
        <f t="shared" si="395"/>
        <v>0.11461818838448601</v>
      </c>
      <c r="BA160" s="238">
        <f t="shared" si="395"/>
        <v>0.11768589583407704</v>
      </c>
      <c r="BB160" s="238">
        <f t="shared" si="395"/>
        <v>0.11782938406679448</v>
      </c>
      <c r="BC160" s="238">
        <f t="shared" si="395"/>
        <v>0.11994893691034561</v>
      </c>
      <c r="BD160" s="238">
        <f t="shared" si="395"/>
        <v>0.12254941673339301</v>
      </c>
      <c r="BE160" s="238">
        <f t="shared" si="395"/>
        <v>0.12254941673339301</v>
      </c>
      <c r="BF160" s="238">
        <f t="shared" si="395"/>
        <v>0.12410826101514362</v>
      </c>
      <c r="BG160" s="238">
        <f t="shared" si="395"/>
        <v>0.12397482034200476</v>
      </c>
      <c r="BH160" s="238">
        <f t="shared" si="395"/>
        <v>0.11996286895250033</v>
      </c>
      <c r="BI160" s="238">
        <f t="shared" si="395"/>
        <v>0.11480578640498416</v>
      </c>
      <c r="BJ160" s="238">
        <f t="shared" si="395"/>
        <v>0.11480578640498416</v>
      </c>
      <c r="BK160" s="238">
        <f t="shared" si="395"/>
        <v>0.11376264790481855</v>
      </c>
      <c r="BL160" s="238">
        <f t="shared" si="395"/>
        <v>0.11341453392233583</v>
      </c>
      <c r="BM160" s="238">
        <f t="shared" ref="BM160:CH160" si="396">BM159/BM158</f>
        <v>0.11182965030766388</v>
      </c>
      <c r="BN160" s="238">
        <f t="shared" si="396"/>
        <v>0.11198484151883595</v>
      </c>
      <c r="BO160" s="238">
        <f t="shared" si="396"/>
        <v>0.11198484151883595</v>
      </c>
      <c r="BP160" s="238">
        <f t="shared" si="396"/>
        <v>0.10865116201419187</v>
      </c>
      <c r="BQ160" s="238">
        <f t="shared" si="396"/>
        <v>0.10299481462841474</v>
      </c>
      <c r="BR160" s="238">
        <f t="shared" si="396"/>
        <v>9.1225583708875263E-2</v>
      </c>
      <c r="BS160" s="238">
        <f t="shared" si="396"/>
        <v>7.7613406529904616E-2</v>
      </c>
      <c r="BT160" s="238">
        <f t="shared" si="396"/>
        <v>7.7613406529904616E-2</v>
      </c>
      <c r="BU160" s="238">
        <f t="shared" si="396"/>
        <v>6.509491134439814E-2</v>
      </c>
      <c r="BV160" s="238">
        <f t="shared" si="396"/>
        <v>6.4326203688022374E-2</v>
      </c>
      <c r="BW160" s="238">
        <f t="shared" si="396"/>
        <v>7.6541108037171013E-2</v>
      </c>
      <c r="BX160" s="238">
        <f t="shared" si="396"/>
        <v>9.1502465574038835E-2</v>
      </c>
      <c r="BY160" s="238">
        <f t="shared" si="396"/>
        <v>9.1502465574038835E-2</v>
      </c>
      <c r="BZ160" s="238">
        <f t="shared" si="396"/>
        <v>0.10848908632780485</v>
      </c>
      <c r="CA160" s="238">
        <f t="shared" si="396"/>
        <v>0.12166410472554179</v>
      </c>
      <c r="CB160" s="238">
        <f t="shared" si="396"/>
        <v>0.12819192351043576</v>
      </c>
      <c r="CC160" s="238">
        <f t="shared" si="396"/>
        <v>0.13751237461942212</v>
      </c>
      <c r="CD160" s="238">
        <f t="shared" si="396"/>
        <v>0.13751237461942212</v>
      </c>
      <c r="CE160" s="238">
        <f t="shared" si="396"/>
        <v>0.14662338256138271</v>
      </c>
      <c r="CF160" s="238">
        <f t="shared" si="396"/>
        <v>0.14587225673803247</v>
      </c>
      <c r="CG160" s="238">
        <f t="shared" si="396"/>
        <v>0.1465146392971052</v>
      </c>
      <c r="CH160" s="238">
        <f t="shared" si="396"/>
        <v>0.14514640274857704</v>
      </c>
      <c r="CI160" s="61">
        <f t="shared" ref="CI160:CS160" si="397">CI159/CI158</f>
        <v>0.14514640274857704</v>
      </c>
      <c r="CJ160" s="238">
        <f t="shared" si="397"/>
        <v>0.14387756777615399</v>
      </c>
      <c r="CK160" s="238">
        <f t="shared" si="397"/>
        <v>0.14356777889910444</v>
      </c>
      <c r="CL160" s="238">
        <f t="shared" si="397"/>
        <v>0.1464135965962178</v>
      </c>
      <c r="CM160" s="238">
        <f t="shared" si="397"/>
        <v>0.15045680844172959</v>
      </c>
      <c r="CN160" s="61">
        <f t="shared" si="397"/>
        <v>0.15045680844172959</v>
      </c>
      <c r="CO160" s="238">
        <f t="shared" si="397"/>
        <v>0.15191970733352395</v>
      </c>
      <c r="CP160" s="238">
        <f t="shared" si="397"/>
        <v>0.15614129076038427</v>
      </c>
      <c r="CQ160" s="238">
        <f t="shared" si="397"/>
        <v>0.15997534045412357</v>
      </c>
      <c r="CR160" s="238">
        <f t="shared" si="397"/>
        <v>0.16538753876060241</v>
      </c>
      <c r="CS160" s="61">
        <f t="shared" si="397"/>
        <v>0.16538753876060241</v>
      </c>
      <c r="CT160" s="238">
        <f>CT159/CT158</f>
        <v>0.1711910561407404</v>
      </c>
      <c r="CU160" s="238">
        <f t="shared" ref="CU160:DR160" si="398">CU159/CU158</f>
        <v>0.17403677058353326</v>
      </c>
      <c r="CV160" s="238">
        <f t="shared" si="398"/>
        <v>0.17904944599804434</v>
      </c>
      <c r="CW160" s="238">
        <f t="shared" si="398"/>
        <v>0.18623654083500024</v>
      </c>
      <c r="CX160" s="61">
        <f t="shared" si="398"/>
        <v>0.18623654083500024</v>
      </c>
      <c r="CY160" s="238">
        <f t="shared" si="398"/>
        <v>0.18838432824853785</v>
      </c>
      <c r="CZ160" s="238">
        <f t="shared" si="398"/>
        <v>0.18925270603122957</v>
      </c>
      <c r="DA160" s="238">
        <f t="shared" si="398"/>
        <v>0.19163587230786763</v>
      </c>
      <c r="DB160" s="238">
        <f t="shared" si="398"/>
        <v>0.19076643687998038</v>
      </c>
      <c r="DC160" s="61">
        <f t="shared" si="398"/>
        <v>0.19076643687998038</v>
      </c>
      <c r="DD160" s="238">
        <f t="shared" si="398"/>
        <v>0.19211979932093443</v>
      </c>
      <c r="DE160" s="238">
        <f t="shared" si="398"/>
        <v>0.19242462567017304</v>
      </c>
      <c r="DF160" s="238">
        <f t="shared" si="398"/>
        <v>0.19344038597431704</v>
      </c>
      <c r="DG160" s="238">
        <f t="shared" si="398"/>
        <v>0.1985466248199701</v>
      </c>
      <c r="DH160" s="61">
        <f t="shared" si="398"/>
        <v>0.1985466248199701</v>
      </c>
      <c r="DI160" s="238">
        <f t="shared" si="398"/>
        <v>0.19877464210414617</v>
      </c>
      <c r="DJ160" s="238">
        <f t="shared" si="398"/>
        <v>0.1992892278429749</v>
      </c>
      <c r="DK160" s="238">
        <f t="shared" si="398"/>
        <v>0.20171788781942535</v>
      </c>
      <c r="DL160" s="238">
        <f t="shared" si="398"/>
        <v>0.1971036374275798</v>
      </c>
      <c r="DM160" s="61">
        <f t="shared" si="398"/>
        <v>0.1971036374275798</v>
      </c>
      <c r="DN160" s="238">
        <f t="shared" si="398"/>
        <v>0.19506764932350679</v>
      </c>
      <c r="DO160" s="238">
        <f t="shared" si="398"/>
        <v>0.19262822390052009</v>
      </c>
      <c r="DP160" s="238">
        <f t="shared" si="398"/>
        <v>0.18957416826544704</v>
      </c>
      <c r="DQ160" s="238">
        <f t="shared" si="398"/>
        <v>0.18917983963709253</v>
      </c>
      <c r="DR160" s="61">
        <f t="shared" si="398"/>
        <v>0.18917983963709253</v>
      </c>
      <c r="DS160" s="238">
        <f t="shared" ref="DS160:EB160" si="399">DS159/DS158</f>
        <v>0.18859940238140285</v>
      </c>
      <c r="DT160" s="238">
        <f t="shared" si="399"/>
        <v>0.19035762518333066</v>
      </c>
      <c r="DU160" s="238">
        <f t="shared" si="399"/>
        <v>0.19233485044744397</v>
      </c>
      <c r="DV160" s="238">
        <f t="shared" si="399"/>
        <v>0.19396467397297026</v>
      </c>
      <c r="DW160" s="61">
        <f t="shared" si="399"/>
        <v>0.19396467397297026</v>
      </c>
      <c r="DX160" s="238">
        <f t="shared" si="399"/>
        <v>0.19497315030380255</v>
      </c>
      <c r="DY160" s="238">
        <f t="shared" si="399"/>
        <v>0.19593339560913403</v>
      </c>
      <c r="DZ160" s="238">
        <f t="shared" si="399"/>
        <v>0.19742212076013485</v>
      </c>
      <c r="EA160" s="238">
        <f t="shared" si="399"/>
        <v>0.19884464529665655</v>
      </c>
      <c r="EB160" s="61">
        <f t="shared" si="399"/>
        <v>0.19884464529665655</v>
      </c>
      <c r="ED160" s="28"/>
      <c r="EE160" s="28"/>
      <c r="FJ160"/>
      <c r="FK160"/>
      <c r="FL160"/>
      <c r="FM160"/>
      <c r="FN160"/>
      <c r="FO160"/>
      <c r="FP160"/>
      <c r="FQ160"/>
      <c r="FR160"/>
    </row>
    <row r="161" spans="1:174" s="1" customFormat="1" x14ac:dyDescent="0.2">
      <c r="A161" s="27" t="s">
        <v>222</v>
      </c>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19">
        <f>BF31+BD31+BC31+BB31</f>
        <v>1212.8629999999998</v>
      </c>
      <c r="BG161" s="219">
        <f>BG31+BF31+BD31+BC31</f>
        <v>1263.8430000000001</v>
      </c>
      <c r="BH161" s="219">
        <f>BH31+BG31+BF31+BD31</f>
        <v>1291.4850000000001</v>
      </c>
      <c r="BI161" s="219">
        <f>BI31+BH31+BG31+BF31</f>
        <v>1306.6110000000003</v>
      </c>
      <c r="BJ161" s="219">
        <f>BI161</f>
        <v>1306.6110000000003</v>
      </c>
      <c r="BK161" s="219">
        <f>BK31+BI31+BH31+BG31</f>
        <v>1364.8320000000003</v>
      </c>
      <c r="BL161" s="219">
        <f>BL31+BK31+BI31+BH31</f>
        <v>1422.3820000000003</v>
      </c>
      <c r="BM161" s="219">
        <f>BM31+BL31+BK31+BI31</f>
        <v>1473.8460000000002</v>
      </c>
      <c r="BN161" s="219">
        <f>BN31+BM31+BL31+BK31</f>
        <v>1545.183</v>
      </c>
      <c r="BO161" s="219">
        <f>BN161</f>
        <v>1545.183</v>
      </c>
      <c r="BP161" s="219">
        <f>BP31+BN31+BM31+BL31</f>
        <v>1582.337</v>
      </c>
      <c r="BQ161" s="219">
        <f>BQ31+BP31+BN31+BM31</f>
        <v>1546.5639999999999</v>
      </c>
      <c r="BR161" s="219">
        <f>BR31+BQ31+BP31+BN31</f>
        <v>1299.3499999999995</v>
      </c>
      <c r="BS161" s="219">
        <f>BS31+BR31+BQ31+BP31</f>
        <v>1108.3599999999997</v>
      </c>
      <c r="BT161" s="219">
        <f>BS161</f>
        <v>1108.3599999999997</v>
      </c>
      <c r="BU161" s="219">
        <f>BU31+BS31+BR31+BQ31</f>
        <v>887.35999999999967</v>
      </c>
      <c r="BV161" s="219">
        <f>BV31+BU31+BS31+BR31</f>
        <v>737.79999999999973</v>
      </c>
      <c r="BW161" s="219">
        <f>BW31+BV31+BU31+BS31</f>
        <v>952.10000000000014</v>
      </c>
      <c r="BX161" s="219">
        <f>BX31+BW31+BV31+BU31</f>
        <v>1096.7000000000003</v>
      </c>
      <c r="BY161" s="219">
        <f>BX161</f>
        <v>1096.7000000000003</v>
      </c>
      <c r="BZ161" s="219">
        <f>BZ31+BX31+BW31+BV31</f>
        <v>1327.9000000000005</v>
      </c>
      <c r="CA161" s="219">
        <f>CA31+BZ31+BX31+BW31</f>
        <v>1621.200000000001</v>
      </c>
      <c r="CB161" s="219">
        <f>CB31+CA31+BZ31+BX31</f>
        <v>1736.4000000000008</v>
      </c>
      <c r="CC161" s="219">
        <f>CC31+CB31+CA31+BZ31</f>
        <v>1929.8000000000006</v>
      </c>
      <c r="CD161" s="219">
        <f>CC161</f>
        <v>1929.8000000000006</v>
      </c>
      <c r="CE161" s="219">
        <f>CE31+CC31+CB31+CA31</f>
        <v>2076.3000000000011</v>
      </c>
      <c r="CF161" s="219">
        <f>CF31+CE31+CC31+CB31</f>
        <v>2113.1000000000004</v>
      </c>
      <c r="CG161" s="219">
        <f>CG31+CF31+CE31+CC31</f>
        <v>2191.9000000000005</v>
      </c>
      <c r="CH161" s="219">
        <f>CH31+CG31+CF31+CE31</f>
        <v>2251.9000000000005</v>
      </c>
      <c r="CI161" s="128">
        <f>CH161</f>
        <v>2251.9000000000005</v>
      </c>
      <c r="CJ161" s="219">
        <f>CJ31+CH31+CG31+CF31</f>
        <v>2313.0000000000005</v>
      </c>
      <c r="CK161" s="219">
        <f>CK31+CJ31+CH31+CG31</f>
        <v>2375.4</v>
      </c>
      <c r="CL161" s="219">
        <f>CL31+CK31+CJ31+CH31</f>
        <v>2471.9999999999995</v>
      </c>
      <c r="CM161" s="219">
        <f>CM31+CL31+CK31+CJ31</f>
        <v>2547.8999999999996</v>
      </c>
      <c r="CN161" s="128">
        <f>CM161</f>
        <v>2547.8999999999996</v>
      </c>
      <c r="CO161" s="219">
        <f>CO31+CM31+CL31+CK31</f>
        <v>2636.5999999999995</v>
      </c>
      <c r="CP161" s="219">
        <f>CP31+CO31+CM31+CL31</f>
        <v>2766.2999999999997</v>
      </c>
      <c r="CQ161" s="219">
        <f>CQ31+CP31+CO31+CM31</f>
        <v>2906.5</v>
      </c>
      <c r="CR161" s="219">
        <f>CR31+CQ31+CP31+CO31+CR26+CQ26+CP26+CO26</f>
        <v>3080.2</v>
      </c>
      <c r="CS161" s="128">
        <f>CR161</f>
        <v>3080.2</v>
      </c>
      <c r="CT161" s="219">
        <f>CT31+CR31+CQ31+CP31+CT26+CR26+CQ26+CP26</f>
        <v>3263.7000000000003</v>
      </c>
      <c r="CU161" s="219">
        <f>CU31+CT31+CR31+CQ31+CU26+CT26+CR26+CQ26</f>
        <v>3385.0000000000009</v>
      </c>
      <c r="CV161" s="219">
        <f>CV31+CU31+CT31+CR31+CV26+CU26+CT26+CR26</f>
        <v>3565.1000000000013</v>
      </c>
      <c r="CW161" s="219">
        <f>CW31+CV31+CU31+CT31+CW26+CV26+CU26+CT26</f>
        <v>3770.4000000000015</v>
      </c>
      <c r="CX161" s="128">
        <f>CW161</f>
        <v>3770.4000000000015</v>
      </c>
      <c r="CY161" s="219">
        <f>CY31+CW31+CV31+CU31</f>
        <v>3928.9000000000015</v>
      </c>
      <c r="CZ161" s="219">
        <f>CZ31+CY31+CW31+CV31</f>
        <v>4105.0000000000018</v>
      </c>
      <c r="DA161" s="219">
        <f>DA31+CZ31+CY31+CW31</f>
        <v>4331.5000000000009</v>
      </c>
      <c r="DB161" s="219">
        <f>DB31+DA31+CZ31+CY31</f>
        <v>4494.8999999999996</v>
      </c>
      <c r="DC161" s="128">
        <f>DB161</f>
        <v>4494.8999999999996</v>
      </c>
      <c r="DD161" s="219">
        <f>DD31+DB31+DA31+CZ31</f>
        <v>4666.8999999999996</v>
      </c>
      <c r="DE161" s="219">
        <f>DE31+DD31+DB31+DA31</f>
        <v>4784.2999999999993</v>
      </c>
      <c r="DF161" s="219">
        <f>DF31+DE31+DD31+DB31</f>
        <v>4879.0999999999985</v>
      </c>
      <c r="DG161" s="219">
        <f>DG31+DF31+DE31+DD31</f>
        <v>5152.8000000000011</v>
      </c>
      <c r="DH161" s="128">
        <f>DG161</f>
        <v>5152.8000000000011</v>
      </c>
      <c r="DI161" s="219">
        <f>DI31+DG31+DF31+DE31</f>
        <v>5241.6000000000004</v>
      </c>
      <c r="DJ161" s="219">
        <f>DJ31+DI31+DG31+DF31</f>
        <v>5318.6</v>
      </c>
      <c r="DK161" s="219">
        <f>DK31+DJ31+DI31+DG31</f>
        <v>5345.5</v>
      </c>
      <c r="DL161" s="219">
        <f>DL31+DK31+DJ31+DI31</f>
        <v>5146</v>
      </c>
      <c r="DM161" s="128">
        <f>DL161</f>
        <v>5146</v>
      </c>
      <c r="DN161" s="219">
        <f>DN31+DL31+DK31+DJ31</f>
        <v>5138.6000000000013</v>
      </c>
      <c r="DO161" s="219">
        <f>DO31+DN31+DL31+DK31</f>
        <v>5242.2493327602551</v>
      </c>
      <c r="DP161" s="219">
        <f>DP31+DO31+DN31+DL31</f>
        <v>5450.9229788694593</v>
      </c>
      <c r="DQ161" s="219">
        <f>DQ31+DP31+DO31+DN31</f>
        <v>5707.7417596801979</v>
      </c>
      <c r="DR161" s="128">
        <f>DQ161</f>
        <v>5707.7417596801979</v>
      </c>
      <c r="DS161" s="219">
        <f>DS31+DQ31+DP31+DO31</f>
        <v>5886.6204271015376</v>
      </c>
      <c r="DT161" s="219">
        <f>DT31+DS31+DQ31+DP31</f>
        <v>6054.2703587004025</v>
      </c>
      <c r="DU161" s="219">
        <f>DU31+DT31+DS31+DQ31</f>
        <v>6238.5113440689693</v>
      </c>
      <c r="DV161" s="219">
        <f>DV31+DU31+DT31+DS31</f>
        <v>6418.8826380221835</v>
      </c>
      <c r="DW161" s="128">
        <f>DV161</f>
        <v>6418.8826380221835</v>
      </c>
      <c r="DX161" s="219">
        <f>DX31+DV31+DU31+DT31</f>
        <v>6591.595738973162</v>
      </c>
      <c r="DY161" s="219">
        <f>DY31+DX31+DV31+DU31</f>
        <v>6763.8928713212408</v>
      </c>
      <c r="DZ161" s="219">
        <f>DZ31+DY31+DX31+DV31</f>
        <v>6959.6352064615703</v>
      </c>
      <c r="EA161" s="219">
        <f>EA31+DZ31+DY31+DX31</f>
        <v>7155.6198365547671</v>
      </c>
      <c r="EB161" s="128">
        <f>EA161</f>
        <v>7155.6198365547671</v>
      </c>
      <c r="ED161" s="28"/>
      <c r="EE161" s="28"/>
      <c r="FJ161"/>
      <c r="FK161"/>
      <c r="FL161"/>
      <c r="FM161"/>
      <c r="FN161"/>
      <c r="FO161"/>
      <c r="FP161"/>
      <c r="FQ161"/>
      <c r="FR161"/>
    </row>
    <row r="162" spans="1:174" s="1" customFormat="1" x14ac:dyDescent="0.2">
      <c r="A162" s="27" t="s">
        <v>554</v>
      </c>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164">
        <f>BF50+BD50+BC50+BB50</f>
        <v>0.32598067617683163</v>
      </c>
      <c r="BG162" s="164">
        <f>BG50+BF50+BD50+BC50</f>
        <v>0.34543231717107664</v>
      </c>
      <c r="BH162" s="164">
        <f>BH50+BG50+BF50+BD50</f>
        <v>0.35890161573598567</v>
      </c>
      <c r="BI162" s="164">
        <f>BI50+BH50+BG50+BF50</f>
        <v>0.36684189466899397</v>
      </c>
      <c r="BJ162" s="164">
        <f>BI162</f>
        <v>0.36684189466899397</v>
      </c>
      <c r="BK162" s="164">
        <f>BK50+BI50+BH50+BG50</f>
        <v>0.38795961093545489</v>
      </c>
      <c r="BL162" s="164">
        <f>BL50+BK50+BI50+BH50</f>
        <v>0.40528259385998405</v>
      </c>
      <c r="BM162" s="164">
        <f>BM50+BL50+BK50+BI50</f>
        <v>0.41783548104050938</v>
      </c>
      <c r="BN162" s="164">
        <f>BN50+BM50+BL50+BK50</f>
        <v>0.43647708160563609</v>
      </c>
      <c r="BO162" s="164">
        <f>BN162</f>
        <v>0.43647708160563609</v>
      </c>
      <c r="BP162" s="164">
        <f>BP50+BN50+BM50+BL50</f>
        <v>0.44520571997910513</v>
      </c>
      <c r="BQ162" s="164">
        <f>BQ50+BP50+BN50+BM50</f>
        <v>0.43625921819129493</v>
      </c>
      <c r="BR162" s="164">
        <f>BR50+BQ50+BP50+BN50</f>
        <v>0.41158022279555739</v>
      </c>
      <c r="BS162" s="164">
        <f>BS50+BR50+BQ50+BP50</f>
        <v>0.35509759647261002</v>
      </c>
      <c r="BT162" s="164">
        <f>BS162</f>
        <v>0.35509759647261002</v>
      </c>
      <c r="BU162" s="164">
        <f>BU50+BS50+BR50+BQ50</f>
        <v>0.28955864699068751</v>
      </c>
      <c r="BV162" s="164">
        <f>BV50+BU50+BS50+BR50</f>
        <v>0.28297317184404119</v>
      </c>
      <c r="BW162" s="164">
        <f>BW50+BV50+BU50+BS50</f>
        <v>0.32221834781662612</v>
      </c>
      <c r="BX162" s="164">
        <f>BX50+BW50+BV50+BU50</f>
        <v>0.39838053260937972</v>
      </c>
      <c r="BY162" s="164">
        <f>BX162</f>
        <v>0.39838053260937972</v>
      </c>
      <c r="BZ162" s="164">
        <f>BZ50+BX50+BW50+BV50</f>
        <v>0.49090296980777437</v>
      </c>
      <c r="CA162" s="164">
        <f>CA50+BZ50+BX50+BW50</f>
        <v>0.55445574081285354</v>
      </c>
      <c r="CB162" s="164">
        <f>CB50+CA50+BZ50+BX50</f>
        <v>0.58078276182783584</v>
      </c>
      <c r="CC162" s="164">
        <f>CC50+CB50+CA50+BZ50</f>
        <v>0.64281157263063382</v>
      </c>
      <c r="CD162" s="164">
        <f>CC162</f>
        <v>0.64281157263063382</v>
      </c>
      <c r="CE162" s="164">
        <f>CE50+CC50+CB50+CA50</f>
        <v>0.70217855667480589</v>
      </c>
      <c r="CF162" s="164">
        <f>CF50+CE50+CC50+CB50</f>
        <v>0.72619678279396049</v>
      </c>
      <c r="CG162" s="164">
        <f>CG50+CF50+CE50+CC50</f>
        <v>0.94161611238832599</v>
      </c>
      <c r="CH162" s="164">
        <f>CH50+CG50+CF50+CE50</f>
        <v>0.93875419194955556</v>
      </c>
      <c r="CI162" s="167">
        <f>CH162</f>
        <v>0.93875419194955556</v>
      </c>
      <c r="CJ162" s="164">
        <f>CJ50+CH50+CG50+CF50</f>
        <v>0.96132171235127373</v>
      </c>
      <c r="CK162" s="164">
        <f>CK50+CJ50+CH50+CG50</f>
        <v>0.99222277153208904</v>
      </c>
      <c r="CL162" s="164">
        <f>CL50+CK50+CJ50+CH50</f>
        <v>0.84662802384928781</v>
      </c>
      <c r="CM162" s="164">
        <f>CM50+CL50+CK50+CJ50</f>
        <v>0.89544349518571287</v>
      </c>
      <c r="CN162" s="167">
        <f>CM162</f>
        <v>0.89544349518571287</v>
      </c>
      <c r="CO162" s="164">
        <f>CO50+CM50+CL50+CK50</f>
        <v>0.93069888521856492</v>
      </c>
      <c r="CP162" s="164">
        <f>CP50+CO50+CM50+CL50</f>
        <v>0.97030810654258159</v>
      </c>
      <c r="CQ162" s="164">
        <f>CQ50+CP50+CO50+CM50</f>
        <v>1.0300858178689059</v>
      </c>
      <c r="CR162" s="164">
        <f>CR50+CQ50+CP50+CO50</f>
        <v>1.0964794617932085</v>
      </c>
      <c r="CS162" s="167">
        <f>CR162</f>
        <v>1.0964794617932085</v>
      </c>
      <c r="CT162" s="164">
        <f>CT50+CR50+CQ50+CP50</f>
        <v>1.1567633315321963</v>
      </c>
      <c r="CU162" s="164">
        <f>CU50+CT50+CR50+CQ50</f>
        <v>1.1959446708158588</v>
      </c>
      <c r="CV162" s="164">
        <f>CV50+CU50+CT50+CR50</f>
        <v>1.2584896966598522</v>
      </c>
      <c r="CW162" s="164">
        <f>CW50+CV50+CU50+CT50</f>
        <v>1.3162064471966586</v>
      </c>
      <c r="CX162" s="167">
        <f>CW162</f>
        <v>1.3162064471966586</v>
      </c>
      <c r="CY162" s="164">
        <f>CY50+CW50+CV50+CU50</f>
        <v>1.3719865068185912</v>
      </c>
      <c r="CZ162" s="164">
        <f>CZ50+CY50+CW50+CV50</f>
        <v>1.4242688040189782</v>
      </c>
      <c r="DA162" s="164">
        <f>DA50+CZ50+CY50+CW50</f>
        <v>1.5059112533215084</v>
      </c>
      <c r="DB162" s="164">
        <f>DB50+DA50+CZ50+CY50</f>
        <v>1.5834377065590612</v>
      </c>
      <c r="DC162" s="167">
        <f>DB162</f>
        <v>1.5834377065590612</v>
      </c>
      <c r="DD162" s="164">
        <f>DD50+DB50+DA50+CZ50</f>
        <v>1.6462718121912268</v>
      </c>
      <c r="DE162" s="164">
        <f>DE50+DD50+DB50+DA50</f>
        <v>1.7079285285953214</v>
      </c>
      <c r="DF162" s="164">
        <f>DF50+DE50+DD50+DB50</f>
        <v>1.7793262233819664</v>
      </c>
      <c r="DG162" s="164">
        <f>DG50+DF50+DE50+DD50</f>
        <v>1.9074292681437859</v>
      </c>
      <c r="DH162" s="167">
        <f>DG162</f>
        <v>1.9074292681437859</v>
      </c>
      <c r="DI162" s="164">
        <f>DI50+DG50+DF50+DE50</f>
        <v>1.9622447407738086</v>
      </c>
      <c r="DJ162" s="164">
        <f>DJ50+DI50+DG50+DF50</f>
        <v>2.0210712940960152</v>
      </c>
      <c r="DK162" s="164">
        <f>DK50+DJ50+DI50+DG50</f>
        <v>2.0787610199135953</v>
      </c>
      <c r="DL162" s="164">
        <f>DL50+DK50+DJ50+DI50</f>
        <v>2.0703025117734439</v>
      </c>
      <c r="DM162" s="167">
        <f>DL162</f>
        <v>2.0703025117734439</v>
      </c>
      <c r="DN162" s="164">
        <f>DN50+DL50+DK50+DJ50</f>
        <v>2.2012532850514903</v>
      </c>
      <c r="DO162" s="164">
        <f>DO50+DN50+DL50+DK50</f>
        <v>2.2763038965113358</v>
      </c>
      <c r="DP162" s="164">
        <f>DP50+DO50+DN50+DL50</f>
        <v>2.3726416576873013</v>
      </c>
      <c r="DQ162" s="164">
        <f>DQ50+DP50+DO50+DN50</f>
        <v>2.4817659280762827</v>
      </c>
      <c r="DR162" s="167">
        <f>DQ162</f>
        <v>2.4817659280762827</v>
      </c>
      <c r="DS162" s="164">
        <f>DS50+DQ50+DP50+DO50</f>
        <v>2.5057241004731732</v>
      </c>
      <c r="DT162" s="164">
        <f>DT50+DS50+DQ50+DP50</f>
        <v>2.5959710632135762</v>
      </c>
      <c r="DU162" s="164">
        <f>DU50+DT50+DS50+DQ50</f>
        <v>2.6981542202500215</v>
      </c>
      <c r="DV162" s="164">
        <f>DV50+DU50+DT50+DS50</f>
        <v>2.7974584130922957</v>
      </c>
      <c r="DW162" s="167">
        <f>DV162</f>
        <v>2.7974584130922957</v>
      </c>
      <c r="DX162" s="164">
        <f>DX50+DV50+DU50+DT50</f>
        <v>2.8896289142607712</v>
      </c>
      <c r="DY162" s="164">
        <f>DY50+DX50+DV50+DU50</f>
        <v>2.9782985331023615</v>
      </c>
      <c r="DZ162" s="164">
        <f>DZ50+DY50+DX50+DV50</f>
        <v>3.0824170416817269</v>
      </c>
      <c r="EA162" s="164">
        <f>EA50+DZ50+DY50+DX50</f>
        <v>3.1885976086326884</v>
      </c>
      <c r="EB162" s="167">
        <f>EA162</f>
        <v>3.1885976086326884</v>
      </c>
      <c r="ED162" s="28"/>
      <c r="EE162" s="28"/>
      <c r="FJ162"/>
      <c r="FK162"/>
      <c r="FL162"/>
      <c r="FM162"/>
      <c r="FN162"/>
      <c r="FO162"/>
      <c r="FP162"/>
      <c r="FQ162"/>
      <c r="FR162"/>
    </row>
    <row r="163" spans="1:174" s="1" customFormat="1" x14ac:dyDescent="0.2">
      <c r="A163" s="27" t="s">
        <v>555</v>
      </c>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521">
        <f>AQ25+AO25+AN25+AM25</f>
        <v>203.97499999999999</v>
      </c>
      <c r="AR163" s="521">
        <f>AR25+AQ25+AO25+AN25</f>
        <v>214.21300000000002</v>
      </c>
      <c r="AS163" s="521">
        <f>AS25+AR25+AQ25+AO25</f>
        <v>216.541</v>
      </c>
      <c r="AT163" s="521">
        <f>AT25+AS25+AR25+AQ25</f>
        <v>226.89100000000002</v>
      </c>
      <c r="AU163" s="521">
        <f>AT163</f>
        <v>226.89100000000002</v>
      </c>
      <c r="AV163" s="521">
        <f>AV25+AT25+AS25+AR25</f>
        <v>236.36499999999998</v>
      </c>
      <c r="AW163" s="521">
        <f>AW25+AV25+AT25+AS25</f>
        <v>256.79500000000002</v>
      </c>
      <c r="AX163" s="521">
        <f>AX25+AW25+AV25+AT25</f>
        <v>280.827</v>
      </c>
      <c r="AY163" s="521">
        <f>AY25+AX25+AW25+AV25</f>
        <v>304.29300000000001</v>
      </c>
      <c r="AZ163" s="521">
        <f>AY163</f>
        <v>304.29300000000001</v>
      </c>
      <c r="BA163" s="521">
        <f>BA25+AY25+AX25+AW25</f>
        <v>317.47500000000002</v>
      </c>
      <c r="BB163" s="521">
        <f>BB25+BA25+AY25+AX25</f>
        <v>319.42200000000003</v>
      </c>
      <c r="BC163" s="521">
        <f>BC25+BB25+BA25+AY25</f>
        <v>336.702</v>
      </c>
      <c r="BD163" s="521">
        <f>BD25+BC25+BB25+BA25</f>
        <v>357.11399999999998</v>
      </c>
      <c r="BE163" s="521">
        <f>BD163</f>
        <v>357.11399999999998</v>
      </c>
      <c r="BF163" s="521">
        <f>BF25+BD25+BC25+BB25</f>
        <v>396.84000000000003</v>
      </c>
      <c r="BG163" s="521">
        <f>BG25+BF25+BD25+BC25</f>
        <v>434.52199999999999</v>
      </c>
      <c r="BH163" s="521">
        <f>BH25+BG25+BF25+BD25</f>
        <v>459.14300000000003</v>
      </c>
      <c r="BI163" s="521">
        <f>BI25+BH25+BG25+BF25</f>
        <v>473.02299999999997</v>
      </c>
      <c r="BJ163" s="521">
        <f>BI163</f>
        <v>473.02299999999997</v>
      </c>
      <c r="BK163" s="521">
        <f>BK25+BI25+BH25+BG25</f>
        <v>464.92599999999999</v>
      </c>
      <c r="BL163" s="521">
        <f>BL25+BK25+BI25+BH25</f>
        <v>471.41899999999998</v>
      </c>
      <c r="BM163" s="521">
        <f>BM25+BL25+BK25+BI25</f>
        <v>475.68600000000004</v>
      </c>
      <c r="BN163" s="521">
        <f>BN25+BM25+BL25+BK25</f>
        <v>484.16899999999998</v>
      </c>
      <c r="BO163" s="521">
        <f>BN163</f>
        <v>484.16899999999998</v>
      </c>
      <c r="BP163" s="521">
        <f>BP25+BN25+BM25+BL25</f>
        <v>494.84099999999995</v>
      </c>
      <c r="BQ163" s="521">
        <f>BQ25+BP25+BN25+BM25</f>
        <v>486.33699999999999</v>
      </c>
      <c r="BR163" s="521">
        <f>BR25+BQ25+BP25+BN25</f>
        <v>482.91200000000003</v>
      </c>
      <c r="BS163" s="521">
        <f>BS25+BR25+BQ25+BP25</f>
        <v>456</v>
      </c>
      <c r="BT163" s="521">
        <f>BS163</f>
        <v>456</v>
      </c>
      <c r="BU163" s="521">
        <f>BU25+BS25+BR25+BQ25</f>
        <v>435.30000000000007</v>
      </c>
      <c r="BV163" s="521">
        <f>BV25+BU25+BS25+BR25</f>
        <v>422</v>
      </c>
      <c r="BW163" s="521">
        <f>BW25+BV25+BU25+BS25</f>
        <v>416.20000000000005</v>
      </c>
      <c r="BX163" s="521">
        <f>BX25+BW25+BV25+BU25</f>
        <v>453</v>
      </c>
      <c r="BY163" s="521">
        <f>BX163</f>
        <v>453</v>
      </c>
      <c r="BZ163" s="521">
        <f>BZ25+BX25+BW25+BV25</f>
        <v>484.70000000000005</v>
      </c>
      <c r="CA163" s="521">
        <f>CA25+BZ25+BX25+BW25</f>
        <v>519.4</v>
      </c>
      <c r="CB163" s="521">
        <f>CB25+CA25+BZ25+BX25</f>
        <v>541.79999999999995</v>
      </c>
      <c r="CC163" s="521">
        <f>CC25+CB25+CA25+BZ25</f>
        <v>569.5</v>
      </c>
      <c r="CD163" s="521">
        <f>CC163</f>
        <v>569.5</v>
      </c>
      <c r="CE163" s="521">
        <f>CE25+CC25+CB25+CA25</f>
        <v>617.79999999999995</v>
      </c>
      <c r="CF163" s="521">
        <f>CF25+CE25+CC25+CB25</f>
        <v>660.39999999999986</v>
      </c>
      <c r="CG163" s="521">
        <f>CG25+CF25+CE25+CC25</f>
        <v>717.9</v>
      </c>
      <c r="CH163" s="521">
        <f>CH25+CG25+CF25+CE25</f>
        <v>749.3</v>
      </c>
      <c r="CI163" s="392">
        <f>CH163</f>
        <v>749.3</v>
      </c>
      <c r="CJ163" s="521">
        <f>CJ25+CH25+CG25+CF25</f>
        <v>755.6</v>
      </c>
      <c r="CK163" s="521">
        <f>CK25+CJ25+CH25+CG25</f>
        <v>780.90000000000009</v>
      </c>
      <c r="CL163" s="521">
        <f>CL25+CK25+CJ25+CH25</f>
        <v>789.7</v>
      </c>
      <c r="CM163" s="521">
        <f>CM25+CL25+CK25+CJ25</f>
        <v>801.2</v>
      </c>
      <c r="CN163" s="392">
        <f>CM163</f>
        <v>801.2</v>
      </c>
      <c r="CO163" s="521">
        <f>CO25+CM25+CL25+CK25</f>
        <v>841.6</v>
      </c>
      <c r="CP163" s="521">
        <f>CP25+CO25+CM25+CL25</f>
        <v>865</v>
      </c>
      <c r="CQ163" s="521">
        <f>CQ25+CP25+CO25+CM25</f>
        <v>915.59999999999991</v>
      </c>
      <c r="CR163" s="521">
        <f>CR25+CQ25+CP25+CO25</f>
        <v>937.9</v>
      </c>
      <c r="CS163" s="392">
        <f>CR163</f>
        <v>937.9</v>
      </c>
      <c r="CT163" s="521">
        <f>CT25+CR25+CQ25+CP25</f>
        <v>948.59999999999991</v>
      </c>
      <c r="CU163" s="521">
        <f>CU25+CT25+CR25+CQ25</f>
        <v>958.9</v>
      </c>
      <c r="CV163" s="521">
        <f>CV25+CU25+CT25+CR25</f>
        <v>978.7</v>
      </c>
      <c r="CW163" s="521">
        <f>CW25+CV25+CU25+CT25</f>
        <v>991.2</v>
      </c>
      <c r="CX163" s="392">
        <f>CW163</f>
        <v>991.2</v>
      </c>
      <c r="CY163" s="521">
        <f>CY25+CW25+CV25+CU25</f>
        <v>1047</v>
      </c>
      <c r="CZ163" s="521">
        <f>CZ25+CY25+CW25+CV25</f>
        <v>1112.3</v>
      </c>
      <c r="DA163" s="521">
        <f>DA25+CZ25+CY25+CW25</f>
        <v>1131.3999999999999</v>
      </c>
      <c r="DB163" s="521">
        <f>DB25+DA25+CZ25+CY25</f>
        <v>1196.6999999999998</v>
      </c>
      <c r="DC163" s="392">
        <f>DB163</f>
        <v>1196.6999999999998</v>
      </c>
      <c r="DD163" s="521">
        <f>DD25+DB25+DA25+CZ25</f>
        <v>1203.8</v>
      </c>
      <c r="DE163" s="521">
        <f>DE25+DD25+DB25+DA25</f>
        <v>1228.4000000000001</v>
      </c>
      <c r="DF163" s="521">
        <f>DF25+DE25+DD25+DB25</f>
        <v>1263.3</v>
      </c>
      <c r="DG163" s="521">
        <f>DG25+DF25+DE25+DD25</f>
        <v>1360.6</v>
      </c>
      <c r="DH163" s="392">
        <f>DG163</f>
        <v>1360.6</v>
      </c>
      <c r="DI163" s="521">
        <f>DI25+DG25+DF25+DE25</f>
        <v>1411.5</v>
      </c>
      <c r="DJ163" s="521">
        <f>DJ25+DI25+DG25+DF25</f>
        <v>1407.8000000000002</v>
      </c>
      <c r="DK163" s="521">
        <f>DK25+DJ25+DI25+DG25</f>
        <v>1409.3999999999999</v>
      </c>
      <c r="DL163" s="521">
        <f>DL25+DK25+DJ25+DI25</f>
        <v>1393.4</v>
      </c>
      <c r="DM163" s="392">
        <f>DL163</f>
        <v>1393.4</v>
      </c>
      <c r="DN163" s="521">
        <f>DN25+DL25+DK25+DJ25</f>
        <v>1416.1</v>
      </c>
      <c r="DO163" s="521">
        <f>DO25+DN25+DL25+DK25</f>
        <v>1428.6895690810195</v>
      </c>
      <c r="DP163" s="521">
        <f>DP25+DO25+DN25+DL25</f>
        <v>1462.8498909462905</v>
      </c>
      <c r="DQ163" s="521">
        <f>DQ25+DP25+DO25+DN25</f>
        <v>1438.5923898860356</v>
      </c>
      <c r="DR163" s="392">
        <f>DQ163</f>
        <v>1438.5923898860356</v>
      </c>
      <c r="DS163" s="521">
        <f>DS25+DQ25+DP25+DO25</f>
        <v>1488.7667132943948</v>
      </c>
      <c r="DT163" s="521">
        <f>DT25+DS25+DQ25+DP25</f>
        <v>1530.0461674309165</v>
      </c>
      <c r="DU163" s="521">
        <f>DU25+DT25+DS25+DQ25</f>
        <v>1574.2167720106002</v>
      </c>
      <c r="DV163" s="521">
        <f>DV25+DU25+DT25+DS25</f>
        <v>1618.1086050776357</v>
      </c>
      <c r="DW163" s="392">
        <f>DV163</f>
        <v>1618.1086050776357</v>
      </c>
      <c r="DX163" s="521">
        <f>DX25+DV25+DU25+DT25</f>
        <v>1666.7882233335763</v>
      </c>
      <c r="DY163" s="521">
        <f>DY25+DX25+DV25+DU25</f>
        <v>1710.2364248064205</v>
      </c>
      <c r="DZ163" s="521">
        <f>DZ25+DY25+DX25+DV25</f>
        <v>1756.1472273842555</v>
      </c>
      <c r="EA163" s="521">
        <f>EA25+DZ25+DY25+DX25</f>
        <v>1801.4695078281293</v>
      </c>
      <c r="EB163" s="392">
        <f>EA163</f>
        <v>1801.4695078281293</v>
      </c>
      <c r="ED163" s="28"/>
      <c r="EE163" s="28"/>
      <c r="FJ163"/>
      <c r="FK163"/>
      <c r="FL163"/>
      <c r="FM163"/>
      <c r="FN163"/>
      <c r="FO163"/>
      <c r="FP163"/>
      <c r="FQ163"/>
      <c r="FR163"/>
    </row>
    <row r="164" spans="1:174" s="1" customFormat="1" x14ac:dyDescent="0.2">
      <c r="A164" s="27"/>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38">
        <f t="shared" ref="AV164:CA164" si="400">AV163/AQ163-1</f>
        <v>0.15879396984924621</v>
      </c>
      <c r="AW164" s="238">
        <f t="shared" si="400"/>
        <v>0.19878345385200702</v>
      </c>
      <c r="AX164" s="238">
        <f t="shared" si="400"/>
        <v>0.29687680393089533</v>
      </c>
      <c r="AY164" s="238">
        <f t="shared" si="400"/>
        <v>0.3411417817366047</v>
      </c>
      <c r="AZ164" s="238">
        <f t="shared" si="400"/>
        <v>0.3411417817366047</v>
      </c>
      <c r="BA164" s="238">
        <f t="shared" si="400"/>
        <v>0.34315571256319699</v>
      </c>
      <c r="BB164" s="238">
        <f t="shared" si="400"/>
        <v>0.24387935902178781</v>
      </c>
      <c r="BC164" s="238">
        <f t="shared" si="400"/>
        <v>0.19896591139740827</v>
      </c>
      <c r="BD164" s="238">
        <f t="shared" si="400"/>
        <v>0.17358598456093288</v>
      </c>
      <c r="BE164" s="238">
        <f t="shared" si="400"/>
        <v>0.17358598456093288</v>
      </c>
      <c r="BF164" s="238">
        <f t="shared" si="400"/>
        <v>0.24998818804630285</v>
      </c>
      <c r="BG164" s="238">
        <f t="shared" si="400"/>
        <v>0.36033836116485385</v>
      </c>
      <c r="BH164" s="238">
        <f t="shared" si="400"/>
        <v>0.36364797357901057</v>
      </c>
      <c r="BI164" s="238">
        <f t="shared" si="400"/>
        <v>0.32457142537117001</v>
      </c>
      <c r="BJ164" s="238">
        <f t="shared" si="400"/>
        <v>0.32457142537117001</v>
      </c>
      <c r="BK164" s="238">
        <f t="shared" si="400"/>
        <v>0.17157040620905128</v>
      </c>
      <c r="BL164" s="238">
        <f t="shared" si="400"/>
        <v>8.4913997450071665E-2</v>
      </c>
      <c r="BM164" s="238">
        <f t="shared" si="400"/>
        <v>3.6030169250102828E-2</v>
      </c>
      <c r="BN164" s="238">
        <f t="shared" si="400"/>
        <v>2.3563336243692223E-2</v>
      </c>
      <c r="BO164" s="238">
        <f t="shared" si="400"/>
        <v>2.3563336243692223E-2</v>
      </c>
      <c r="BP164" s="238">
        <f t="shared" si="400"/>
        <v>6.4343572955696038E-2</v>
      </c>
      <c r="BQ164" s="238">
        <f t="shared" si="400"/>
        <v>3.1644884911299798E-2</v>
      </c>
      <c r="BR164" s="238">
        <f t="shared" si="400"/>
        <v>1.5190693020185497E-2</v>
      </c>
      <c r="BS164" s="238">
        <f t="shared" si="400"/>
        <v>-5.8180098271471303E-2</v>
      </c>
      <c r="BT164" s="238">
        <f t="shared" si="400"/>
        <v>-5.8180098271471303E-2</v>
      </c>
      <c r="BU164" s="238">
        <f t="shared" si="400"/>
        <v>-0.12032349785082463</v>
      </c>
      <c r="BV164" s="238">
        <f t="shared" si="400"/>
        <v>-0.13228892722536012</v>
      </c>
      <c r="BW164" s="238">
        <f t="shared" si="400"/>
        <v>-0.13814525213703532</v>
      </c>
      <c r="BX164" s="238">
        <f t="shared" si="400"/>
        <v>-6.5789473684210176E-3</v>
      </c>
      <c r="BY164" s="238">
        <f t="shared" si="400"/>
        <v>-6.5789473684210176E-3</v>
      </c>
      <c r="BZ164" s="238">
        <f t="shared" si="400"/>
        <v>0.11348495290604177</v>
      </c>
      <c r="CA164" s="238">
        <f t="shared" si="400"/>
        <v>0.23080568720379135</v>
      </c>
      <c r="CB164" s="238">
        <f t="shared" ref="CB164:DG164" si="401">CB163/BW163-1</f>
        <v>0.30177799135031202</v>
      </c>
      <c r="CC164" s="238">
        <f t="shared" si="401"/>
        <v>0.25717439293598243</v>
      </c>
      <c r="CD164" s="238">
        <f t="shared" si="401"/>
        <v>0.25717439293598243</v>
      </c>
      <c r="CE164" s="238">
        <f t="shared" si="401"/>
        <v>0.27460284712193084</v>
      </c>
      <c r="CF164" s="238">
        <f t="shared" si="401"/>
        <v>0.27146707739699627</v>
      </c>
      <c r="CG164" s="238">
        <f t="shared" si="401"/>
        <v>0.32502768549280181</v>
      </c>
      <c r="CH164" s="238">
        <f t="shared" si="401"/>
        <v>0.31571553994732215</v>
      </c>
      <c r="CI164" s="61">
        <f t="shared" si="401"/>
        <v>0.31571553994732215</v>
      </c>
      <c r="CJ164" s="238">
        <f t="shared" si="401"/>
        <v>0.22304953059242494</v>
      </c>
      <c r="CK164" s="238">
        <f t="shared" si="401"/>
        <v>0.18246517262265338</v>
      </c>
      <c r="CL164" s="238">
        <f t="shared" si="401"/>
        <v>0.10001392951664578</v>
      </c>
      <c r="CM164" s="238">
        <f t="shared" si="401"/>
        <v>6.9264647003870472E-2</v>
      </c>
      <c r="CN164" s="61">
        <f t="shared" si="401"/>
        <v>6.9264647003870472E-2</v>
      </c>
      <c r="CO164" s="238">
        <f t="shared" si="401"/>
        <v>0.11381683430386458</v>
      </c>
      <c r="CP164" s="238">
        <f t="shared" si="401"/>
        <v>0.10769624791906751</v>
      </c>
      <c r="CQ164" s="238">
        <f t="shared" si="401"/>
        <v>0.15942763074585264</v>
      </c>
      <c r="CR164" s="238">
        <f t="shared" si="401"/>
        <v>0.17061907139291055</v>
      </c>
      <c r="CS164" s="61">
        <f t="shared" si="401"/>
        <v>0.17061907139291055</v>
      </c>
      <c r="CT164" s="238">
        <f t="shared" si="401"/>
        <v>0.12713878326996175</v>
      </c>
      <c r="CU164" s="238">
        <f t="shared" si="401"/>
        <v>0.10855491329479761</v>
      </c>
      <c r="CV164" s="238">
        <f t="shared" si="401"/>
        <v>6.8916557448667648E-2</v>
      </c>
      <c r="CW164" s="238">
        <f t="shared" si="401"/>
        <v>5.6829086256530603E-2</v>
      </c>
      <c r="CX164" s="61">
        <f t="shared" si="401"/>
        <v>5.6829086256530603E-2</v>
      </c>
      <c r="CY164" s="238">
        <f t="shared" si="401"/>
        <v>0.10373181530676789</v>
      </c>
      <c r="CZ164" s="238">
        <f t="shared" si="401"/>
        <v>0.15997497132130567</v>
      </c>
      <c r="DA164" s="238">
        <f t="shared" si="401"/>
        <v>0.15602329620925692</v>
      </c>
      <c r="DB164" s="238">
        <f t="shared" si="401"/>
        <v>0.20732445520581089</v>
      </c>
      <c r="DC164" s="61">
        <f t="shared" si="401"/>
        <v>0.20732445520581089</v>
      </c>
      <c r="DD164" s="238">
        <f t="shared" si="401"/>
        <v>0.14976122254059221</v>
      </c>
      <c r="DE164" s="238">
        <f t="shared" si="401"/>
        <v>0.10437831520273311</v>
      </c>
      <c r="DF164" s="238">
        <f t="shared" si="401"/>
        <v>0.11658122679865657</v>
      </c>
      <c r="DG164" s="238">
        <f t="shared" si="401"/>
        <v>0.13695997325979792</v>
      </c>
      <c r="DH164" s="61">
        <f t="shared" ref="DH164:DR164" si="402">DH163/DC163-1</f>
        <v>0.13695997325979792</v>
      </c>
      <c r="DI164" s="238">
        <f t="shared" si="402"/>
        <v>0.17253696627346748</v>
      </c>
      <c r="DJ164" s="238">
        <f t="shared" si="402"/>
        <v>0.14604363399544118</v>
      </c>
      <c r="DK164" s="238">
        <f t="shared" si="402"/>
        <v>0.11564948943243869</v>
      </c>
      <c r="DL164" s="238">
        <f t="shared" si="402"/>
        <v>2.4107011612523932E-2</v>
      </c>
      <c r="DM164" s="61">
        <f t="shared" si="402"/>
        <v>2.4107011612523932E-2</v>
      </c>
      <c r="DN164" s="238">
        <f t="shared" si="402"/>
        <v>3.2589443854056377E-3</v>
      </c>
      <c r="DO164" s="238">
        <f t="shared" si="402"/>
        <v>1.4838449411151755E-2</v>
      </c>
      <c r="DP164" s="238">
        <f t="shared" si="402"/>
        <v>3.7923861888953248E-2</v>
      </c>
      <c r="DQ164" s="238">
        <f t="shared" si="402"/>
        <v>3.2433177756592046E-2</v>
      </c>
      <c r="DR164" s="61">
        <f t="shared" si="402"/>
        <v>3.2433177756592046E-2</v>
      </c>
      <c r="DS164" s="238">
        <f t="shared" ref="DS164:EB164" si="403">DS163/DN163-1</f>
        <v>5.1314676431321926E-2</v>
      </c>
      <c r="DT164" s="238">
        <f t="shared" si="403"/>
        <v>7.0943751913225661E-2</v>
      </c>
      <c r="DU164" s="238">
        <f t="shared" si="403"/>
        <v>7.6130081256846172E-2</v>
      </c>
      <c r="DV164" s="238">
        <f t="shared" si="403"/>
        <v>0.12478601753608709</v>
      </c>
      <c r="DW164" s="61">
        <f t="shared" si="403"/>
        <v>0.12478601753608709</v>
      </c>
      <c r="DX164" s="238">
        <f t="shared" si="403"/>
        <v>0.11957649808360471</v>
      </c>
      <c r="DY164" s="238">
        <f t="shared" si="403"/>
        <v>0.1177678564288418</v>
      </c>
      <c r="DZ164" s="238">
        <f t="shared" si="403"/>
        <v>0.11556887120526138</v>
      </c>
      <c r="EA164" s="238">
        <f t="shared" si="403"/>
        <v>0.11331804439770354</v>
      </c>
      <c r="EB164" s="61">
        <f t="shared" si="403"/>
        <v>0.11331804439770354</v>
      </c>
      <c r="ED164" s="28"/>
      <c r="EE164" s="28"/>
      <c r="FJ164"/>
      <c r="FK164"/>
      <c r="FL164"/>
      <c r="FM164"/>
      <c r="FN164"/>
      <c r="FO164"/>
      <c r="FP164"/>
      <c r="FQ164"/>
      <c r="FR164"/>
    </row>
    <row r="165" spans="1:174" s="1" customFormat="1" x14ac:dyDescent="0.2">
      <c r="A165" s="27" t="s">
        <v>556</v>
      </c>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38">
        <f t="shared" ref="AG165:BL165" si="404">AG159/AG158</f>
        <v>0.10089725313662889</v>
      </c>
      <c r="AH165" s="238">
        <f t="shared" si="404"/>
        <v>0.10223632345094397</v>
      </c>
      <c r="AI165" s="238">
        <f t="shared" si="404"/>
        <v>0.10470595728319014</v>
      </c>
      <c r="AJ165" s="238">
        <f t="shared" si="404"/>
        <v>0.10611405144621708</v>
      </c>
      <c r="AK165" s="238">
        <f t="shared" si="404"/>
        <v>0.10611405144621708</v>
      </c>
      <c r="AL165" s="238">
        <f t="shared" si="404"/>
        <v>0.10658617660736125</v>
      </c>
      <c r="AM165" s="238">
        <f t="shared" si="404"/>
        <v>0.10630234656088344</v>
      </c>
      <c r="AN165" s="238">
        <f t="shared" si="404"/>
        <v>0.10552201785531883</v>
      </c>
      <c r="AO165" s="238">
        <f t="shared" si="404"/>
        <v>0.10169059152764376</v>
      </c>
      <c r="AP165" s="238">
        <f t="shared" si="404"/>
        <v>0.10169059152764376</v>
      </c>
      <c r="AQ165" s="238">
        <f t="shared" si="404"/>
        <v>0.10417685302310026</v>
      </c>
      <c r="AR165" s="238">
        <f t="shared" si="404"/>
        <v>0.10451990220027509</v>
      </c>
      <c r="AS165" s="238">
        <f t="shared" si="404"/>
        <v>0.10393488519591906</v>
      </c>
      <c r="AT165" s="238">
        <f t="shared" si="404"/>
        <v>0.10421050462014547</v>
      </c>
      <c r="AU165" s="238">
        <f t="shared" si="404"/>
        <v>0.10421050462014547</v>
      </c>
      <c r="AV165" s="238">
        <f t="shared" si="404"/>
        <v>0.1099282456573185</v>
      </c>
      <c r="AW165" s="238">
        <f t="shared" si="404"/>
        <v>0.11137882625352144</v>
      </c>
      <c r="AX165" s="238">
        <f t="shared" si="404"/>
        <v>0.11457481496711776</v>
      </c>
      <c r="AY165" s="238">
        <f t="shared" si="404"/>
        <v>0.11461818838448601</v>
      </c>
      <c r="AZ165" s="238">
        <f t="shared" si="404"/>
        <v>0.11461818838448601</v>
      </c>
      <c r="BA165" s="238">
        <f t="shared" si="404"/>
        <v>0.11768589583407704</v>
      </c>
      <c r="BB165" s="238">
        <f t="shared" si="404"/>
        <v>0.11782938406679448</v>
      </c>
      <c r="BC165" s="238">
        <f t="shared" si="404"/>
        <v>0.11994893691034561</v>
      </c>
      <c r="BD165" s="238">
        <f t="shared" si="404"/>
        <v>0.12254941673339301</v>
      </c>
      <c r="BE165" s="238">
        <f t="shared" si="404"/>
        <v>0.12254941673339301</v>
      </c>
      <c r="BF165" s="238">
        <f t="shared" si="404"/>
        <v>0.12410826101514362</v>
      </c>
      <c r="BG165" s="238">
        <f t="shared" si="404"/>
        <v>0.12397482034200476</v>
      </c>
      <c r="BH165" s="238">
        <f t="shared" si="404"/>
        <v>0.11996286895250033</v>
      </c>
      <c r="BI165" s="238">
        <f t="shared" si="404"/>
        <v>0.11480578640498416</v>
      </c>
      <c r="BJ165" s="238">
        <f t="shared" si="404"/>
        <v>0.11480578640498416</v>
      </c>
      <c r="BK165" s="238">
        <f t="shared" si="404"/>
        <v>0.11376264790481855</v>
      </c>
      <c r="BL165" s="238">
        <f t="shared" si="404"/>
        <v>0.11341453392233583</v>
      </c>
      <c r="BM165" s="238">
        <f t="shared" ref="BM165:CR165" si="405">BM159/BM158</f>
        <v>0.11182965030766388</v>
      </c>
      <c r="BN165" s="238">
        <f t="shared" si="405"/>
        <v>0.11198484151883595</v>
      </c>
      <c r="BO165" s="238">
        <f t="shared" si="405"/>
        <v>0.11198484151883595</v>
      </c>
      <c r="BP165" s="238">
        <f t="shared" si="405"/>
        <v>0.10865116201419187</v>
      </c>
      <c r="BQ165" s="238">
        <f t="shared" si="405"/>
        <v>0.10299481462841474</v>
      </c>
      <c r="BR165" s="238">
        <f t="shared" si="405"/>
        <v>9.1225583708875263E-2</v>
      </c>
      <c r="BS165" s="238">
        <f t="shared" si="405"/>
        <v>7.7613406529904616E-2</v>
      </c>
      <c r="BT165" s="238">
        <f t="shared" si="405"/>
        <v>7.7613406529904616E-2</v>
      </c>
      <c r="BU165" s="238">
        <f t="shared" si="405"/>
        <v>6.509491134439814E-2</v>
      </c>
      <c r="BV165" s="238">
        <f t="shared" si="405"/>
        <v>6.4326203688022374E-2</v>
      </c>
      <c r="BW165" s="238">
        <f t="shared" si="405"/>
        <v>7.6541108037171013E-2</v>
      </c>
      <c r="BX165" s="238">
        <f t="shared" si="405"/>
        <v>9.1502465574038835E-2</v>
      </c>
      <c r="BY165" s="238">
        <f t="shared" si="405"/>
        <v>9.1502465574038835E-2</v>
      </c>
      <c r="BZ165" s="238">
        <f t="shared" si="405"/>
        <v>0.10848908632780485</v>
      </c>
      <c r="CA165" s="238">
        <f t="shared" si="405"/>
        <v>0.12166410472554179</v>
      </c>
      <c r="CB165" s="238">
        <f t="shared" si="405"/>
        <v>0.12819192351043576</v>
      </c>
      <c r="CC165" s="238">
        <f t="shared" si="405"/>
        <v>0.13751237461942212</v>
      </c>
      <c r="CD165" s="238">
        <f t="shared" si="405"/>
        <v>0.13751237461942212</v>
      </c>
      <c r="CE165" s="238">
        <f t="shared" si="405"/>
        <v>0.14662338256138271</v>
      </c>
      <c r="CF165" s="238">
        <f t="shared" si="405"/>
        <v>0.14587225673803247</v>
      </c>
      <c r="CG165" s="238">
        <f t="shared" si="405"/>
        <v>0.1465146392971052</v>
      </c>
      <c r="CH165" s="238">
        <f t="shared" si="405"/>
        <v>0.14514640274857704</v>
      </c>
      <c r="CI165" s="61">
        <f t="shared" si="405"/>
        <v>0.14514640274857704</v>
      </c>
      <c r="CJ165" s="238">
        <f t="shared" si="405"/>
        <v>0.14387756777615399</v>
      </c>
      <c r="CK165" s="238">
        <f t="shared" si="405"/>
        <v>0.14356777889910444</v>
      </c>
      <c r="CL165" s="238">
        <f t="shared" si="405"/>
        <v>0.1464135965962178</v>
      </c>
      <c r="CM165" s="238">
        <f t="shared" si="405"/>
        <v>0.15045680844172959</v>
      </c>
      <c r="CN165" s="61">
        <f t="shared" si="405"/>
        <v>0.15045680844172959</v>
      </c>
      <c r="CO165" s="238">
        <f t="shared" si="405"/>
        <v>0.15191970733352395</v>
      </c>
      <c r="CP165" s="238">
        <f t="shared" si="405"/>
        <v>0.15614129076038427</v>
      </c>
      <c r="CQ165" s="238">
        <f t="shared" si="405"/>
        <v>0.15997534045412357</v>
      </c>
      <c r="CR165" s="238">
        <f t="shared" si="405"/>
        <v>0.16538753876060241</v>
      </c>
      <c r="CS165" s="61">
        <f t="shared" ref="CS165:DR165" si="406">CS159/CS158</f>
        <v>0.16538753876060241</v>
      </c>
      <c r="CT165" s="238">
        <f t="shared" si="406"/>
        <v>0.1711910561407404</v>
      </c>
      <c r="CU165" s="238">
        <f t="shared" si="406"/>
        <v>0.17403677058353326</v>
      </c>
      <c r="CV165" s="238">
        <f t="shared" si="406"/>
        <v>0.17904944599804434</v>
      </c>
      <c r="CW165" s="238">
        <f t="shared" si="406"/>
        <v>0.18623654083500024</v>
      </c>
      <c r="CX165" s="61">
        <f t="shared" si="406"/>
        <v>0.18623654083500024</v>
      </c>
      <c r="CY165" s="238">
        <f t="shared" si="406"/>
        <v>0.18838432824853785</v>
      </c>
      <c r="CZ165" s="238">
        <f t="shared" si="406"/>
        <v>0.18925270603122957</v>
      </c>
      <c r="DA165" s="238">
        <f t="shared" si="406"/>
        <v>0.19163587230786763</v>
      </c>
      <c r="DB165" s="238">
        <f t="shared" si="406"/>
        <v>0.19076643687998038</v>
      </c>
      <c r="DC165" s="61">
        <f t="shared" si="406"/>
        <v>0.19076643687998038</v>
      </c>
      <c r="DD165" s="238">
        <f t="shared" si="406"/>
        <v>0.19211979932093443</v>
      </c>
      <c r="DE165" s="238">
        <f t="shared" si="406"/>
        <v>0.19242462567017304</v>
      </c>
      <c r="DF165" s="238">
        <f t="shared" si="406"/>
        <v>0.19344038597431704</v>
      </c>
      <c r="DG165" s="238">
        <f t="shared" si="406"/>
        <v>0.1985466248199701</v>
      </c>
      <c r="DH165" s="61">
        <f t="shared" si="406"/>
        <v>0.1985466248199701</v>
      </c>
      <c r="DI165" s="238">
        <f t="shared" si="406"/>
        <v>0.19877464210414617</v>
      </c>
      <c r="DJ165" s="238">
        <f t="shared" si="406"/>
        <v>0.1992892278429749</v>
      </c>
      <c r="DK165" s="238">
        <f t="shared" si="406"/>
        <v>0.20171788781942535</v>
      </c>
      <c r="DL165" s="238">
        <f t="shared" si="406"/>
        <v>0.1971036374275798</v>
      </c>
      <c r="DM165" s="61">
        <f t="shared" si="406"/>
        <v>0.1971036374275798</v>
      </c>
      <c r="DN165" s="238">
        <f t="shared" si="406"/>
        <v>0.19506764932350679</v>
      </c>
      <c r="DO165" s="238">
        <f t="shared" si="406"/>
        <v>0.19262822390052009</v>
      </c>
      <c r="DP165" s="238">
        <f t="shared" si="406"/>
        <v>0.18957416826544704</v>
      </c>
      <c r="DQ165" s="238">
        <f t="shared" si="406"/>
        <v>0.18917983963709253</v>
      </c>
      <c r="DR165" s="61">
        <f t="shared" si="406"/>
        <v>0.18917983963709253</v>
      </c>
      <c r="DS165" s="238">
        <f t="shared" ref="DS165:EB165" si="407">DS159/DS158</f>
        <v>0.18859940238140285</v>
      </c>
      <c r="DT165" s="238">
        <f t="shared" si="407"/>
        <v>0.19035762518333066</v>
      </c>
      <c r="DU165" s="238">
        <f t="shared" si="407"/>
        <v>0.19233485044744397</v>
      </c>
      <c r="DV165" s="238">
        <f t="shared" si="407"/>
        <v>0.19396467397297026</v>
      </c>
      <c r="DW165" s="61">
        <f t="shared" si="407"/>
        <v>0.19396467397297026</v>
      </c>
      <c r="DX165" s="238">
        <f t="shared" si="407"/>
        <v>0.19497315030380255</v>
      </c>
      <c r="DY165" s="238">
        <f t="shared" si="407"/>
        <v>0.19593339560913403</v>
      </c>
      <c r="DZ165" s="238">
        <f t="shared" si="407"/>
        <v>0.19742212076013485</v>
      </c>
      <c r="EA165" s="238">
        <f t="shared" si="407"/>
        <v>0.19884464529665655</v>
      </c>
      <c r="EB165" s="61">
        <f t="shared" si="407"/>
        <v>0.19884464529665655</v>
      </c>
      <c r="ED165" s="28"/>
      <c r="EE165" s="28"/>
      <c r="FJ165"/>
      <c r="FK165"/>
      <c r="FL165"/>
      <c r="FM165"/>
      <c r="FN165"/>
      <c r="FO165"/>
      <c r="FP165"/>
      <c r="FQ165"/>
      <c r="FR165"/>
    </row>
    <row r="166" spans="1:174" s="1" customFormat="1" x14ac:dyDescent="0.2">
      <c r="A166" s="27"/>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0"/>
      <c r="CJ166" s="28"/>
      <c r="CK166" s="28"/>
      <c r="CL166" s="28"/>
      <c r="CM166" s="28"/>
      <c r="CN166" s="20"/>
      <c r="CO166" s="28"/>
      <c r="CP166" s="28"/>
      <c r="CQ166" s="28"/>
      <c r="CR166" s="28"/>
      <c r="CS166" s="20"/>
      <c r="CT166" s="28"/>
      <c r="CU166" s="28"/>
      <c r="CV166" s="28"/>
      <c r="CW166" s="28"/>
      <c r="CX166" s="20"/>
      <c r="CY166" s="28"/>
      <c r="CZ166" s="28"/>
      <c r="DA166" s="28"/>
      <c r="DB166" s="28"/>
      <c r="DC166" s="20"/>
      <c r="DD166" s="28"/>
      <c r="DE166" s="28"/>
      <c r="DF166" s="28"/>
      <c r="DG166" s="28"/>
      <c r="DH166" s="20"/>
      <c r="DI166" s="28"/>
      <c r="DJ166" s="28"/>
      <c r="DK166" s="28"/>
      <c r="DL166" s="28"/>
      <c r="DM166" s="20"/>
      <c r="DN166" s="28"/>
      <c r="DO166" s="28"/>
      <c r="DP166" s="28"/>
      <c r="DQ166" s="28"/>
      <c r="DR166" s="20"/>
      <c r="DS166" s="28"/>
      <c r="DT166" s="28"/>
      <c r="DU166" s="28"/>
      <c r="DV166" s="28"/>
      <c r="DW166" s="20"/>
      <c r="DX166" s="28"/>
      <c r="DY166" s="28"/>
      <c r="DZ166" s="28"/>
      <c r="EA166" s="28"/>
      <c r="EB166" s="20"/>
      <c r="ED166" s="28"/>
      <c r="EE166" s="28"/>
      <c r="FJ166"/>
      <c r="FK166"/>
      <c r="FL166"/>
      <c r="FM166"/>
      <c r="FN166"/>
      <c r="FO166"/>
      <c r="FP166"/>
      <c r="FQ166"/>
      <c r="FR166"/>
    </row>
    <row r="167" spans="1:174" s="1" customFormat="1" x14ac:dyDescent="0.2">
      <c r="A167" s="30" t="s">
        <v>557</v>
      </c>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141">
        <f t="shared" ref="AZ167:CE167" si="408">AZ21+AZ22+AZ23</f>
        <v>4153.2559999999994</v>
      </c>
      <c r="BA167" s="141">
        <f t="shared" si="408"/>
        <v>1213.0419999999999</v>
      </c>
      <c r="BB167" s="141">
        <f t="shared" si="408"/>
        <v>1208.0309999999999</v>
      </c>
      <c r="BC167" s="141">
        <f t="shared" si="408"/>
        <v>1244.3029999999999</v>
      </c>
      <c r="BD167" s="141">
        <f t="shared" si="408"/>
        <v>1302.771</v>
      </c>
      <c r="BE167" s="141">
        <f t="shared" si="408"/>
        <v>4968.1469999999999</v>
      </c>
      <c r="BF167" s="141">
        <f t="shared" si="408"/>
        <v>1459.3520000000001</v>
      </c>
      <c r="BG167" s="141">
        <f t="shared" si="408"/>
        <v>1489.7940000000001</v>
      </c>
      <c r="BH167" s="141">
        <f t="shared" si="408"/>
        <v>1560.9690000000001</v>
      </c>
      <c r="BI167" s="141">
        <f t="shared" si="408"/>
        <v>1616.578</v>
      </c>
      <c r="BJ167" s="141">
        <f t="shared" si="408"/>
        <v>6126.6929999999993</v>
      </c>
      <c r="BK167" s="141">
        <f t="shared" si="408"/>
        <v>1829.328</v>
      </c>
      <c r="BL167" s="141">
        <f t="shared" si="408"/>
        <v>1801.3920000000001</v>
      </c>
      <c r="BM167" s="141">
        <f t="shared" si="408"/>
        <v>1899.6</v>
      </c>
      <c r="BN167" s="141">
        <f t="shared" si="408"/>
        <v>1983.9089999999999</v>
      </c>
      <c r="BO167" s="141">
        <f t="shared" si="408"/>
        <v>7514.2289999999994</v>
      </c>
      <c r="BP167" s="141">
        <f t="shared" si="408"/>
        <v>2199</v>
      </c>
      <c r="BQ167" s="141">
        <f t="shared" si="408"/>
        <v>2116.6400000000003</v>
      </c>
      <c r="BR167" s="141">
        <f t="shared" si="408"/>
        <v>2200.9999999999995</v>
      </c>
      <c r="BS167" s="141">
        <f t="shared" si="408"/>
        <v>2203.9</v>
      </c>
      <c r="BT167" s="141">
        <f t="shared" si="408"/>
        <v>8720.5399999999991</v>
      </c>
      <c r="BU167" s="141">
        <f t="shared" si="408"/>
        <v>2206</v>
      </c>
      <c r="BV167" s="141">
        <f t="shared" si="408"/>
        <v>1927.1</v>
      </c>
      <c r="BW167" s="141">
        <f t="shared" si="408"/>
        <v>1934.0000000000002</v>
      </c>
      <c r="BX167" s="141">
        <f t="shared" si="408"/>
        <v>1947.3</v>
      </c>
      <c r="BY167" s="141">
        <f t="shared" si="408"/>
        <v>8014.4</v>
      </c>
      <c r="BZ167" s="141">
        <f t="shared" si="408"/>
        <v>2113.7000000000003</v>
      </c>
      <c r="CA167" s="141">
        <f t="shared" si="408"/>
        <v>1953.8999999999999</v>
      </c>
      <c r="CB167" s="141">
        <f t="shared" si="408"/>
        <v>2042.3</v>
      </c>
      <c r="CC167" s="141">
        <f t="shared" si="408"/>
        <v>2193.3000000000002</v>
      </c>
      <c r="CD167" s="141">
        <f t="shared" si="408"/>
        <v>8303.2000000000007</v>
      </c>
      <c r="CE167" s="141">
        <f t="shared" si="408"/>
        <v>2170.4</v>
      </c>
      <c r="CF167" s="141">
        <f t="shared" ref="CF167:DK167" si="409">CF21+CF22+CF23</f>
        <v>2137.3000000000002</v>
      </c>
      <c r="CG167" s="141">
        <f t="shared" si="409"/>
        <v>2254.6</v>
      </c>
      <c r="CH167" s="141">
        <f t="shared" si="409"/>
        <v>2341.1</v>
      </c>
      <c r="CI167" s="138">
        <f t="shared" si="409"/>
        <v>8903.4000000000015</v>
      </c>
      <c r="CJ167" s="141">
        <f t="shared" si="409"/>
        <v>2592.6000000000004</v>
      </c>
      <c r="CK167" s="141">
        <f t="shared" si="409"/>
        <v>2468</v>
      </c>
      <c r="CL167" s="141">
        <f t="shared" si="409"/>
        <v>2522.6</v>
      </c>
      <c r="CM167" s="141">
        <f t="shared" si="409"/>
        <v>2555.2999999999997</v>
      </c>
      <c r="CN167" s="138">
        <f t="shared" si="409"/>
        <v>10138.5</v>
      </c>
      <c r="CO167" s="141">
        <f t="shared" si="409"/>
        <v>2836.2999999999997</v>
      </c>
      <c r="CP167" s="141">
        <f t="shared" si="409"/>
        <v>2674.6000000000004</v>
      </c>
      <c r="CQ167" s="141">
        <f t="shared" si="409"/>
        <v>2780.6</v>
      </c>
      <c r="CR167" s="141">
        <f t="shared" si="409"/>
        <v>2808.7000000000003</v>
      </c>
      <c r="CS167" s="138">
        <f t="shared" si="409"/>
        <v>11100.199999999999</v>
      </c>
      <c r="CT167" s="141">
        <f t="shared" si="409"/>
        <v>3085.1</v>
      </c>
      <c r="CU167" s="141">
        <f t="shared" si="409"/>
        <v>2874.6</v>
      </c>
      <c r="CV167" s="141">
        <f t="shared" si="409"/>
        <v>3008.6</v>
      </c>
      <c r="CW167" s="141">
        <f t="shared" si="409"/>
        <v>2986.3</v>
      </c>
      <c r="CX167" s="138">
        <f t="shared" si="409"/>
        <v>11954.6</v>
      </c>
      <c r="CY167" s="141">
        <f t="shared" si="409"/>
        <v>3436.1</v>
      </c>
      <c r="CZ167" s="141">
        <f t="shared" si="409"/>
        <v>3317.8999999999996</v>
      </c>
      <c r="DA167" s="141">
        <f t="shared" si="409"/>
        <v>3477.9</v>
      </c>
      <c r="DB167" s="141">
        <f t="shared" si="409"/>
        <v>3489.1</v>
      </c>
      <c r="DC167" s="138">
        <f t="shared" si="409"/>
        <v>13721</v>
      </c>
      <c r="DD167" s="141">
        <f t="shared" si="409"/>
        <v>3838.5999999999995</v>
      </c>
      <c r="DE167" s="141">
        <f t="shared" si="409"/>
        <v>3616.2999999999997</v>
      </c>
      <c r="DF167" s="141">
        <f t="shared" si="409"/>
        <v>3727.2000000000003</v>
      </c>
      <c r="DG167" s="141">
        <f t="shared" si="409"/>
        <v>3938.6</v>
      </c>
      <c r="DH167" s="138">
        <f t="shared" si="409"/>
        <v>15120.699999999999</v>
      </c>
      <c r="DI167" s="141">
        <f t="shared" si="409"/>
        <v>4078.6</v>
      </c>
      <c r="DJ167" s="141">
        <f t="shared" si="409"/>
        <v>3862.2999999999997</v>
      </c>
      <c r="DK167" s="141">
        <f t="shared" si="409"/>
        <v>4020.5</v>
      </c>
      <c r="DL167" s="141">
        <f t="shared" ref="DL167:EB167" si="410">DL21+DL22+DL23</f>
        <v>4123.8</v>
      </c>
      <c r="DM167" s="138">
        <f t="shared" si="410"/>
        <v>16085.2</v>
      </c>
      <c r="DN167" s="141">
        <f t="shared" si="410"/>
        <v>4381.5</v>
      </c>
      <c r="DO167" s="141">
        <f t="shared" si="410"/>
        <v>4398.2225076897657</v>
      </c>
      <c r="DP167" s="141">
        <f t="shared" si="410"/>
        <v>4561.4044798110081</v>
      </c>
      <c r="DQ167" s="141">
        <f t="shared" si="410"/>
        <v>4624.3569053620204</v>
      </c>
      <c r="DR167" s="138">
        <f t="shared" si="410"/>
        <v>17965.483892862794</v>
      </c>
      <c r="DS167" s="141">
        <f t="shared" si="410"/>
        <v>4838.203107750217</v>
      </c>
      <c r="DT167" s="141">
        <f t="shared" si="410"/>
        <v>4760.0411985486408</v>
      </c>
      <c r="DU167" s="141">
        <f t="shared" si="410"/>
        <v>4953.880234219906</v>
      </c>
      <c r="DV167" s="141">
        <f t="shared" si="410"/>
        <v>5028.4365188054571</v>
      </c>
      <c r="DW167" s="138">
        <f t="shared" si="410"/>
        <v>19580.561059324224</v>
      </c>
      <c r="DX167" s="141">
        <f t="shared" si="410"/>
        <v>5262.2538543679384</v>
      </c>
      <c r="DY167" s="141">
        <f t="shared" si="410"/>
        <v>5174.1348572627521</v>
      </c>
      <c r="DZ167" s="141">
        <f t="shared" si="410"/>
        <v>5379.5275388911541</v>
      </c>
      <c r="EA167" s="141">
        <f t="shared" si="410"/>
        <v>5456.417223363901</v>
      </c>
      <c r="EB167" s="138">
        <f t="shared" si="410"/>
        <v>21272.333473885745</v>
      </c>
      <c r="ED167" s="28"/>
      <c r="EE167" s="28"/>
      <c r="EG167" s="366">
        <f t="shared" ref="EG167:EM167" si="411">EG21+EG22+EG23</f>
        <v>1101.7280000000001</v>
      </c>
      <c r="EH167" s="366">
        <f t="shared" si="411"/>
        <v>1439.8739999999998</v>
      </c>
      <c r="EI167" s="366">
        <f t="shared" si="411"/>
        <v>1846.2559999999999</v>
      </c>
      <c r="EJ167" s="366">
        <f t="shared" si="411"/>
        <v>2185.732</v>
      </c>
      <c r="EK167" s="366">
        <f t="shared" si="411"/>
        <v>2741.4169999999999</v>
      </c>
      <c r="EL167" s="366">
        <f t="shared" si="411"/>
        <v>3431.7710000000002</v>
      </c>
      <c r="EM167" s="366">
        <f t="shared" si="411"/>
        <v>4388.07</v>
      </c>
      <c r="EP167" s="331">
        <f>EP21+EP22+EP23</f>
        <v>7883.9009999999989</v>
      </c>
      <c r="EQ167" s="331">
        <f>EQ21+EQ22+EQ23</f>
        <v>8727.5400000000009</v>
      </c>
      <c r="ER167" s="331">
        <f>ER21+ER22+ER23</f>
        <v>7922.0999999999995</v>
      </c>
      <c r="ES167" s="331">
        <f>ES21+ES22+ES23</f>
        <v>8359.9</v>
      </c>
      <c r="ET167" s="331">
        <f>ET21+ET22+ET23</f>
        <v>9325.6</v>
      </c>
      <c r="FJ167"/>
      <c r="FK167"/>
      <c r="FL167"/>
      <c r="FM167"/>
      <c r="FN167"/>
      <c r="FO167"/>
      <c r="FP167"/>
      <c r="FQ167"/>
      <c r="FR167"/>
    </row>
    <row r="168" spans="1:174" s="1" customFormat="1" hidden="1" outlineLevel="1" x14ac:dyDescent="0.2">
      <c r="ED168" s="28"/>
      <c r="EE168" s="28"/>
      <c r="FJ168"/>
      <c r="FK168"/>
      <c r="FL168"/>
      <c r="FM168"/>
      <c r="FN168"/>
      <c r="FO168"/>
      <c r="FP168"/>
      <c r="FQ168"/>
      <c r="FR168"/>
    </row>
    <row r="169" spans="1:174" s="1" customFormat="1" hidden="1" outlineLevel="1" x14ac:dyDescent="0.2">
      <c r="ED169" s="28"/>
      <c r="EE169" s="28"/>
      <c r="FJ169"/>
      <c r="FK169"/>
      <c r="FL169"/>
      <c r="FM169"/>
      <c r="FN169"/>
      <c r="FO169"/>
      <c r="FP169"/>
      <c r="FQ169"/>
      <c r="FR169"/>
    </row>
    <row r="170" spans="1:174" s="1" customFormat="1" hidden="1" outlineLevel="1" x14ac:dyDescent="0.2">
      <c r="A170" s="1" t="s">
        <v>44</v>
      </c>
      <c r="ED170" s="28"/>
      <c r="EE170" s="28"/>
      <c r="FJ170"/>
      <c r="FK170"/>
      <c r="FL170"/>
      <c r="FM170"/>
      <c r="FN170"/>
      <c r="FO170"/>
      <c r="FP170"/>
      <c r="FQ170"/>
      <c r="FR170"/>
    </row>
    <row r="171" spans="1:174" s="1" customFormat="1" hidden="1" outlineLevel="1" x14ac:dyDescent="0.2">
      <c r="A171" s="1" t="s">
        <v>45</v>
      </c>
      <c r="ED171" s="28"/>
      <c r="EE171" s="28"/>
      <c r="FJ171"/>
      <c r="FK171"/>
      <c r="FL171"/>
      <c r="FM171"/>
      <c r="FN171"/>
      <c r="FO171"/>
      <c r="FP171"/>
      <c r="FQ171"/>
      <c r="FR171"/>
    </row>
    <row r="172" spans="1:174" s="1" customFormat="1" hidden="1" outlineLevel="1" x14ac:dyDescent="0.2">
      <c r="ED172" s="28"/>
      <c r="EE172" s="28"/>
      <c r="FJ172"/>
      <c r="FK172"/>
      <c r="FL172"/>
      <c r="FM172"/>
      <c r="FN172"/>
      <c r="FO172"/>
      <c r="FP172"/>
      <c r="FQ172"/>
      <c r="FR172"/>
    </row>
    <row r="173" spans="1:174" s="1" customFormat="1" hidden="1" outlineLevel="1" x14ac:dyDescent="0.2">
      <c r="A173" s="1" t="s">
        <v>642</v>
      </c>
      <c r="CE173" s="100">
        <v>0.2758919527293191</v>
      </c>
      <c r="CF173" s="100">
        <v>0.25743630037041193</v>
      </c>
      <c r="CG173" s="100">
        <v>0.2707549283154122</v>
      </c>
      <c r="CH173" s="100">
        <v>0.27526881720430108</v>
      </c>
      <c r="CI173" s="100">
        <v>1.0694459864549795</v>
      </c>
      <c r="CJ173" s="100">
        <v>0.30239096745627631</v>
      </c>
      <c r="CK173" s="100">
        <v>0.27748184019370459</v>
      </c>
      <c r="CL173" s="100">
        <v>0.28581106922362454</v>
      </c>
      <c r="CM173" s="100">
        <v>0.28670215626176265</v>
      </c>
      <c r="CN173" s="100">
        <v>1.1200956937799043</v>
      </c>
      <c r="CO173" s="100">
        <v>0.3169131287433084</v>
      </c>
      <c r="CP173" s="100">
        <v>0.29069731324739867</v>
      </c>
      <c r="CQ173" s="100">
        <v>0.30090180865534788</v>
      </c>
      <c r="CR173" s="100">
        <v>0.29815732118089955</v>
      </c>
      <c r="CS173" s="100">
        <v>1.1568765940749459</v>
      </c>
      <c r="CT173" s="100">
        <v>0.32644732988382313</v>
      </c>
      <c r="CU173" s="100">
        <v>0.29662573721357438</v>
      </c>
      <c r="CV173" s="100">
        <v>0.31474484671672487</v>
      </c>
      <c r="CW173" s="100">
        <v>0.30862068965517242</v>
      </c>
      <c r="CX173" s="100">
        <v>1.2114253710445253</v>
      </c>
      <c r="CY173" s="100">
        <v>0.33437915448019145</v>
      </c>
      <c r="CZ173" s="100">
        <v>0.30434307795698923</v>
      </c>
      <c r="DA173" s="100">
        <v>0.32557172557172559</v>
      </c>
      <c r="DB173" s="100">
        <v>0.31949034114262226</v>
      </c>
      <c r="DC173" s="100">
        <v>1.2421168778095628</v>
      </c>
      <c r="DD173" s="100">
        <v>0.34231128815901796</v>
      </c>
      <c r="DE173" s="100">
        <v>0.31795243853284966</v>
      </c>
      <c r="DF173" s="100">
        <v>0.33587148594377514</v>
      </c>
      <c r="DG173" s="100">
        <v>0.3582310168077244</v>
      </c>
      <c r="DH173" s="100">
        <v>1.3251671780347731</v>
      </c>
      <c r="DI173" s="100">
        <v>0.34942340017982099</v>
      </c>
      <c r="DJ173" s="100">
        <v>0.32419442083301131</v>
      </c>
      <c r="DK173" s="100">
        <v>0.34339895662769887</v>
      </c>
      <c r="DL173" s="100">
        <v>0.33758105866385163</v>
      </c>
      <c r="DM173" s="100">
        <v>1.3296195856873823</v>
      </c>
      <c r="DN173" s="100">
        <v>0.33541769823866452</v>
      </c>
      <c r="DO173" s="100">
        <v>0.32007571337724988</v>
      </c>
      <c r="DP173" s="100">
        <v>0.34104675901739817</v>
      </c>
      <c r="DQ173" s="100">
        <v>0.33733889851191318</v>
      </c>
      <c r="DR173" s="100">
        <v>1.2981855037126127</v>
      </c>
      <c r="DS173" s="100">
        <v>0.3426980675642961</v>
      </c>
      <c r="DT173" s="100">
        <v>0.33577941054747812</v>
      </c>
      <c r="DU173" s="100">
        <v>0.35629261586389882</v>
      </c>
      <c r="DV173" s="100">
        <v>0.35072400179062579</v>
      </c>
      <c r="ED173" s="28"/>
      <c r="EE173" s="28"/>
      <c r="FJ173"/>
      <c r="FK173"/>
      <c r="FL173"/>
      <c r="FM173"/>
      <c r="FN173"/>
      <c r="FO173"/>
      <c r="FP173"/>
      <c r="FQ173"/>
      <c r="FR173"/>
    </row>
    <row r="174" spans="1:174" s="1" customFormat="1" hidden="1" outlineLevel="1" x14ac:dyDescent="0.2">
      <c r="A174" s="1" t="s">
        <v>641</v>
      </c>
      <c r="CE174" s="174">
        <v>0.13419245920090039</v>
      </c>
      <c r="CF174" s="174">
        <v>0.13146256594455047</v>
      </c>
      <c r="CG174" s="174">
        <v>0.13860887096774194</v>
      </c>
      <c r="CH174" s="174">
        <v>0.14647055546269988</v>
      </c>
      <c r="CI174" s="174">
        <f>SUM(CE174:CH174)</f>
        <v>0.55073445157589274</v>
      </c>
      <c r="CJ174" s="174">
        <v>0.16560770422847021</v>
      </c>
      <c r="CK174" s="174">
        <v>0.1553929121725732</v>
      </c>
      <c r="CL174" s="174">
        <v>0.15801781128776701</v>
      </c>
      <c r="CM174" s="174">
        <v>0.15692853686078401</v>
      </c>
      <c r="CN174" s="174">
        <f>SUM(CJ174:CM174)</f>
        <v>0.63594696454959443</v>
      </c>
      <c r="CO174" s="174">
        <v>0.1718026183282981</v>
      </c>
      <c r="CP174" s="174">
        <v>0.15845110524408554</v>
      </c>
      <c r="CQ174" s="174">
        <v>0.16097536399818629</v>
      </c>
      <c r="CR174" s="174">
        <v>0.16184862294432337</v>
      </c>
      <c r="CS174" s="174">
        <f>SUM(CO174:CR174)</f>
        <v>0.65307771051489327</v>
      </c>
      <c r="CT174" s="174">
        <v>0.17525139119398614</v>
      </c>
      <c r="CU174" s="174">
        <v>0.15751716136517452</v>
      </c>
      <c r="CV174" s="174">
        <v>0.16370940743220622</v>
      </c>
      <c r="CW174" s="174">
        <v>0.16235161107970605</v>
      </c>
      <c r="CX174" s="174">
        <f>SUM(CT174:CW174)</f>
        <v>0.65882957107107298</v>
      </c>
      <c r="CY174" s="174">
        <v>0.1764778870867677</v>
      </c>
      <c r="CZ174" s="174">
        <v>0.15623319892473117</v>
      </c>
      <c r="DA174" s="174">
        <v>0.1624864864864865</v>
      </c>
      <c r="DB174" s="174">
        <v>0.16297575010275381</v>
      </c>
      <c r="DC174" s="174">
        <f>SUM(CY174:DB174)</f>
        <v>0.65817332260073924</v>
      </c>
      <c r="DD174" s="174">
        <v>0.17773261249542699</v>
      </c>
      <c r="DE174" s="174">
        <v>0.16205562273276905</v>
      </c>
      <c r="DF174" s="174">
        <v>0.16548594377510042</v>
      </c>
      <c r="DG174" s="174">
        <v>0.17913934914769339</v>
      </c>
      <c r="DH174" s="174">
        <f>SUM(DD174:DG174)</f>
        <v>0.68441352815098977</v>
      </c>
      <c r="DI174" s="174">
        <v>0.17943004573707047</v>
      </c>
      <c r="DJ174" s="174">
        <v>0.16545861989027122</v>
      </c>
      <c r="DK174" s="174">
        <v>0.17128822207836716</v>
      </c>
      <c r="DL174" s="174">
        <v>0.17741667923390139</v>
      </c>
      <c r="DN174" s="174">
        <v>0.17704604937398316</v>
      </c>
      <c r="DO174" s="174">
        <v>0.16352281038598848</v>
      </c>
      <c r="DP174" s="174">
        <v>0.16985177176239244</v>
      </c>
      <c r="DQ174" s="174">
        <v>0.17148242358561852</v>
      </c>
      <c r="DS174" s="174">
        <v>0.17806381558517842</v>
      </c>
      <c r="DT174" s="174">
        <v>0.16934334073592722</v>
      </c>
      <c r="DU174" s="174">
        <v>0.17523617831041263</v>
      </c>
      <c r="DV174" s="174">
        <v>0.17626948644245258</v>
      </c>
      <c r="ED174" s="28"/>
      <c r="EE174" s="28"/>
      <c r="FJ174"/>
      <c r="FK174"/>
      <c r="FL174"/>
      <c r="FM174"/>
      <c r="FN174"/>
      <c r="FO174"/>
      <c r="FP174"/>
      <c r="FQ174"/>
      <c r="FR174"/>
    </row>
    <row r="175" spans="1:174" s="1" customFormat="1" collapsed="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ED175" s="28"/>
      <c r="EE175" s="28"/>
      <c r="EP175" s="2"/>
      <c r="EQ175" s="2"/>
      <c r="ER175" s="2"/>
      <c r="ES175" s="2"/>
      <c r="ET175" s="2"/>
      <c r="EU175" s="2"/>
      <c r="EV175" s="2"/>
      <c r="EW175" s="2"/>
      <c r="EX175" s="2"/>
      <c r="EY175" s="2"/>
      <c r="EZ175" s="2"/>
      <c r="FA175" s="2"/>
      <c r="FB175" s="2"/>
      <c r="FJ175"/>
      <c r="FK175"/>
      <c r="FL175"/>
      <c r="FM175"/>
      <c r="FN175"/>
      <c r="FO175"/>
      <c r="FP175"/>
      <c r="FQ175"/>
      <c r="FR175"/>
    </row>
    <row r="176" spans="1:174" s="1" customFormat="1" hidden="1" outlineLevel="1" x14ac:dyDescent="0.2">
      <c r="A176" s="24" t="s">
        <v>46</v>
      </c>
      <c r="B176" s="25"/>
      <c r="C176" s="24"/>
      <c r="D176" s="25"/>
      <c r="E176" s="25"/>
      <c r="F176" s="26"/>
      <c r="G176" s="18"/>
      <c r="H176" s="24"/>
      <c r="I176" s="25"/>
      <c r="J176" s="25"/>
      <c r="K176" s="26"/>
      <c r="L176" s="18"/>
      <c r="M176" s="24"/>
      <c r="N176" s="25"/>
      <c r="O176" s="25"/>
      <c r="P176" s="26"/>
      <c r="Q176" s="18"/>
      <c r="R176" s="24"/>
      <c r="S176" s="25"/>
      <c r="T176" s="25"/>
      <c r="U176" s="26"/>
      <c r="V176" s="18"/>
      <c r="W176" s="24"/>
      <c r="X176" s="25"/>
      <c r="Y176" s="25"/>
      <c r="Z176" s="26"/>
      <c r="AA176" s="18"/>
      <c r="AB176" s="24"/>
      <c r="AC176" s="25"/>
      <c r="AD176" s="25"/>
      <c r="AE176" s="26"/>
      <c r="AF176" s="18"/>
      <c r="AG176" s="24"/>
      <c r="AH176" s="25"/>
      <c r="AI176" s="25"/>
      <c r="AJ176" s="26"/>
      <c r="AK176" s="18"/>
      <c r="AL176" s="24"/>
      <c r="AM176" s="25"/>
      <c r="AN176" s="25"/>
      <c r="AO176" s="26"/>
      <c r="AP176" s="18"/>
      <c r="AQ176" s="24"/>
      <c r="AR176" s="25"/>
      <c r="AS176" s="25"/>
      <c r="AT176" s="26"/>
      <c r="AU176" s="18"/>
      <c r="AV176" s="24"/>
      <c r="AW176" s="25"/>
      <c r="AX176" s="25"/>
      <c r="AY176" s="26"/>
      <c r="AZ176" s="18"/>
      <c r="BA176" s="24"/>
      <c r="BB176" s="25"/>
      <c r="BC176" s="25"/>
      <c r="BD176" s="26"/>
      <c r="BE176" s="18"/>
      <c r="BF176" s="24"/>
      <c r="BG176" s="25"/>
      <c r="BH176" s="25"/>
      <c r="BI176" s="26"/>
      <c r="BJ176" s="18"/>
      <c r="BK176" s="24"/>
      <c r="BL176" s="25"/>
      <c r="BM176" s="25"/>
      <c r="BN176" s="26"/>
      <c r="BO176" s="18"/>
      <c r="BP176" s="24"/>
      <c r="BQ176" s="25"/>
      <c r="BR176" s="25"/>
      <c r="BS176" s="26"/>
      <c r="BT176" s="18"/>
      <c r="BU176" s="24"/>
      <c r="BV176" s="25"/>
      <c r="BW176" s="25"/>
      <c r="BX176" s="26"/>
      <c r="BY176" s="18"/>
      <c r="BZ176" s="24"/>
      <c r="CA176" s="25"/>
      <c r="CB176" s="25"/>
      <c r="CC176" s="26"/>
      <c r="CD176" s="18"/>
      <c r="CE176" s="24"/>
      <c r="CF176" s="25"/>
      <c r="CG176" s="25"/>
      <c r="CH176" s="26"/>
      <c r="CI176" s="18"/>
      <c r="ED176" s="28"/>
      <c r="EE176" s="28"/>
      <c r="FJ176"/>
      <c r="FK176"/>
      <c r="FL176"/>
      <c r="FM176"/>
      <c r="FN176"/>
      <c r="FO176"/>
      <c r="FP176"/>
      <c r="FQ176"/>
      <c r="FR176"/>
    </row>
    <row r="177" spans="1:174" s="1" customFormat="1" hidden="1" outlineLevel="1" x14ac:dyDescent="0.2">
      <c r="A177" s="39" t="s">
        <v>47</v>
      </c>
      <c r="B177" s="43">
        <v>425</v>
      </c>
      <c r="C177" s="352">
        <v>482</v>
      </c>
      <c r="D177" s="353">
        <v>539</v>
      </c>
      <c r="E177" s="353">
        <v>607</v>
      </c>
      <c r="F177" s="351">
        <v>676</v>
      </c>
      <c r="G177" s="350">
        <v>676</v>
      </c>
      <c r="H177" s="352">
        <v>743</v>
      </c>
      <c r="I177" s="353">
        <v>828</v>
      </c>
      <c r="J177" s="353">
        <v>899</v>
      </c>
      <c r="K177" s="351">
        <v>1006</v>
      </c>
      <c r="L177" s="350">
        <v>1006</v>
      </c>
      <c r="M177" s="352">
        <v>1121</v>
      </c>
      <c r="N177" s="353">
        <v>1205</v>
      </c>
      <c r="O177" s="353">
        <v>1306</v>
      </c>
      <c r="P177" s="351">
        <v>1412</v>
      </c>
      <c r="Q177" s="350">
        <v>1412</v>
      </c>
      <c r="R177" s="352">
        <v>1568</v>
      </c>
      <c r="S177" s="353">
        <v>1665</v>
      </c>
      <c r="T177" s="353">
        <v>1778</v>
      </c>
      <c r="U177" s="351">
        <v>1886</v>
      </c>
      <c r="V177" s="350">
        <v>1886</v>
      </c>
      <c r="W177" s="352">
        <v>2030</v>
      </c>
      <c r="X177" s="353">
        <v>2192</v>
      </c>
      <c r="Y177" s="353">
        <v>2312</v>
      </c>
      <c r="Z177" s="351">
        <v>2498</v>
      </c>
      <c r="AA177" s="350">
        <v>2498</v>
      </c>
      <c r="AB177" s="352">
        <v>2674</v>
      </c>
      <c r="AC177" s="353">
        <v>2885</v>
      </c>
      <c r="AD177" s="353">
        <v>3215</v>
      </c>
      <c r="AE177" s="351">
        <v>3501</v>
      </c>
      <c r="AF177" s="350">
        <v>3501</v>
      </c>
      <c r="AG177" s="352">
        <v>3817</v>
      </c>
      <c r="AH177" s="353">
        <v>4135</v>
      </c>
      <c r="AI177" s="353">
        <v>4435</v>
      </c>
      <c r="AJ177" s="351">
        <v>4709</v>
      </c>
      <c r="AK177" s="350">
        <v>4709</v>
      </c>
      <c r="AL177" s="352">
        <v>5104</v>
      </c>
      <c r="AM177" s="353">
        <v>5368</v>
      </c>
      <c r="AN177" s="353">
        <v>5608</v>
      </c>
      <c r="AO177" s="351">
        <v>5886</v>
      </c>
      <c r="AP177" s="350">
        <v>5886</v>
      </c>
      <c r="AQ177" s="352">
        <v>6193</v>
      </c>
      <c r="AR177" s="353">
        <v>6458</v>
      </c>
      <c r="AS177" s="353">
        <v>6741</v>
      </c>
      <c r="AT177" s="351">
        <v>7225</v>
      </c>
      <c r="AU177" s="350">
        <v>7225</v>
      </c>
      <c r="AV177" s="352">
        <v>7567</v>
      </c>
      <c r="AW177" s="353">
        <v>7834</v>
      </c>
      <c r="AX177" s="353">
        <v>8119</v>
      </c>
      <c r="AY177" s="351">
        <v>8569</v>
      </c>
      <c r="AZ177" s="350">
        <v>8569</v>
      </c>
      <c r="BA177" s="352">
        <v>8949</v>
      </c>
      <c r="BB177" s="353">
        <v>9261</v>
      </c>
      <c r="BC177" s="353">
        <v>9671</v>
      </c>
      <c r="BD177" s="351">
        <v>10241</v>
      </c>
      <c r="BE177" s="350">
        <v>10241</v>
      </c>
      <c r="BF177" s="352">
        <v>10801</v>
      </c>
      <c r="BG177" s="353">
        <v>11225</v>
      </c>
      <c r="BH177" s="353">
        <v>11784</v>
      </c>
      <c r="BI177" s="351">
        <v>12440</v>
      </c>
      <c r="BJ177" s="350">
        <v>12440</v>
      </c>
      <c r="BK177" s="352">
        <v>13168</v>
      </c>
      <c r="BL177" s="353">
        <v>13728</v>
      </c>
      <c r="BM177" s="353">
        <v>14396</v>
      </c>
      <c r="BN177" s="351">
        <v>15011</v>
      </c>
      <c r="BO177" s="350">
        <v>15011</v>
      </c>
      <c r="BP177" s="352">
        <v>15756</v>
      </c>
      <c r="BQ177" s="353">
        <v>16226</v>
      </c>
      <c r="BR177" s="353">
        <v>16548</v>
      </c>
      <c r="BS177" s="351">
        <v>16680</v>
      </c>
      <c r="BT177" s="350">
        <v>16680</v>
      </c>
      <c r="BU177" s="352">
        <v>16875</v>
      </c>
      <c r="BV177" s="353">
        <v>16862</v>
      </c>
      <c r="BW177" s="353">
        <v>16729</v>
      </c>
      <c r="BX177" s="351">
        <v>16635</v>
      </c>
      <c r="BY177" s="350">
        <v>16635</v>
      </c>
      <c r="BZ177" s="352">
        <v>16706</v>
      </c>
      <c r="CA177" s="353">
        <v>16664</v>
      </c>
      <c r="CB177" s="353">
        <v>16737</v>
      </c>
      <c r="CC177" s="351">
        <v>16858</v>
      </c>
      <c r="CD177" s="350">
        <v>16858</v>
      </c>
      <c r="CE177" s="352">
        <v>17009</v>
      </c>
      <c r="CF177" s="353">
        <v>16863</v>
      </c>
      <c r="CG177" s="353">
        <v>17018</v>
      </c>
      <c r="CH177" s="351">
        <v>17003</v>
      </c>
      <c r="CI177" s="350">
        <v>17003</v>
      </c>
      <c r="ED177" s="28"/>
      <c r="EE177" s="28"/>
      <c r="EP177" s="357">
        <f t="shared" ref="EP177:EP185" si="412">BP177</f>
        <v>15756</v>
      </c>
      <c r="EQ177" s="357">
        <f t="shared" ref="EQ177:EQ185" si="413">BU177</f>
        <v>16875</v>
      </c>
      <c r="ER177" s="357">
        <f t="shared" ref="ER177:ER185" si="414">BZ177</f>
        <v>16706</v>
      </c>
      <c r="ES177" s="357">
        <f t="shared" ref="ES177:ES185" si="415">CE177</f>
        <v>17009</v>
      </c>
      <c r="ET177" s="43">
        <f t="shared" ref="ET177:ET185" si="416">CJ177</f>
        <v>0</v>
      </c>
      <c r="EU177" s="43">
        <f t="shared" ref="EU177:EU185" si="417">CO177</f>
        <v>0</v>
      </c>
      <c r="EV177" s="43">
        <f t="shared" ref="EV177:EV185" si="418">CT177</f>
        <v>0</v>
      </c>
      <c r="EW177" s="43">
        <f t="shared" ref="EW177:EW183" si="419">CY177</f>
        <v>0</v>
      </c>
      <c r="EX177" s="43">
        <f t="shared" ref="EX177:EX183" si="420">DD177</f>
        <v>0</v>
      </c>
      <c r="EY177" s="43">
        <f t="shared" ref="EY177:EY183" si="421">DI177</f>
        <v>0</v>
      </c>
      <c r="EZ177" s="43">
        <f t="shared" ref="EZ177:FB183" si="422">DN177</f>
        <v>0</v>
      </c>
      <c r="FA177" s="43">
        <f t="shared" ref="FA177:FA183" si="423">DS177</f>
        <v>0</v>
      </c>
      <c r="FB177" s="43">
        <f t="shared" si="422"/>
        <v>0</v>
      </c>
      <c r="FJ177"/>
      <c r="FK177"/>
      <c r="FL177"/>
      <c r="FM177"/>
      <c r="FN177"/>
      <c r="FO177"/>
      <c r="FP177"/>
      <c r="FQ177"/>
      <c r="FR177"/>
    </row>
    <row r="178" spans="1:174" s="1" customFormat="1" hidden="1" outlineLevel="1" x14ac:dyDescent="0.2">
      <c r="A178" s="27" t="s">
        <v>48</v>
      </c>
      <c r="B178" s="20">
        <v>399</v>
      </c>
      <c r="C178" s="467">
        <v>451</v>
      </c>
      <c r="D178" s="268">
        <v>505</v>
      </c>
      <c r="E178" s="268">
        <v>564</v>
      </c>
      <c r="F178" s="468">
        <v>627</v>
      </c>
      <c r="G178" s="99">
        <v>627</v>
      </c>
      <c r="H178" s="467">
        <v>691</v>
      </c>
      <c r="I178" s="268">
        <v>771</v>
      </c>
      <c r="J178" s="268">
        <v>825</v>
      </c>
      <c r="K178" s="468">
        <v>929</v>
      </c>
      <c r="L178" s="99">
        <v>929</v>
      </c>
      <c r="M178" s="467">
        <v>1022</v>
      </c>
      <c r="N178" s="268">
        <v>1094</v>
      </c>
      <c r="O178" s="268">
        <v>1183</v>
      </c>
      <c r="P178" s="468">
        <v>1270</v>
      </c>
      <c r="Q178" s="99">
        <v>1270</v>
      </c>
      <c r="R178" s="467">
        <v>1389</v>
      </c>
      <c r="S178" s="268">
        <v>1462</v>
      </c>
      <c r="T178" s="268">
        <v>1539</v>
      </c>
      <c r="U178" s="468">
        <v>1622</v>
      </c>
      <c r="V178" s="99">
        <v>1622</v>
      </c>
      <c r="W178" s="467">
        <v>1713</v>
      </c>
      <c r="X178" s="268">
        <v>1828</v>
      </c>
      <c r="Y178" s="268">
        <v>1909</v>
      </c>
      <c r="Z178" s="468">
        <v>2038</v>
      </c>
      <c r="AA178" s="99">
        <v>2038</v>
      </c>
      <c r="AB178" s="467">
        <v>2139</v>
      </c>
      <c r="AC178" s="268">
        <v>2233</v>
      </c>
      <c r="AD178" s="268">
        <v>2341</v>
      </c>
      <c r="AE178" s="468">
        <v>2446</v>
      </c>
      <c r="AF178" s="99">
        <v>2446</v>
      </c>
      <c r="AG178" s="467">
        <v>2564</v>
      </c>
      <c r="AH178" s="268">
        <v>2702</v>
      </c>
      <c r="AI178" s="268">
        <v>2833</v>
      </c>
      <c r="AJ178" s="468">
        <v>2971</v>
      </c>
      <c r="AK178" s="99">
        <v>2971</v>
      </c>
      <c r="AL178" s="467">
        <v>2880</v>
      </c>
      <c r="AM178" s="268">
        <v>3002</v>
      </c>
      <c r="AN178" s="268">
        <v>3114</v>
      </c>
      <c r="AO178" s="468">
        <v>3209</v>
      </c>
      <c r="AP178" s="99">
        <v>3209</v>
      </c>
      <c r="AQ178" s="467">
        <v>3316</v>
      </c>
      <c r="AR178" s="268">
        <v>3422</v>
      </c>
      <c r="AS178" s="268">
        <v>3544</v>
      </c>
      <c r="AT178" s="468">
        <v>3779</v>
      </c>
      <c r="AU178" s="99">
        <v>3779</v>
      </c>
      <c r="AV178" s="467">
        <v>3879</v>
      </c>
      <c r="AW178" s="268">
        <v>3982</v>
      </c>
      <c r="AX178" s="268">
        <v>4081</v>
      </c>
      <c r="AY178" s="468">
        <v>4293</v>
      </c>
      <c r="AZ178" s="99">
        <v>4293</v>
      </c>
      <c r="BA178" s="467">
        <v>4394</v>
      </c>
      <c r="BB178" s="268">
        <v>4525</v>
      </c>
      <c r="BC178" s="268">
        <v>4666</v>
      </c>
      <c r="BD178" s="468">
        <v>4867</v>
      </c>
      <c r="BE178" s="99">
        <v>4867</v>
      </c>
      <c r="BF178" s="467">
        <v>5082</v>
      </c>
      <c r="BG178" s="268">
        <v>5239</v>
      </c>
      <c r="BH178" s="268">
        <v>5393</v>
      </c>
      <c r="BI178" s="468">
        <v>5728</v>
      </c>
      <c r="BJ178" s="99">
        <v>5728</v>
      </c>
      <c r="BK178" s="467">
        <v>6010</v>
      </c>
      <c r="BL178" s="268">
        <v>6281</v>
      </c>
      <c r="BM178" s="268">
        <v>6566</v>
      </c>
      <c r="BN178" s="468">
        <v>6793</v>
      </c>
      <c r="BO178" s="99">
        <v>6793</v>
      </c>
      <c r="BP178" s="467">
        <v>7087</v>
      </c>
      <c r="BQ178" s="268">
        <v>7257</v>
      </c>
      <c r="BR178" s="268">
        <v>7375</v>
      </c>
      <c r="BS178" s="468">
        <v>7238</v>
      </c>
      <c r="BT178" s="99">
        <v>7238</v>
      </c>
      <c r="BU178" s="467">
        <v>7138</v>
      </c>
      <c r="BV178" s="268">
        <v>7035</v>
      </c>
      <c r="BW178" s="268">
        <v>6871</v>
      </c>
      <c r="BX178" s="468">
        <v>6764</v>
      </c>
      <c r="BY178" s="99">
        <v>6764</v>
      </c>
      <c r="BZ178" s="467">
        <v>6769</v>
      </c>
      <c r="CA178" s="268">
        <v>6736</v>
      </c>
      <c r="CB178" s="268">
        <v>6727</v>
      </c>
      <c r="CC178" s="468">
        <v>6707</v>
      </c>
      <c r="CD178" s="99">
        <v>6707</v>
      </c>
      <c r="CE178" s="467">
        <v>6706</v>
      </c>
      <c r="CF178" s="268">
        <v>6699</v>
      </c>
      <c r="CG178" s="268">
        <v>6691</v>
      </c>
      <c r="CH178" s="468">
        <v>6705</v>
      </c>
      <c r="CI178" s="99">
        <v>6705</v>
      </c>
      <c r="ED178" s="28"/>
      <c r="EE178" s="28"/>
      <c r="EP178" s="356">
        <f t="shared" si="412"/>
        <v>7087</v>
      </c>
      <c r="EQ178" s="356">
        <f t="shared" si="413"/>
        <v>7138</v>
      </c>
      <c r="ER178" s="356">
        <f t="shared" si="414"/>
        <v>6769</v>
      </c>
      <c r="ES178" s="356">
        <f t="shared" si="415"/>
        <v>6706</v>
      </c>
      <c r="ET178" s="20">
        <f t="shared" si="416"/>
        <v>0</v>
      </c>
      <c r="EU178" s="20">
        <f t="shared" si="417"/>
        <v>0</v>
      </c>
      <c r="EV178" s="20">
        <f t="shared" si="418"/>
        <v>0</v>
      </c>
      <c r="EW178" s="20">
        <f t="shared" si="419"/>
        <v>0</v>
      </c>
      <c r="EX178" s="20">
        <f t="shared" si="420"/>
        <v>0</v>
      </c>
      <c r="EY178" s="20">
        <f t="shared" si="421"/>
        <v>0</v>
      </c>
      <c r="EZ178" s="20">
        <f t="shared" si="422"/>
        <v>0</v>
      </c>
      <c r="FA178" s="20">
        <f t="shared" si="423"/>
        <v>0</v>
      </c>
      <c r="FB178" s="20">
        <f t="shared" si="422"/>
        <v>0</v>
      </c>
      <c r="FJ178"/>
      <c r="FK178"/>
      <c r="FL178"/>
      <c r="FM178"/>
      <c r="FN178"/>
      <c r="FO178"/>
      <c r="FP178"/>
      <c r="FQ178"/>
      <c r="FR178"/>
    </row>
    <row r="179" spans="1:174" s="1" customFormat="1" hidden="1" outlineLevel="1" x14ac:dyDescent="0.2">
      <c r="A179" s="27" t="s">
        <v>49</v>
      </c>
      <c r="B179" s="20">
        <v>26</v>
      </c>
      <c r="C179" s="467">
        <v>31</v>
      </c>
      <c r="D179" s="268">
        <v>34</v>
      </c>
      <c r="E179" s="268">
        <v>43</v>
      </c>
      <c r="F179" s="468">
        <v>49</v>
      </c>
      <c r="G179" s="99">
        <v>49</v>
      </c>
      <c r="H179" s="467">
        <v>52</v>
      </c>
      <c r="I179" s="268">
        <v>57</v>
      </c>
      <c r="J179" s="268">
        <v>74</v>
      </c>
      <c r="K179" s="468">
        <v>75</v>
      </c>
      <c r="L179" s="99">
        <v>75</v>
      </c>
      <c r="M179" s="467">
        <v>80</v>
      </c>
      <c r="N179" s="268">
        <v>83</v>
      </c>
      <c r="O179" s="268">
        <v>87</v>
      </c>
      <c r="P179" s="468">
        <v>94</v>
      </c>
      <c r="Q179" s="99">
        <v>94</v>
      </c>
      <c r="R179" s="467">
        <v>103</v>
      </c>
      <c r="S179" s="268">
        <v>110</v>
      </c>
      <c r="T179" s="268">
        <v>122</v>
      </c>
      <c r="U179" s="468">
        <v>133</v>
      </c>
      <c r="V179" s="99">
        <v>133</v>
      </c>
      <c r="W179" s="467">
        <v>146</v>
      </c>
      <c r="X179" s="268">
        <v>164</v>
      </c>
      <c r="Y179" s="268">
        <v>169</v>
      </c>
      <c r="Z179" s="468">
        <v>179</v>
      </c>
      <c r="AA179" s="99">
        <v>179</v>
      </c>
      <c r="AB179" s="467">
        <v>207</v>
      </c>
      <c r="AC179" s="268">
        <v>265</v>
      </c>
      <c r="AD179" s="268">
        <v>438</v>
      </c>
      <c r="AE179" s="468">
        <v>530</v>
      </c>
      <c r="AF179" s="99">
        <v>530</v>
      </c>
      <c r="AG179" s="467">
        <v>626</v>
      </c>
      <c r="AH179" s="268">
        <v>712</v>
      </c>
      <c r="AI179" s="268">
        <v>787</v>
      </c>
      <c r="AJ179" s="468">
        <v>809</v>
      </c>
      <c r="AK179" s="99">
        <v>809</v>
      </c>
      <c r="AL179" s="467">
        <v>849</v>
      </c>
      <c r="AM179" s="268">
        <v>919</v>
      </c>
      <c r="AN179" s="268">
        <v>951</v>
      </c>
      <c r="AO179" s="468">
        <v>1033</v>
      </c>
      <c r="AP179" s="99">
        <v>1033</v>
      </c>
      <c r="AQ179" s="467">
        <v>1104</v>
      </c>
      <c r="AR179" s="268">
        <v>1181</v>
      </c>
      <c r="AS179" s="268">
        <v>1258</v>
      </c>
      <c r="AT179" s="468">
        <v>1422</v>
      </c>
      <c r="AU179" s="99">
        <v>1422</v>
      </c>
      <c r="AV179" s="467">
        <v>1532</v>
      </c>
      <c r="AW179" s="268">
        <v>1619</v>
      </c>
      <c r="AX179" s="268">
        <v>1703</v>
      </c>
      <c r="AY179" s="468">
        <v>1839</v>
      </c>
      <c r="AZ179" s="99">
        <v>1839</v>
      </c>
      <c r="BA179" s="467">
        <v>1982</v>
      </c>
      <c r="BB179" s="268">
        <v>2080</v>
      </c>
      <c r="BC179" s="268">
        <v>2222</v>
      </c>
      <c r="BD179" s="468">
        <v>2435</v>
      </c>
      <c r="BE179" s="99">
        <v>2435</v>
      </c>
      <c r="BF179" s="467">
        <v>2633</v>
      </c>
      <c r="BG179" s="268">
        <v>2765</v>
      </c>
      <c r="BH179" s="268">
        <v>2952</v>
      </c>
      <c r="BI179" s="468">
        <v>3168</v>
      </c>
      <c r="BJ179" s="99">
        <v>3168</v>
      </c>
      <c r="BK179" s="467">
        <v>3391</v>
      </c>
      <c r="BL179" s="268">
        <v>3533</v>
      </c>
      <c r="BM179" s="268">
        <v>3729</v>
      </c>
      <c r="BN179" s="468">
        <v>3891</v>
      </c>
      <c r="BO179" s="99">
        <v>3891</v>
      </c>
      <c r="BP179" s="467">
        <v>4081</v>
      </c>
      <c r="BQ179" s="268">
        <v>4177</v>
      </c>
      <c r="BR179" s="268">
        <v>4195</v>
      </c>
      <c r="BS179" s="468">
        <v>4329</v>
      </c>
      <c r="BT179" s="99">
        <v>4329</v>
      </c>
      <c r="BU179" s="467">
        <v>4399</v>
      </c>
      <c r="BV179" s="268">
        <v>4411</v>
      </c>
      <c r="BW179" s="268">
        <v>4395</v>
      </c>
      <c r="BX179" s="468">
        <v>4364</v>
      </c>
      <c r="BY179" s="99">
        <v>4364</v>
      </c>
      <c r="BZ179" s="467">
        <v>4412</v>
      </c>
      <c r="CA179" s="268">
        <v>4385</v>
      </c>
      <c r="CB179" s="268">
        <v>4404</v>
      </c>
      <c r="CC179" s="468">
        <v>4424</v>
      </c>
      <c r="CD179" s="99">
        <v>4424</v>
      </c>
      <c r="CE179" s="467">
        <v>4452</v>
      </c>
      <c r="CF179" s="268">
        <v>4231</v>
      </c>
      <c r="CG179" s="268">
        <v>4266</v>
      </c>
      <c r="CH179" s="468">
        <v>4082</v>
      </c>
      <c r="CI179" s="99">
        <v>4082</v>
      </c>
      <c r="ED179" s="28"/>
      <c r="EE179" s="28"/>
      <c r="EP179" s="356">
        <f t="shared" si="412"/>
        <v>4081</v>
      </c>
      <c r="EQ179" s="356">
        <f t="shared" si="413"/>
        <v>4399</v>
      </c>
      <c r="ER179" s="356">
        <f t="shared" si="414"/>
        <v>4412</v>
      </c>
      <c r="ES179" s="356">
        <f t="shared" si="415"/>
        <v>4452</v>
      </c>
      <c r="ET179" s="20">
        <f t="shared" si="416"/>
        <v>0</v>
      </c>
      <c r="EU179" s="20">
        <f t="shared" si="417"/>
        <v>0</v>
      </c>
      <c r="EV179" s="20">
        <f t="shared" si="418"/>
        <v>0</v>
      </c>
      <c r="EW179" s="20">
        <f t="shared" si="419"/>
        <v>0</v>
      </c>
      <c r="EX179" s="20">
        <f t="shared" si="420"/>
        <v>0</v>
      </c>
      <c r="EY179" s="20">
        <f t="shared" si="421"/>
        <v>0</v>
      </c>
      <c r="EZ179" s="20">
        <f t="shared" si="422"/>
        <v>0</v>
      </c>
      <c r="FA179" s="20">
        <f t="shared" si="423"/>
        <v>0</v>
      </c>
      <c r="FB179" s="20">
        <f t="shared" si="422"/>
        <v>0</v>
      </c>
      <c r="FJ179"/>
      <c r="FK179"/>
      <c r="FL179"/>
      <c r="FM179"/>
      <c r="FN179"/>
      <c r="FO179"/>
      <c r="FP179"/>
      <c r="FQ179"/>
      <c r="FR179"/>
    </row>
    <row r="180" spans="1:174" s="1" customFormat="1" collapsed="1" x14ac:dyDescent="0.2">
      <c r="A180" s="39" t="s">
        <v>50</v>
      </c>
      <c r="B180" s="43">
        <v>425</v>
      </c>
      <c r="C180" s="352">
        <v>482</v>
      </c>
      <c r="D180" s="353">
        <v>539</v>
      </c>
      <c r="E180" s="353">
        <v>607</v>
      </c>
      <c r="F180" s="351">
        <v>676</v>
      </c>
      <c r="G180" s="350">
        <v>676</v>
      </c>
      <c r="H180" s="352">
        <v>743</v>
      </c>
      <c r="I180" s="353">
        <v>828</v>
      </c>
      <c r="J180" s="353">
        <v>899</v>
      </c>
      <c r="K180" s="351">
        <v>1004</v>
      </c>
      <c r="L180" s="350">
        <v>1004</v>
      </c>
      <c r="M180" s="352">
        <v>1102</v>
      </c>
      <c r="N180" s="353">
        <v>1177</v>
      </c>
      <c r="O180" s="353">
        <v>1270</v>
      </c>
      <c r="P180" s="351">
        <v>1364</v>
      </c>
      <c r="Q180" s="350">
        <v>1364</v>
      </c>
      <c r="R180" s="352">
        <v>1492</v>
      </c>
      <c r="S180" s="353">
        <v>1572</v>
      </c>
      <c r="T180" s="353">
        <v>1661</v>
      </c>
      <c r="U180" s="351">
        <v>1755</v>
      </c>
      <c r="V180" s="350">
        <v>1755</v>
      </c>
      <c r="W180" s="352">
        <v>1859</v>
      </c>
      <c r="X180" s="353">
        <v>1992</v>
      </c>
      <c r="Y180" s="353">
        <v>2078</v>
      </c>
      <c r="Z180" s="351">
        <v>2217</v>
      </c>
      <c r="AA180" s="350">
        <v>2217</v>
      </c>
      <c r="AB180" s="352">
        <v>2346</v>
      </c>
      <c r="AC180" s="353">
        <v>2498</v>
      </c>
      <c r="AD180" s="353">
        <v>2779</v>
      </c>
      <c r="AE180" s="351">
        <v>2976</v>
      </c>
      <c r="AF180" s="350">
        <v>2976</v>
      </c>
      <c r="AG180" s="352">
        <v>3190</v>
      </c>
      <c r="AH180" s="353">
        <v>3414</v>
      </c>
      <c r="AI180" s="353">
        <v>3620</v>
      </c>
      <c r="AJ180" s="351">
        <v>3780</v>
      </c>
      <c r="AK180" s="350">
        <v>3780</v>
      </c>
      <c r="AL180" s="352">
        <v>3729</v>
      </c>
      <c r="AM180" s="353">
        <v>3921</v>
      </c>
      <c r="AN180" s="353">
        <v>4065</v>
      </c>
      <c r="AO180" s="351">
        <v>4242</v>
      </c>
      <c r="AP180" s="350">
        <v>4242</v>
      </c>
      <c r="AQ180" s="352">
        <v>4420</v>
      </c>
      <c r="AR180" s="353">
        <v>4603</v>
      </c>
      <c r="AS180" s="353">
        <v>4802</v>
      </c>
      <c r="AT180" s="351">
        <v>5201</v>
      </c>
      <c r="AU180" s="350">
        <v>5201</v>
      </c>
      <c r="AV180" s="352">
        <v>5411</v>
      </c>
      <c r="AW180" s="353">
        <v>5601</v>
      </c>
      <c r="AX180" s="353">
        <v>5784</v>
      </c>
      <c r="AY180" s="351">
        <v>6132</v>
      </c>
      <c r="AZ180" s="350">
        <v>6132</v>
      </c>
      <c r="BA180" s="352">
        <v>6376</v>
      </c>
      <c r="BB180" s="353">
        <v>6605</v>
      </c>
      <c r="BC180" s="353">
        <v>6888</v>
      </c>
      <c r="BD180" s="351">
        <v>7302</v>
      </c>
      <c r="BE180" s="350">
        <v>7302</v>
      </c>
      <c r="BF180" s="352">
        <v>7715</v>
      </c>
      <c r="BG180" s="353">
        <v>8004</v>
      </c>
      <c r="BH180" s="353">
        <v>8345</v>
      </c>
      <c r="BI180" s="351">
        <v>8896</v>
      </c>
      <c r="BJ180" s="350">
        <v>8896</v>
      </c>
      <c r="BK180" s="352">
        <v>9401</v>
      </c>
      <c r="BL180" s="353">
        <v>9814</v>
      </c>
      <c r="BM180" s="353">
        <v>10295</v>
      </c>
      <c r="BN180" s="351">
        <v>10684</v>
      </c>
      <c r="BO180" s="350">
        <v>10684</v>
      </c>
      <c r="BP180" s="352">
        <v>11168</v>
      </c>
      <c r="BQ180" s="353">
        <v>11434</v>
      </c>
      <c r="BR180" s="353">
        <v>11570</v>
      </c>
      <c r="BS180" s="351">
        <v>11567</v>
      </c>
      <c r="BT180" s="350">
        <v>11567</v>
      </c>
      <c r="BU180" s="352">
        <v>11537</v>
      </c>
      <c r="BV180" s="353">
        <v>11446</v>
      </c>
      <c r="BW180" s="353">
        <v>11266</v>
      </c>
      <c r="BX180" s="351">
        <v>11128</v>
      </c>
      <c r="BY180" s="350">
        <v>11128</v>
      </c>
      <c r="BZ180" s="352">
        <v>11181</v>
      </c>
      <c r="CA180" s="353">
        <v>11121</v>
      </c>
      <c r="CB180" s="353">
        <v>11131</v>
      </c>
      <c r="CC180" s="351">
        <v>11131</v>
      </c>
      <c r="CD180" s="350">
        <v>11131</v>
      </c>
      <c r="CE180" s="352">
        <v>11158</v>
      </c>
      <c r="CF180" s="353">
        <v>10930</v>
      </c>
      <c r="CG180" s="353">
        <v>10957</v>
      </c>
      <c r="CH180" s="351">
        <v>10787</v>
      </c>
      <c r="CI180" s="350">
        <v>10787</v>
      </c>
      <c r="ED180" s="28"/>
      <c r="EE180" s="28"/>
      <c r="EP180" s="357">
        <f t="shared" si="412"/>
        <v>11168</v>
      </c>
      <c r="EQ180" s="357">
        <f t="shared" si="413"/>
        <v>11537</v>
      </c>
      <c r="ER180" s="357">
        <f t="shared" si="414"/>
        <v>11181</v>
      </c>
      <c r="ES180" s="357">
        <f t="shared" si="415"/>
        <v>11158</v>
      </c>
      <c r="ET180" s="43">
        <f t="shared" si="416"/>
        <v>0</v>
      </c>
      <c r="EU180" s="43">
        <f t="shared" si="417"/>
        <v>0</v>
      </c>
      <c r="EV180" s="43">
        <f t="shared" si="418"/>
        <v>0</v>
      </c>
      <c r="EW180" s="43">
        <f t="shared" si="419"/>
        <v>0</v>
      </c>
      <c r="EX180" s="43">
        <f t="shared" si="420"/>
        <v>0</v>
      </c>
      <c r="EY180" s="43">
        <f t="shared" si="421"/>
        <v>0</v>
      </c>
      <c r="EZ180" s="43">
        <f t="shared" si="422"/>
        <v>0</v>
      </c>
      <c r="FA180" s="43">
        <f t="shared" si="423"/>
        <v>0</v>
      </c>
      <c r="FB180" s="43">
        <f t="shared" si="422"/>
        <v>0</v>
      </c>
      <c r="FJ180"/>
      <c r="FK180"/>
      <c r="FL180"/>
      <c r="FM180"/>
      <c r="FN180"/>
      <c r="FO180"/>
      <c r="FP180"/>
      <c r="FQ180"/>
      <c r="FR180"/>
    </row>
    <row r="181" spans="1:174" s="1" customFormat="1" hidden="1" outlineLevel="1" x14ac:dyDescent="0.2">
      <c r="A181" s="27" t="s">
        <v>51</v>
      </c>
      <c r="B181" s="20">
        <v>0</v>
      </c>
      <c r="C181" s="467">
        <v>0</v>
      </c>
      <c r="D181" s="268">
        <v>0</v>
      </c>
      <c r="E181" s="268">
        <v>0</v>
      </c>
      <c r="F181" s="468">
        <v>0</v>
      </c>
      <c r="G181" s="99">
        <v>0</v>
      </c>
      <c r="H181" s="467">
        <v>0</v>
      </c>
      <c r="I181" s="268">
        <v>0</v>
      </c>
      <c r="J181" s="268">
        <v>0</v>
      </c>
      <c r="K181" s="468">
        <v>0</v>
      </c>
      <c r="L181" s="99">
        <v>0</v>
      </c>
      <c r="M181" s="467">
        <v>14</v>
      </c>
      <c r="N181" s="268">
        <v>20</v>
      </c>
      <c r="O181" s="268">
        <v>25</v>
      </c>
      <c r="P181" s="468">
        <v>31</v>
      </c>
      <c r="Q181" s="99">
        <v>31</v>
      </c>
      <c r="R181" s="467">
        <v>49</v>
      </c>
      <c r="S181" s="268">
        <v>54</v>
      </c>
      <c r="T181" s="268">
        <v>64</v>
      </c>
      <c r="U181" s="468">
        <v>66</v>
      </c>
      <c r="V181" s="99">
        <v>66</v>
      </c>
      <c r="W181" s="467">
        <v>74</v>
      </c>
      <c r="X181" s="268">
        <v>88</v>
      </c>
      <c r="Y181" s="268">
        <v>86</v>
      </c>
      <c r="Z181" s="468">
        <v>97</v>
      </c>
      <c r="AA181" s="99">
        <v>97</v>
      </c>
      <c r="AB181" s="467">
        <v>110</v>
      </c>
      <c r="AC181" s="268">
        <v>127</v>
      </c>
      <c r="AD181" s="268">
        <v>148</v>
      </c>
      <c r="AE181" s="468">
        <v>173</v>
      </c>
      <c r="AF181" s="99">
        <v>173</v>
      </c>
      <c r="AG181" s="467">
        <v>192</v>
      </c>
      <c r="AH181" s="268">
        <v>222</v>
      </c>
      <c r="AI181" s="268">
        <v>255</v>
      </c>
      <c r="AJ181" s="468">
        <v>295</v>
      </c>
      <c r="AK181" s="99">
        <v>295</v>
      </c>
      <c r="AL181" s="467">
        <v>613</v>
      </c>
      <c r="AM181" s="268">
        <v>626</v>
      </c>
      <c r="AN181" s="268">
        <v>647</v>
      </c>
      <c r="AO181" s="468">
        <v>671</v>
      </c>
      <c r="AP181" s="99">
        <v>671</v>
      </c>
      <c r="AQ181" s="467">
        <v>697</v>
      </c>
      <c r="AR181" s="268">
        <v>718</v>
      </c>
      <c r="AS181" s="268">
        <v>742</v>
      </c>
      <c r="AT181" s="468">
        <v>767</v>
      </c>
      <c r="AU181" s="99">
        <v>767</v>
      </c>
      <c r="AV181" s="467">
        <v>804</v>
      </c>
      <c r="AW181" s="268">
        <v>829</v>
      </c>
      <c r="AX181" s="268">
        <v>921</v>
      </c>
      <c r="AY181" s="468">
        <v>922</v>
      </c>
      <c r="AZ181" s="99">
        <v>922</v>
      </c>
      <c r="BA181" s="467">
        <v>997</v>
      </c>
      <c r="BB181" s="268">
        <v>1018</v>
      </c>
      <c r="BC181" s="268">
        <v>1049</v>
      </c>
      <c r="BD181" s="468">
        <v>1133</v>
      </c>
      <c r="BE181" s="99">
        <v>1133</v>
      </c>
      <c r="BF181" s="467">
        <v>1262</v>
      </c>
      <c r="BG181" s="268">
        <v>1316</v>
      </c>
      <c r="BH181" s="268">
        <v>1357</v>
      </c>
      <c r="BI181" s="468">
        <v>1374</v>
      </c>
      <c r="BJ181" s="99">
        <v>1374</v>
      </c>
      <c r="BK181" s="467">
        <v>1511</v>
      </c>
      <c r="BL181" s="268">
        <v>1553</v>
      </c>
      <c r="BM181" s="268">
        <v>1613</v>
      </c>
      <c r="BN181" s="468">
        <v>1712</v>
      </c>
      <c r="BO181" s="99">
        <v>1712</v>
      </c>
      <c r="BP181" s="467">
        <v>1874</v>
      </c>
      <c r="BQ181" s="268">
        <v>1949</v>
      </c>
      <c r="BR181" s="268">
        <v>2019</v>
      </c>
      <c r="BS181" s="468">
        <v>2025</v>
      </c>
      <c r="BT181" s="99">
        <v>2025</v>
      </c>
      <c r="BU181" s="467">
        <v>2096</v>
      </c>
      <c r="BV181" s="268">
        <v>2117</v>
      </c>
      <c r="BW181" s="268">
        <v>2111</v>
      </c>
      <c r="BX181" s="468">
        <v>2118</v>
      </c>
      <c r="BY181" s="99">
        <v>2118</v>
      </c>
      <c r="BZ181" s="467">
        <v>2081</v>
      </c>
      <c r="CA181" s="268">
        <v>2076</v>
      </c>
      <c r="CB181" s="268">
        <v>2082</v>
      </c>
      <c r="CC181" s="468">
        <v>2126</v>
      </c>
      <c r="CD181" s="99">
        <v>2126</v>
      </c>
      <c r="CE181" s="467">
        <v>2164</v>
      </c>
      <c r="CF181" s="268">
        <v>2182</v>
      </c>
      <c r="CG181" s="268">
        <v>2218</v>
      </c>
      <c r="CH181" s="468">
        <v>2326</v>
      </c>
      <c r="CI181" s="99">
        <v>2326</v>
      </c>
      <c r="ED181" s="28"/>
      <c r="EE181" s="28"/>
      <c r="EP181" s="356">
        <f t="shared" si="412"/>
        <v>1874</v>
      </c>
      <c r="EQ181" s="356">
        <f t="shared" si="413"/>
        <v>2096</v>
      </c>
      <c r="ER181" s="356">
        <f t="shared" si="414"/>
        <v>2081</v>
      </c>
      <c r="ES181" s="356">
        <f t="shared" si="415"/>
        <v>2164</v>
      </c>
      <c r="ET181" s="20">
        <f t="shared" si="416"/>
        <v>0</v>
      </c>
      <c r="EU181" s="20">
        <f t="shared" si="417"/>
        <v>0</v>
      </c>
      <c r="EV181" s="20">
        <f t="shared" si="418"/>
        <v>0</v>
      </c>
      <c r="EW181" s="20">
        <f t="shared" si="419"/>
        <v>0</v>
      </c>
      <c r="EX181" s="20">
        <f t="shared" si="420"/>
        <v>0</v>
      </c>
      <c r="EY181" s="20">
        <f t="shared" si="421"/>
        <v>0</v>
      </c>
      <c r="EZ181" s="20">
        <f t="shared" si="422"/>
        <v>0</v>
      </c>
      <c r="FA181" s="20">
        <f t="shared" si="423"/>
        <v>0</v>
      </c>
      <c r="FB181" s="20">
        <f t="shared" si="422"/>
        <v>0</v>
      </c>
      <c r="FJ181"/>
      <c r="FK181"/>
      <c r="FL181"/>
      <c r="FM181"/>
      <c r="FN181"/>
      <c r="FO181"/>
      <c r="FP181"/>
      <c r="FQ181"/>
      <c r="FR181"/>
    </row>
    <row r="182" spans="1:174" s="1" customFormat="1" hidden="1" outlineLevel="1" x14ac:dyDescent="0.2">
      <c r="A182" s="27" t="s">
        <v>52</v>
      </c>
      <c r="B182" s="20">
        <v>0</v>
      </c>
      <c r="C182" s="467">
        <v>0</v>
      </c>
      <c r="D182" s="268">
        <v>0</v>
      </c>
      <c r="E182" s="268">
        <v>0</v>
      </c>
      <c r="F182" s="468">
        <v>0</v>
      </c>
      <c r="G182" s="99">
        <v>0</v>
      </c>
      <c r="H182" s="467">
        <v>0</v>
      </c>
      <c r="I182" s="268">
        <v>0</v>
      </c>
      <c r="J182" s="268">
        <v>0</v>
      </c>
      <c r="K182" s="468">
        <v>2</v>
      </c>
      <c r="L182" s="99">
        <v>2</v>
      </c>
      <c r="M182" s="467">
        <v>5</v>
      </c>
      <c r="N182" s="268">
        <v>8</v>
      </c>
      <c r="O182" s="268">
        <v>11</v>
      </c>
      <c r="P182" s="468">
        <v>17</v>
      </c>
      <c r="Q182" s="99">
        <v>17</v>
      </c>
      <c r="R182" s="467">
        <v>27</v>
      </c>
      <c r="S182" s="268">
        <v>39</v>
      </c>
      <c r="T182" s="268">
        <v>53</v>
      </c>
      <c r="U182" s="468">
        <v>65</v>
      </c>
      <c r="V182" s="99">
        <v>65</v>
      </c>
      <c r="W182" s="467">
        <v>97</v>
      </c>
      <c r="X182" s="268">
        <v>112</v>
      </c>
      <c r="Y182" s="268">
        <v>148</v>
      </c>
      <c r="Z182" s="468">
        <v>184</v>
      </c>
      <c r="AA182" s="99">
        <v>184</v>
      </c>
      <c r="AB182" s="467">
        <v>218</v>
      </c>
      <c r="AC182" s="268">
        <v>260</v>
      </c>
      <c r="AD182" s="268">
        <v>288</v>
      </c>
      <c r="AE182" s="468">
        <v>352</v>
      </c>
      <c r="AF182" s="99">
        <v>352</v>
      </c>
      <c r="AG182" s="467">
        <v>435</v>
      </c>
      <c r="AH182" s="268">
        <v>499</v>
      </c>
      <c r="AI182" s="268">
        <v>560</v>
      </c>
      <c r="AJ182" s="468">
        <v>634</v>
      </c>
      <c r="AK182" s="99">
        <v>634</v>
      </c>
      <c r="AL182" s="467">
        <v>762</v>
      </c>
      <c r="AM182" s="268">
        <v>821</v>
      </c>
      <c r="AN182" s="268">
        <v>896</v>
      </c>
      <c r="AO182" s="468">
        <v>973</v>
      </c>
      <c r="AP182" s="99">
        <v>973</v>
      </c>
      <c r="AQ182" s="467">
        <v>1076</v>
      </c>
      <c r="AR182" s="268">
        <v>1137</v>
      </c>
      <c r="AS182" s="268">
        <v>1197</v>
      </c>
      <c r="AT182" s="468">
        <v>1257</v>
      </c>
      <c r="AU182" s="99">
        <v>1257</v>
      </c>
      <c r="AV182" s="467">
        <v>1352</v>
      </c>
      <c r="AW182" s="268">
        <v>1404</v>
      </c>
      <c r="AX182" s="268">
        <v>1414</v>
      </c>
      <c r="AY182" s="468">
        <v>1515</v>
      </c>
      <c r="AZ182" s="99">
        <v>1515</v>
      </c>
      <c r="BA182" s="467">
        <v>1576</v>
      </c>
      <c r="BB182" s="268">
        <v>1638</v>
      </c>
      <c r="BC182" s="268">
        <v>1734</v>
      </c>
      <c r="BD182" s="468">
        <v>1806</v>
      </c>
      <c r="BE182" s="99">
        <v>1806</v>
      </c>
      <c r="BF182" s="467">
        <v>1824</v>
      </c>
      <c r="BG182" s="268">
        <v>1905</v>
      </c>
      <c r="BH182" s="268">
        <v>2082</v>
      </c>
      <c r="BI182" s="468">
        <v>2170</v>
      </c>
      <c r="BJ182" s="99">
        <v>2170</v>
      </c>
      <c r="BK182" s="467">
        <v>2256</v>
      </c>
      <c r="BL182" s="268">
        <v>2361</v>
      </c>
      <c r="BM182" s="268">
        <v>2488</v>
      </c>
      <c r="BN182" s="468">
        <v>2615</v>
      </c>
      <c r="BO182" s="99">
        <v>2615</v>
      </c>
      <c r="BP182" s="467">
        <v>2714</v>
      </c>
      <c r="BQ182" s="268">
        <v>2843</v>
      </c>
      <c r="BR182" s="268">
        <v>2959</v>
      </c>
      <c r="BS182" s="468">
        <v>3088</v>
      </c>
      <c r="BT182" s="99">
        <v>3088</v>
      </c>
      <c r="BU182" s="467">
        <v>3242</v>
      </c>
      <c r="BV182" s="268">
        <v>3299</v>
      </c>
      <c r="BW182" s="268">
        <v>3352</v>
      </c>
      <c r="BX182" s="468">
        <v>3389</v>
      </c>
      <c r="BY182" s="99">
        <v>3389</v>
      </c>
      <c r="BZ182" s="467">
        <v>3444</v>
      </c>
      <c r="CA182" s="268">
        <v>3467</v>
      </c>
      <c r="CB182" s="268">
        <v>3524</v>
      </c>
      <c r="CC182" s="468">
        <v>3601</v>
      </c>
      <c r="CD182" s="99">
        <v>3601</v>
      </c>
      <c r="CE182" s="467">
        <v>3687</v>
      </c>
      <c r="CF182" s="268">
        <v>3751</v>
      </c>
      <c r="CG182" s="268">
        <v>3843</v>
      </c>
      <c r="CH182" s="468">
        <v>3890</v>
      </c>
      <c r="CI182" s="99">
        <v>3890</v>
      </c>
      <c r="ED182" s="28"/>
      <c r="EE182" s="28"/>
      <c r="EP182" s="356">
        <f t="shared" si="412"/>
        <v>2714</v>
      </c>
      <c r="EQ182" s="356">
        <f t="shared" si="413"/>
        <v>3242</v>
      </c>
      <c r="ER182" s="356">
        <f t="shared" si="414"/>
        <v>3444</v>
      </c>
      <c r="ES182" s="356">
        <f t="shared" si="415"/>
        <v>3687</v>
      </c>
      <c r="ET182" s="20">
        <f t="shared" si="416"/>
        <v>0</v>
      </c>
      <c r="EU182" s="20">
        <f t="shared" si="417"/>
        <v>0</v>
      </c>
      <c r="EV182" s="20">
        <f t="shared" si="418"/>
        <v>0</v>
      </c>
      <c r="EW182" s="20">
        <f t="shared" si="419"/>
        <v>0</v>
      </c>
      <c r="EX182" s="20">
        <f t="shared" si="420"/>
        <v>0</v>
      </c>
      <c r="EY182" s="20">
        <f t="shared" si="421"/>
        <v>0</v>
      </c>
      <c r="EZ182" s="20">
        <f t="shared" si="422"/>
        <v>0</v>
      </c>
      <c r="FA182" s="20">
        <f t="shared" si="423"/>
        <v>0</v>
      </c>
      <c r="FB182" s="20">
        <f t="shared" si="422"/>
        <v>0</v>
      </c>
      <c r="FJ182"/>
      <c r="FK182"/>
      <c r="FL182"/>
      <c r="FM182"/>
      <c r="FN182"/>
      <c r="FO182"/>
      <c r="FP182"/>
      <c r="FQ182"/>
      <c r="FR182"/>
    </row>
    <row r="183" spans="1:174" s="1" customFormat="1" collapsed="1" x14ac:dyDescent="0.2">
      <c r="A183" s="42" t="s">
        <v>53</v>
      </c>
      <c r="B183" s="158">
        <v>0</v>
      </c>
      <c r="C183" s="395">
        <v>0</v>
      </c>
      <c r="D183" s="354">
        <v>0</v>
      </c>
      <c r="E183" s="354">
        <v>0</v>
      </c>
      <c r="F183" s="469">
        <v>0</v>
      </c>
      <c r="G183" s="355">
        <v>0</v>
      </c>
      <c r="H183" s="395">
        <v>0</v>
      </c>
      <c r="I183" s="354">
        <v>0</v>
      </c>
      <c r="J183" s="354">
        <v>0</v>
      </c>
      <c r="K183" s="469">
        <v>2</v>
      </c>
      <c r="L183" s="355">
        <v>2</v>
      </c>
      <c r="M183" s="395">
        <v>19</v>
      </c>
      <c r="N183" s="354">
        <v>28</v>
      </c>
      <c r="O183" s="354">
        <v>36</v>
      </c>
      <c r="P183" s="469">
        <v>48</v>
      </c>
      <c r="Q183" s="355">
        <v>48</v>
      </c>
      <c r="R183" s="395">
        <v>76</v>
      </c>
      <c r="S183" s="354">
        <v>93</v>
      </c>
      <c r="T183" s="354">
        <v>117</v>
      </c>
      <c r="U183" s="469">
        <v>131</v>
      </c>
      <c r="V183" s="355">
        <v>131</v>
      </c>
      <c r="W183" s="395">
        <v>171</v>
      </c>
      <c r="X183" s="354">
        <v>200</v>
      </c>
      <c r="Y183" s="354">
        <v>234</v>
      </c>
      <c r="Z183" s="469">
        <v>281</v>
      </c>
      <c r="AA183" s="355">
        <v>281</v>
      </c>
      <c r="AB183" s="395">
        <v>328</v>
      </c>
      <c r="AC183" s="354">
        <v>387</v>
      </c>
      <c r="AD183" s="354">
        <v>436</v>
      </c>
      <c r="AE183" s="469">
        <v>525</v>
      </c>
      <c r="AF183" s="355">
        <v>525</v>
      </c>
      <c r="AG183" s="395">
        <v>627</v>
      </c>
      <c r="AH183" s="354">
        <v>721</v>
      </c>
      <c r="AI183" s="354">
        <v>815</v>
      </c>
      <c r="AJ183" s="469">
        <v>929</v>
      </c>
      <c r="AK183" s="355">
        <v>929</v>
      </c>
      <c r="AL183" s="395">
        <v>1375</v>
      </c>
      <c r="AM183" s="354">
        <v>1447</v>
      </c>
      <c r="AN183" s="354">
        <v>1543</v>
      </c>
      <c r="AO183" s="469">
        <v>1644</v>
      </c>
      <c r="AP183" s="355">
        <v>1644</v>
      </c>
      <c r="AQ183" s="395">
        <v>1773</v>
      </c>
      <c r="AR183" s="354">
        <v>1855</v>
      </c>
      <c r="AS183" s="354">
        <v>1939</v>
      </c>
      <c r="AT183" s="469">
        <v>2024</v>
      </c>
      <c r="AU183" s="355">
        <v>2024</v>
      </c>
      <c r="AV183" s="395">
        <v>2156</v>
      </c>
      <c r="AW183" s="354">
        <v>2233</v>
      </c>
      <c r="AX183" s="354">
        <v>2335</v>
      </c>
      <c r="AY183" s="469">
        <v>2437</v>
      </c>
      <c r="AZ183" s="355">
        <v>2437</v>
      </c>
      <c r="BA183" s="395">
        <v>2573</v>
      </c>
      <c r="BB183" s="354">
        <v>2656</v>
      </c>
      <c r="BC183" s="354">
        <v>2783</v>
      </c>
      <c r="BD183" s="469">
        <v>2939</v>
      </c>
      <c r="BE183" s="355">
        <v>2939</v>
      </c>
      <c r="BF183" s="395">
        <v>3086</v>
      </c>
      <c r="BG183" s="354">
        <v>3221</v>
      </c>
      <c r="BH183" s="354">
        <v>3439</v>
      </c>
      <c r="BI183" s="469">
        <v>3544</v>
      </c>
      <c r="BJ183" s="355">
        <v>3544</v>
      </c>
      <c r="BK183" s="395">
        <v>3767</v>
      </c>
      <c r="BL183" s="354">
        <v>3914</v>
      </c>
      <c r="BM183" s="354">
        <v>4101</v>
      </c>
      <c r="BN183" s="469">
        <v>4327</v>
      </c>
      <c r="BO183" s="355">
        <v>4327</v>
      </c>
      <c r="BP183" s="395">
        <v>4588</v>
      </c>
      <c r="BQ183" s="354">
        <v>4792</v>
      </c>
      <c r="BR183" s="354">
        <v>4978</v>
      </c>
      <c r="BS183" s="469">
        <v>5113</v>
      </c>
      <c r="BT183" s="355">
        <v>5113</v>
      </c>
      <c r="BU183" s="395">
        <v>5338</v>
      </c>
      <c r="BV183" s="354">
        <v>5416</v>
      </c>
      <c r="BW183" s="354">
        <v>5463</v>
      </c>
      <c r="BX183" s="469">
        <v>5507</v>
      </c>
      <c r="BY183" s="355">
        <v>5507</v>
      </c>
      <c r="BZ183" s="395">
        <v>5525</v>
      </c>
      <c r="CA183" s="354">
        <v>5543</v>
      </c>
      <c r="CB183" s="354">
        <v>5606</v>
      </c>
      <c r="CC183" s="469">
        <v>5727</v>
      </c>
      <c r="CD183" s="355">
        <v>5727</v>
      </c>
      <c r="CE183" s="395">
        <v>5851</v>
      </c>
      <c r="CF183" s="354">
        <v>5933</v>
      </c>
      <c r="CG183" s="354">
        <v>6061</v>
      </c>
      <c r="CH183" s="469">
        <v>6216</v>
      </c>
      <c r="CI183" s="355">
        <v>6216</v>
      </c>
      <c r="ED183" s="28"/>
      <c r="EE183" s="28"/>
      <c r="EP183" s="357">
        <f t="shared" si="412"/>
        <v>4588</v>
      </c>
      <c r="EQ183" s="357">
        <f t="shared" si="413"/>
        <v>5338</v>
      </c>
      <c r="ER183" s="357">
        <f t="shared" si="414"/>
        <v>5525</v>
      </c>
      <c r="ES183" s="357">
        <f t="shared" si="415"/>
        <v>5851</v>
      </c>
      <c r="ET183" s="43">
        <f t="shared" si="416"/>
        <v>0</v>
      </c>
      <c r="EU183" s="43">
        <f t="shared" si="417"/>
        <v>0</v>
      </c>
      <c r="EV183" s="43">
        <f t="shared" si="418"/>
        <v>0</v>
      </c>
      <c r="EW183" s="43">
        <f t="shared" si="419"/>
        <v>0</v>
      </c>
      <c r="EX183" s="43">
        <f t="shared" si="420"/>
        <v>0</v>
      </c>
      <c r="EY183" s="43">
        <f t="shared" si="421"/>
        <v>0</v>
      </c>
      <c r="EZ183" s="43">
        <f t="shared" si="422"/>
        <v>0</v>
      </c>
      <c r="FA183" s="43">
        <f t="shared" si="423"/>
        <v>0</v>
      </c>
      <c r="FB183" s="43">
        <f t="shared" si="422"/>
        <v>0</v>
      </c>
      <c r="FJ183"/>
      <c r="FK183"/>
      <c r="FL183"/>
      <c r="FM183"/>
      <c r="FN183"/>
      <c r="FO183"/>
      <c r="FP183"/>
      <c r="FQ183"/>
      <c r="FR183"/>
    </row>
    <row r="184" spans="1:174" s="1" customFormat="1" hidden="1" outlineLevel="1" x14ac:dyDescent="0.2">
      <c r="A184" s="24" t="s">
        <v>54</v>
      </c>
      <c r="B184" s="18">
        <f>B178+B181</f>
        <v>399</v>
      </c>
      <c r="C184" s="470">
        <f t="shared" ref="C184:BN184" si="424">C178+C181</f>
        <v>451</v>
      </c>
      <c r="D184" s="470">
        <f t="shared" si="424"/>
        <v>505</v>
      </c>
      <c r="E184" s="470">
        <f t="shared" si="424"/>
        <v>564</v>
      </c>
      <c r="F184" s="470">
        <f t="shared" si="424"/>
        <v>627</v>
      </c>
      <c r="G184" s="102">
        <f t="shared" si="424"/>
        <v>627</v>
      </c>
      <c r="H184" s="470">
        <f t="shared" si="424"/>
        <v>691</v>
      </c>
      <c r="I184" s="470">
        <f t="shared" si="424"/>
        <v>771</v>
      </c>
      <c r="J184" s="470">
        <f t="shared" si="424"/>
        <v>825</v>
      </c>
      <c r="K184" s="470">
        <f t="shared" si="424"/>
        <v>929</v>
      </c>
      <c r="L184" s="102">
        <f t="shared" si="424"/>
        <v>929</v>
      </c>
      <c r="M184" s="470">
        <f t="shared" si="424"/>
        <v>1036</v>
      </c>
      <c r="N184" s="470">
        <f t="shared" si="424"/>
        <v>1114</v>
      </c>
      <c r="O184" s="470">
        <f t="shared" si="424"/>
        <v>1208</v>
      </c>
      <c r="P184" s="470">
        <f t="shared" si="424"/>
        <v>1301</v>
      </c>
      <c r="Q184" s="102">
        <f t="shared" si="424"/>
        <v>1301</v>
      </c>
      <c r="R184" s="470">
        <f t="shared" si="424"/>
        <v>1438</v>
      </c>
      <c r="S184" s="470">
        <f t="shared" si="424"/>
        <v>1516</v>
      </c>
      <c r="T184" s="470">
        <f t="shared" si="424"/>
        <v>1603</v>
      </c>
      <c r="U184" s="470">
        <f t="shared" si="424"/>
        <v>1688</v>
      </c>
      <c r="V184" s="102">
        <f t="shared" si="424"/>
        <v>1688</v>
      </c>
      <c r="W184" s="470">
        <f t="shared" si="424"/>
        <v>1787</v>
      </c>
      <c r="X184" s="470">
        <f t="shared" si="424"/>
        <v>1916</v>
      </c>
      <c r="Y184" s="470">
        <f t="shared" si="424"/>
        <v>1995</v>
      </c>
      <c r="Z184" s="470">
        <f t="shared" si="424"/>
        <v>2135</v>
      </c>
      <c r="AA184" s="102">
        <f t="shared" si="424"/>
        <v>2135</v>
      </c>
      <c r="AB184" s="470">
        <f t="shared" si="424"/>
        <v>2249</v>
      </c>
      <c r="AC184" s="470">
        <f t="shared" si="424"/>
        <v>2360</v>
      </c>
      <c r="AD184" s="470">
        <f t="shared" si="424"/>
        <v>2489</v>
      </c>
      <c r="AE184" s="470">
        <f t="shared" si="424"/>
        <v>2619</v>
      </c>
      <c r="AF184" s="102">
        <f t="shared" si="424"/>
        <v>2619</v>
      </c>
      <c r="AG184" s="470">
        <f t="shared" si="424"/>
        <v>2756</v>
      </c>
      <c r="AH184" s="470">
        <f t="shared" si="424"/>
        <v>2924</v>
      </c>
      <c r="AI184" s="470">
        <f t="shared" si="424"/>
        <v>3088</v>
      </c>
      <c r="AJ184" s="470">
        <f t="shared" si="424"/>
        <v>3266</v>
      </c>
      <c r="AK184" s="102">
        <f t="shared" si="424"/>
        <v>3266</v>
      </c>
      <c r="AL184" s="470">
        <f t="shared" si="424"/>
        <v>3493</v>
      </c>
      <c r="AM184" s="470">
        <f t="shared" si="424"/>
        <v>3628</v>
      </c>
      <c r="AN184" s="470">
        <f t="shared" si="424"/>
        <v>3761</v>
      </c>
      <c r="AO184" s="470">
        <f t="shared" si="424"/>
        <v>3880</v>
      </c>
      <c r="AP184" s="102">
        <f t="shared" si="424"/>
        <v>3880</v>
      </c>
      <c r="AQ184" s="470">
        <f t="shared" si="424"/>
        <v>4013</v>
      </c>
      <c r="AR184" s="470">
        <f t="shared" si="424"/>
        <v>4140</v>
      </c>
      <c r="AS184" s="470">
        <f t="shared" si="424"/>
        <v>4286</v>
      </c>
      <c r="AT184" s="470">
        <f t="shared" si="424"/>
        <v>4546</v>
      </c>
      <c r="AU184" s="102">
        <f t="shared" si="424"/>
        <v>4546</v>
      </c>
      <c r="AV184" s="470">
        <f t="shared" si="424"/>
        <v>4683</v>
      </c>
      <c r="AW184" s="470">
        <f t="shared" si="424"/>
        <v>4811</v>
      </c>
      <c r="AX184" s="470">
        <f t="shared" si="424"/>
        <v>5002</v>
      </c>
      <c r="AY184" s="470">
        <f t="shared" si="424"/>
        <v>5215</v>
      </c>
      <c r="AZ184" s="102">
        <f t="shared" si="424"/>
        <v>5215</v>
      </c>
      <c r="BA184" s="470">
        <f t="shared" si="424"/>
        <v>5391</v>
      </c>
      <c r="BB184" s="470">
        <f t="shared" si="424"/>
        <v>5543</v>
      </c>
      <c r="BC184" s="470">
        <f t="shared" si="424"/>
        <v>5715</v>
      </c>
      <c r="BD184" s="470">
        <f t="shared" si="424"/>
        <v>6000</v>
      </c>
      <c r="BE184" s="102">
        <f t="shared" si="424"/>
        <v>6000</v>
      </c>
      <c r="BF184" s="470">
        <f t="shared" si="424"/>
        <v>6344</v>
      </c>
      <c r="BG184" s="470">
        <f t="shared" si="424"/>
        <v>6555</v>
      </c>
      <c r="BH184" s="470">
        <f t="shared" si="424"/>
        <v>6750</v>
      </c>
      <c r="BI184" s="470">
        <f t="shared" si="424"/>
        <v>7102</v>
      </c>
      <c r="BJ184" s="102">
        <f t="shared" si="424"/>
        <v>7102</v>
      </c>
      <c r="BK184" s="470">
        <f t="shared" si="424"/>
        <v>7521</v>
      </c>
      <c r="BL184" s="470">
        <f t="shared" si="424"/>
        <v>7834</v>
      </c>
      <c r="BM184" s="470">
        <f t="shared" si="424"/>
        <v>8179</v>
      </c>
      <c r="BN184" s="470">
        <f t="shared" si="424"/>
        <v>8505</v>
      </c>
      <c r="BO184" s="102">
        <f t="shared" ref="BO184:CI184" si="425">BO178+BO181</f>
        <v>8505</v>
      </c>
      <c r="BP184" s="470">
        <f t="shared" si="425"/>
        <v>8961</v>
      </c>
      <c r="BQ184" s="470">
        <f t="shared" si="425"/>
        <v>9206</v>
      </c>
      <c r="BR184" s="470">
        <f t="shared" si="425"/>
        <v>9394</v>
      </c>
      <c r="BS184" s="470">
        <f t="shared" si="425"/>
        <v>9263</v>
      </c>
      <c r="BT184" s="102">
        <f t="shared" si="425"/>
        <v>9263</v>
      </c>
      <c r="BU184" s="470">
        <f t="shared" si="425"/>
        <v>9234</v>
      </c>
      <c r="BV184" s="470">
        <f t="shared" si="425"/>
        <v>9152</v>
      </c>
      <c r="BW184" s="470">
        <f t="shared" si="425"/>
        <v>8982</v>
      </c>
      <c r="BX184" s="470">
        <f t="shared" si="425"/>
        <v>8882</v>
      </c>
      <c r="BY184" s="102">
        <f t="shared" si="425"/>
        <v>8882</v>
      </c>
      <c r="BZ184" s="470">
        <f t="shared" si="425"/>
        <v>8850</v>
      </c>
      <c r="CA184" s="470">
        <f t="shared" si="425"/>
        <v>8812</v>
      </c>
      <c r="CB184" s="470">
        <f t="shared" si="425"/>
        <v>8809</v>
      </c>
      <c r="CC184" s="470">
        <f t="shared" si="425"/>
        <v>8833</v>
      </c>
      <c r="CD184" s="102">
        <f t="shared" si="425"/>
        <v>8833</v>
      </c>
      <c r="CE184" s="470">
        <f t="shared" si="425"/>
        <v>8870</v>
      </c>
      <c r="CF184" s="470">
        <f t="shared" si="425"/>
        <v>8881</v>
      </c>
      <c r="CG184" s="470">
        <f t="shared" si="425"/>
        <v>8909</v>
      </c>
      <c r="CH184" s="470">
        <f t="shared" si="425"/>
        <v>9031</v>
      </c>
      <c r="CI184" s="102">
        <f t="shared" si="425"/>
        <v>9031</v>
      </c>
      <c r="CJ184" s="28"/>
      <c r="ED184" s="28"/>
      <c r="EE184" s="28"/>
      <c r="EP184" s="360">
        <f t="shared" si="412"/>
        <v>8961</v>
      </c>
      <c r="EQ184" s="360">
        <f t="shared" si="413"/>
        <v>9234</v>
      </c>
      <c r="ER184" s="360">
        <f t="shared" si="414"/>
        <v>8850</v>
      </c>
      <c r="ES184" s="360">
        <f t="shared" si="415"/>
        <v>8870</v>
      </c>
      <c r="ET184" s="18">
        <f t="shared" si="416"/>
        <v>0</v>
      </c>
      <c r="EU184" s="18">
        <f t="shared" si="417"/>
        <v>0</v>
      </c>
      <c r="EV184" s="18">
        <f t="shared" si="418"/>
        <v>0</v>
      </c>
      <c r="EW184" s="18">
        <f>CU184</f>
        <v>0</v>
      </c>
      <c r="EX184" s="18">
        <f>CZ184</f>
        <v>0</v>
      </c>
      <c r="EY184" s="18">
        <f>DE184</f>
        <v>0</v>
      </c>
      <c r="EZ184" s="18">
        <f>DJ184</f>
        <v>0</v>
      </c>
      <c r="FA184" s="18">
        <f>DO184</f>
        <v>0</v>
      </c>
      <c r="FB184" s="18">
        <f>DT184</f>
        <v>0</v>
      </c>
      <c r="FJ184"/>
      <c r="FK184"/>
      <c r="FL184"/>
      <c r="FM184"/>
      <c r="FN184"/>
      <c r="FO184"/>
      <c r="FP184"/>
      <c r="FQ184"/>
      <c r="FR184"/>
    </row>
    <row r="185" spans="1:174" s="1" customFormat="1" hidden="1" outlineLevel="1" x14ac:dyDescent="0.2">
      <c r="A185" s="30" t="s">
        <v>573</v>
      </c>
      <c r="B185" s="19">
        <f>B179+B182</f>
        <v>26</v>
      </c>
      <c r="C185" s="390">
        <f t="shared" ref="C185:BN185" si="426">C179+C182</f>
        <v>31</v>
      </c>
      <c r="D185" s="390">
        <f t="shared" si="426"/>
        <v>34</v>
      </c>
      <c r="E185" s="390">
        <f t="shared" si="426"/>
        <v>43</v>
      </c>
      <c r="F185" s="390">
        <f t="shared" si="426"/>
        <v>49</v>
      </c>
      <c r="G185" s="471">
        <f t="shared" si="426"/>
        <v>49</v>
      </c>
      <c r="H185" s="390">
        <f t="shared" si="426"/>
        <v>52</v>
      </c>
      <c r="I185" s="390">
        <f t="shared" si="426"/>
        <v>57</v>
      </c>
      <c r="J185" s="390">
        <f t="shared" si="426"/>
        <v>74</v>
      </c>
      <c r="K185" s="390">
        <f t="shared" si="426"/>
        <v>77</v>
      </c>
      <c r="L185" s="471">
        <f t="shared" si="426"/>
        <v>77</v>
      </c>
      <c r="M185" s="390">
        <f t="shared" si="426"/>
        <v>85</v>
      </c>
      <c r="N185" s="390">
        <f t="shared" si="426"/>
        <v>91</v>
      </c>
      <c r="O185" s="390">
        <f t="shared" si="426"/>
        <v>98</v>
      </c>
      <c r="P185" s="390">
        <f t="shared" si="426"/>
        <v>111</v>
      </c>
      <c r="Q185" s="471">
        <f t="shared" si="426"/>
        <v>111</v>
      </c>
      <c r="R185" s="390">
        <f t="shared" si="426"/>
        <v>130</v>
      </c>
      <c r="S185" s="390">
        <f t="shared" si="426"/>
        <v>149</v>
      </c>
      <c r="T185" s="390">
        <f t="shared" si="426"/>
        <v>175</v>
      </c>
      <c r="U185" s="390">
        <f t="shared" si="426"/>
        <v>198</v>
      </c>
      <c r="V185" s="471">
        <f t="shared" si="426"/>
        <v>198</v>
      </c>
      <c r="W185" s="390">
        <f t="shared" si="426"/>
        <v>243</v>
      </c>
      <c r="X185" s="390">
        <f t="shared" si="426"/>
        <v>276</v>
      </c>
      <c r="Y185" s="390">
        <f t="shared" si="426"/>
        <v>317</v>
      </c>
      <c r="Z185" s="390">
        <f t="shared" si="426"/>
        <v>363</v>
      </c>
      <c r="AA185" s="471">
        <f t="shared" si="426"/>
        <v>363</v>
      </c>
      <c r="AB185" s="390">
        <f t="shared" si="426"/>
        <v>425</v>
      </c>
      <c r="AC185" s="390">
        <f t="shared" si="426"/>
        <v>525</v>
      </c>
      <c r="AD185" s="390">
        <f t="shared" si="426"/>
        <v>726</v>
      </c>
      <c r="AE185" s="390">
        <f t="shared" si="426"/>
        <v>882</v>
      </c>
      <c r="AF185" s="471">
        <f t="shared" si="426"/>
        <v>882</v>
      </c>
      <c r="AG185" s="390">
        <f t="shared" si="426"/>
        <v>1061</v>
      </c>
      <c r="AH185" s="390">
        <f t="shared" si="426"/>
        <v>1211</v>
      </c>
      <c r="AI185" s="390">
        <f t="shared" si="426"/>
        <v>1347</v>
      </c>
      <c r="AJ185" s="390">
        <f t="shared" si="426"/>
        <v>1443</v>
      </c>
      <c r="AK185" s="471">
        <f t="shared" si="426"/>
        <v>1443</v>
      </c>
      <c r="AL185" s="390">
        <f t="shared" si="426"/>
        <v>1611</v>
      </c>
      <c r="AM185" s="390">
        <f t="shared" si="426"/>
        <v>1740</v>
      </c>
      <c r="AN185" s="390">
        <f t="shared" si="426"/>
        <v>1847</v>
      </c>
      <c r="AO185" s="390">
        <f t="shared" si="426"/>
        <v>2006</v>
      </c>
      <c r="AP185" s="471">
        <f t="shared" si="426"/>
        <v>2006</v>
      </c>
      <c r="AQ185" s="390">
        <f t="shared" si="426"/>
        <v>2180</v>
      </c>
      <c r="AR185" s="390">
        <f t="shared" si="426"/>
        <v>2318</v>
      </c>
      <c r="AS185" s="390">
        <f t="shared" si="426"/>
        <v>2455</v>
      </c>
      <c r="AT185" s="390">
        <f t="shared" si="426"/>
        <v>2679</v>
      </c>
      <c r="AU185" s="471">
        <f t="shared" si="426"/>
        <v>2679</v>
      </c>
      <c r="AV185" s="390">
        <f t="shared" si="426"/>
        <v>2884</v>
      </c>
      <c r="AW185" s="390">
        <f t="shared" si="426"/>
        <v>3023</v>
      </c>
      <c r="AX185" s="390">
        <f t="shared" si="426"/>
        <v>3117</v>
      </c>
      <c r="AY185" s="390">
        <f t="shared" si="426"/>
        <v>3354</v>
      </c>
      <c r="AZ185" s="471">
        <f t="shared" si="426"/>
        <v>3354</v>
      </c>
      <c r="BA185" s="390">
        <f t="shared" si="426"/>
        <v>3558</v>
      </c>
      <c r="BB185" s="390">
        <f t="shared" si="426"/>
        <v>3718</v>
      </c>
      <c r="BC185" s="390">
        <f t="shared" si="426"/>
        <v>3956</v>
      </c>
      <c r="BD185" s="390">
        <f t="shared" si="426"/>
        <v>4241</v>
      </c>
      <c r="BE185" s="471">
        <f t="shared" si="426"/>
        <v>4241</v>
      </c>
      <c r="BF185" s="390">
        <f t="shared" si="426"/>
        <v>4457</v>
      </c>
      <c r="BG185" s="390">
        <f t="shared" si="426"/>
        <v>4670</v>
      </c>
      <c r="BH185" s="390">
        <f t="shared" si="426"/>
        <v>5034</v>
      </c>
      <c r="BI185" s="390">
        <f t="shared" si="426"/>
        <v>5338</v>
      </c>
      <c r="BJ185" s="471">
        <f t="shared" si="426"/>
        <v>5338</v>
      </c>
      <c r="BK185" s="390">
        <f t="shared" si="426"/>
        <v>5647</v>
      </c>
      <c r="BL185" s="390">
        <f t="shared" si="426"/>
        <v>5894</v>
      </c>
      <c r="BM185" s="390">
        <f t="shared" si="426"/>
        <v>6217</v>
      </c>
      <c r="BN185" s="390">
        <f t="shared" si="426"/>
        <v>6506</v>
      </c>
      <c r="BO185" s="471">
        <f t="shared" ref="BO185:CI185" si="427">BO179+BO182</f>
        <v>6506</v>
      </c>
      <c r="BP185" s="390">
        <f t="shared" si="427"/>
        <v>6795</v>
      </c>
      <c r="BQ185" s="390">
        <f t="shared" si="427"/>
        <v>7020</v>
      </c>
      <c r="BR185" s="390">
        <f t="shared" si="427"/>
        <v>7154</v>
      </c>
      <c r="BS185" s="390">
        <f t="shared" si="427"/>
        <v>7417</v>
      </c>
      <c r="BT185" s="471">
        <f t="shared" si="427"/>
        <v>7417</v>
      </c>
      <c r="BU185" s="390">
        <f t="shared" si="427"/>
        <v>7641</v>
      </c>
      <c r="BV185" s="390">
        <f t="shared" si="427"/>
        <v>7710</v>
      </c>
      <c r="BW185" s="390">
        <f t="shared" si="427"/>
        <v>7747</v>
      </c>
      <c r="BX185" s="390">
        <f t="shared" si="427"/>
        <v>7753</v>
      </c>
      <c r="BY185" s="471">
        <f t="shared" si="427"/>
        <v>7753</v>
      </c>
      <c r="BZ185" s="390">
        <f t="shared" si="427"/>
        <v>7856</v>
      </c>
      <c r="CA185" s="390">
        <f t="shared" si="427"/>
        <v>7852</v>
      </c>
      <c r="CB185" s="390">
        <f t="shared" si="427"/>
        <v>7928</v>
      </c>
      <c r="CC185" s="390">
        <f t="shared" si="427"/>
        <v>8025</v>
      </c>
      <c r="CD185" s="471">
        <f t="shared" si="427"/>
        <v>8025</v>
      </c>
      <c r="CE185" s="390">
        <f t="shared" si="427"/>
        <v>8139</v>
      </c>
      <c r="CF185" s="390">
        <f t="shared" si="427"/>
        <v>7982</v>
      </c>
      <c r="CG185" s="390">
        <f t="shared" si="427"/>
        <v>8109</v>
      </c>
      <c r="CH185" s="390">
        <f t="shared" si="427"/>
        <v>7972</v>
      </c>
      <c r="CI185" s="471">
        <f t="shared" si="427"/>
        <v>7972</v>
      </c>
      <c r="CJ185" s="28"/>
      <c r="ED185" s="28"/>
      <c r="EE185" s="28"/>
      <c r="EP185" s="356">
        <f t="shared" si="412"/>
        <v>6795</v>
      </c>
      <c r="EQ185" s="356">
        <f t="shared" si="413"/>
        <v>7641</v>
      </c>
      <c r="ER185" s="356">
        <f t="shared" si="414"/>
        <v>7856</v>
      </c>
      <c r="ES185" s="356">
        <f t="shared" si="415"/>
        <v>8139</v>
      </c>
      <c r="ET185" s="20">
        <f t="shared" si="416"/>
        <v>0</v>
      </c>
      <c r="EU185" s="20">
        <f t="shared" si="417"/>
        <v>0</v>
      </c>
      <c r="EV185" s="20">
        <f t="shared" si="418"/>
        <v>0</v>
      </c>
      <c r="EW185" s="20">
        <f>CU185</f>
        <v>0</v>
      </c>
      <c r="EX185" s="20">
        <f>CZ185</f>
        <v>0</v>
      </c>
      <c r="EY185" s="20">
        <f>DE185</f>
        <v>0</v>
      </c>
      <c r="EZ185" s="20">
        <f>DJ185</f>
        <v>0</v>
      </c>
      <c r="FA185" s="20">
        <f>DO185</f>
        <v>0</v>
      </c>
      <c r="FB185" s="20">
        <f>DT185</f>
        <v>0</v>
      </c>
      <c r="FJ185"/>
      <c r="FK185"/>
      <c r="FL185"/>
      <c r="FM185"/>
      <c r="FN185"/>
      <c r="FO185"/>
      <c r="FP185"/>
      <c r="FQ185"/>
      <c r="FR185"/>
    </row>
    <row r="186" spans="1:174" s="1" customFormat="1" collapsed="1" x14ac:dyDescent="0.2">
      <c r="B186" s="20"/>
      <c r="G186" s="20"/>
      <c r="L186" s="20"/>
      <c r="Q186" s="20"/>
      <c r="V186" s="20"/>
      <c r="AA186" s="20"/>
      <c r="AF186" s="20"/>
      <c r="AK186" s="20"/>
      <c r="AP186" s="20"/>
      <c r="AU186" s="20"/>
      <c r="AZ186" s="20"/>
      <c r="BE186" s="20"/>
      <c r="BJ186" s="20"/>
      <c r="BO186" s="20"/>
      <c r="BT186" s="20"/>
      <c r="BY186" s="20"/>
      <c r="CD186" s="20"/>
      <c r="CI186" s="20"/>
      <c r="ED186" s="28"/>
      <c r="EE186" s="28"/>
      <c r="EP186" s="19"/>
      <c r="EQ186" s="19"/>
      <c r="ER186" s="19"/>
      <c r="ES186" s="19"/>
      <c r="ET186" s="19"/>
      <c r="EU186" s="19"/>
      <c r="EV186" s="19"/>
      <c r="EW186" s="19"/>
      <c r="EX186" s="19"/>
      <c r="EY186" s="19"/>
      <c r="EZ186" s="19"/>
      <c r="FA186" s="19"/>
      <c r="FB186" s="19"/>
      <c r="FJ186"/>
      <c r="FK186"/>
      <c r="FL186"/>
      <c r="FM186"/>
      <c r="FN186"/>
      <c r="FO186"/>
      <c r="FP186"/>
      <c r="FQ186"/>
      <c r="FR186"/>
    </row>
    <row r="187" spans="1:174" s="1" customFormat="1" hidden="1" outlineLevel="1" x14ac:dyDescent="0.2">
      <c r="A187" s="37" t="s">
        <v>542</v>
      </c>
      <c r="B187" s="41"/>
      <c r="C187" s="37"/>
      <c r="D187" s="37"/>
      <c r="E187" s="37"/>
      <c r="F187" s="37"/>
      <c r="G187" s="41"/>
      <c r="H187" s="37"/>
      <c r="I187" s="37"/>
      <c r="J187" s="37"/>
      <c r="K187" s="37"/>
      <c r="L187" s="41"/>
      <c r="M187" s="37"/>
      <c r="N187" s="37"/>
      <c r="O187" s="37"/>
      <c r="P187" s="37"/>
      <c r="Q187" s="41"/>
      <c r="R187" s="37"/>
      <c r="S187" s="37"/>
      <c r="T187" s="37"/>
      <c r="U187" s="37"/>
      <c r="V187" s="41"/>
      <c r="W187" s="37"/>
      <c r="X187" s="37"/>
      <c r="Y187" s="37"/>
      <c r="Z187" s="37"/>
      <c r="AA187" s="41"/>
      <c r="AB187" s="37"/>
      <c r="AC187" s="37"/>
      <c r="AD187" s="37"/>
      <c r="AE187" s="37"/>
      <c r="AF187" s="41"/>
      <c r="AG187" s="37"/>
      <c r="AH187" s="37"/>
      <c r="AI187" s="37"/>
      <c r="AJ187" s="37"/>
      <c r="AK187" s="41"/>
      <c r="AL187" s="37"/>
      <c r="AM187" s="37"/>
      <c r="AN187" s="37"/>
      <c r="AO187" s="37"/>
      <c r="AP187" s="41"/>
      <c r="AQ187" s="37"/>
      <c r="AR187" s="37"/>
      <c r="AS187" s="37"/>
      <c r="AT187" s="37"/>
      <c r="AU187" s="41"/>
      <c r="AV187" s="37"/>
      <c r="AW187" s="37"/>
      <c r="AX187" s="37"/>
      <c r="AY187" s="37"/>
      <c r="AZ187" s="41"/>
      <c r="BA187" s="37"/>
      <c r="BB187" s="37"/>
      <c r="BC187" s="37"/>
      <c r="BD187" s="37"/>
      <c r="BE187" s="41"/>
      <c r="BF187" s="37"/>
      <c r="BG187" s="37"/>
      <c r="BH187" s="37"/>
      <c r="BI187" s="37"/>
      <c r="BJ187" s="41"/>
      <c r="BK187" s="37"/>
      <c r="BL187" s="37"/>
      <c r="BM187" s="37"/>
      <c r="BN187" s="37"/>
      <c r="BO187" s="41"/>
      <c r="BP187" s="37"/>
      <c r="BQ187" s="37"/>
      <c r="BR187" s="37"/>
      <c r="BS187" s="37"/>
      <c r="BT187" s="41"/>
      <c r="BU187" s="37"/>
      <c r="BV187" s="37"/>
      <c r="BW187" s="37"/>
      <c r="BX187" s="37"/>
      <c r="BY187" s="41"/>
      <c r="BZ187" s="37"/>
      <c r="CA187" s="37"/>
      <c r="CB187" s="37"/>
      <c r="CC187" s="37"/>
      <c r="CD187" s="41"/>
      <c r="CE187" s="37"/>
      <c r="CF187" s="37"/>
      <c r="CG187" s="37"/>
      <c r="CH187" s="37"/>
      <c r="CI187" s="41"/>
      <c r="ED187" s="28"/>
      <c r="EE187" s="28"/>
      <c r="EP187" s="23"/>
      <c r="EQ187" s="23"/>
      <c r="ER187" s="23"/>
      <c r="ES187" s="23"/>
      <c r="ET187" s="23"/>
      <c r="EU187" s="23"/>
      <c r="EV187" s="23"/>
      <c r="EW187" s="23"/>
      <c r="EX187" s="23"/>
      <c r="EY187" s="23"/>
      <c r="EZ187" s="23"/>
      <c r="FA187" s="23"/>
      <c r="FB187" s="23"/>
      <c r="FJ187"/>
      <c r="FK187"/>
      <c r="FL187"/>
      <c r="FM187"/>
      <c r="FN187"/>
      <c r="FO187"/>
      <c r="FP187"/>
      <c r="FQ187"/>
      <c r="FR187"/>
    </row>
    <row r="188" spans="1:174" s="1" customFormat="1" hidden="1" outlineLevel="1" x14ac:dyDescent="0.2">
      <c r="A188" s="38" t="s">
        <v>574</v>
      </c>
      <c r="B188" s="242"/>
      <c r="C188" s="166"/>
      <c r="D188" s="166"/>
      <c r="E188" s="166"/>
      <c r="F188" s="166"/>
      <c r="G188" s="242"/>
      <c r="H188" s="166"/>
      <c r="I188" s="318"/>
      <c r="J188" s="318"/>
      <c r="K188" s="318"/>
      <c r="L188" s="319"/>
      <c r="M188" s="318"/>
      <c r="N188" s="318"/>
      <c r="O188" s="318"/>
      <c r="P188" s="318"/>
      <c r="Q188" s="319"/>
      <c r="R188" s="318"/>
      <c r="S188" s="318"/>
      <c r="T188" s="318"/>
      <c r="U188" s="318"/>
      <c r="V188" s="319"/>
      <c r="W188" s="318"/>
      <c r="X188" s="318"/>
      <c r="Y188" s="318"/>
      <c r="Z188" s="318"/>
      <c r="AA188" s="319"/>
      <c r="AB188" s="318"/>
      <c r="AC188" s="318"/>
      <c r="AD188" s="318"/>
      <c r="AE188" s="318"/>
      <c r="AF188" s="319">
        <v>0.09</v>
      </c>
      <c r="AG188" s="318"/>
      <c r="AH188" s="318"/>
      <c r="AI188" s="318"/>
      <c r="AJ188" s="318"/>
      <c r="AK188" s="319">
        <v>0.05</v>
      </c>
      <c r="AL188" s="318"/>
      <c r="AM188" s="318">
        <v>7.0000000000000007E-2</v>
      </c>
      <c r="AN188" s="318">
        <v>0.09</v>
      </c>
      <c r="AO188" s="318"/>
      <c r="AP188" s="319">
        <v>7.0000000000000007E-2</v>
      </c>
      <c r="AQ188" s="318">
        <v>0.09</v>
      </c>
      <c r="AR188" s="318">
        <v>7.0000000000000007E-2</v>
      </c>
      <c r="AS188" s="318">
        <v>0.09</v>
      </c>
      <c r="AT188" s="318">
        <v>0.09</v>
      </c>
      <c r="AU188" s="319">
        <v>0.09</v>
      </c>
      <c r="AV188" s="318">
        <v>0.11</v>
      </c>
      <c r="AW188" s="318">
        <v>0.13</v>
      </c>
      <c r="AX188" s="318">
        <v>0.12</v>
      </c>
      <c r="AY188" s="318">
        <v>0.09</v>
      </c>
      <c r="AZ188" s="319">
        <v>0.11</v>
      </c>
      <c r="BA188" s="318">
        <v>0.11</v>
      </c>
      <c r="BB188" s="318">
        <v>7.0000000000000007E-2</v>
      </c>
      <c r="BC188" s="318">
        <v>7.0000000000000007E-2</v>
      </c>
      <c r="BD188" s="318">
        <v>0.09</v>
      </c>
      <c r="BE188" s="319">
        <f t="shared" ref="BE188:BE196" si="428">AVERAGE(BA188:BD188)</f>
        <v>8.4999999999999992E-2</v>
      </c>
      <c r="BF188" s="318">
        <v>7.0000000000000007E-2</v>
      </c>
      <c r="BG188" s="318">
        <v>0.1</v>
      </c>
      <c r="BH188" s="318">
        <v>0.06</v>
      </c>
      <c r="BI188" s="318">
        <v>0.05</v>
      </c>
      <c r="BJ188" s="319">
        <f>AVERAGE(BF188:BI188)</f>
        <v>7.0000000000000007E-2</v>
      </c>
      <c r="BK188" s="318">
        <v>0.06</v>
      </c>
      <c r="BL188" s="318">
        <v>0.03</v>
      </c>
      <c r="BM188" s="318">
        <v>0.04</v>
      </c>
      <c r="BN188" s="318">
        <f>SUM(BN189:BN190)</f>
        <v>0.04</v>
      </c>
      <c r="BO188" s="319">
        <f t="shared" ref="BO188:BO194" si="429">AVERAGE(BK188:BN188)</f>
        <v>4.2500000000000003E-2</v>
      </c>
      <c r="BP188" s="318">
        <f>SUM(BP189:BP190)</f>
        <v>-9.9999999999999985E-3</v>
      </c>
      <c r="BQ188" s="318">
        <f>SUM(BQ189:BQ190)</f>
        <v>-0.04</v>
      </c>
      <c r="BR188" s="318">
        <f>SUM(BR189:BR190)</f>
        <v>-0.05</v>
      </c>
      <c r="BS188" s="318">
        <v>-0.08</v>
      </c>
      <c r="BT188" s="319">
        <f>AVERAGE(BP188:BS188)</f>
        <v>-4.4999999999999998E-2</v>
      </c>
      <c r="BU188" s="318">
        <v>-0.1</v>
      </c>
      <c r="BV188" s="318">
        <f>SUM(BV189:BV190)</f>
        <v>-0.08</v>
      </c>
      <c r="BW188" s="318">
        <f>SUM(BW189:BW190)</f>
        <v>-0.06</v>
      </c>
      <c r="BX188" s="318">
        <f>SUM(BX189:BX190)</f>
        <v>-0.01</v>
      </c>
      <c r="BY188" s="319">
        <f>AVERAGE(BU188:BX188)</f>
        <v>-6.25E-2</v>
      </c>
      <c r="BZ188" s="318">
        <v>0.04</v>
      </c>
      <c r="CA188" s="318">
        <v>7.0000000000000007E-2</v>
      </c>
      <c r="CB188" s="318">
        <v>0.09</v>
      </c>
      <c r="CC188" s="318">
        <f>SUM(CC189:CC190)</f>
        <v>0.08</v>
      </c>
      <c r="CD188" s="319">
        <v>7.0000000000000007E-2</v>
      </c>
      <c r="CE188" s="318">
        <f>SUM(CE189:CE190)</f>
        <v>0.08</v>
      </c>
      <c r="CF188" s="318">
        <f>SUM(CF189:CF190)</f>
        <v>6.9999999999999993E-2</v>
      </c>
      <c r="CG188" s="318">
        <f>SUM(CG189:CG190)</f>
        <v>0.08</v>
      </c>
      <c r="CH188" s="318">
        <f>SUM(CH189:CH190)</f>
        <v>0.1</v>
      </c>
      <c r="CI188" s="319">
        <f t="shared" ref="CI188:CI194" si="430">AVERAGE(CE188:CH188)</f>
        <v>8.249999999999999E-2</v>
      </c>
      <c r="ED188" s="28"/>
      <c r="EE188" s="28"/>
      <c r="EP188" s="46">
        <f>AVERAGE(BP188,BN188,BM188,BL188)</f>
        <v>2.5000000000000001E-2</v>
      </c>
      <c r="EQ188" s="46">
        <f>AVERAGE(BU188,BS188,BR188,BQ188)</f>
        <v>-6.7499999999999991E-2</v>
      </c>
      <c r="ER188" s="46">
        <f>AVERAGE(BZ188,BX188,BW188,BV188)</f>
        <v>-2.75E-2</v>
      </c>
      <c r="ES188" s="46">
        <f>AVERAGE(CE188,CC188,CB188,CA188)</f>
        <v>0.08</v>
      </c>
      <c r="ET188" s="46">
        <f>AVERAGE(CJ188,CH188,CG188,CF188)</f>
        <v>8.3333333333333329E-2</v>
      </c>
      <c r="EU188" s="20"/>
      <c r="EV188" s="20"/>
      <c r="EW188" s="20"/>
      <c r="EX188" s="20"/>
      <c r="EY188" s="20"/>
      <c r="EZ188" s="20"/>
      <c r="FA188" s="20"/>
      <c r="FB188" s="20"/>
      <c r="FJ188"/>
      <c r="FK188"/>
      <c r="FL188"/>
      <c r="FM188"/>
      <c r="FN188"/>
      <c r="FO188"/>
      <c r="FP188"/>
      <c r="FQ188"/>
      <c r="FR188"/>
    </row>
    <row r="189" spans="1:174" s="1" customFormat="1" hidden="1" outlineLevel="1" x14ac:dyDescent="0.2">
      <c r="A189" s="27" t="s">
        <v>575</v>
      </c>
      <c r="B189" s="20"/>
      <c r="C189" s="28"/>
      <c r="D189" s="28"/>
      <c r="E189" s="28"/>
      <c r="F189" s="28"/>
      <c r="G189" s="20"/>
      <c r="H189" s="28"/>
      <c r="I189" s="238"/>
      <c r="J189" s="238"/>
      <c r="K189" s="238"/>
      <c r="L189" s="61"/>
      <c r="M189" s="238"/>
      <c r="N189" s="238"/>
      <c r="O189" s="238"/>
      <c r="P189" s="238"/>
      <c r="Q189" s="61"/>
      <c r="R189" s="238"/>
      <c r="S189" s="238"/>
      <c r="T189" s="238"/>
      <c r="U189" s="238"/>
      <c r="V189" s="61"/>
      <c r="W189" s="238"/>
      <c r="X189" s="238"/>
      <c r="Y189" s="238"/>
      <c r="Z189" s="238"/>
      <c r="AA189" s="61"/>
      <c r="AB189" s="238"/>
      <c r="AC189" s="238"/>
      <c r="AD189" s="238"/>
      <c r="AE189" s="238"/>
      <c r="AF189" s="61"/>
      <c r="AG189" s="238"/>
      <c r="AH189" s="238"/>
      <c r="AI189" s="238"/>
      <c r="AJ189" s="238"/>
      <c r="AK189" s="61"/>
      <c r="AL189" s="238"/>
      <c r="AM189" s="238">
        <v>0.08</v>
      </c>
      <c r="AN189" s="238">
        <v>0.09</v>
      </c>
      <c r="AO189" s="238"/>
      <c r="AP189" s="61">
        <v>7.0000000000000007E-2</v>
      </c>
      <c r="AQ189" s="238">
        <v>0.09</v>
      </c>
      <c r="AR189" s="238">
        <v>7.0000000000000007E-2</v>
      </c>
      <c r="AS189" s="238">
        <v>0.09</v>
      </c>
      <c r="AT189" s="238">
        <v>0.09</v>
      </c>
      <c r="AU189" s="61">
        <v>0.09</v>
      </c>
      <c r="AV189" s="238">
        <v>0.11</v>
      </c>
      <c r="AW189" s="238">
        <v>0.12</v>
      </c>
      <c r="AX189" s="238">
        <v>0.11</v>
      </c>
      <c r="AY189" s="238">
        <v>0.08</v>
      </c>
      <c r="AZ189" s="61">
        <v>0.1</v>
      </c>
      <c r="BA189" s="238">
        <v>0.06</v>
      </c>
      <c r="BB189" s="238">
        <v>0.04</v>
      </c>
      <c r="BC189" s="238">
        <v>0.03</v>
      </c>
      <c r="BD189" s="238">
        <v>0.04</v>
      </c>
      <c r="BE189" s="61">
        <f t="shared" si="428"/>
        <v>4.2500000000000003E-2</v>
      </c>
      <c r="BF189" s="238">
        <v>0.06</v>
      </c>
      <c r="BG189" s="238">
        <v>0.08</v>
      </c>
      <c r="BH189" s="238">
        <v>0.05</v>
      </c>
      <c r="BI189" s="238">
        <v>0.04</v>
      </c>
      <c r="BJ189" s="61">
        <v>0.05</v>
      </c>
      <c r="BK189" s="238">
        <v>0.03</v>
      </c>
      <c r="BL189" s="238">
        <v>0</v>
      </c>
      <c r="BM189" s="238">
        <v>5.0000000000000001E-3</v>
      </c>
      <c r="BN189" s="238">
        <v>-0.01</v>
      </c>
      <c r="BO189" s="61">
        <f t="shared" si="429"/>
        <v>6.2499999999999986E-3</v>
      </c>
      <c r="BP189" s="238">
        <v>-0.03</v>
      </c>
      <c r="BQ189" s="238">
        <v>-0.05</v>
      </c>
      <c r="BR189" s="238">
        <v>-0.04</v>
      </c>
      <c r="BS189" s="238">
        <v>-0.05</v>
      </c>
      <c r="BT189" s="61">
        <v>-0.04</v>
      </c>
      <c r="BU189" s="238">
        <v>-0.06</v>
      </c>
      <c r="BV189" s="238">
        <v>-0.05</v>
      </c>
      <c r="BW189" s="238">
        <v>-0.04</v>
      </c>
      <c r="BX189" s="238">
        <v>-0.01</v>
      </c>
      <c r="BY189" s="61">
        <v>-0.04</v>
      </c>
      <c r="BZ189" s="238">
        <v>0</v>
      </c>
      <c r="CA189" s="238">
        <v>0.03</v>
      </c>
      <c r="CB189" s="238">
        <v>0.06</v>
      </c>
      <c r="CC189" s="238">
        <v>0.06</v>
      </c>
      <c r="CD189" s="61">
        <v>0.03</v>
      </c>
      <c r="CE189" s="238">
        <v>0.06</v>
      </c>
      <c r="CF189" s="238">
        <v>0.06</v>
      </c>
      <c r="CG189" s="238">
        <v>0.06</v>
      </c>
      <c r="CH189" s="238">
        <v>7.0000000000000007E-2</v>
      </c>
      <c r="CI189" s="61">
        <f t="shared" si="430"/>
        <v>6.25E-2</v>
      </c>
      <c r="ED189" s="28"/>
      <c r="EE189" s="28"/>
      <c r="EP189" s="20"/>
      <c r="EQ189" s="20"/>
      <c r="ER189" s="20"/>
      <c r="ES189" s="20"/>
      <c r="ET189" s="20"/>
      <c r="EU189" s="20"/>
      <c r="EV189" s="20"/>
      <c r="EW189" s="20"/>
      <c r="EX189" s="20"/>
      <c r="EY189" s="20"/>
      <c r="EZ189" s="20"/>
      <c r="FA189" s="20"/>
      <c r="FB189" s="20"/>
      <c r="FJ189"/>
      <c r="FK189"/>
      <c r="FL189"/>
      <c r="FM189"/>
      <c r="FN189"/>
      <c r="FO189"/>
      <c r="FP189"/>
      <c r="FQ189"/>
      <c r="FR189"/>
    </row>
    <row r="190" spans="1:174" s="1" customFormat="1" hidden="1" outlineLevel="1" x14ac:dyDescent="0.2">
      <c r="A190" s="27" t="s">
        <v>576</v>
      </c>
      <c r="B190" s="20"/>
      <c r="C190" s="28"/>
      <c r="D190" s="28"/>
      <c r="E190" s="28"/>
      <c r="F190" s="28"/>
      <c r="G190" s="20"/>
      <c r="H190" s="28"/>
      <c r="I190" s="238"/>
      <c r="J190" s="238"/>
      <c r="K190" s="238"/>
      <c r="L190" s="61"/>
      <c r="M190" s="238"/>
      <c r="N190" s="238"/>
      <c r="O190" s="238"/>
      <c r="P190" s="238"/>
      <c r="Q190" s="61"/>
      <c r="R190" s="238"/>
      <c r="S190" s="238"/>
      <c r="T190" s="238"/>
      <c r="U190" s="238"/>
      <c r="V190" s="61"/>
      <c r="W190" s="238"/>
      <c r="X190" s="238"/>
      <c r="Y190" s="238"/>
      <c r="Z190" s="238"/>
      <c r="AA190" s="61"/>
      <c r="AB190" s="238"/>
      <c r="AC190" s="238"/>
      <c r="AD190" s="238"/>
      <c r="AE190" s="238"/>
      <c r="AF190" s="61"/>
      <c r="AG190" s="238"/>
      <c r="AH190" s="238"/>
      <c r="AI190" s="238"/>
      <c r="AJ190" s="238"/>
      <c r="AK190" s="61"/>
      <c r="AL190" s="238"/>
      <c r="AM190" s="238">
        <v>-0.01</v>
      </c>
      <c r="AN190" s="238">
        <v>0</v>
      </c>
      <c r="AO190" s="238"/>
      <c r="AP190" s="61">
        <v>0</v>
      </c>
      <c r="AQ190" s="238">
        <v>0</v>
      </c>
      <c r="AR190" s="238">
        <v>0</v>
      </c>
      <c r="AS190" s="238">
        <v>0</v>
      </c>
      <c r="AT190" s="238">
        <v>0</v>
      </c>
      <c r="AU190" s="61">
        <v>0</v>
      </c>
      <c r="AV190" s="238">
        <v>0</v>
      </c>
      <c r="AW190" s="238">
        <v>0.01</v>
      </c>
      <c r="AX190" s="238">
        <v>0.01</v>
      </c>
      <c r="AY190" s="238">
        <v>0.01</v>
      </c>
      <c r="AZ190" s="61">
        <v>0.01</v>
      </c>
      <c r="BA190" s="238">
        <v>0.05</v>
      </c>
      <c r="BB190" s="238">
        <v>0.03</v>
      </c>
      <c r="BC190" s="238">
        <v>0.04</v>
      </c>
      <c r="BD190" s="238">
        <v>0.05</v>
      </c>
      <c r="BE190" s="61">
        <f t="shared" si="428"/>
        <v>4.2499999999999996E-2</v>
      </c>
      <c r="BF190" s="238">
        <v>0.01</v>
      </c>
      <c r="BG190" s="238">
        <v>0.02</v>
      </c>
      <c r="BH190" s="238">
        <v>0.01</v>
      </c>
      <c r="BI190" s="238">
        <v>0.01</v>
      </c>
      <c r="BJ190" s="61">
        <v>0.02</v>
      </c>
      <c r="BK190" s="238">
        <v>0.03</v>
      </c>
      <c r="BL190" s="238">
        <v>0.03</v>
      </c>
      <c r="BM190" s="238">
        <v>3.5000000000000003E-2</v>
      </c>
      <c r="BN190" s="238">
        <v>0.05</v>
      </c>
      <c r="BO190" s="61">
        <f t="shared" si="429"/>
        <v>3.6250000000000004E-2</v>
      </c>
      <c r="BP190" s="238">
        <v>0.02</v>
      </c>
      <c r="BQ190" s="238">
        <v>0.01</v>
      </c>
      <c r="BR190" s="238">
        <v>-0.01</v>
      </c>
      <c r="BS190" s="238">
        <v>-0.03</v>
      </c>
      <c r="BT190" s="61">
        <v>0</v>
      </c>
      <c r="BU190" s="238">
        <v>-0.05</v>
      </c>
      <c r="BV190" s="238">
        <v>-0.03</v>
      </c>
      <c r="BW190" s="238">
        <v>-0.02</v>
      </c>
      <c r="BX190" s="238">
        <v>0</v>
      </c>
      <c r="BY190" s="61">
        <v>-0.02</v>
      </c>
      <c r="BZ190" s="238">
        <v>0.04</v>
      </c>
      <c r="CA190" s="238">
        <v>0.05</v>
      </c>
      <c r="CB190" s="238">
        <v>0.03</v>
      </c>
      <c r="CC190" s="238">
        <v>0.02</v>
      </c>
      <c r="CD190" s="61">
        <v>0.04</v>
      </c>
      <c r="CE190" s="238">
        <v>0.02</v>
      </c>
      <c r="CF190" s="238">
        <v>0.01</v>
      </c>
      <c r="CG190" s="238">
        <v>0.02</v>
      </c>
      <c r="CH190" s="238">
        <v>0.03</v>
      </c>
      <c r="CI190" s="61">
        <f t="shared" si="430"/>
        <v>0.02</v>
      </c>
      <c r="ED190" s="28"/>
      <c r="EE190" s="28"/>
      <c r="EP190" s="20"/>
      <c r="EQ190" s="20"/>
      <c r="ER190" s="20"/>
      <c r="ES190" s="20"/>
      <c r="ET190" s="20"/>
      <c r="EU190" s="20"/>
      <c r="EV190" s="20"/>
      <c r="EW190" s="20"/>
      <c r="EX190" s="20"/>
      <c r="EY190" s="20"/>
      <c r="EZ190" s="20"/>
      <c r="FA190" s="20"/>
      <c r="FB190" s="20"/>
      <c r="FJ190"/>
      <c r="FK190"/>
      <c r="FL190"/>
      <c r="FM190"/>
      <c r="FN190"/>
      <c r="FO190"/>
      <c r="FP190"/>
      <c r="FQ190"/>
      <c r="FR190"/>
    </row>
    <row r="191" spans="1:174" s="1" customFormat="1" collapsed="1" x14ac:dyDescent="0.2">
      <c r="A191" s="39" t="s">
        <v>577</v>
      </c>
      <c r="B191" s="43"/>
      <c r="C191" s="80"/>
      <c r="D191" s="80"/>
      <c r="E191" s="80"/>
      <c r="F191" s="80"/>
      <c r="G191" s="43"/>
      <c r="H191" s="80"/>
      <c r="I191" s="239"/>
      <c r="J191" s="239"/>
      <c r="K191" s="239"/>
      <c r="L191" s="252"/>
      <c r="M191" s="239"/>
      <c r="N191" s="239"/>
      <c r="O191" s="239"/>
      <c r="P191" s="239"/>
      <c r="Q191" s="252"/>
      <c r="R191" s="239"/>
      <c r="S191" s="239"/>
      <c r="T191" s="239"/>
      <c r="U191" s="239"/>
      <c r="V191" s="252"/>
      <c r="W191" s="239"/>
      <c r="X191" s="239"/>
      <c r="Y191" s="239"/>
      <c r="Z191" s="239"/>
      <c r="AA191" s="252"/>
      <c r="AB191" s="239"/>
      <c r="AC191" s="239"/>
      <c r="AD191" s="239"/>
      <c r="AE191" s="239"/>
      <c r="AF191" s="252">
        <v>0.12</v>
      </c>
      <c r="AG191" s="239"/>
      <c r="AH191" s="239"/>
      <c r="AI191" s="239"/>
      <c r="AJ191" s="239"/>
      <c r="AK191" s="252">
        <v>0.03</v>
      </c>
      <c r="AL191" s="239"/>
      <c r="AM191" s="239"/>
      <c r="AN191" s="239"/>
      <c r="AO191" s="239"/>
      <c r="AP191" s="252">
        <v>0.01</v>
      </c>
      <c r="AQ191" s="239"/>
      <c r="AR191" s="239"/>
      <c r="AS191" s="239"/>
      <c r="AT191" s="239">
        <v>0.09</v>
      </c>
      <c r="AU191" s="252">
        <v>7.0000000000000007E-2</v>
      </c>
      <c r="AV191" s="239">
        <v>7.0000000000000007E-2</v>
      </c>
      <c r="AW191" s="239">
        <v>0.06</v>
      </c>
      <c r="AX191" s="239">
        <v>7.0000000000000007E-2</v>
      </c>
      <c r="AY191" s="239">
        <v>0.05</v>
      </c>
      <c r="AZ191" s="252">
        <v>0.06</v>
      </c>
      <c r="BA191" s="239">
        <v>7.0000000000000007E-2</v>
      </c>
      <c r="BB191" s="239">
        <v>0.05</v>
      </c>
      <c r="BC191" s="239">
        <v>7.0000000000000007E-2</v>
      </c>
      <c r="BD191" s="239">
        <v>0.06</v>
      </c>
      <c r="BE191" s="252">
        <f t="shared" si="428"/>
        <v>6.25E-2</v>
      </c>
      <c r="BF191" s="239">
        <v>0.08</v>
      </c>
      <c r="BG191" s="239">
        <v>0.09</v>
      </c>
      <c r="BH191" s="239">
        <v>7.0000000000000007E-2</v>
      </c>
      <c r="BI191" s="239">
        <v>0.08</v>
      </c>
      <c r="BJ191" s="252">
        <f>AVERAGE(BF191:BI191)</f>
        <v>0.08</v>
      </c>
      <c r="BK191" s="239">
        <v>0.08</v>
      </c>
      <c r="BL191" s="239">
        <v>7.0000000000000007E-2</v>
      </c>
      <c r="BM191" s="239">
        <v>7.0000000000000007E-2</v>
      </c>
      <c r="BN191" s="239">
        <v>0.06</v>
      </c>
      <c r="BO191" s="252">
        <f t="shared" si="429"/>
        <v>7.0000000000000007E-2</v>
      </c>
      <c r="BP191" s="239">
        <v>0.05</v>
      </c>
      <c r="BQ191" s="239">
        <v>0.03</v>
      </c>
      <c r="BR191" s="239">
        <v>0.02</v>
      </c>
      <c r="BS191" s="239">
        <v>0</v>
      </c>
      <c r="BT191" s="252">
        <v>0.02</v>
      </c>
      <c r="BU191" s="239">
        <v>-0.03</v>
      </c>
      <c r="BV191" s="239">
        <v>-0.03</v>
      </c>
      <c r="BW191" s="239">
        <v>-0.02</v>
      </c>
      <c r="BX191" s="239">
        <v>0</v>
      </c>
      <c r="BY191" s="252">
        <f>AVERAGE(BU191:BX191)</f>
        <v>-0.02</v>
      </c>
      <c r="BZ191" s="239">
        <v>0.04</v>
      </c>
      <c r="CA191" s="239">
        <v>7.0000000000000007E-2</v>
      </c>
      <c r="CB191" s="239">
        <v>0.06</v>
      </c>
      <c r="CC191" s="239">
        <f>SUM(CC192:CC193)</f>
        <v>7.0000000000000007E-2</v>
      </c>
      <c r="CD191" s="252">
        <v>0.06</v>
      </c>
      <c r="CE191" s="239">
        <f>SUM(CE192:CE193)</f>
        <v>0.05</v>
      </c>
      <c r="CF191" s="239">
        <f>SUM(CF192:CF193)</f>
        <v>0.04</v>
      </c>
      <c r="CG191" s="239">
        <f>SUM(CG192:CG193)</f>
        <v>0.05</v>
      </c>
      <c r="CH191" s="239">
        <v>0.06</v>
      </c>
      <c r="CI191" s="252">
        <f t="shared" si="430"/>
        <v>0.05</v>
      </c>
      <c r="ED191" s="28"/>
      <c r="EE191" s="28"/>
      <c r="EP191" s="20"/>
      <c r="EQ191" s="20"/>
      <c r="ER191" s="20"/>
      <c r="ES191" s="20"/>
      <c r="ET191" s="20"/>
      <c r="EU191" s="20"/>
      <c r="EV191" s="20"/>
      <c r="EW191" s="20"/>
      <c r="EX191" s="20"/>
      <c r="EY191" s="20"/>
      <c r="EZ191" s="20"/>
      <c r="FA191" s="20"/>
      <c r="FB191" s="20"/>
      <c r="FJ191"/>
      <c r="FK191"/>
      <c r="FL191"/>
      <c r="FM191"/>
      <c r="FN191"/>
      <c r="FO191"/>
      <c r="FP191"/>
      <c r="FQ191"/>
      <c r="FR191"/>
    </row>
    <row r="192" spans="1:174" s="1" customFormat="1" hidden="1" outlineLevel="1" x14ac:dyDescent="0.2">
      <c r="A192" s="27" t="s">
        <v>575</v>
      </c>
      <c r="B192" s="20"/>
      <c r="C192" s="28"/>
      <c r="D192" s="28"/>
      <c r="E192" s="28"/>
      <c r="F192" s="28"/>
      <c r="G192" s="20"/>
      <c r="H192" s="28"/>
      <c r="I192" s="238"/>
      <c r="J192" s="238"/>
      <c r="K192" s="238"/>
      <c r="L192" s="61"/>
      <c r="M192" s="238"/>
      <c r="N192" s="238"/>
      <c r="O192" s="238"/>
      <c r="P192" s="238"/>
      <c r="Q192" s="61"/>
      <c r="R192" s="238"/>
      <c r="S192" s="238"/>
      <c r="T192" s="238"/>
      <c r="U192" s="238"/>
      <c r="V192" s="61"/>
      <c r="W192" s="238"/>
      <c r="X192" s="238"/>
      <c r="Y192" s="238"/>
      <c r="Z192" s="238"/>
      <c r="AA192" s="61"/>
      <c r="AB192" s="238"/>
      <c r="AC192" s="238"/>
      <c r="AD192" s="238"/>
      <c r="AE192" s="238"/>
      <c r="AF192" s="61"/>
      <c r="AG192" s="238"/>
      <c r="AH192" s="238"/>
      <c r="AI192" s="238"/>
      <c r="AJ192" s="238"/>
      <c r="AK192" s="61"/>
      <c r="AL192" s="238"/>
      <c r="AM192" s="238"/>
      <c r="AN192" s="238"/>
      <c r="AO192" s="238"/>
      <c r="AP192" s="61"/>
      <c r="AQ192" s="238"/>
      <c r="AR192" s="238"/>
      <c r="AS192" s="238"/>
      <c r="AT192" s="238"/>
      <c r="AU192" s="61">
        <v>7.0000000000000007E-2</v>
      </c>
      <c r="AV192" s="238">
        <v>0.05</v>
      </c>
      <c r="AW192" s="238">
        <v>0.04</v>
      </c>
      <c r="AX192" s="238">
        <v>0.06</v>
      </c>
      <c r="AY192" s="238">
        <v>0.04</v>
      </c>
      <c r="AZ192" s="61">
        <v>0.05</v>
      </c>
      <c r="BA192" s="238">
        <v>0.04</v>
      </c>
      <c r="BB192" s="238">
        <v>0.04</v>
      </c>
      <c r="BC192" s="238">
        <v>0.04</v>
      </c>
      <c r="BD192" s="238">
        <v>0.04</v>
      </c>
      <c r="BE192" s="61">
        <f t="shared" si="428"/>
        <v>0.04</v>
      </c>
      <c r="BF192" s="238">
        <v>0.05</v>
      </c>
      <c r="BG192" s="238">
        <v>7.0000000000000007E-2</v>
      </c>
      <c r="BH192" s="238">
        <v>0.04</v>
      </c>
      <c r="BI192" s="238">
        <v>0.05</v>
      </c>
      <c r="BJ192" s="61">
        <f>AVERAGE(BF192:BI192)</f>
        <v>5.2500000000000005E-2</v>
      </c>
      <c r="BK192" s="238">
        <v>0.06</v>
      </c>
      <c r="BL192" s="238">
        <v>0.05</v>
      </c>
      <c r="BM192" s="238">
        <v>0.05</v>
      </c>
      <c r="BN192" s="238">
        <v>0.05</v>
      </c>
      <c r="BO192" s="61">
        <f t="shared" si="429"/>
        <v>5.2500000000000005E-2</v>
      </c>
      <c r="BP192" s="238">
        <v>0.03</v>
      </c>
      <c r="BQ192" s="238">
        <v>0</v>
      </c>
      <c r="BR192" s="238">
        <v>0.01</v>
      </c>
      <c r="BS192" s="238">
        <v>-0.01</v>
      </c>
      <c r="BT192" s="61">
        <v>0.01</v>
      </c>
      <c r="BU192" s="238">
        <v>-0.02</v>
      </c>
      <c r="BV192" s="238">
        <v>-0.02</v>
      </c>
      <c r="BW192" s="238">
        <v>-0.01</v>
      </c>
      <c r="BX192" s="238">
        <v>0.01</v>
      </c>
      <c r="BY192" s="61">
        <v>-0.01</v>
      </c>
      <c r="BZ192" s="238">
        <v>0.04</v>
      </c>
      <c r="CA192" s="238">
        <v>0.06</v>
      </c>
      <c r="CB192" s="238">
        <v>0.04</v>
      </c>
      <c r="CC192" s="238">
        <v>0.04</v>
      </c>
      <c r="CD192" s="61">
        <v>0.05</v>
      </c>
      <c r="CE192" s="238">
        <v>2.5000000000000001E-2</v>
      </c>
      <c r="CF192" s="238">
        <v>0.04</v>
      </c>
      <c r="CG192" s="238">
        <v>0.04</v>
      </c>
      <c r="CH192" s="238">
        <v>0.05</v>
      </c>
      <c r="CI192" s="61">
        <f t="shared" si="430"/>
        <v>3.8750000000000007E-2</v>
      </c>
      <c r="ED192" s="28"/>
      <c r="EE192" s="28"/>
      <c r="EP192" s="20"/>
      <c r="EQ192" s="20"/>
      <c r="ER192" s="20"/>
      <c r="ES192" s="20"/>
      <c r="ET192" s="20"/>
      <c r="EU192" s="20"/>
      <c r="EV192" s="20"/>
      <c r="EW192" s="20"/>
      <c r="EX192" s="20"/>
      <c r="EY192" s="20"/>
      <c r="EZ192" s="20"/>
      <c r="FA192" s="20"/>
      <c r="FB192" s="20"/>
      <c r="FJ192"/>
      <c r="FK192"/>
      <c r="FL192"/>
      <c r="FM192"/>
      <c r="FN192"/>
      <c r="FO192"/>
      <c r="FP192"/>
      <c r="FQ192"/>
      <c r="FR192"/>
    </row>
    <row r="193" spans="1:174" s="1" customFormat="1" hidden="1" outlineLevel="1" x14ac:dyDescent="0.2">
      <c r="A193" s="27" t="str">
        <f>A190</f>
        <v xml:space="preserve">  Ticket</v>
      </c>
      <c r="B193" s="20"/>
      <c r="C193" s="28"/>
      <c r="D193" s="28"/>
      <c r="E193" s="28"/>
      <c r="F193" s="28"/>
      <c r="G193" s="20"/>
      <c r="H193" s="28"/>
      <c r="I193" s="238"/>
      <c r="J193" s="238"/>
      <c r="K193" s="238"/>
      <c r="L193" s="61"/>
      <c r="M193" s="238"/>
      <c r="N193" s="238"/>
      <c r="O193" s="238"/>
      <c r="P193" s="238"/>
      <c r="Q193" s="61"/>
      <c r="R193" s="238"/>
      <c r="S193" s="238"/>
      <c r="T193" s="238"/>
      <c r="U193" s="238"/>
      <c r="V193" s="61"/>
      <c r="W193" s="238"/>
      <c r="X193" s="238"/>
      <c r="Y193" s="238"/>
      <c r="Z193" s="238"/>
      <c r="AA193" s="61"/>
      <c r="AB193" s="238"/>
      <c r="AC193" s="238"/>
      <c r="AD193" s="238"/>
      <c r="AE193" s="238"/>
      <c r="AF193" s="61"/>
      <c r="AG193" s="238"/>
      <c r="AH193" s="238"/>
      <c r="AI193" s="238"/>
      <c r="AJ193" s="238"/>
      <c r="AK193" s="61"/>
      <c r="AL193" s="238"/>
      <c r="AM193" s="238"/>
      <c r="AN193" s="238"/>
      <c r="AO193" s="238"/>
      <c r="AP193" s="61"/>
      <c r="AQ193" s="238"/>
      <c r="AR193" s="238"/>
      <c r="AS193" s="238"/>
      <c r="AT193" s="238"/>
      <c r="AU193" s="61">
        <v>0</v>
      </c>
      <c r="AV193" s="238">
        <v>0.02</v>
      </c>
      <c r="AW193" s="238">
        <v>0.02</v>
      </c>
      <c r="AX193" s="238">
        <v>0.01</v>
      </c>
      <c r="AY193" s="238">
        <v>0.01</v>
      </c>
      <c r="AZ193" s="61">
        <v>0.01</v>
      </c>
      <c r="BA193" s="238">
        <v>0.03</v>
      </c>
      <c r="BB193" s="238">
        <v>0.01</v>
      </c>
      <c r="BC193" s="238">
        <v>0.03</v>
      </c>
      <c r="BD193" s="238">
        <v>0.02</v>
      </c>
      <c r="BE193" s="61">
        <f t="shared" si="428"/>
        <v>2.2500000000000003E-2</v>
      </c>
      <c r="BF193" s="238">
        <v>0.03</v>
      </c>
      <c r="BG193" s="238">
        <v>0.02</v>
      </c>
      <c r="BH193" s="238">
        <v>0.03</v>
      </c>
      <c r="BI193" s="238">
        <v>0.03</v>
      </c>
      <c r="BJ193" s="61">
        <f>AVERAGE(BF193:BI193)</f>
        <v>2.75E-2</v>
      </c>
      <c r="BK193" s="238">
        <v>0.02</v>
      </c>
      <c r="BL193" s="238">
        <v>0.02</v>
      </c>
      <c r="BM193" s="238">
        <v>0.02</v>
      </c>
      <c r="BN193" s="238">
        <v>0.01</v>
      </c>
      <c r="BO193" s="61">
        <f t="shared" si="429"/>
        <v>1.7499999999999998E-2</v>
      </c>
      <c r="BP193" s="238">
        <v>0.02</v>
      </c>
      <c r="BQ193" s="238">
        <v>0.03</v>
      </c>
      <c r="BR193" s="238">
        <v>0.01</v>
      </c>
      <c r="BS193" s="238">
        <v>0.01</v>
      </c>
      <c r="BT193" s="61">
        <v>0.02</v>
      </c>
      <c r="BU193" s="238">
        <v>-0.01</v>
      </c>
      <c r="BV193" s="238">
        <v>-0.01</v>
      </c>
      <c r="BW193" s="238">
        <v>-0.02</v>
      </c>
      <c r="BX193" s="238">
        <v>-0.02</v>
      </c>
      <c r="BY193" s="61">
        <v>-0.01</v>
      </c>
      <c r="BZ193" s="238">
        <v>0</v>
      </c>
      <c r="CA193" s="238">
        <v>0.01</v>
      </c>
      <c r="CB193" s="238">
        <v>0.02</v>
      </c>
      <c r="CC193" s="238">
        <v>0.03</v>
      </c>
      <c r="CD193" s="61">
        <v>0.01</v>
      </c>
      <c r="CE193" s="238">
        <v>2.5000000000000001E-2</v>
      </c>
      <c r="CF193" s="238">
        <v>0</v>
      </c>
      <c r="CG193" s="238">
        <v>0.01</v>
      </c>
      <c r="CH193" s="238">
        <v>0</v>
      </c>
      <c r="CI193" s="61">
        <f t="shared" si="430"/>
        <v>8.7500000000000008E-3</v>
      </c>
      <c r="ED193" s="28"/>
      <c r="EE193" s="28"/>
      <c r="EP193" s="20"/>
      <c r="EQ193" s="20"/>
      <c r="ER193" s="20"/>
      <c r="ES193" s="20"/>
      <c r="ET193" s="20"/>
      <c r="EU193" s="20"/>
      <c r="EV193" s="20"/>
      <c r="EW193" s="20"/>
      <c r="EX193" s="20"/>
      <c r="EY193" s="20"/>
      <c r="EZ193" s="20"/>
      <c r="FA193" s="20"/>
      <c r="FB193" s="20"/>
      <c r="FJ193"/>
      <c r="FK193"/>
      <c r="FL193"/>
      <c r="FM193"/>
      <c r="FN193"/>
      <c r="FO193"/>
      <c r="FP193"/>
      <c r="FQ193"/>
      <c r="FR193"/>
    </row>
    <row r="194" spans="1:174" s="1" customFormat="1" collapsed="1" x14ac:dyDescent="0.2">
      <c r="A194" s="39" t="s">
        <v>543</v>
      </c>
      <c r="B194" s="46">
        <v>0.1</v>
      </c>
      <c r="C194" s="51">
        <v>0.09</v>
      </c>
      <c r="D194" s="53">
        <v>0.08</v>
      </c>
      <c r="E194" s="53">
        <v>0.08</v>
      </c>
      <c r="F194" s="52">
        <v>0.11</v>
      </c>
      <c r="G194" s="46">
        <v>0.1</v>
      </c>
      <c r="H194" s="51">
        <v>0.03</v>
      </c>
      <c r="I194" s="239">
        <v>0.08</v>
      </c>
      <c r="J194" s="239">
        <v>7.0000000000000007E-2</v>
      </c>
      <c r="K194" s="251">
        <v>0.09</v>
      </c>
      <c r="L194" s="252">
        <f>AVERAGEA(H194:K194)</f>
        <v>6.7500000000000004E-2</v>
      </c>
      <c r="M194" s="239">
        <v>0.03</v>
      </c>
      <c r="N194" s="239">
        <v>0.05</v>
      </c>
      <c r="O194" s="239">
        <v>0.06</v>
      </c>
      <c r="P194" s="239">
        <v>0.05</v>
      </c>
      <c r="Q194" s="252">
        <v>0.05</v>
      </c>
      <c r="R194" s="239">
        <v>0.05</v>
      </c>
      <c r="S194" s="239">
        <v>7.0000000000000007E-2</v>
      </c>
      <c r="T194" s="239">
        <v>7.0000000000000007E-2</v>
      </c>
      <c r="U194" s="239">
        <v>0.03</v>
      </c>
      <c r="V194" s="252">
        <v>0.05</v>
      </c>
      <c r="W194" s="239">
        <v>0.03</v>
      </c>
      <c r="X194" s="239">
        <v>0.06</v>
      </c>
      <c r="Y194" s="239">
        <v>0.06</v>
      </c>
      <c r="Z194" s="239">
        <v>0.08</v>
      </c>
      <c r="AA194" s="252">
        <v>0.06</v>
      </c>
      <c r="AB194" s="239">
        <v>7.0000000000000007E-2</v>
      </c>
      <c r="AC194" s="239">
        <v>0.1</v>
      </c>
      <c r="AD194" s="239">
        <v>0.1</v>
      </c>
      <c r="AE194" s="239">
        <v>0.1</v>
      </c>
      <c r="AF194" s="252">
        <v>0.09</v>
      </c>
      <c r="AG194" s="239">
        <v>0.1</v>
      </c>
      <c r="AH194" s="239">
        <v>0.06</v>
      </c>
      <c r="AI194" s="239">
        <v>0.03</v>
      </c>
      <c r="AJ194" s="239">
        <v>0.02</v>
      </c>
      <c r="AK194" s="252">
        <v>0.05</v>
      </c>
      <c r="AL194" s="239">
        <v>0.02</v>
      </c>
      <c r="AM194" s="239">
        <v>7.0000000000000007E-2</v>
      </c>
      <c r="AN194" s="239">
        <v>0.08</v>
      </c>
      <c r="AO194" s="239">
        <v>0.08</v>
      </c>
      <c r="AP194" s="252">
        <v>0.06</v>
      </c>
      <c r="AQ194" s="239">
        <v>0.09</v>
      </c>
      <c r="AR194" s="239">
        <v>7.0000000000000007E-2</v>
      </c>
      <c r="AS194" s="239">
        <v>0.08</v>
      </c>
      <c r="AT194" s="239">
        <v>0.09</v>
      </c>
      <c r="AU194" s="252">
        <v>0.08</v>
      </c>
      <c r="AV194" s="239">
        <v>0.1</v>
      </c>
      <c r="AW194" s="239">
        <v>0.12</v>
      </c>
      <c r="AX194" s="239">
        <v>0.11</v>
      </c>
      <c r="AY194" s="239">
        <v>0.09</v>
      </c>
      <c r="AZ194" s="252">
        <v>0.1</v>
      </c>
      <c r="BA194" s="239">
        <v>0.1</v>
      </c>
      <c r="BB194" s="239">
        <v>7.0000000000000007E-2</v>
      </c>
      <c r="BC194" s="239">
        <v>7.0000000000000007E-2</v>
      </c>
      <c r="BD194" s="239">
        <v>0.08</v>
      </c>
      <c r="BE194" s="252">
        <f t="shared" si="428"/>
        <v>0.08</v>
      </c>
      <c r="BF194" s="239">
        <v>7.0000000000000007E-2</v>
      </c>
      <c r="BG194" s="239">
        <v>0.1</v>
      </c>
      <c r="BH194" s="239">
        <v>0.06</v>
      </c>
      <c r="BI194" s="239">
        <v>0.05</v>
      </c>
      <c r="BJ194" s="252">
        <f>AVERAGE(BF194:BI194)</f>
        <v>7.0000000000000007E-2</v>
      </c>
      <c r="BK194" s="239">
        <v>0.06</v>
      </c>
      <c r="BL194" s="239">
        <v>0.04</v>
      </c>
      <c r="BM194" s="239">
        <v>0.04</v>
      </c>
      <c r="BN194" s="239">
        <v>0.04</v>
      </c>
      <c r="BO194" s="252">
        <f t="shared" si="429"/>
        <v>4.5000000000000005E-2</v>
      </c>
      <c r="BP194" s="239">
        <v>0.01</v>
      </c>
      <c r="BQ194" s="239">
        <v>-0.03</v>
      </c>
      <c r="BR194" s="239">
        <v>-3.5558205669204659E-2</v>
      </c>
      <c r="BS194" s="239">
        <v>-7.0000000000000007E-2</v>
      </c>
      <c r="BT194" s="252">
        <f>AVERAGE(BP194:BS194)</f>
        <v>-3.1389551417301167E-2</v>
      </c>
      <c r="BU194" s="239">
        <v>-0.09</v>
      </c>
      <c r="BV194" s="239">
        <v>-0.08</v>
      </c>
      <c r="BW194" s="239">
        <v>-5.2042508814619859E-2</v>
      </c>
      <c r="BX194" s="239">
        <v>-0.01</v>
      </c>
      <c r="BY194" s="252">
        <f>AVERAGE(BU194:BX194)</f>
        <v>-5.8010627203654963E-2</v>
      </c>
      <c r="BZ194" s="239">
        <v>0.04</v>
      </c>
      <c r="CA194" s="239">
        <v>7.0000000000000007E-2</v>
      </c>
      <c r="CB194" s="239">
        <v>0.09</v>
      </c>
      <c r="CC194" s="239">
        <v>0.08</v>
      </c>
      <c r="CD194" s="252">
        <v>7.0000000000000007E-2</v>
      </c>
      <c r="CE194" s="239">
        <f>CE195+CE196</f>
        <v>7.0000000000000007E-2</v>
      </c>
      <c r="CF194" s="239">
        <f>CF195+CF196</f>
        <v>6.9999999999999993E-2</v>
      </c>
      <c r="CG194" s="239">
        <f>CG195+CG196</f>
        <v>0.08</v>
      </c>
      <c r="CH194" s="239">
        <f>CH195+CH196</f>
        <v>0.09</v>
      </c>
      <c r="CI194" s="252">
        <f t="shared" si="430"/>
        <v>7.7500000000000013E-2</v>
      </c>
      <c r="ED194" s="28"/>
      <c r="EE194" s="28"/>
      <c r="EP194" s="20"/>
      <c r="EQ194" s="20"/>
      <c r="ER194" s="20"/>
      <c r="ES194" s="20"/>
      <c r="ET194" s="20"/>
      <c r="EU194" s="20"/>
      <c r="EV194" s="20"/>
      <c r="EW194" s="20"/>
      <c r="EX194" s="20"/>
      <c r="EY194" s="20"/>
      <c r="EZ194" s="20"/>
      <c r="FA194" s="20"/>
      <c r="FB194" s="20"/>
      <c r="FJ194"/>
      <c r="FK194"/>
      <c r="FL194"/>
      <c r="FM194"/>
      <c r="FN194"/>
      <c r="FO194"/>
      <c r="FP194"/>
      <c r="FQ194"/>
      <c r="FR194"/>
    </row>
    <row r="195" spans="1:174" s="1" customFormat="1" hidden="1" outlineLevel="1" x14ac:dyDescent="0.2">
      <c r="A195" s="27" t="s">
        <v>575</v>
      </c>
      <c r="B195" s="20"/>
      <c r="C195" s="28"/>
      <c r="D195" s="28"/>
      <c r="E195" s="28"/>
      <c r="F195" s="28"/>
      <c r="G195" s="20"/>
      <c r="H195" s="28"/>
      <c r="I195" s="238"/>
      <c r="J195" s="238"/>
      <c r="K195" s="238"/>
      <c r="L195" s="61"/>
      <c r="M195" s="238"/>
      <c r="N195" s="238"/>
      <c r="O195" s="238"/>
      <c r="P195" s="238"/>
      <c r="Q195" s="61"/>
      <c r="R195" s="238">
        <v>0.02</v>
      </c>
      <c r="S195" s="238">
        <v>0.04</v>
      </c>
      <c r="T195" s="238">
        <v>0.03</v>
      </c>
      <c r="U195" s="238">
        <v>0.03</v>
      </c>
      <c r="V195" s="61"/>
      <c r="W195" s="238">
        <v>0.05</v>
      </c>
      <c r="X195" s="238">
        <v>0.05</v>
      </c>
      <c r="Y195" s="238">
        <v>0.04</v>
      </c>
      <c r="Z195" s="238">
        <v>0.04</v>
      </c>
      <c r="AA195" s="61">
        <v>0.05</v>
      </c>
      <c r="AB195" s="238">
        <v>0.04</v>
      </c>
      <c r="AC195" s="238">
        <v>0.05</v>
      </c>
      <c r="AD195" s="238">
        <v>0.05</v>
      </c>
      <c r="AE195" s="238">
        <v>0.05</v>
      </c>
      <c r="AF195" s="61">
        <v>0.05</v>
      </c>
      <c r="AG195" s="238">
        <v>0.04</v>
      </c>
      <c r="AH195" s="238">
        <v>0.01</v>
      </c>
      <c r="AI195" s="238">
        <v>0.01</v>
      </c>
      <c r="AJ195" s="238">
        <v>0.01</v>
      </c>
      <c r="AK195" s="61">
        <v>0.02</v>
      </c>
      <c r="AL195" s="238">
        <v>0.04</v>
      </c>
      <c r="AM195" s="238">
        <v>7.0000000000000007E-2</v>
      </c>
      <c r="AN195" s="238">
        <v>0.08</v>
      </c>
      <c r="AO195" s="238">
        <v>0.08</v>
      </c>
      <c r="AP195" s="61">
        <v>7.0000000000000007E-2</v>
      </c>
      <c r="AQ195" s="238">
        <v>0.09</v>
      </c>
      <c r="AR195" s="238">
        <v>0.06</v>
      </c>
      <c r="AS195" s="238">
        <v>7.0000000000000007E-2</v>
      </c>
      <c r="AT195" s="238">
        <v>0.08</v>
      </c>
      <c r="AU195" s="61">
        <v>7.0000000000000007E-2</v>
      </c>
      <c r="AV195" s="238">
        <v>0.1</v>
      </c>
      <c r="AW195" s="238">
        <v>0.11</v>
      </c>
      <c r="AX195" s="238">
        <v>0.1</v>
      </c>
      <c r="AY195" s="238">
        <v>0.08</v>
      </c>
      <c r="AZ195" s="61">
        <v>0.09</v>
      </c>
      <c r="BA195" s="238">
        <v>0.06</v>
      </c>
      <c r="BB195" s="238">
        <v>0.04</v>
      </c>
      <c r="BC195" s="238">
        <v>0.03</v>
      </c>
      <c r="BD195" s="238">
        <v>0.04</v>
      </c>
      <c r="BE195" s="61">
        <f t="shared" si="428"/>
        <v>4.2500000000000003E-2</v>
      </c>
      <c r="BF195" s="238">
        <v>0.06</v>
      </c>
      <c r="BG195" s="238">
        <v>0.08</v>
      </c>
      <c r="BH195" s="238">
        <v>0.04</v>
      </c>
      <c r="BI195" s="238">
        <v>0.04</v>
      </c>
      <c r="BJ195" s="61">
        <v>0.05</v>
      </c>
      <c r="BK195" s="238">
        <v>0.04</v>
      </c>
      <c r="BL195" s="238">
        <v>0.03</v>
      </c>
      <c r="BM195" s="238">
        <v>0.03</v>
      </c>
      <c r="BN195" s="238">
        <v>0</v>
      </c>
      <c r="BO195" s="61">
        <v>0.01</v>
      </c>
      <c r="BP195" s="238">
        <v>-0.01</v>
      </c>
      <c r="BQ195" s="238">
        <v>-0.04</v>
      </c>
      <c r="BR195" s="238">
        <v>-0.04</v>
      </c>
      <c r="BS195" s="238">
        <v>-0.04</v>
      </c>
      <c r="BT195" s="61">
        <v>-0.04</v>
      </c>
      <c r="BU195" s="238">
        <v>-0.05</v>
      </c>
      <c r="BV195" s="238">
        <v>-0.05</v>
      </c>
      <c r="BW195" s="238">
        <v>-0.04</v>
      </c>
      <c r="BX195" s="238">
        <v>-0.01</v>
      </c>
      <c r="BY195" s="61">
        <v>-0.04</v>
      </c>
      <c r="BZ195" s="238">
        <v>0.01</v>
      </c>
      <c r="CA195" s="238">
        <v>0.03</v>
      </c>
      <c r="CB195" s="238">
        <v>0.06</v>
      </c>
      <c r="CC195" s="238">
        <v>0.05</v>
      </c>
      <c r="CD195" s="61">
        <v>0.04</v>
      </c>
      <c r="CE195" s="238">
        <v>0.05</v>
      </c>
      <c r="CF195" s="238">
        <v>0.06</v>
      </c>
      <c r="CG195" s="238">
        <v>0.06</v>
      </c>
      <c r="CH195" s="238">
        <v>0.06</v>
      </c>
      <c r="CI195" s="61"/>
      <c r="ED195" s="28"/>
      <c r="EE195" s="28"/>
      <c r="EP195" s="20"/>
      <c r="EQ195" s="20"/>
      <c r="ER195" s="20"/>
      <c r="ES195" s="20"/>
      <c r="ET195" s="20"/>
      <c r="EU195" s="20"/>
      <c r="EV195" s="20"/>
      <c r="EW195" s="20"/>
      <c r="EX195" s="20"/>
      <c r="EY195" s="20"/>
      <c r="EZ195" s="20"/>
      <c r="FA195" s="20"/>
      <c r="FB195" s="20"/>
      <c r="FJ195"/>
      <c r="FK195"/>
      <c r="FL195"/>
      <c r="FM195"/>
      <c r="FN195"/>
      <c r="FO195"/>
      <c r="FP195"/>
      <c r="FQ195"/>
      <c r="FR195"/>
    </row>
    <row r="196" spans="1:174" s="1" customFormat="1" hidden="1" outlineLevel="1" x14ac:dyDescent="0.2">
      <c r="A196" s="27" t="str">
        <f>A193</f>
        <v xml:space="preserve">  Ticket</v>
      </c>
      <c r="B196" s="20"/>
      <c r="C196" s="28"/>
      <c r="D196" s="28"/>
      <c r="E196" s="28"/>
      <c r="F196" s="28"/>
      <c r="G196" s="20"/>
      <c r="H196" s="28"/>
      <c r="I196" s="238"/>
      <c r="J196" s="238"/>
      <c r="K196" s="238"/>
      <c r="L196" s="61"/>
      <c r="M196" s="238"/>
      <c r="N196" s="238"/>
      <c r="O196" s="238"/>
      <c r="P196" s="238"/>
      <c r="Q196" s="61"/>
      <c r="R196" s="238">
        <v>0.03</v>
      </c>
      <c r="S196" s="238">
        <v>0.03</v>
      </c>
      <c r="T196" s="238">
        <v>0.04</v>
      </c>
      <c r="U196" s="238">
        <v>0</v>
      </c>
      <c r="V196" s="61"/>
      <c r="W196" s="238">
        <v>-0.02</v>
      </c>
      <c r="X196" s="238">
        <v>0.01</v>
      </c>
      <c r="Y196" s="238">
        <v>0.02</v>
      </c>
      <c r="Z196" s="238">
        <v>0.04</v>
      </c>
      <c r="AA196" s="61">
        <v>0.01</v>
      </c>
      <c r="AB196" s="238">
        <v>0.03</v>
      </c>
      <c r="AC196" s="238">
        <v>0.05</v>
      </c>
      <c r="AD196" s="238">
        <v>0.05</v>
      </c>
      <c r="AE196" s="238">
        <v>0.05</v>
      </c>
      <c r="AF196" s="61">
        <v>0.04</v>
      </c>
      <c r="AG196" s="238">
        <v>0.06</v>
      </c>
      <c r="AH196" s="238">
        <v>0.05</v>
      </c>
      <c r="AI196" s="238">
        <v>0.02</v>
      </c>
      <c r="AJ196" s="238">
        <v>0.01</v>
      </c>
      <c r="AK196" s="61">
        <v>0.03</v>
      </c>
      <c r="AL196" s="238">
        <v>-0.02</v>
      </c>
      <c r="AM196" s="238">
        <v>0</v>
      </c>
      <c r="AN196" s="238">
        <v>0</v>
      </c>
      <c r="AO196" s="238">
        <v>0</v>
      </c>
      <c r="AP196" s="61">
        <v>-0.01</v>
      </c>
      <c r="AQ196" s="238">
        <v>0</v>
      </c>
      <c r="AR196" s="238">
        <v>0.01</v>
      </c>
      <c r="AS196" s="238">
        <v>0.01</v>
      </c>
      <c r="AT196" s="238">
        <v>0.01</v>
      </c>
      <c r="AU196" s="61">
        <v>0.01</v>
      </c>
      <c r="AV196" s="238">
        <v>0</v>
      </c>
      <c r="AW196" s="238">
        <v>0.01</v>
      </c>
      <c r="AX196" s="238">
        <v>0.01</v>
      </c>
      <c r="AY196" s="238">
        <v>0.01</v>
      </c>
      <c r="AZ196" s="61">
        <v>0.01</v>
      </c>
      <c r="BA196" s="238">
        <v>0.04</v>
      </c>
      <c r="BB196" s="238">
        <v>0.03</v>
      </c>
      <c r="BC196" s="238">
        <v>0.04</v>
      </c>
      <c r="BD196" s="238">
        <v>0.04</v>
      </c>
      <c r="BE196" s="61">
        <f t="shared" si="428"/>
        <v>3.7500000000000006E-2</v>
      </c>
      <c r="BF196" s="238">
        <v>0.01</v>
      </c>
      <c r="BG196" s="238">
        <v>0.02</v>
      </c>
      <c r="BH196" s="238">
        <v>0.02</v>
      </c>
      <c r="BI196" s="238">
        <v>0.01</v>
      </c>
      <c r="BJ196" s="61">
        <v>0.02</v>
      </c>
      <c r="BK196" s="238">
        <v>0.02</v>
      </c>
      <c r="BL196" s="238">
        <v>0.01</v>
      </c>
      <c r="BM196" s="238">
        <v>0.01</v>
      </c>
      <c r="BN196" s="238">
        <v>0.04</v>
      </c>
      <c r="BO196" s="61">
        <v>0.04</v>
      </c>
      <c r="BP196" s="238">
        <v>0.02</v>
      </c>
      <c r="BQ196" s="238">
        <v>0.01</v>
      </c>
      <c r="BR196" s="238">
        <v>0</v>
      </c>
      <c r="BS196" s="238">
        <v>-0.03</v>
      </c>
      <c r="BT196" s="61">
        <v>0</v>
      </c>
      <c r="BU196" s="238">
        <v>-0.04</v>
      </c>
      <c r="BV196" s="238">
        <v>-0.03</v>
      </c>
      <c r="BW196" s="238">
        <v>-0.02</v>
      </c>
      <c r="BX196" s="238">
        <v>0</v>
      </c>
      <c r="BY196" s="61">
        <v>-0.02</v>
      </c>
      <c r="BZ196" s="238">
        <v>0.04</v>
      </c>
      <c r="CA196" s="238">
        <v>0.04</v>
      </c>
      <c r="CB196" s="238">
        <v>0.03</v>
      </c>
      <c r="CC196" s="238">
        <v>0.02</v>
      </c>
      <c r="CD196" s="61">
        <v>0.03</v>
      </c>
      <c r="CE196" s="238">
        <v>0.02</v>
      </c>
      <c r="CF196" s="238">
        <v>0.01</v>
      </c>
      <c r="CG196" s="238">
        <v>0.02</v>
      </c>
      <c r="CH196" s="238">
        <v>0.03</v>
      </c>
      <c r="CI196" s="61"/>
      <c r="ED196" s="28"/>
      <c r="EE196" s="28"/>
      <c r="EP196" s="20"/>
      <c r="EQ196" s="20"/>
      <c r="ER196" s="20"/>
      <c r="ES196" s="20"/>
      <c r="ET196" s="20"/>
      <c r="EU196" s="20"/>
      <c r="EV196" s="20"/>
      <c r="EW196" s="20"/>
      <c r="EX196" s="20"/>
      <c r="EY196" s="20"/>
      <c r="EZ196" s="20"/>
      <c r="FA196" s="20"/>
      <c r="FB196" s="20"/>
      <c r="FJ196"/>
      <c r="FK196"/>
      <c r="FL196"/>
      <c r="FM196"/>
      <c r="FN196"/>
      <c r="FO196"/>
      <c r="FP196"/>
      <c r="FQ196"/>
      <c r="FR196"/>
    </row>
    <row r="197" spans="1:174" s="1" customFormat="1" hidden="1" outlineLevel="1" x14ac:dyDescent="0.2">
      <c r="A197" s="27" t="s">
        <v>578</v>
      </c>
      <c r="B197" s="47">
        <v>782.583477265645</v>
      </c>
      <c r="C197" s="164">
        <f>(C10/AVERAGE(B184:C184))*1000</f>
        <v>230.85411764705881</v>
      </c>
      <c r="D197" s="164">
        <f>(D10/AVERAGE(C184:D184))*1000</f>
        <v>181.78661087866109</v>
      </c>
      <c r="E197" s="164">
        <f>(E10/AVERAGE(D184:E184))*1000</f>
        <v>194.04864359214218</v>
      </c>
      <c r="F197" s="164">
        <f>(F10/AVERAGE(E184:F184))*1000</f>
        <v>191.31654072208229</v>
      </c>
      <c r="G197" s="167">
        <f>G10/AVERAGE(B178+B181,G178+G181)*1000</f>
        <v>784.90253411306037</v>
      </c>
      <c r="H197" s="164">
        <f>(H10/AVERAGE(G184:H184))*1000</f>
        <v>221.14112291350531</v>
      </c>
      <c r="I197" s="164">
        <f>(I10/AVERAGE(H184:I184))*1000</f>
        <v>180.98632010943911</v>
      </c>
      <c r="J197" s="164">
        <f>(J10/AVERAGE(I184:J184))*1000</f>
        <v>191.99498746867167</v>
      </c>
      <c r="K197" s="164">
        <f>(K10/AVERAGE(J184:K184))*1000</f>
        <v>192.5017103762828</v>
      </c>
      <c r="L197" s="167">
        <f>L10/AVERAGE(G178+G181,L178+L181)*1000</f>
        <v>771.29691516709511</v>
      </c>
      <c r="M197" s="164">
        <f>(M10/AVERAGE(L184:M184))*1000</f>
        <v>210.02544529262084</v>
      </c>
      <c r="N197" s="164">
        <f>(N10/AVERAGE(M184:N184))*1000</f>
        <v>173.41023255813954</v>
      </c>
      <c r="O197" s="164">
        <f>(O10/AVERAGE(N184:O184))*1000</f>
        <v>182.63910422049955</v>
      </c>
      <c r="P197" s="164">
        <f>(P10/AVERAGE(O184:P184))*1000</f>
        <v>184.52132323634916</v>
      </c>
      <c r="Q197" s="167">
        <f>Q10/AVERAGE(L178+L181,Q178+Q181)*1000</f>
        <v>750.03766816143491</v>
      </c>
      <c r="R197" s="164">
        <f>(R10/AVERAGE(Q184:R184))*1000</f>
        <v>200.78349762687114</v>
      </c>
      <c r="S197" s="164">
        <f>(S10/AVERAGE(R184:S184))*1000</f>
        <v>171.58903182125931</v>
      </c>
      <c r="T197" s="164">
        <f>(T10/AVERAGE(S184:T184))*1000</f>
        <v>181.7697980121834</v>
      </c>
      <c r="U197" s="164">
        <f>(U10/AVERAGE(T184:U184))*1000</f>
        <v>176.79854147675479</v>
      </c>
      <c r="V197" s="167">
        <f>V10/AVERAGE(Q178+Q181,V178+V181)*1000</f>
        <v>737.75443292070929</v>
      </c>
      <c r="W197" s="164">
        <f>(W10/AVERAGE(V184:W184))*1000</f>
        <v>197.28805755395683</v>
      </c>
      <c r="X197" s="164">
        <f>(X10/AVERAGE(W184:X184))*1000</f>
        <v>172.14582770726437</v>
      </c>
      <c r="Y197" s="164">
        <f>(Y10/AVERAGE(X184:Y184))*1000</f>
        <v>182.02556890820762</v>
      </c>
      <c r="Z197" s="164">
        <f>(Z10/AVERAGE(Y184:Z184))*1000</f>
        <v>196.56174334140437</v>
      </c>
      <c r="AA197" s="167">
        <f>AA10/AVERAGE(V178+V181,AA178+AA181)*1000</f>
        <v>744.63353387392101</v>
      </c>
      <c r="AB197" s="164">
        <f>(AB10/AVERAGE(AA184:AB184))*1000</f>
        <v>201.08804744525548</v>
      </c>
      <c r="AC197" s="164">
        <f>(AC10/AVERAGE(AB184:AC184))*1000</f>
        <v>186.17096984161424</v>
      </c>
      <c r="AD197" s="164">
        <f>(AD10/AVERAGE(AC184:AD184))*1000</f>
        <v>192.49329758713134</v>
      </c>
      <c r="AE197" s="164">
        <f>(AE10/AVERAGE(AD184:AE184))*1000</f>
        <v>190.71025841816757</v>
      </c>
      <c r="AF197" s="167">
        <f>AF10/AVERAGE(AA178+AA181,AF178+AF181)*1000</f>
        <v>767.18132099284821</v>
      </c>
      <c r="AG197" s="164">
        <f>(AG10/AVERAGE(AF184:AG184))*1000</f>
        <v>209.26772093023257</v>
      </c>
      <c r="AH197" s="164">
        <f>(AH10/AVERAGE(AG184:AH184))*1000</f>
        <v>184.25246478873242</v>
      </c>
      <c r="AI197" s="164">
        <f>(AI10/AVERAGE(AH184:AI184))*1000</f>
        <v>185.9347970725216</v>
      </c>
      <c r="AJ197" s="164">
        <f>(AJ10/AVERAGE(AI184:AJ184))*1000</f>
        <v>184.13282971356625</v>
      </c>
      <c r="AK197" s="167">
        <f>AK10/AVERAGE(AF178+AF181,AK178+AK181)*1000</f>
        <v>757.72098555649961</v>
      </c>
      <c r="AL197" s="164">
        <f>(AL10/AVERAGE(AK184:AL184))*1000</f>
        <v>201.8834147063175</v>
      </c>
      <c r="AM197" s="164">
        <f>(AM10/AVERAGE(AL184:AM184))*1000</f>
        <v>186.5642465945794</v>
      </c>
      <c r="AN197" s="164">
        <f>(AN10/AVERAGE(AM184:AN184))*1000</f>
        <v>192.67397482744619</v>
      </c>
      <c r="AO197" s="164">
        <f>(AO10/AVERAGE(AN184:AO184))*1000</f>
        <v>192.26357806569823</v>
      </c>
      <c r="AP197" s="167">
        <f>AP10/AVERAGE(AK178+AK181,AP178+AP181)*1000</f>
        <v>781.66918555835434</v>
      </c>
      <c r="AQ197" s="164">
        <f>(AQ10/AVERAGE(AP184:AQ184))*1000</f>
        <v>215.25047510452299</v>
      </c>
      <c r="AR197" s="164">
        <f>(AR10/AVERAGE(AQ184:AR184))*1000</f>
        <v>198.53231939163499</v>
      </c>
      <c r="AS197" s="164">
        <f>(AS10/AVERAGE(AR184:AS184))*1000</f>
        <v>208.34417279848088</v>
      </c>
      <c r="AT197" s="164">
        <f>(AT10/AVERAGE(AS184:AT184))*1000</f>
        <v>206.76313405797103</v>
      </c>
      <c r="AU197" s="167">
        <f>AU10/AVERAGE(AP178+AP181,AU178+AU181)*1000</f>
        <v>818.80441490624241</v>
      </c>
      <c r="AV197" s="164">
        <f>(AV10/AVERAGE(AU184:AV184))*1000</f>
        <v>234.1521291580886</v>
      </c>
      <c r="AW197" s="164">
        <f>(AW10/AVERAGE(AV184:AW184))*1000</f>
        <v>221.29365915314935</v>
      </c>
      <c r="AX197" s="164">
        <f>(AX10/AVERAGE(AW184:AX184))*1000</f>
        <v>225.8340976255987</v>
      </c>
      <c r="AY197" s="164">
        <f>(AY10/AVERAGE(AX184:AY184))*1000</f>
        <v>238.49407849662327</v>
      </c>
      <c r="AZ197" s="167">
        <f>AZ10/AVERAGE(AU178+AU181,AZ178+AZ181)*1000</f>
        <v>913.30355496363075</v>
      </c>
      <c r="BA197" s="164">
        <f>(BA10/AVERAGE(AZ184:BA184))*1000</f>
        <v>256.20610974919856</v>
      </c>
      <c r="BB197" s="164">
        <f>(BB10/AVERAGE(BA184:BB184))*1000</f>
        <v>234.85403329065298</v>
      </c>
      <c r="BC197" s="164">
        <f>(BC10/AVERAGE(BB184:BC184))*1000</f>
        <v>241.00284242316576</v>
      </c>
      <c r="BD197" s="164">
        <f>(BD10/AVERAGE(BC184:BD184))*1000</f>
        <v>237.76594110115238</v>
      </c>
      <c r="BE197" s="167">
        <f>BE10/AVERAGE(AZ178+AZ181,BE178+BE181)*1000</f>
        <v>961.55630851538115</v>
      </c>
      <c r="BF197" s="164">
        <f>(BF10/AVERAGE(BE184:BF184))*1000</f>
        <v>263.76911860012956</v>
      </c>
      <c r="BG197" s="164">
        <f>(BG10/AVERAGE(BF184:BG184))*1000</f>
        <v>248.0570586867199</v>
      </c>
      <c r="BH197" s="164">
        <f>(BH10/AVERAGE(BG184:BH184))*1000</f>
        <v>249.67711386696732</v>
      </c>
      <c r="BI197" s="164">
        <f>(BI10/AVERAGE(BH184:BI184))*1000</f>
        <v>244.62806814900375</v>
      </c>
      <c r="BJ197" s="167">
        <f>BJ10/AVERAGE(BE178+BE181,BJ178+BJ181)*1000</f>
        <v>1004.8997099679437</v>
      </c>
      <c r="BK197" s="164">
        <f>(BK10/AVERAGE(BJ184:BK184))*1000</f>
        <v>274.47322710798056</v>
      </c>
      <c r="BL197" s="164">
        <f>(BL10/AVERAGE(BK184:BL184))*1000</f>
        <v>250.43373493975901</v>
      </c>
      <c r="BM197" s="164">
        <f>(BM10/AVERAGE(BL184:BM184))*1000</f>
        <v>251.14244676200587</v>
      </c>
      <c r="BN197" s="164">
        <f>(BN10/AVERAGE(BM184:BN184))*1000</f>
        <v>246.70067130184606</v>
      </c>
      <c r="BO197" s="167">
        <f>BO10/AVERAGE(BJ178+BJ181,BO178+BO181)*1000</f>
        <v>1024.9586723905938</v>
      </c>
      <c r="BP197" s="164">
        <f>(BP10/AVERAGE(BO184:BP184))*1000</f>
        <v>269.26600251918012</v>
      </c>
      <c r="BQ197" s="164">
        <f>(BQ10/AVERAGE(BP184:BQ184))*1000</f>
        <v>235.91126768316178</v>
      </c>
      <c r="BR197" s="164">
        <f>(BR10/AVERAGE(BQ184:BR184))*1000</f>
        <v>234.4301075268817</v>
      </c>
      <c r="BS197" s="164">
        <f>(BS10/AVERAGE(BR184:BS184))*1000</f>
        <v>224.8271426274321</v>
      </c>
      <c r="BT197" s="167">
        <f>BT10/AVERAGE(BO178+BO181,BT178+BT181)*1000</f>
        <v>987.38180999549752</v>
      </c>
      <c r="BU197" s="164">
        <f>(BU10/AVERAGE(BT184:BU184))*1000</f>
        <v>235.30302211169376</v>
      </c>
      <c r="BV197" s="164">
        <f>(BV10/AVERAGE(BU184:BV184))*1000</f>
        <v>213.40150114217337</v>
      </c>
      <c r="BW197" s="164">
        <f>(BW10/AVERAGE(BV184:BW184))*1000</f>
        <v>222.10212859821328</v>
      </c>
      <c r="BX197" s="164">
        <f>(BX10/AVERAGE(BW184:BX184))*1000</f>
        <v>227.09359605911331</v>
      </c>
      <c r="BY197" s="167">
        <f>BY10/AVERAGE(BT178+BT181,BY178+BY181)*1000</f>
        <v>901.64783686966109</v>
      </c>
      <c r="BZ197" s="164">
        <f>(BZ10/AVERAGE(BY184:BZ184))*1000</f>
        <v>258.61718926235056</v>
      </c>
      <c r="CA197" s="164">
        <f>(CA10/AVERAGE(BZ184:CA184))*1000</f>
        <v>241.07122636168046</v>
      </c>
      <c r="CB197" s="164">
        <f>(CB10/AVERAGE(CA184:CB184))*1000</f>
        <v>248.19249758810508</v>
      </c>
      <c r="CC197" s="164">
        <f>(CC10/AVERAGE(CB184:CC184))*1000</f>
        <v>266.97653327287156</v>
      </c>
      <c r="CD197" s="167">
        <f>CD10/AVERAGE(BY178+BY181,CD178+CD181)*1000</f>
        <v>1011.9672593847022</v>
      </c>
      <c r="CE197" s="164">
        <f>(CE10/AVERAGE(CD184:CE184))*1000</f>
        <v>276.93611252330112</v>
      </c>
      <c r="CF197" s="164">
        <f>(CF10/AVERAGE(CE184:CF184))*1000</f>
        <v>258.40797701537946</v>
      </c>
      <c r="CG197" s="164">
        <f>(CG10/AVERAGE(CF184:CG184))*1000</f>
        <v>271.75941540191121</v>
      </c>
      <c r="CH197" s="164">
        <f>(CH10/AVERAGE(CG184:CH184))*1000</f>
        <v>275.40691192865108</v>
      </c>
      <c r="CI197" s="167">
        <f>CI10/AVERAGE(CD178+CD181,CI178+CI181)*1000</f>
        <v>1078.4258844603671</v>
      </c>
      <c r="ED197" s="28"/>
      <c r="EE197" s="28"/>
      <c r="EP197" s="20"/>
      <c r="EQ197" s="20"/>
      <c r="ER197" s="20"/>
      <c r="ES197" s="20"/>
      <c r="ET197" s="20"/>
      <c r="EU197" s="20"/>
      <c r="EV197" s="20"/>
      <c r="EW197" s="20"/>
      <c r="EX197" s="20"/>
      <c r="EY197" s="20"/>
      <c r="EZ197" s="20"/>
      <c r="FA197" s="20"/>
      <c r="FB197" s="20"/>
      <c r="FJ197"/>
      <c r="FK197"/>
      <c r="FL197"/>
      <c r="FM197"/>
      <c r="FN197"/>
      <c r="FO197"/>
      <c r="FP197"/>
      <c r="FQ197"/>
      <c r="FR197"/>
    </row>
    <row r="198" spans="1:174" s="1" customFormat="1" hidden="1" outlineLevel="1" x14ac:dyDescent="0.2">
      <c r="A198" s="40" t="s">
        <v>579</v>
      </c>
      <c r="B198" s="236">
        <v>3.1840312054086703E-2</v>
      </c>
      <c r="C198" s="295">
        <v>3.6152935202288697E-2</v>
      </c>
      <c r="D198" s="295">
        <v>-4.6081194450823303E-3</v>
      </c>
      <c r="E198" s="295">
        <v>4.4020031824061299E-3</v>
      </c>
      <c r="F198" s="295">
        <v>4.0002108577754901E-2</v>
      </c>
      <c r="G198" s="236">
        <f t="shared" ref="G198:L198" si="431">G197/B197-1</f>
        <v>2.9633347940314358E-3</v>
      </c>
      <c r="H198" s="295">
        <f t="shared" si="431"/>
        <v>-4.2074167151756048E-2</v>
      </c>
      <c r="I198" s="295">
        <f t="shared" si="431"/>
        <v>-4.4023636578832681E-3</v>
      </c>
      <c r="J198" s="295">
        <f t="shared" si="431"/>
        <v>-1.0583202672557523E-2</v>
      </c>
      <c r="K198" s="295">
        <f t="shared" si="431"/>
        <v>6.1948101806950095E-3</v>
      </c>
      <c r="L198" s="236">
        <f t="shared" si="431"/>
        <v>-1.7334150871788911E-2</v>
      </c>
      <c r="M198" s="295">
        <f t="shared" ref="M198:AR198" si="432">M197/H197-1</f>
        <v>-5.0265086269061454E-2</v>
      </c>
      <c r="N198" s="295">
        <f t="shared" si="432"/>
        <v>-4.1860001058192875E-2</v>
      </c>
      <c r="O198" s="295">
        <f t="shared" si="432"/>
        <v>-4.8729830770705584E-2</v>
      </c>
      <c r="P198" s="295">
        <f t="shared" si="432"/>
        <v>-4.1456188229883173E-2</v>
      </c>
      <c r="Q198" s="236">
        <f t="shared" si="432"/>
        <v>-2.7562987207143896E-2</v>
      </c>
      <c r="R198" s="295">
        <f t="shared" si="432"/>
        <v>-4.4003942726431267E-2</v>
      </c>
      <c r="S198" s="295">
        <f t="shared" si="432"/>
        <v>-1.0502268003531046E-2</v>
      </c>
      <c r="T198" s="295">
        <f t="shared" si="432"/>
        <v>-4.7596937798525252E-3</v>
      </c>
      <c r="U198" s="295">
        <f t="shared" si="432"/>
        <v>-4.1853058628364748E-2</v>
      </c>
      <c r="V198" s="236">
        <f t="shared" si="432"/>
        <v>-1.6376824474476748E-2</v>
      </c>
      <c r="W198" s="295">
        <f t="shared" si="432"/>
        <v>-1.7409000810465591E-2</v>
      </c>
      <c r="X198" s="295">
        <f t="shared" si="432"/>
        <v>3.2449386775785793E-3</v>
      </c>
      <c r="Y198" s="295">
        <f t="shared" si="432"/>
        <v>1.4071143766527516E-3</v>
      </c>
      <c r="Z198" s="295">
        <f t="shared" si="432"/>
        <v>0.11178373814383535</v>
      </c>
      <c r="AA198" s="236">
        <f t="shared" si="432"/>
        <v>9.3243776604337025E-3</v>
      </c>
      <c r="AB198" s="295">
        <f t="shared" si="432"/>
        <v>1.9261124765544313E-2</v>
      </c>
      <c r="AC198" s="295">
        <f t="shared" si="432"/>
        <v>8.1472448801952702E-2</v>
      </c>
      <c r="AD198" s="295">
        <f t="shared" si="432"/>
        <v>5.7506913680914984E-2</v>
      </c>
      <c r="AE198" s="295">
        <f t="shared" si="432"/>
        <v>-2.9769195285745176E-2</v>
      </c>
      <c r="AF198" s="236">
        <f t="shared" si="432"/>
        <v>3.0280381010540092E-2</v>
      </c>
      <c r="AG198" s="295">
        <f t="shared" si="432"/>
        <v>4.0677074489988918E-2</v>
      </c>
      <c r="AH198" s="295">
        <f t="shared" si="432"/>
        <v>-1.0305070949106598E-2</v>
      </c>
      <c r="AI198" s="295">
        <f t="shared" si="432"/>
        <v>-3.4071318829379305E-2</v>
      </c>
      <c r="AJ198" s="295">
        <f t="shared" si="432"/>
        <v>-3.4489118514952066E-2</v>
      </c>
      <c r="AK198" s="236">
        <f t="shared" si="432"/>
        <v>-1.2331290110277338E-2</v>
      </c>
      <c r="AL198" s="295">
        <f t="shared" si="432"/>
        <v>-3.528640820041673E-2</v>
      </c>
      <c r="AM198" s="295">
        <f t="shared" si="432"/>
        <v>1.2546816176910891E-2</v>
      </c>
      <c r="AN198" s="295">
        <f t="shared" si="432"/>
        <v>3.624484421975116E-2</v>
      </c>
      <c r="AO198" s="295">
        <f t="shared" si="432"/>
        <v>4.4156972793933713E-2</v>
      </c>
      <c r="AP198" s="236">
        <f t="shared" si="432"/>
        <v>3.1605565186064055E-2</v>
      </c>
      <c r="AQ198" s="295">
        <f t="shared" si="432"/>
        <v>6.6211780782739149E-2</v>
      </c>
      <c r="AR198" s="295">
        <f t="shared" si="432"/>
        <v>6.4149873384171219E-2</v>
      </c>
      <c r="AS198" s="295">
        <f t="shared" ref="AS198:BX198" si="433">AS197/AN197-1</f>
        <v>8.1330122477976108E-2</v>
      </c>
      <c r="AT198" s="295">
        <f t="shared" si="433"/>
        <v>7.5414990910645407E-2</v>
      </c>
      <c r="AU198" s="236">
        <f t="shared" si="433"/>
        <v>4.750760300389989E-2</v>
      </c>
      <c r="AV198" s="295">
        <f t="shared" si="433"/>
        <v>8.7812368564516241E-2</v>
      </c>
      <c r="AW198" s="295">
        <f t="shared" si="433"/>
        <v>0.11464803227636788</v>
      </c>
      <c r="AX198" s="295">
        <f t="shared" si="433"/>
        <v>8.3947271441255022E-2</v>
      </c>
      <c r="AY198" s="295">
        <f t="shared" si="433"/>
        <v>0.15346519379879253</v>
      </c>
      <c r="AZ198" s="236">
        <f t="shared" si="433"/>
        <v>0.1154111266830542</v>
      </c>
      <c r="BA198" s="295">
        <f t="shared" si="433"/>
        <v>9.4186547311812641E-2</v>
      </c>
      <c r="BB198" s="295">
        <f t="shared" si="433"/>
        <v>6.1277734705082354E-2</v>
      </c>
      <c r="BC198" s="295">
        <f t="shared" si="433"/>
        <v>6.7167646325554831E-2</v>
      </c>
      <c r="BD198" s="295">
        <f t="shared" si="433"/>
        <v>-3.0530627848741609E-3</v>
      </c>
      <c r="BE198" s="236">
        <f t="shared" si="433"/>
        <v>5.2833204567644509E-2</v>
      </c>
      <c r="BF198" s="295">
        <f t="shared" si="433"/>
        <v>2.9519236907872504E-2</v>
      </c>
      <c r="BG198" s="295">
        <f t="shared" si="433"/>
        <v>5.6218005759036682E-2</v>
      </c>
      <c r="BH198" s="295">
        <f t="shared" si="433"/>
        <v>3.5992403062909961E-2</v>
      </c>
      <c r="BI198" s="295">
        <f t="shared" si="433"/>
        <v>2.8860849523153709E-2</v>
      </c>
      <c r="BJ198" s="236">
        <f t="shared" si="433"/>
        <v>4.5076300855936058E-2</v>
      </c>
      <c r="BK198" s="295">
        <f t="shared" si="433"/>
        <v>4.0581356015668701E-2</v>
      </c>
      <c r="BL198" s="295">
        <f t="shared" si="433"/>
        <v>9.5811675975756572E-3</v>
      </c>
      <c r="BM198" s="295">
        <f t="shared" si="433"/>
        <v>5.8689115407641879E-3</v>
      </c>
      <c r="BN198" s="295">
        <f t="shared" si="433"/>
        <v>8.4724666655171532E-3</v>
      </c>
      <c r="BO198" s="236">
        <f t="shared" si="433"/>
        <v>1.9961158535203527E-2</v>
      </c>
      <c r="BP198" s="295">
        <f t="shared" si="433"/>
        <v>-1.8971703155411412E-2</v>
      </c>
      <c r="BQ198" s="295">
        <f t="shared" si="433"/>
        <v>-5.7989261151619842E-2</v>
      </c>
      <c r="BR198" s="295">
        <f t="shared" si="433"/>
        <v>-6.6545259276547419E-2</v>
      </c>
      <c r="BS198" s="295">
        <f t="shared" si="433"/>
        <v>-8.8664244645086598E-2</v>
      </c>
      <c r="BT198" s="236">
        <f t="shared" si="433"/>
        <v>-3.6661831747276996E-2</v>
      </c>
      <c r="BU198" s="295">
        <f t="shared" si="433"/>
        <v>-0.12613170652714367</v>
      </c>
      <c r="BV198" s="295">
        <f t="shared" si="433"/>
        <v>-9.5416241716864136E-2</v>
      </c>
      <c r="BW198" s="295">
        <f t="shared" si="433"/>
        <v>-5.2587012217510498E-2</v>
      </c>
      <c r="BX198" s="295">
        <f t="shared" si="433"/>
        <v>1.0080871042501327E-2</v>
      </c>
      <c r="BY198" s="236">
        <f t="shared" ref="BY198:CI198" si="434">BY197/BT197-1</f>
        <v>-8.6829605587151137E-2</v>
      </c>
      <c r="BZ198" s="295">
        <f t="shared" si="434"/>
        <v>9.9081460753997597E-2</v>
      </c>
      <c r="CA198" s="295">
        <f t="shared" si="434"/>
        <v>0.12966040572073023</v>
      </c>
      <c r="CB198" s="295">
        <f t="shared" si="434"/>
        <v>0.11747014382329368</v>
      </c>
      <c r="CC198" s="295">
        <f t="shared" si="434"/>
        <v>0.17562334608227603</v>
      </c>
      <c r="CD198" s="236">
        <f t="shared" si="434"/>
        <v>0.12235311615458189</v>
      </c>
      <c r="CE198" s="295">
        <f t="shared" si="434"/>
        <v>7.0834128671807495E-2</v>
      </c>
      <c r="CF198" s="295">
        <f t="shared" si="434"/>
        <v>7.1915470441456186E-2</v>
      </c>
      <c r="CG198" s="295">
        <f t="shared" si="434"/>
        <v>9.4954190972030394E-2</v>
      </c>
      <c r="CH198" s="295">
        <f t="shared" si="434"/>
        <v>3.1577227228293481E-2</v>
      </c>
      <c r="CI198" s="236">
        <f t="shared" si="434"/>
        <v>6.5672702806682803E-2</v>
      </c>
      <c r="ED198" s="28"/>
      <c r="EE198" s="28"/>
      <c r="EP198" s="19"/>
      <c r="EQ198" s="19"/>
      <c r="ER198" s="19"/>
      <c r="ES198" s="19"/>
      <c r="ET198" s="19"/>
      <c r="EU198" s="19"/>
      <c r="EV198" s="19"/>
      <c r="EW198" s="19"/>
      <c r="EX198" s="19"/>
      <c r="EY198" s="19"/>
      <c r="EZ198" s="19"/>
      <c r="FA198" s="19"/>
      <c r="FB198" s="19"/>
      <c r="FJ198"/>
      <c r="FK198"/>
      <c r="FL198"/>
      <c r="FM198"/>
      <c r="FN198"/>
      <c r="FO198"/>
      <c r="FP198"/>
      <c r="FQ198"/>
      <c r="FR198"/>
    </row>
    <row r="199" spans="1:174" s="1" customFormat="1" collapsed="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ED199" s="28"/>
      <c r="EE199" s="28"/>
      <c r="EP199" s="25"/>
      <c r="EQ199" s="25"/>
      <c r="ER199" s="25"/>
      <c r="ES199" s="25"/>
      <c r="ET199" s="25"/>
      <c r="EU199" s="25"/>
      <c r="EV199" s="25"/>
      <c r="EW199" s="25"/>
      <c r="EX199" s="25"/>
      <c r="EY199" s="25"/>
      <c r="EZ199" s="25"/>
      <c r="FA199" s="25"/>
      <c r="FB199" s="25"/>
      <c r="FJ199"/>
      <c r="FK199"/>
      <c r="FL199"/>
      <c r="FM199"/>
      <c r="FN199"/>
      <c r="FO199"/>
      <c r="FP199"/>
      <c r="FQ199"/>
      <c r="FR199"/>
    </row>
    <row r="200" spans="1:174" s="1" customFormat="1" x14ac:dyDescent="0.2">
      <c r="ED200" s="28"/>
      <c r="EE200" s="28"/>
      <c r="EP200" s="28"/>
      <c r="EQ200" s="28"/>
      <c r="ER200" s="28"/>
      <c r="ES200" s="28"/>
      <c r="ET200" s="28"/>
      <c r="EU200" s="28"/>
      <c r="EV200" s="28"/>
      <c r="EW200" s="28"/>
      <c r="EX200" s="28"/>
      <c r="EY200" s="28"/>
      <c r="EZ200" s="28"/>
      <c r="FA200" s="28"/>
      <c r="FB200" s="28"/>
      <c r="FJ200"/>
      <c r="FK200"/>
      <c r="FL200"/>
      <c r="FM200"/>
      <c r="FN200"/>
      <c r="FO200"/>
      <c r="FP200"/>
      <c r="FQ200"/>
      <c r="FR200"/>
    </row>
    <row r="201" spans="1:174" s="1" customFormat="1" hidden="1" outlineLevel="1" x14ac:dyDescent="0.2">
      <c r="ED201" s="28"/>
      <c r="EE201" s="28"/>
      <c r="FJ201"/>
      <c r="FK201"/>
      <c r="FL201"/>
      <c r="FM201"/>
      <c r="FN201"/>
      <c r="FO201"/>
      <c r="FP201"/>
      <c r="FQ201"/>
      <c r="FR201"/>
    </row>
    <row r="202" spans="1:174" s="1" customFormat="1" hidden="1" outlineLevel="1" x14ac:dyDescent="0.2">
      <c r="A202" s="9" t="s">
        <v>580</v>
      </c>
      <c r="B202" s="15" t="str">
        <f t="shared" ref="B202:AG202" si="435">B7</f>
        <v>FY 1994</v>
      </c>
      <c r="C202" s="4">
        <f t="shared" si="435"/>
        <v>34669</v>
      </c>
      <c r="D202" s="4">
        <f t="shared" si="435"/>
        <v>34759</v>
      </c>
      <c r="E202" s="4">
        <f t="shared" si="435"/>
        <v>34851</v>
      </c>
      <c r="F202" s="4">
        <f t="shared" si="435"/>
        <v>34943</v>
      </c>
      <c r="G202" s="6" t="str">
        <f t="shared" si="435"/>
        <v>FY 1995</v>
      </c>
      <c r="H202" s="4">
        <f t="shared" si="435"/>
        <v>35034</v>
      </c>
      <c r="I202" s="4">
        <f t="shared" si="435"/>
        <v>35125</v>
      </c>
      <c r="J202" s="4">
        <f t="shared" si="435"/>
        <v>35217</v>
      </c>
      <c r="K202" s="4">
        <f t="shared" si="435"/>
        <v>35309</v>
      </c>
      <c r="L202" s="6" t="str">
        <f t="shared" si="435"/>
        <v>FY 1996</v>
      </c>
      <c r="M202" s="13" t="str">
        <f t="shared" si="435"/>
        <v>Dec-96R</v>
      </c>
      <c r="N202" s="13" t="str">
        <f t="shared" si="435"/>
        <v>Mar-97R</v>
      </c>
      <c r="O202" s="13" t="str">
        <f t="shared" si="435"/>
        <v>Jun-97R</v>
      </c>
      <c r="P202" s="13" t="str">
        <f t="shared" si="435"/>
        <v>Sep-97R</v>
      </c>
      <c r="Q202" s="15" t="str">
        <f t="shared" si="435"/>
        <v>FY 1997 R</v>
      </c>
      <c r="R202" s="13" t="str">
        <f t="shared" si="435"/>
        <v>Dec-97</v>
      </c>
      <c r="S202" s="13" t="str">
        <f t="shared" si="435"/>
        <v>Mar-98</v>
      </c>
      <c r="T202" s="13" t="str">
        <f t="shared" si="435"/>
        <v>Jun-98</v>
      </c>
      <c r="U202" s="13" t="str">
        <f t="shared" si="435"/>
        <v>Sep-98</v>
      </c>
      <c r="V202" s="15" t="str">
        <f t="shared" si="435"/>
        <v>FY 1998</v>
      </c>
      <c r="W202" s="13" t="str">
        <f t="shared" si="435"/>
        <v>Dec-98</v>
      </c>
      <c r="X202" s="13" t="str">
        <f t="shared" si="435"/>
        <v>Mar-99</v>
      </c>
      <c r="Y202" s="13" t="str">
        <f t="shared" si="435"/>
        <v>Jun-99</v>
      </c>
      <c r="Z202" s="13" t="str">
        <f t="shared" si="435"/>
        <v>Sep-99</v>
      </c>
      <c r="AA202" s="15" t="str">
        <f t="shared" si="435"/>
        <v>FY 1999</v>
      </c>
      <c r="AB202" s="13" t="str">
        <f t="shared" si="435"/>
        <v>Dec-99</v>
      </c>
      <c r="AC202" s="13" t="str">
        <f t="shared" si="435"/>
        <v>Mar-00</v>
      </c>
      <c r="AD202" s="13" t="str">
        <f t="shared" si="435"/>
        <v>Jun-00</v>
      </c>
      <c r="AE202" s="13" t="str">
        <f t="shared" si="435"/>
        <v>Sep-00</v>
      </c>
      <c r="AF202" s="15" t="str">
        <f t="shared" si="435"/>
        <v>FY 2000A</v>
      </c>
      <c r="AG202" s="13" t="str">
        <f t="shared" si="435"/>
        <v>Dec-00A</v>
      </c>
      <c r="AH202" s="13" t="str">
        <f t="shared" ref="AH202:BM202" si="436">AH7</f>
        <v>Mar-01A</v>
      </c>
      <c r="AI202" s="13" t="str">
        <f t="shared" si="436"/>
        <v>Jun-01A</v>
      </c>
      <c r="AJ202" s="13" t="str">
        <f t="shared" si="436"/>
        <v>Sep-01A</v>
      </c>
      <c r="AK202" s="15" t="str">
        <f t="shared" si="436"/>
        <v>FY 2001</v>
      </c>
      <c r="AL202" s="13" t="str">
        <f t="shared" si="436"/>
        <v>Dec-01A</v>
      </c>
      <c r="AM202" s="13" t="str">
        <f t="shared" si="436"/>
        <v>Mar-02A</v>
      </c>
      <c r="AN202" s="13" t="str">
        <f t="shared" si="436"/>
        <v>Jun-02A</v>
      </c>
      <c r="AO202" s="13" t="str">
        <f t="shared" si="436"/>
        <v>Sep-02A</v>
      </c>
      <c r="AP202" s="15" t="str">
        <f t="shared" si="436"/>
        <v>FY 2002A</v>
      </c>
      <c r="AQ202" s="13" t="str">
        <f t="shared" si="436"/>
        <v>Dec-02A</v>
      </c>
      <c r="AR202" s="13" t="str">
        <f t="shared" si="436"/>
        <v>Mar-03A</v>
      </c>
      <c r="AS202" s="13" t="str">
        <f t="shared" si="436"/>
        <v>Jun-03A</v>
      </c>
      <c r="AT202" s="13" t="str">
        <f t="shared" si="436"/>
        <v>Sep-03A</v>
      </c>
      <c r="AU202" s="15" t="str">
        <f t="shared" si="436"/>
        <v>FY 2003A</v>
      </c>
      <c r="AV202" s="13" t="str">
        <f t="shared" si="436"/>
        <v>Dec-03A</v>
      </c>
      <c r="AW202" s="13" t="str">
        <f t="shared" si="436"/>
        <v>Mar-04A</v>
      </c>
      <c r="AX202" s="13" t="str">
        <f t="shared" si="436"/>
        <v>Jun-04A</v>
      </c>
      <c r="AY202" s="13" t="str">
        <f t="shared" si="436"/>
        <v>Sep-04A</v>
      </c>
      <c r="AZ202" s="15" t="str">
        <f t="shared" si="436"/>
        <v>FY 2004A</v>
      </c>
      <c r="BA202" s="13" t="str">
        <f t="shared" si="436"/>
        <v>Dec-04A</v>
      </c>
      <c r="BB202" s="13" t="str">
        <f t="shared" si="436"/>
        <v>Mar-05A</v>
      </c>
      <c r="BC202" s="13" t="str">
        <f t="shared" si="436"/>
        <v>Jun-05A</v>
      </c>
      <c r="BD202" s="13" t="str">
        <f t="shared" si="436"/>
        <v>Sep-05A</v>
      </c>
      <c r="BE202" s="15" t="str">
        <f t="shared" si="436"/>
        <v>FY 2005A</v>
      </c>
      <c r="BF202" s="13" t="str">
        <f t="shared" si="436"/>
        <v>Dec-05A</v>
      </c>
      <c r="BG202" s="13" t="str">
        <f t="shared" si="436"/>
        <v>Mar-06A</v>
      </c>
      <c r="BH202" s="13" t="str">
        <f t="shared" si="436"/>
        <v>Jun-06A</v>
      </c>
      <c r="BI202" s="13" t="str">
        <f t="shared" si="436"/>
        <v>Sep-06A</v>
      </c>
      <c r="BJ202" s="15" t="str">
        <f t="shared" si="436"/>
        <v>FY 2006A</v>
      </c>
      <c r="BK202" s="13" t="str">
        <f t="shared" si="436"/>
        <v>Dec-06A</v>
      </c>
      <c r="BL202" s="13" t="str">
        <f t="shared" si="436"/>
        <v>Mar-07A</v>
      </c>
      <c r="BM202" s="13" t="str">
        <f t="shared" si="436"/>
        <v>Jun-07A</v>
      </c>
      <c r="BN202" s="13" t="str">
        <f t="shared" ref="BN202:CI202" si="437">BN7</f>
        <v>Sep-07A</v>
      </c>
      <c r="BO202" s="15" t="str">
        <f t="shared" si="437"/>
        <v>FY 2007A</v>
      </c>
      <c r="BP202" s="13" t="str">
        <f t="shared" si="437"/>
        <v>Dec-07A</v>
      </c>
      <c r="BQ202" s="13" t="str">
        <f t="shared" si="437"/>
        <v>Mar-08A</v>
      </c>
      <c r="BR202" s="13" t="str">
        <f t="shared" si="437"/>
        <v>Jun-08A</v>
      </c>
      <c r="BS202" s="13" t="str">
        <f t="shared" si="437"/>
        <v>Sep-08A</v>
      </c>
      <c r="BT202" s="15" t="str">
        <f t="shared" si="437"/>
        <v>FY 2008A</v>
      </c>
      <c r="BU202" s="13" t="str">
        <f t="shared" si="437"/>
        <v>Dec-08A</v>
      </c>
      <c r="BV202" s="13" t="str">
        <f t="shared" si="437"/>
        <v>Mar-09A</v>
      </c>
      <c r="BW202" s="13" t="str">
        <f t="shared" si="437"/>
        <v>Jun-09A</v>
      </c>
      <c r="BX202" s="13" t="str">
        <f t="shared" si="437"/>
        <v>Sep-09A</v>
      </c>
      <c r="BY202" s="15" t="str">
        <f t="shared" si="437"/>
        <v>FY 2009A</v>
      </c>
      <c r="BZ202" s="13" t="str">
        <f t="shared" si="437"/>
        <v>Dec-09A</v>
      </c>
      <c r="CA202" s="13" t="str">
        <f t="shared" si="437"/>
        <v>Mar-10A</v>
      </c>
      <c r="CB202" s="13" t="str">
        <f t="shared" si="437"/>
        <v>Jun-10A</v>
      </c>
      <c r="CC202" s="13" t="str">
        <f t="shared" si="437"/>
        <v>Sep-10A</v>
      </c>
      <c r="CD202" s="15" t="str">
        <f t="shared" si="437"/>
        <v>FY 2010A</v>
      </c>
      <c r="CE202" s="13" t="str">
        <f t="shared" si="437"/>
        <v>Dec-10A</v>
      </c>
      <c r="CF202" s="13" t="str">
        <f t="shared" si="437"/>
        <v>Mar-11A</v>
      </c>
      <c r="CG202" s="13" t="str">
        <f t="shared" si="437"/>
        <v>Jun-11A</v>
      </c>
      <c r="CH202" s="13" t="str">
        <f t="shared" si="437"/>
        <v>Sep-11A</v>
      </c>
      <c r="CI202" s="15" t="str">
        <f t="shared" si="437"/>
        <v>FY 2011A</v>
      </c>
      <c r="ED202" s="28"/>
      <c r="EE202" s="28"/>
      <c r="FJ202"/>
      <c r="FK202"/>
      <c r="FL202"/>
      <c r="FM202"/>
      <c r="FN202"/>
      <c r="FO202"/>
      <c r="FP202"/>
      <c r="FQ202"/>
      <c r="FR202"/>
    </row>
    <row r="203" spans="1:174" s="1" customFormat="1" hidden="1" outlineLevel="1" x14ac:dyDescent="0.2">
      <c r="A203" s="38" t="s">
        <v>574</v>
      </c>
      <c r="B203" s="18"/>
      <c r="C203" s="25"/>
      <c r="D203" s="25"/>
      <c r="E203" s="25"/>
      <c r="F203" s="25"/>
      <c r="G203" s="18"/>
      <c r="H203" s="25"/>
      <c r="I203" s="25"/>
      <c r="J203" s="25"/>
      <c r="K203" s="25"/>
      <c r="L203" s="18"/>
      <c r="M203" s="25"/>
      <c r="N203" s="25"/>
      <c r="O203" s="25"/>
      <c r="P203" s="25"/>
      <c r="Q203" s="18"/>
      <c r="R203" s="25"/>
      <c r="S203" s="25"/>
      <c r="T203" s="25"/>
      <c r="U203" s="25"/>
      <c r="V203" s="18"/>
      <c r="W203" s="25"/>
      <c r="X203" s="25"/>
      <c r="Y203" s="25"/>
      <c r="Z203" s="25"/>
      <c r="AA203" s="18"/>
      <c r="AB203" s="25"/>
      <c r="AC203" s="25"/>
      <c r="AD203" s="25"/>
      <c r="AE203" s="25"/>
      <c r="AF203" s="18"/>
      <c r="AG203" s="25"/>
      <c r="AH203" s="25"/>
      <c r="AI203" s="25"/>
      <c r="AJ203" s="25"/>
      <c r="AK203" s="18"/>
      <c r="AL203" s="25"/>
      <c r="AM203" s="25"/>
      <c r="AN203" s="25"/>
      <c r="AO203" s="25"/>
      <c r="AP203" s="18"/>
      <c r="AQ203" s="25"/>
      <c r="AR203" s="25"/>
      <c r="AS203" s="25"/>
      <c r="AT203" s="25"/>
      <c r="AU203" s="317">
        <f t="shared" ref="AU203:AU209" si="438">AU188+AP188</f>
        <v>0.16</v>
      </c>
      <c r="AV203" s="318">
        <f t="shared" ref="AV203:CI203" si="439">AV188+AQ188</f>
        <v>0.2</v>
      </c>
      <c r="AW203" s="318">
        <f t="shared" si="439"/>
        <v>0.2</v>
      </c>
      <c r="AX203" s="318">
        <f t="shared" si="439"/>
        <v>0.21</v>
      </c>
      <c r="AY203" s="318">
        <f t="shared" si="439"/>
        <v>0.18</v>
      </c>
      <c r="AZ203" s="319">
        <f t="shared" si="439"/>
        <v>0.2</v>
      </c>
      <c r="BA203" s="318">
        <f t="shared" si="439"/>
        <v>0.22</v>
      </c>
      <c r="BB203" s="318">
        <f t="shared" si="439"/>
        <v>0.2</v>
      </c>
      <c r="BC203" s="318">
        <f t="shared" si="439"/>
        <v>0.19</v>
      </c>
      <c r="BD203" s="318">
        <f t="shared" si="439"/>
        <v>0.18</v>
      </c>
      <c r="BE203" s="319">
        <f t="shared" si="439"/>
        <v>0.19500000000000001</v>
      </c>
      <c r="BF203" s="318">
        <f t="shared" si="439"/>
        <v>0.18</v>
      </c>
      <c r="BG203" s="318">
        <f t="shared" si="439"/>
        <v>0.17</v>
      </c>
      <c r="BH203" s="318">
        <f t="shared" si="439"/>
        <v>0.13</v>
      </c>
      <c r="BI203" s="318">
        <f t="shared" si="439"/>
        <v>0.14000000000000001</v>
      </c>
      <c r="BJ203" s="319">
        <f t="shared" si="439"/>
        <v>0.155</v>
      </c>
      <c r="BK203" s="318">
        <f t="shared" si="439"/>
        <v>0.13</v>
      </c>
      <c r="BL203" s="318">
        <f t="shared" si="439"/>
        <v>0.13</v>
      </c>
      <c r="BM203" s="318">
        <f t="shared" si="439"/>
        <v>0.1</v>
      </c>
      <c r="BN203" s="318">
        <f t="shared" si="439"/>
        <v>0.09</v>
      </c>
      <c r="BO203" s="319">
        <f t="shared" si="439"/>
        <v>0.11250000000000002</v>
      </c>
      <c r="BP203" s="318">
        <f t="shared" si="439"/>
        <v>0.05</v>
      </c>
      <c r="BQ203" s="318">
        <f t="shared" si="439"/>
        <v>-1.0000000000000002E-2</v>
      </c>
      <c r="BR203" s="318">
        <f t="shared" si="439"/>
        <v>-1.0000000000000002E-2</v>
      </c>
      <c r="BS203" s="318">
        <f t="shared" si="439"/>
        <v>-0.04</v>
      </c>
      <c r="BT203" s="319">
        <f t="shared" si="439"/>
        <v>-2.4999999999999953E-3</v>
      </c>
      <c r="BU203" s="318">
        <f t="shared" si="439"/>
        <v>-0.11</v>
      </c>
      <c r="BV203" s="318">
        <f t="shared" si="439"/>
        <v>-0.12</v>
      </c>
      <c r="BW203" s="318">
        <f t="shared" si="439"/>
        <v>-0.11</v>
      </c>
      <c r="BX203" s="318">
        <f t="shared" si="439"/>
        <v>-0.09</v>
      </c>
      <c r="BY203" s="319">
        <f t="shared" si="439"/>
        <v>-0.1075</v>
      </c>
      <c r="BZ203" s="318">
        <f t="shared" si="439"/>
        <v>-6.0000000000000005E-2</v>
      </c>
      <c r="CA203" s="318">
        <f t="shared" si="439"/>
        <v>-9.999999999999995E-3</v>
      </c>
      <c r="CB203" s="318">
        <f t="shared" si="439"/>
        <v>0.03</v>
      </c>
      <c r="CC203" s="318">
        <f t="shared" si="439"/>
        <v>7.0000000000000007E-2</v>
      </c>
      <c r="CD203" s="319">
        <f t="shared" si="439"/>
        <v>7.5000000000000067E-3</v>
      </c>
      <c r="CE203" s="318">
        <f t="shared" si="439"/>
        <v>0.12</v>
      </c>
      <c r="CF203" s="318">
        <f t="shared" si="439"/>
        <v>0.14000000000000001</v>
      </c>
      <c r="CG203" s="318">
        <f t="shared" si="439"/>
        <v>0.16999999999999998</v>
      </c>
      <c r="CH203" s="318">
        <f t="shared" si="439"/>
        <v>0.18</v>
      </c>
      <c r="CI203" s="319">
        <f t="shared" si="439"/>
        <v>0.1525</v>
      </c>
      <c r="ED203" s="28"/>
      <c r="EE203" s="28"/>
      <c r="FJ203"/>
      <c r="FK203"/>
      <c r="FL203"/>
      <c r="FM203"/>
      <c r="FN203"/>
      <c r="FO203"/>
      <c r="FP203"/>
      <c r="FQ203"/>
      <c r="FR203"/>
    </row>
    <row r="204" spans="1:174" s="1" customFormat="1" hidden="1" outlineLevel="1" x14ac:dyDescent="0.2">
      <c r="A204" s="27" t="s">
        <v>575</v>
      </c>
      <c r="B204" s="20"/>
      <c r="C204" s="28"/>
      <c r="D204" s="28"/>
      <c r="E204" s="28"/>
      <c r="F204" s="28"/>
      <c r="G204" s="20"/>
      <c r="H204" s="28"/>
      <c r="I204" s="28"/>
      <c r="J204" s="28"/>
      <c r="K204" s="28"/>
      <c r="L204" s="20"/>
      <c r="M204" s="28"/>
      <c r="N204" s="28"/>
      <c r="O204" s="28"/>
      <c r="P204" s="28"/>
      <c r="Q204" s="20"/>
      <c r="R204" s="28"/>
      <c r="S204" s="28"/>
      <c r="T204" s="28"/>
      <c r="U204" s="28"/>
      <c r="V204" s="20"/>
      <c r="W204" s="28"/>
      <c r="X204" s="28"/>
      <c r="Y204" s="28"/>
      <c r="Z204" s="28"/>
      <c r="AA204" s="20"/>
      <c r="AB204" s="28"/>
      <c r="AC204" s="28"/>
      <c r="AD204" s="28"/>
      <c r="AE204" s="28"/>
      <c r="AF204" s="20"/>
      <c r="AG204" s="28"/>
      <c r="AH204" s="28"/>
      <c r="AI204" s="28"/>
      <c r="AJ204" s="28"/>
      <c r="AK204" s="20"/>
      <c r="AL204" s="28"/>
      <c r="AM204" s="28"/>
      <c r="AN204" s="28"/>
      <c r="AO204" s="28"/>
      <c r="AP204" s="20"/>
      <c r="AQ204" s="28"/>
      <c r="AR204" s="28"/>
      <c r="AS204" s="28"/>
      <c r="AT204" s="28"/>
      <c r="AU204" s="106">
        <f t="shared" si="438"/>
        <v>0.16</v>
      </c>
      <c r="AV204" s="238">
        <f t="shared" ref="AV204:CI204" si="440">AV189+AQ189</f>
        <v>0.2</v>
      </c>
      <c r="AW204" s="238">
        <f t="shared" si="440"/>
        <v>0.19</v>
      </c>
      <c r="AX204" s="238">
        <f t="shared" si="440"/>
        <v>0.2</v>
      </c>
      <c r="AY204" s="238">
        <f t="shared" si="440"/>
        <v>0.16999999999999998</v>
      </c>
      <c r="AZ204" s="61">
        <f t="shared" si="440"/>
        <v>0.19</v>
      </c>
      <c r="BA204" s="238">
        <f t="shared" si="440"/>
        <v>0.16999999999999998</v>
      </c>
      <c r="BB204" s="238">
        <f t="shared" si="440"/>
        <v>0.16</v>
      </c>
      <c r="BC204" s="238">
        <f t="shared" si="440"/>
        <v>0.14000000000000001</v>
      </c>
      <c r="BD204" s="238">
        <f t="shared" si="440"/>
        <v>0.12</v>
      </c>
      <c r="BE204" s="61">
        <f t="shared" si="440"/>
        <v>0.14250000000000002</v>
      </c>
      <c r="BF204" s="238">
        <f t="shared" si="440"/>
        <v>0.12</v>
      </c>
      <c r="BG204" s="238">
        <f t="shared" si="440"/>
        <v>0.12</v>
      </c>
      <c r="BH204" s="238">
        <f t="shared" si="440"/>
        <v>0.08</v>
      </c>
      <c r="BI204" s="238">
        <f t="shared" si="440"/>
        <v>0.08</v>
      </c>
      <c r="BJ204" s="61">
        <f t="shared" si="440"/>
        <v>9.2499999999999999E-2</v>
      </c>
      <c r="BK204" s="238">
        <f t="shared" si="440"/>
        <v>0.09</v>
      </c>
      <c r="BL204" s="238">
        <f t="shared" si="440"/>
        <v>0.08</v>
      </c>
      <c r="BM204" s="238">
        <f t="shared" si="440"/>
        <v>5.5E-2</v>
      </c>
      <c r="BN204" s="238">
        <f t="shared" si="440"/>
        <v>0.03</v>
      </c>
      <c r="BO204" s="61">
        <f t="shared" si="440"/>
        <v>5.6250000000000001E-2</v>
      </c>
      <c r="BP204" s="238">
        <f t="shared" si="440"/>
        <v>0</v>
      </c>
      <c r="BQ204" s="238">
        <f t="shared" si="440"/>
        <v>-0.05</v>
      </c>
      <c r="BR204" s="238">
        <f t="shared" si="440"/>
        <v>-3.5000000000000003E-2</v>
      </c>
      <c r="BS204" s="238">
        <f t="shared" si="440"/>
        <v>-6.0000000000000005E-2</v>
      </c>
      <c r="BT204" s="61">
        <f t="shared" si="440"/>
        <v>-3.3750000000000002E-2</v>
      </c>
      <c r="BU204" s="238">
        <f t="shared" si="440"/>
        <v>-0.09</v>
      </c>
      <c r="BV204" s="238">
        <f t="shared" si="440"/>
        <v>-0.1</v>
      </c>
      <c r="BW204" s="238">
        <f t="shared" si="440"/>
        <v>-0.08</v>
      </c>
      <c r="BX204" s="238">
        <f t="shared" si="440"/>
        <v>-6.0000000000000005E-2</v>
      </c>
      <c r="BY204" s="61">
        <f t="shared" si="440"/>
        <v>-0.08</v>
      </c>
      <c r="BZ204" s="238">
        <f t="shared" si="440"/>
        <v>-0.06</v>
      </c>
      <c r="CA204" s="238">
        <f t="shared" si="440"/>
        <v>-2.0000000000000004E-2</v>
      </c>
      <c r="CB204" s="238">
        <f t="shared" si="440"/>
        <v>1.9999999999999997E-2</v>
      </c>
      <c r="CC204" s="238">
        <f t="shared" si="440"/>
        <v>4.9999999999999996E-2</v>
      </c>
      <c r="CD204" s="61">
        <f t="shared" si="440"/>
        <v>-1.0000000000000002E-2</v>
      </c>
      <c r="CE204" s="238">
        <f t="shared" si="440"/>
        <v>0.06</v>
      </c>
      <c r="CF204" s="238">
        <f t="shared" si="440"/>
        <v>0.09</v>
      </c>
      <c r="CG204" s="238">
        <f t="shared" si="440"/>
        <v>0.12</v>
      </c>
      <c r="CH204" s="238">
        <f t="shared" si="440"/>
        <v>0.13</v>
      </c>
      <c r="CI204" s="61">
        <f t="shared" si="440"/>
        <v>9.2499999999999999E-2</v>
      </c>
      <c r="ED204" s="28"/>
      <c r="EE204" s="28"/>
      <c r="FJ204"/>
      <c r="FK204"/>
      <c r="FL204"/>
      <c r="FM204"/>
      <c r="FN204"/>
      <c r="FO204"/>
      <c r="FP204"/>
      <c r="FQ204"/>
      <c r="FR204"/>
    </row>
    <row r="205" spans="1:174" s="1" customFormat="1" hidden="1" outlineLevel="1" x14ac:dyDescent="0.2">
      <c r="A205" s="27" t="s">
        <v>576</v>
      </c>
      <c r="B205" s="20"/>
      <c r="C205" s="28"/>
      <c r="D205" s="28"/>
      <c r="E205" s="28"/>
      <c r="F205" s="28"/>
      <c r="G205" s="20"/>
      <c r="H205" s="28"/>
      <c r="I205" s="28"/>
      <c r="J205" s="28"/>
      <c r="K205" s="28"/>
      <c r="L205" s="20"/>
      <c r="M205" s="28"/>
      <c r="N205" s="28"/>
      <c r="O205" s="28"/>
      <c r="P205" s="28"/>
      <c r="Q205" s="20"/>
      <c r="R205" s="28"/>
      <c r="S205" s="28"/>
      <c r="T205" s="28"/>
      <c r="U205" s="28"/>
      <c r="V205" s="20"/>
      <c r="W205" s="28"/>
      <c r="X205" s="28"/>
      <c r="Y205" s="28"/>
      <c r="Z205" s="28"/>
      <c r="AA205" s="20"/>
      <c r="AB205" s="28"/>
      <c r="AC205" s="28"/>
      <c r="AD205" s="28"/>
      <c r="AE205" s="28"/>
      <c r="AF205" s="20"/>
      <c r="AG205" s="28"/>
      <c r="AH205" s="28"/>
      <c r="AI205" s="28"/>
      <c r="AJ205" s="28"/>
      <c r="AK205" s="20"/>
      <c r="AL205" s="28"/>
      <c r="AM205" s="28"/>
      <c r="AN205" s="28"/>
      <c r="AO205" s="28"/>
      <c r="AP205" s="20"/>
      <c r="AQ205" s="28"/>
      <c r="AR205" s="28"/>
      <c r="AS205" s="28"/>
      <c r="AT205" s="28"/>
      <c r="AU205" s="106">
        <f t="shared" si="438"/>
        <v>0</v>
      </c>
      <c r="AV205" s="238">
        <f t="shared" ref="AV205:CI205" si="441">AV190+AQ190</f>
        <v>0</v>
      </c>
      <c r="AW205" s="238">
        <f t="shared" si="441"/>
        <v>0.01</v>
      </c>
      <c r="AX205" s="238">
        <f t="shared" si="441"/>
        <v>0.01</v>
      </c>
      <c r="AY205" s="238">
        <f t="shared" si="441"/>
        <v>0.01</v>
      </c>
      <c r="AZ205" s="61">
        <f t="shared" si="441"/>
        <v>0.01</v>
      </c>
      <c r="BA205" s="238">
        <f t="shared" si="441"/>
        <v>0.05</v>
      </c>
      <c r="BB205" s="238">
        <f t="shared" si="441"/>
        <v>0.04</v>
      </c>
      <c r="BC205" s="238">
        <f t="shared" si="441"/>
        <v>0.05</v>
      </c>
      <c r="BD205" s="238">
        <f t="shared" si="441"/>
        <v>6.0000000000000005E-2</v>
      </c>
      <c r="BE205" s="61">
        <f t="shared" si="441"/>
        <v>5.2499999999999998E-2</v>
      </c>
      <c r="BF205" s="238">
        <f t="shared" si="441"/>
        <v>6.0000000000000005E-2</v>
      </c>
      <c r="BG205" s="238">
        <f t="shared" si="441"/>
        <v>0.05</v>
      </c>
      <c r="BH205" s="238">
        <f t="shared" si="441"/>
        <v>0.05</v>
      </c>
      <c r="BI205" s="238">
        <f t="shared" si="441"/>
        <v>6.0000000000000005E-2</v>
      </c>
      <c r="BJ205" s="61">
        <f t="shared" si="441"/>
        <v>6.25E-2</v>
      </c>
      <c r="BK205" s="238">
        <f t="shared" si="441"/>
        <v>0.04</v>
      </c>
      <c r="BL205" s="238">
        <f t="shared" si="441"/>
        <v>0.05</v>
      </c>
      <c r="BM205" s="238">
        <f t="shared" si="441"/>
        <v>4.5000000000000005E-2</v>
      </c>
      <c r="BN205" s="238">
        <f t="shared" si="441"/>
        <v>6.0000000000000005E-2</v>
      </c>
      <c r="BO205" s="61">
        <f t="shared" si="441"/>
        <v>5.6250000000000008E-2</v>
      </c>
      <c r="BP205" s="238">
        <f t="shared" si="441"/>
        <v>0.05</v>
      </c>
      <c r="BQ205" s="238">
        <f t="shared" si="441"/>
        <v>0.04</v>
      </c>
      <c r="BR205" s="238">
        <f t="shared" si="441"/>
        <v>2.5000000000000001E-2</v>
      </c>
      <c r="BS205" s="238">
        <f t="shared" si="441"/>
        <v>2.0000000000000004E-2</v>
      </c>
      <c r="BT205" s="61">
        <f t="shared" si="441"/>
        <v>3.6250000000000004E-2</v>
      </c>
      <c r="BU205" s="238">
        <f t="shared" si="441"/>
        <v>-3.0000000000000002E-2</v>
      </c>
      <c r="BV205" s="238">
        <f t="shared" si="441"/>
        <v>-1.9999999999999997E-2</v>
      </c>
      <c r="BW205" s="238">
        <f t="shared" si="441"/>
        <v>-0.03</v>
      </c>
      <c r="BX205" s="238">
        <f t="shared" si="441"/>
        <v>-0.03</v>
      </c>
      <c r="BY205" s="61">
        <f t="shared" si="441"/>
        <v>-0.02</v>
      </c>
      <c r="BZ205" s="238">
        <f t="shared" si="441"/>
        <v>-1.0000000000000002E-2</v>
      </c>
      <c r="CA205" s="238">
        <f t="shared" si="441"/>
        <v>2.0000000000000004E-2</v>
      </c>
      <c r="CB205" s="238">
        <f t="shared" si="441"/>
        <v>9.9999999999999985E-3</v>
      </c>
      <c r="CC205" s="238">
        <f t="shared" si="441"/>
        <v>0.02</v>
      </c>
      <c r="CD205" s="61">
        <f t="shared" si="441"/>
        <v>0.02</v>
      </c>
      <c r="CE205" s="238">
        <f t="shared" si="441"/>
        <v>0.06</v>
      </c>
      <c r="CF205" s="238">
        <f t="shared" si="441"/>
        <v>6.0000000000000005E-2</v>
      </c>
      <c r="CG205" s="238">
        <f t="shared" si="441"/>
        <v>0.05</v>
      </c>
      <c r="CH205" s="238">
        <f t="shared" si="441"/>
        <v>0.05</v>
      </c>
      <c r="CI205" s="61">
        <f t="shared" si="441"/>
        <v>0.06</v>
      </c>
      <c r="ED205" s="28"/>
      <c r="EE205" s="28"/>
      <c r="FJ205"/>
      <c r="FK205"/>
      <c r="FL205"/>
      <c r="FM205"/>
      <c r="FN205"/>
      <c r="FO205"/>
      <c r="FP205"/>
      <c r="FQ205"/>
      <c r="FR205"/>
    </row>
    <row r="206" spans="1:174" s="1" customFormat="1" hidden="1" outlineLevel="1" x14ac:dyDescent="0.2">
      <c r="A206" s="39" t="s">
        <v>577</v>
      </c>
      <c r="B206" s="20"/>
      <c r="C206" s="28"/>
      <c r="D206" s="28"/>
      <c r="E206" s="28"/>
      <c r="F206" s="28"/>
      <c r="G206" s="20"/>
      <c r="H206" s="28"/>
      <c r="I206" s="28"/>
      <c r="J206" s="28"/>
      <c r="K206" s="28"/>
      <c r="L206" s="20"/>
      <c r="M206" s="28"/>
      <c r="N206" s="28"/>
      <c r="O206" s="28"/>
      <c r="P206" s="28"/>
      <c r="Q206" s="20"/>
      <c r="R206" s="28"/>
      <c r="S206" s="28"/>
      <c r="T206" s="28"/>
      <c r="U206" s="28"/>
      <c r="V206" s="20"/>
      <c r="W206" s="28"/>
      <c r="X206" s="28"/>
      <c r="Y206" s="28"/>
      <c r="Z206" s="28"/>
      <c r="AA206" s="20"/>
      <c r="AB206" s="28"/>
      <c r="AC206" s="28"/>
      <c r="AD206" s="28"/>
      <c r="AE206" s="28"/>
      <c r="AF206" s="20"/>
      <c r="AG206" s="28"/>
      <c r="AH206" s="28"/>
      <c r="AI206" s="28"/>
      <c r="AJ206" s="28"/>
      <c r="AK206" s="20"/>
      <c r="AL206" s="28"/>
      <c r="AM206" s="28"/>
      <c r="AN206" s="28"/>
      <c r="AO206" s="28"/>
      <c r="AP206" s="20"/>
      <c r="AQ206" s="28"/>
      <c r="AR206" s="28"/>
      <c r="AS206" s="28"/>
      <c r="AT206" s="28"/>
      <c r="AU206" s="56">
        <f t="shared" si="438"/>
        <v>0.08</v>
      </c>
      <c r="AV206" s="239">
        <f t="shared" ref="AV206:CI206" si="442">AV191+AQ191</f>
        <v>7.0000000000000007E-2</v>
      </c>
      <c r="AW206" s="239">
        <f t="shared" si="442"/>
        <v>0.06</v>
      </c>
      <c r="AX206" s="239">
        <f t="shared" si="442"/>
        <v>7.0000000000000007E-2</v>
      </c>
      <c r="AY206" s="239">
        <f t="shared" si="442"/>
        <v>0.14000000000000001</v>
      </c>
      <c r="AZ206" s="252">
        <f t="shared" si="442"/>
        <v>0.13</v>
      </c>
      <c r="BA206" s="239">
        <f t="shared" si="442"/>
        <v>0.14000000000000001</v>
      </c>
      <c r="BB206" s="239">
        <f t="shared" si="442"/>
        <v>0.11</v>
      </c>
      <c r="BC206" s="239">
        <f t="shared" si="442"/>
        <v>0.14000000000000001</v>
      </c>
      <c r="BD206" s="239">
        <f t="shared" si="442"/>
        <v>0.11</v>
      </c>
      <c r="BE206" s="252">
        <f t="shared" si="442"/>
        <v>0.1225</v>
      </c>
      <c r="BF206" s="239">
        <f t="shared" si="442"/>
        <v>0.15000000000000002</v>
      </c>
      <c r="BG206" s="239">
        <f t="shared" si="442"/>
        <v>0.14000000000000001</v>
      </c>
      <c r="BH206" s="239">
        <f t="shared" si="442"/>
        <v>0.14000000000000001</v>
      </c>
      <c r="BI206" s="239">
        <f t="shared" si="442"/>
        <v>0.14000000000000001</v>
      </c>
      <c r="BJ206" s="252">
        <f t="shared" si="442"/>
        <v>0.14250000000000002</v>
      </c>
      <c r="BK206" s="239">
        <f t="shared" si="442"/>
        <v>0.16</v>
      </c>
      <c r="BL206" s="239">
        <f t="shared" si="442"/>
        <v>0.16</v>
      </c>
      <c r="BM206" s="239">
        <f t="shared" si="442"/>
        <v>0.14000000000000001</v>
      </c>
      <c r="BN206" s="239">
        <f t="shared" si="442"/>
        <v>0.14000000000000001</v>
      </c>
      <c r="BO206" s="252">
        <f t="shared" si="442"/>
        <v>0.15000000000000002</v>
      </c>
      <c r="BP206" s="239">
        <f t="shared" si="442"/>
        <v>0.13</v>
      </c>
      <c r="BQ206" s="239">
        <f t="shared" si="442"/>
        <v>0.1</v>
      </c>
      <c r="BR206" s="239">
        <f t="shared" si="442"/>
        <v>9.0000000000000011E-2</v>
      </c>
      <c r="BS206" s="239">
        <f t="shared" si="442"/>
        <v>0.06</v>
      </c>
      <c r="BT206" s="252">
        <f t="shared" si="442"/>
        <v>9.0000000000000011E-2</v>
      </c>
      <c r="BU206" s="239">
        <f t="shared" si="442"/>
        <v>2.0000000000000004E-2</v>
      </c>
      <c r="BV206" s="239">
        <f t="shared" si="442"/>
        <v>0</v>
      </c>
      <c r="BW206" s="239">
        <f t="shared" si="442"/>
        <v>0</v>
      </c>
      <c r="BX206" s="239">
        <f t="shared" si="442"/>
        <v>0</v>
      </c>
      <c r="BY206" s="252">
        <f t="shared" si="442"/>
        <v>0</v>
      </c>
      <c r="BZ206" s="239">
        <f t="shared" si="442"/>
        <v>1.0000000000000002E-2</v>
      </c>
      <c r="CA206" s="239">
        <f t="shared" si="442"/>
        <v>4.0000000000000008E-2</v>
      </c>
      <c r="CB206" s="239">
        <f t="shared" si="442"/>
        <v>3.9999999999999994E-2</v>
      </c>
      <c r="CC206" s="239">
        <f t="shared" si="442"/>
        <v>7.0000000000000007E-2</v>
      </c>
      <c r="CD206" s="252">
        <f t="shared" si="442"/>
        <v>3.9999999999999994E-2</v>
      </c>
      <c r="CE206" s="239">
        <f t="shared" si="442"/>
        <v>0.09</v>
      </c>
      <c r="CF206" s="239">
        <f t="shared" si="442"/>
        <v>0.11000000000000001</v>
      </c>
      <c r="CG206" s="239">
        <f t="shared" si="442"/>
        <v>0.11</v>
      </c>
      <c r="CH206" s="239">
        <f t="shared" si="442"/>
        <v>0.13</v>
      </c>
      <c r="CI206" s="252">
        <f t="shared" si="442"/>
        <v>0.11</v>
      </c>
      <c r="ED206" s="28"/>
      <c r="EE206" s="28"/>
      <c r="FJ206"/>
      <c r="FK206"/>
      <c r="FL206"/>
      <c r="FM206"/>
      <c r="FN206"/>
      <c r="FO206"/>
      <c r="FP206"/>
      <c r="FQ206"/>
      <c r="FR206"/>
    </row>
    <row r="207" spans="1:174" s="1" customFormat="1" hidden="1" outlineLevel="1" x14ac:dyDescent="0.2">
      <c r="A207" s="27" t="s">
        <v>575</v>
      </c>
      <c r="B207" s="20"/>
      <c r="C207" s="28"/>
      <c r="D207" s="28"/>
      <c r="E207" s="28"/>
      <c r="F207" s="28"/>
      <c r="G207" s="20"/>
      <c r="H207" s="28"/>
      <c r="I207" s="28"/>
      <c r="J207" s="28"/>
      <c r="K207" s="28"/>
      <c r="L207" s="20"/>
      <c r="M207" s="28"/>
      <c r="N207" s="28"/>
      <c r="O207" s="28"/>
      <c r="P207" s="28"/>
      <c r="Q207" s="20"/>
      <c r="R207" s="28"/>
      <c r="S207" s="28"/>
      <c r="T207" s="28"/>
      <c r="U207" s="28"/>
      <c r="V207" s="20"/>
      <c r="W207" s="28"/>
      <c r="X207" s="28"/>
      <c r="Y207" s="28"/>
      <c r="Z207" s="28"/>
      <c r="AA207" s="20"/>
      <c r="AB207" s="28"/>
      <c r="AC207" s="28"/>
      <c r="AD207" s="28"/>
      <c r="AE207" s="28"/>
      <c r="AF207" s="20"/>
      <c r="AG207" s="28"/>
      <c r="AH207" s="28"/>
      <c r="AI207" s="28"/>
      <c r="AJ207" s="28"/>
      <c r="AK207" s="20"/>
      <c r="AL207" s="28"/>
      <c r="AM207" s="28"/>
      <c r="AN207" s="28"/>
      <c r="AO207" s="28"/>
      <c r="AP207" s="20"/>
      <c r="AQ207" s="28"/>
      <c r="AR207" s="28"/>
      <c r="AS207" s="28"/>
      <c r="AT207" s="28"/>
      <c r="AU207" s="106">
        <f t="shared" si="438"/>
        <v>7.0000000000000007E-2</v>
      </c>
      <c r="AV207" s="238">
        <f t="shared" ref="AV207:CI207" si="443">AV192+AQ192</f>
        <v>0.05</v>
      </c>
      <c r="AW207" s="238">
        <f t="shared" si="443"/>
        <v>0.04</v>
      </c>
      <c r="AX207" s="238">
        <f t="shared" si="443"/>
        <v>0.06</v>
      </c>
      <c r="AY207" s="238">
        <f t="shared" si="443"/>
        <v>0.04</v>
      </c>
      <c r="AZ207" s="61">
        <f t="shared" si="443"/>
        <v>0.12000000000000001</v>
      </c>
      <c r="BA207" s="238">
        <f t="shared" si="443"/>
        <v>0.09</v>
      </c>
      <c r="BB207" s="238">
        <f t="shared" si="443"/>
        <v>0.08</v>
      </c>
      <c r="BC207" s="238">
        <f t="shared" si="443"/>
        <v>0.1</v>
      </c>
      <c r="BD207" s="238">
        <f t="shared" si="443"/>
        <v>0.08</v>
      </c>
      <c r="BE207" s="61">
        <f t="shared" si="443"/>
        <v>0.09</v>
      </c>
      <c r="BF207" s="238">
        <f t="shared" si="443"/>
        <v>0.09</v>
      </c>
      <c r="BG207" s="238">
        <f t="shared" si="443"/>
        <v>0.11000000000000001</v>
      </c>
      <c r="BH207" s="238">
        <f t="shared" si="443"/>
        <v>0.08</v>
      </c>
      <c r="BI207" s="238">
        <f t="shared" si="443"/>
        <v>0.09</v>
      </c>
      <c r="BJ207" s="61">
        <f t="shared" si="443"/>
        <v>9.2499999999999999E-2</v>
      </c>
      <c r="BK207" s="238">
        <f t="shared" si="443"/>
        <v>0.11</v>
      </c>
      <c r="BL207" s="238">
        <f t="shared" si="443"/>
        <v>0.12000000000000001</v>
      </c>
      <c r="BM207" s="238">
        <f t="shared" si="443"/>
        <v>0.09</v>
      </c>
      <c r="BN207" s="238">
        <f t="shared" si="443"/>
        <v>0.1</v>
      </c>
      <c r="BO207" s="61">
        <f t="shared" si="443"/>
        <v>0.10500000000000001</v>
      </c>
      <c r="BP207" s="238">
        <f t="shared" si="443"/>
        <v>0.09</v>
      </c>
      <c r="BQ207" s="238">
        <f t="shared" si="443"/>
        <v>0.05</v>
      </c>
      <c r="BR207" s="238">
        <f t="shared" si="443"/>
        <v>6.0000000000000005E-2</v>
      </c>
      <c r="BS207" s="238">
        <f t="shared" si="443"/>
        <v>0.04</v>
      </c>
      <c r="BT207" s="61">
        <f t="shared" si="443"/>
        <v>6.25E-2</v>
      </c>
      <c r="BU207" s="238">
        <f t="shared" si="443"/>
        <v>9.9999999999999985E-3</v>
      </c>
      <c r="BV207" s="238">
        <f t="shared" si="443"/>
        <v>-0.02</v>
      </c>
      <c r="BW207" s="238">
        <f t="shared" si="443"/>
        <v>0</v>
      </c>
      <c r="BX207" s="238">
        <f t="shared" si="443"/>
        <v>0</v>
      </c>
      <c r="BY207" s="61">
        <f t="shared" si="443"/>
        <v>0</v>
      </c>
      <c r="BZ207" s="238">
        <f t="shared" si="443"/>
        <v>0.02</v>
      </c>
      <c r="CA207" s="238">
        <f t="shared" si="443"/>
        <v>3.9999999999999994E-2</v>
      </c>
      <c r="CB207" s="238">
        <f t="shared" si="443"/>
        <v>0.03</v>
      </c>
      <c r="CC207" s="238">
        <f t="shared" si="443"/>
        <v>0.05</v>
      </c>
      <c r="CD207" s="61">
        <f t="shared" si="443"/>
        <v>0.04</v>
      </c>
      <c r="CE207" s="238">
        <f t="shared" si="443"/>
        <v>6.5000000000000002E-2</v>
      </c>
      <c r="CF207" s="238">
        <f t="shared" si="443"/>
        <v>0.1</v>
      </c>
      <c r="CG207" s="238">
        <f t="shared" si="443"/>
        <v>0.08</v>
      </c>
      <c r="CH207" s="238">
        <f t="shared" si="443"/>
        <v>0.09</v>
      </c>
      <c r="CI207" s="61">
        <f t="shared" si="443"/>
        <v>8.8750000000000009E-2</v>
      </c>
      <c r="ED207" s="28"/>
      <c r="EE207" s="28"/>
      <c r="FJ207"/>
      <c r="FK207"/>
      <c r="FL207"/>
      <c r="FM207"/>
      <c r="FN207"/>
      <c r="FO207"/>
      <c r="FP207"/>
      <c r="FQ207"/>
      <c r="FR207"/>
    </row>
    <row r="208" spans="1:174" s="1" customFormat="1" hidden="1" outlineLevel="1" x14ac:dyDescent="0.2">
      <c r="A208" s="27" t="str">
        <f>A205</f>
        <v xml:space="preserve">  Ticket</v>
      </c>
      <c r="B208" s="20"/>
      <c r="C208" s="28"/>
      <c r="D208" s="28"/>
      <c r="E208" s="28"/>
      <c r="F208" s="28"/>
      <c r="G208" s="20"/>
      <c r="H208" s="28"/>
      <c r="I208" s="28"/>
      <c r="J208" s="28"/>
      <c r="K208" s="28"/>
      <c r="L208" s="20"/>
      <c r="M208" s="28"/>
      <c r="N208" s="28"/>
      <c r="O208" s="28"/>
      <c r="P208" s="28"/>
      <c r="Q208" s="20"/>
      <c r="R208" s="28"/>
      <c r="S208" s="28"/>
      <c r="T208" s="28"/>
      <c r="U208" s="28"/>
      <c r="V208" s="20"/>
      <c r="W208" s="28"/>
      <c r="X208" s="28"/>
      <c r="Y208" s="28"/>
      <c r="Z208" s="28"/>
      <c r="AA208" s="20"/>
      <c r="AB208" s="28"/>
      <c r="AC208" s="28"/>
      <c r="AD208" s="28"/>
      <c r="AE208" s="28"/>
      <c r="AF208" s="20"/>
      <c r="AG208" s="28"/>
      <c r="AH208" s="28"/>
      <c r="AI208" s="28"/>
      <c r="AJ208" s="28"/>
      <c r="AK208" s="20"/>
      <c r="AL208" s="28"/>
      <c r="AM208" s="28"/>
      <c r="AN208" s="28"/>
      <c r="AO208" s="28"/>
      <c r="AP208" s="20"/>
      <c r="AQ208" s="28"/>
      <c r="AR208" s="28"/>
      <c r="AS208" s="28"/>
      <c r="AT208" s="28"/>
      <c r="AU208" s="106">
        <f t="shared" si="438"/>
        <v>0</v>
      </c>
      <c r="AV208" s="238">
        <f t="shared" ref="AV208:CI208" si="444">AV193+AQ193</f>
        <v>0.02</v>
      </c>
      <c r="AW208" s="238">
        <f t="shared" si="444"/>
        <v>0.02</v>
      </c>
      <c r="AX208" s="238">
        <f t="shared" si="444"/>
        <v>0.01</v>
      </c>
      <c r="AY208" s="238">
        <f t="shared" si="444"/>
        <v>0.01</v>
      </c>
      <c r="AZ208" s="61">
        <f t="shared" si="444"/>
        <v>0.01</v>
      </c>
      <c r="BA208" s="238">
        <f t="shared" si="444"/>
        <v>0.05</v>
      </c>
      <c r="BB208" s="238">
        <f t="shared" si="444"/>
        <v>0.03</v>
      </c>
      <c r="BC208" s="238">
        <f t="shared" si="444"/>
        <v>0.04</v>
      </c>
      <c r="BD208" s="238">
        <f t="shared" si="444"/>
        <v>0.03</v>
      </c>
      <c r="BE208" s="61">
        <f t="shared" si="444"/>
        <v>3.2500000000000001E-2</v>
      </c>
      <c r="BF208" s="238">
        <f t="shared" si="444"/>
        <v>0.06</v>
      </c>
      <c r="BG208" s="238">
        <f t="shared" si="444"/>
        <v>0.03</v>
      </c>
      <c r="BH208" s="238">
        <f t="shared" si="444"/>
        <v>0.06</v>
      </c>
      <c r="BI208" s="238">
        <f t="shared" si="444"/>
        <v>0.05</v>
      </c>
      <c r="BJ208" s="61">
        <f t="shared" si="444"/>
        <v>0.05</v>
      </c>
      <c r="BK208" s="238">
        <f t="shared" si="444"/>
        <v>0.05</v>
      </c>
      <c r="BL208" s="238">
        <f t="shared" si="444"/>
        <v>0.04</v>
      </c>
      <c r="BM208" s="238">
        <f t="shared" si="444"/>
        <v>0.05</v>
      </c>
      <c r="BN208" s="238">
        <f t="shared" si="444"/>
        <v>0.04</v>
      </c>
      <c r="BO208" s="61">
        <f t="shared" si="444"/>
        <v>4.4999999999999998E-2</v>
      </c>
      <c r="BP208" s="238">
        <f t="shared" si="444"/>
        <v>0.04</v>
      </c>
      <c r="BQ208" s="238">
        <f t="shared" si="444"/>
        <v>0.05</v>
      </c>
      <c r="BR208" s="238">
        <f t="shared" si="444"/>
        <v>0.03</v>
      </c>
      <c r="BS208" s="238">
        <f t="shared" si="444"/>
        <v>0.02</v>
      </c>
      <c r="BT208" s="61">
        <f t="shared" si="444"/>
        <v>3.7499999999999999E-2</v>
      </c>
      <c r="BU208" s="238">
        <f t="shared" si="444"/>
        <v>0.01</v>
      </c>
      <c r="BV208" s="238">
        <f t="shared" si="444"/>
        <v>1.9999999999999997E-2</v>
      </c>
      <c r="BW208" s="238">
        <f t="shared" si="444"/>
        <v>-0.01</v>
      </c>
      <c r="BX208" s="238">
        <f t="shared" si="444"/>
        <v>-0.01</v>
      </c>
      <c r="BY208" s="61">
        <f t="shared" si="444"/>
        <v>0.01</v>
      </c>
      <c r="BZ208" s="238">
        <f t="shared" si="444"/>
        <v>-0.01</v>
      </c>
      <c r="CA208" s="238">
        <f t="shared" si="444"/>
        <v>0</v>
      </c>
      <c r="CB208" s="238">
        <f t="shared" si="444"/>
        <v>0</v>
      </c>
      <c r="CC208" s="238">
        <f t="shared" si="444"/>
        <v>9.9999999999999985E-3</v>
      </c>
      <c r="CD208" s="61">
        <f t="shared" si="444"/>
        <v>0</v>
      </c>
      <c r="CE208" s="238">
        <f t="shared" si="444"/>
        <v>2.5000000000000001E-2</v>
      </c>
      <c r="CF208" s="238">
        <f t="shared" si="444"/>
        <v>0.01</v>
      </c>
      <c r="CG208" s="238">
        <f t="shared" si="444"/>
        <v>0.03</v>
      </c>
      <c r="CH208" s="238">
        <f t="shared" si="444"/>
        <v>0.03</v>
      </c>
      <c r="CI208" s="61">
        <f t="shared" si="444"/>
        <v>1.8750000000000003E-2</v>
      </c>
      <c r="ED208" s="28"/>
      <c r="EE208" s="28"/>
      <c r="FJ208"/>
      <c r="FK208"/>
      <c r="FL208"/>
      <c r="FM208"/>
      <c r="FN208"/>
      <c r="FO208"/>
      <c r="FP208"/>
      <c r="FQ208"/>
      <c r="FR208"/>
    </row>
    <row r="209" spans="1:174" s="1" customFormat="1" hidden="1" outlineLevel="1" x14ac:dyDescent="0.2">
      <c r="A209" s="42" t="s">
        <v>543</v>
      </c>
      <c r="B209" s="19"/>
      <c r="C209" s="2"/>
      <c r="D209" s="2"/>
      <c r="E209" s="2"/>
      <c r="F209" s="2"/>
      <c r="G209" s="19"/>
      <c r="H209" s="2"/>
      <c r="I209" s="2"/>
      <c r="J209" s="2"/>
      <c r="K209" s="2"/>
      <c r="L209" s="19"/>
      <c r="M209" s="2"/>
      <c r="N209" s="2"/>
      <c r="O209" s="2"/>
      <c r="P209" s="2"/>
      <c r="Q209" s="19"/>
      <c r="R209" s="2"/>
      <c r="S209" s="2"/>
      <c r="T209" s="2"/>
      <c r="U209" s="2"/>
      <c r="V209" s="19"/>
      <c r="W209" s="2"/>
      <c r="X209" s="2"/>
      <c r="Y209" s="2"/>
      <c r="Z209" s="2"/>
      <c r="AA209" s="19"/>
      <c r="AB209" s="2"/>
      <c r="AC209" s="2"/>
      <c r="AD209" s="2"/>
      <c r="AE209" s="2"/>
      <c r="AF209" s="19"/>
      <c r="AG209" s="2"/>
      <c r="AH209" s="2"/>
      <c r="AI209" s="2"/>
      <c r="AJ209" s="2"/>
      <c r="AK209" s="19"/>
      <c r="AL209" s="2"/>
      <c r="AM209" s="2"/>
      <c r="AN209" s="2"/>
      <c r="AO209" s="2"/>
      <c r="AP209" s="19"/>
      <c r="AQ209" s="2"/>
      <c r="AR209" s="2"/>
      <c r="AS209" s="2"/>
      <c r="AT209" s="2"/>
      <c r="AU209" s="287">
        <f t="shared" si="438"/>
        <v>0.14000000000000001</v>
      </c>
      <c r="AV209" s="58">
        <f t="shared" ref="AV209:CI209" si="445">AV194+AQ194</f>
        <v>0.19</v>
      </c>
      <c r="AW209" s="58">
        <f t="shared" si="445"/>
        <v>0.19</v>
      </c>
      <c r="AX209" s="58">
        <f t="shared" si="445"/>
        <v>0.19</v>
      </c>
      <c r="AY209" s="58">
        <f t="shared" si="445"/>
        <v>0.18</v>
      </c>
      <c r="AZ209" s="55">
        <f t="shared" si="445"/>
        <v>0.18</v>
      </c>
      <c r="BA209" s="58">
        <f t="shared" si="445"/>
        <v>0.2</v>
      </c>
      <c r="BB209" s="58">
        <f t="shared" si="445"/>
        <v>0.19</v>
      </c>
      <c r="BC209" s="58">
        <f t="shared" si="445"/>
        <v>0.18</v>
      </c>
      <c r="BD209" s="58">
        <f t="shared" si="445"/>
        <v>0.16999999999999998</v>
      </c>
      <c r="BE209" s="55">
        <f t="shared" si="445"/>
        <v>0.18</v>
      </c>
      <c r="BF209" s="58">
        <f t="shared" si="445"/>
        <v>0.17</v>
      </c>
      <c r="BG209" s="58">
        <f t="shared" si="445"/>
        <v>0.17</v>
      </c>
      <c r="BH209" s="58">
        <f t="shared" si="445"/>
        <v>0.13</v>
      </c>
      <c r="BI209" s="58">
        <f t="shared" si="445"/>
        <v>0.13</v>
      </c>
      <c r="BJ209" s="55">
        <f t="shared" si="445"/>
        <v>0.15000000000000002</v>
      </c>
      <c r="BK209" s="58">
        <f t="shared" si="445"/>
        <v>0.13</v>
      </c>
      <c r="BL209" s="58">
        <f t="shared" si="445"/>
        <v>0.14000000000000001</v>
      </c>
      <c r="BM209" s="58">
        <f t="shared" si="445"/>
        <v>0.1</v>
      </c>
      <c r="BN209" s="58">
        <f t="shared" si="445"/>
        <v>0.09</v>
      </c>
      <c r="BO209" s="55">
        <f t="shared" si="445"/>
        <v>0.11500000000000002</v>
      </c>
      <c r="BP209" s="58">
        <f t="shared" si="445"/>
        <v>6.9999999999999993E-2</v>
      </c>
      <c r="BQ209" s="58">
        <f t="shared" si="445"/>
        <v>1.0000000000000002E-2</v>
      </c>
      <c r="BR209" s="58">
        <f t="shared" si="445"/>
        <v>4.4417943307953414E-3</v>
      </c>
      <c r="BS209" s="58">
        <f t="shared" si="445"/>
        <v>-3.0000000000000006E-2</v>
      </c>
      <c r="BT209" s="55">
        <f t="shared" si="445"/>
        <v>1.3610448582698838E-2</v>
      </c>
      <c r="BU209" s="58">
        <f t="shared" si="445"/>
        <v>-0.08</v>
      </c>
      <c r="BV209" s="58">
        <f t="shared" si="445"/>
        <v>-0.11</v>
      </c>
      <c r="BW209" s="58">
        <f t="shared" si="445"/>
        <v>-8.7600714483824518E-2</v>
      </c>
      <c r="BX209" s="58">
        <f t="shared" si="445"/>
        <v>-0.08</v>
      </c>
      <c r="BY209" s="55">
        <f t="shared" si="445"/>
        <v>-8.9400178620956131E-2</v>
      </c>
      <c r="BZ209" s="58">
        <f t="shared" si="445"/>
        <v>-4.9999999999999996E-2</v>
      </c>
      <c r="CA209" s="58">
        <f t="shared" si="445"/>
        <v>-9.999999999999995E-3</v>
      </c>
      <c r="CB209" s="58">
        <f t="shared" si="445"/>
        <v>3.7957491185380138E-2</v>
      </c>
      <c r="CC209" s="58">
        <f t="shared" si="445"/>
        <v>7.0000000000000007E-2</v>
      </c>
      <c r="CD209" s="55">
        <f t="shared" si="445"/>
        <v>1.1989372796345044E-2</v>
      </c>
      <c r="CE209" s="58">
        <f t="shared" si="445"/>
        <v>0.11000000000000001</v>
      </c>
      <c r="CF209" s="58">
        <f t="shared" si="445"/>
        <v>0.14000000000000001</v>
      </c>
      <c r="CG209" s="58">
        <f t="shared" si="445"/>
        <v>0.16999999999999998</v>
      </c>
      <c r="CH209" s="58">
        <f t="shared" si="445"/>
        <v>0.16999999999999998</v>
      </c>
      <c r="CI209" s="55">
        <f t="shared" si="445"/>
        <v>0.14750000000000002</v>
      </c>
      <c r="ED209" s="28"/>
      <c r="EE209" s="28"/>
      <c r="FJ209"/>
      <c r="FK209"/>
      <c r="FL209"/>
      <c r="FM209"/>
      <c r="FN209"/>
      <c r="FO209"/>
      <c r="FP209"/>
      <c r="FQ209"/>
      <c r="FR209"/>
    </row>
    <row r="210" spans="1:174" s="1" customFormat="1" hidden="1" outlineLevel="1" x14ac:dyDescent="0.2">
      <c r="ED210" s="28"/>
      <c r="EE210" s="28"/>
      <c r="FJ210"/>
      <c r="FK210"/>
      <c r="FL210"/>
      <c r="FM210"/>
      <c r="FN210"/>
      <c r="FO210"/>
      <c r="FP210"/>
      <c r="FQ210"/>
      <c r="FR210"/>
    </row>
    <row r="211" spans="1:174" s="1" customFormat="1" collapsed="1" x14ac:dyDescent="0.2">
      <c r="ED211" s="28"/>
      <c r="EE211" s="28"/>
      <c r="FJ211"/>
      <c r="FK211"/>
      <c r="FL211"/>
      <c r="FM211"/>
      <c r="FN211"/>
      <c r="FO211"/>
      <c r="FP211"/>
      <c r="FQ211"/>
      <c r="FR211"/>
    </row>
    <row r="212" spans="1:174" s="1" customFormat="1" hidden="1" outlineLevel="1" x14ac:dyDescent="0.2">
      <c r="A212" s="16" t="s">
        <v>224</v>
      </c>
      <c r="ED212" s="28"/>
      <c r="EE212" s="28"/>
      <c r="FJ212"/>
      <c r="FK212"/>
      <c r="FL212"/>
      <c r="FM212"/>
      <c r="FN212"/>
      <c r="FO212"/>
      <c r="FP212"/>
      <c r="FQ212"/>
      <c r="FR212"/>
    </row>
    <row r="213" spans="1:174" s="1" customFormat="1" hidden="1" outlineLevel="1" x14ac:dyDescent="0.2">
      <c r="A213" s="1" t="s">
        <v>225</v>
      </c>
      <c r="B213" s="49">
        <f t="shared" ref="B213:AG213" si="446">+B41+B42</f>
        <v>13.084593999999999</v>
      </c>
      <c r="C213" s="49">
        <f t="shared" si="446"/>
        <v>44.583999999999996</v>
      </c>
      <c r="D213" s="49">
        <f t="shared" si="446"/>
        <v>-3.2040000000000015</v>
      </c>
      <c r="E213" s="49">
        <f t="shared" si="446"/>
        <v>6.8449999999999909</v>
      </c>
      <c r="F213" s="49">
        <f t="shared" si="446"/>
        <v>5.5259999999999927</v>
      </c>
      <c r="G213" s="49">
        <f t="shared" si="446"/>
        <v>26.1</v>
      </c>
      <c r="H213" s="49">
        <f t="shared" si="446"/>
        <v>9.5360000000000102</v>
      </c>
      <c r="I213" s="49">
        <f t="shared" si="446"/>
        <v>4.7471849999999876</v>
      </c>
      <c r="J213" s="49">
        <f t="shared" si="446"/>
        <v>9.4119999999999919</v>
      </c>
      <c r="K213" s="49">
        <f t="shared" si="446"/>
        <v>12.714999999999991</v>
      </c>
      <c r="L213" s="49">
        <f t="shared" si="446"/>
        <v>36.457999999999963</v>
      </c>
      <c r="M213" s="49">
        <f t="shared" si="446"/>
        <v>13.885999999999992</v>
      </c>
      <c r="N213" s="49">
        <f t="shared" si="446"/>
        <v>9.2410000000000103</v>
      </c>
      <c r="O213" s="49">
        <f t="shared" si="446"/>
        <v>14.2</v>
      </c>
      <c r="P213" s="49">
        <f t="shared" si="446"/>
        <v>17.884000000000057</v>
      </c>
      <c r="Q213" s="49">
        <f t="shared" si="446"/>
        <v>55.211000000000006</v>
      </c>
      <c r="R213" s="49">
        <f t="shared" si="446"/>
        <v>20.954999999999963</v>
      </c>
      <c r="S213" s="49">
        <f t="shared" si="446"/>
        <v>13.961999999999994</v>
      </c>
      <c r="T213" s="49">
        <f t="shared" si="446"/>
        <v>20.881000000000036</v>
      </c>
      <c r="U213" s="49">
        <f t="shared" si="446"/>
        <v>25.554000000000045</v>
      </c>
      <c r="V213" s="49">
        <f t="shared" si="446"/>
        <v>81.352000000000089</v>
      </c>
      <c r="W213" s="49">
        <f t="shared" si="446"/>
        <v>26.733000000000015</v>
      </c>
      <c r="X213" s="49">
        <f t="shared" si="446"/>
        <v>17.957000000000015</v>
      </c>
      <c r="Y213" s="49">
        <f t="shared" si="446"/>
        <v>24.635000000000016</v>
      </c>
      <c r="Z213" s="49">
        <f t="shared" si="446"/>
        <v>32.392999999999958</v>
      </c>
      <c r="AA213" s="49">
        <f t="shared" si="446"/>
        <v>101.71799999999979</v>
      </c>
      <c r="AB213" s="49">
        <f t="shared" si="446"/>
        <v>34.749000000000024</v>
      </c>
      <c r="AC213" s="49">
        <f t="shared" si="446"/>
        <v>23.41599999999999</v>
      </c>
      <c r="AD213" s="49">
        <f t="shared" si="446"/>
        <v>34.862000000000023</v>
      </c>
      <c r="AE213" s="49">
        <f t="shared" si="446"/>
        <v>43.704999999999956</v>
      </c>
      <c r="AF213" s="49">
        <f t="shared" si="446"/>
        <v>136.73200000000017</v>
      </c>
      <c r="AG213" s="49">
        <f t="shared" si="446"/>
        <v>48.99500000000004</v>
      </c>
      <c r="AH213" s="49">
        <f t="shared" ref="AH213:BM213" si="447">+AH41+AH42</f>
        <v>32.210000000000008</v>
      </c>
      <c r="AI213" s="49">
        <f t="shared" si="447"/>
        <v>46.756999999999984</v>
      </c>
      <c r="AJ213" s="49">
        <f t="shared" si="447"/>
        <v>53.248000000000076</v>
      </c>
      <c r="AK213" s="49">
        <f t="shared" si="447"/>
        <v>180.33500000000032</v>
      </c>
      <c r="AL213" s="49">
        <f t="shared" si="447"/>
        <v>59.526520000000019</v>
      </c>
      <c r="AM213" s="49">
        <f t="shared" si="447"/>
        <v>43.211429999999915</v>
      </c>
      <c r="AN213" s="49">
        <f t="shared" si="447"/>
        <v>55.555999999999905</v>
      </c>
      <c r="AO213" s="49">
        <f t="shared" si="447"/>
        <v>57.68799999999996</v>
      </c>
      <c r="AP213" s="49">
        <f t="shared" si="447"/>
        <v>212.68589999999989</v>
      </c>
      <c r="AQ213" s="49">
        <f t="shared" si="447"/>
        <v>78.363000000000042</v>
      </c>
      <c r="AR213" s="49">
        <f t="shared" si="447"/>
        <v>52.030999999999921</v>
      </c>
      <c r="AS213" s="49">
        <f t="shared" si="447"/>
        <v>68.355100000000022</v>
      </c>
      <c r="AT213" s="49">
        <f t="shared" si="447"/>
        <v>69.595433590999903</v>
      </c>
      <c r="AU213" s="49">
        <f t="shared" si="447"/>
        <v>268.34443359099981</v>
      </c>
      <c r="AV213" s="49">
        <f t="shared" si="447"/>
        <v>110.13499999999986</v>
      </c>
      <c r="AW213" s="49">
        <f t="shared" si="447"/>
        <v>78.884999999999948</v>
      </c>
      <c r="AX213" s="49">
        <f t="shared" si="447"/>
        <v>97.580000000000098</v>
      </c>
      <c r="AY213" s="49">
        <f t="shared" si="447"/>
        <v>102.60300000000004</v>
      </c>
      <c r="AZ213" s="49">
        <f t="shared" si="447"/>
        <v>389.20299999999986</v>
      </c>
      <c r="BA213" s="49">
        <f t="shared" si="447"/>
        <v>144.71000000000009</v>
      </c>
      <c r="BB213" s="49">
        <f t="shared" si="447"/>
        <v>100.46099999999997</v>
      </c>
      <c r="BC213" s="49">
        <f t="shared" si="447"/>
        <v>125.51299999999995</v>
      </c>
      <c r="BD213" s="49">
        <f t="shared" si="447"/>
        <v>123.72199999999998</v>
      </c>
      <c r="BE213" s="49">
        <f t="shared" si="447"/>
        <v>494.46699999999942</v>
      </c>
      <c r="BF213" s="49">
        <f t="shared" si="447"/>
        <v>174.19000000000005</v>
      </c>
      <c r="BG213" s="49">
        <f t="shared" si="447"/>
        <v>127.31600000000005</v>
      </c>
      <c r="BH213" s="49">
        <f t="shared" si="447"/>
        <v>145.49800000000016</v>
      </c>
      <c r="BI213" s="49">
        <f t="shared" si="447"/>
        <v>151.71700000000007</v>
      </c>
      <c r="BJ213" s="49">
        <f t="shared" si="447"/>
        <v>598.72100000000023</v>
      </c>
      <c r="BK213" s="49">
        <f t="shared" si="447"/>
        <v>205.01300000000003</v>
      </c>
      <c r="BL213" s="49">
        <f t="shared" si="447"/>
        <v>150.83999999999995</v>
      </c>
      <c r="BM213" s="49">
        <f t="shared" si="447"/>
        <v>158.34300000000005</v>
      </c>
      <c r="BN213" s="49">
        <f t="shared" ref="BN213:CS213" si="448">+BN41+BN42</f>
        <v>158.50299999999993</v>
      </c>
      <c r="BO213" s="49">
        <f t="shared" si="448"/>
        <v>672.69899999999996</v>
      </c>
      <c r="BP213" s="49">
        <f t="shared" si="448"/>
        <v>208.09999999999994</v>
      </c>
      <c r="BQ213" s="49">
        <f t="shared" si="448"/>
        <v>108.66</v>
      </c>
      <c r="BR213" s="49">
        <f t="shared" si="448"/>
        <v>-6.8000000000002458</v>
      </c>
      <c r="BS213" s="49">
        <f t="shared" si="448"/>
        <v>5.5000000000000266</v>
      </c>
      <c r="BT213" s="49">
        <f t="shared" si="448"/>
        <v>315.45999999999964</v>
      </c>
      <c r="BU213" s="49">
        <f t="shared" si="448"/>
        <v>64.299999999999812</v>
      </c>
      <c r="BV213" s="49">
        <f t="shared" si="448"/>
        <v>25.100000000000122</v>
      </c>
      <c r="BW213" s="49">
        <f t="shared" si="448"/>
        <v>148.20000000000005</v>
      </c>
      <c r="BX213" s="49">
        <f t="shared" si="448"/>
        <v>153.50000000000023</v>
      </c>
      <c r="BY213" s="49">
        <f t="shared" si="448"/>
        <v>391.1</v>
      </c>
      <c r="BZ213" s="49">
        <f t="shared" si="448"/>
        <v>243.50000000000017</v>
      </c>
      <c r="CA213" s="49">
        <f t="shared" si="448"/>
        <v>217.80000000000041</v>
      </c>
      <c r="CB213" s="49">
        <f t="shared" si="448"/>
        <v>208.49999999999997</v>
      </c>
      <c r="CC213" s="49">
        <f t="shared" si="448"/>
        <v>278.50000000000023</v>
      </c>
      <c r="CD213" s="49">
        <f t="shared" si="448"/>
        <v>948.29999999999905</v>
      </c>
      <c r="CE213" s="49">
        <f t="shared" si="448"/>
        <v>347.60000000000025</v>
      </c>
      <c r="CF213" s="49">
        <f t="shared" si="448"/>
        <v>262.39999999999975</v>
      </c>
      <c r="CG213" s="49">
        <f t="shared" si="448"/>
        <v>279.8000000000003</v>
      </c>
      <c r="CH213" s="49">
        <f t="shared" si="448"/>
        <v>358.30000000000007</v>
      </c>
      <c r="CI213" s="49">
        <f t="shared" si="448"/>
        <v>1248.1000000000004</v>
      </c>
      <c r="CJ213" s="49">
        <f t="shared" si="448"/>
        <v>382.20000000000016</v>
      </c>
      <c r="CK213" s="49">
        <f t="shared" si="448"/>
        <v>310.09999999999968</v>
      </c>
      <c r="CL213" s="49">
        <f t="shared" si="448"/>
        <v>333.29999999999984</v>
      </c>
      <c r="CM213" s="49">
        <f t="shared" si="448"/>
        <v>359.3</v>
      </c>
      <c r="CN213" s="49">
        <f t="shared" si="448"/>
        <v>1384.8999999999996</v>
      </c>
      <c r="CO213" s="49">
        <f t="shared" si="448"/>
        <v>432.40000000000003</v>
      </c>
      <c r="CP213" s="49">
        <f t="shared" si="448"/>
        <v>390.6999999999997</v>
      </c>
      <c r="CQ213" s="49">
        <f t="shared" si="448"/>
        <v>417.8000000000003</v>
      </c>
      <c r="CR213" s="49">
        <f t="shared" si="448"/>
        <v>-1232.0999999999999</v>
      </c>
      <c r="CS213" s="49">
        <f t="shared" si="448"/>
        <v>8.7999999999966576</v>
      </c>
      <c r="CT213" s="49">
        <f t="shared" ref="CT213:EB213" si="449">+CT41+CT42</f>
        <v>540.70000000000039</v>
      </c>
      <c r="CU213" s="49">
        <f t="shared" si="449"/>
        <v>426.90000000000038</v>
      </c>
      <c r="CV213" s="49">
        <f t="shared" si="449"/>
        <v>512.49999999999989</v>
      </c>
      <c r="CW213" s="49">
        <f t="shared" si="449"/>
        <v>587.60000000000048</v>
      </c>
      <c r="CX213" s="49">
        <f t="shared" si="449"/>
        <v>2067.7000000000021</v>
      </c>
      <c r="CY213" s="49">
        <f t="shared" si="449"/>
        <v>984.50000000000091</v>
      </c>
      <c r="CZ213" s="49">
        <f t="shared" si="449"/>
        <v>495.59999999999997</v>
      </c>
      <c r="DA213" s="49">
        <f t="shared" si="449"/>
        <v>626.49999999999966</v>
      </c>
      <c r="DB213" s="49">
        <f t="shared" si="449"/>
        <v>652.49999999999943</v>
      </c>
      <c r="DC213" s="49">
        <f t="shared" si="449"/>
        <v>2759.1000000000013</v>
      </c>
      <c r="DD213" s="49">
        <f t="shared" si="449"/>
        <v>687.69999999999993</v>
      </c>
      <c r="DE213" s="49">
        <f t="shared" si="449"/>
        <v>574.99999999999977</v>
      </c>
      <c r="DF213" s="49">
        <f t="shared" si="449"/>
        <v>754.49999999999989</v>
      </c>
      <c r="DG213" s="49">
        <f t="shared" si="449"/>
        <v>801.80000000000086</v>
      </c>
      <c r="DH213" s="49">
        <f t="shared" si="449"/>
        <v>2819.0000000000018</v>
      </c>
      <c r="DI213" s="49">
        <f t="shared" si="449"/>
        <v>751.49999999999943</v>
      </c>
      <c r="DJ213" s="49">
        <f t="shared" si="449"/>
        <v>652.80000000000018</v>
      </c>
      <c r="DK213" s="49">
        <f t="shared" si="449"/>
        <v>691.30000000000007</v>
      </c>
      <c r="DL213" s="49">
        <f t="shared" si="449"/>
        <v>789.30000000000018</v>
      </c>
      <c r="DM213" s="49">
        <f t="shared" si="449"/>
        <v>2884.9000000000019</v>
      </c>
      <c r="DN213" s="49">
        <f t="shared" si="449"/>
        <v>2250.1000000000013</v>
      </c>
      <c r="DO213" s="49">
        <f t="shared" si="449"/>
        <v>738.64484583115814</v>
      </c>
      <c r="DP213" s="49">
        <f t="shared" si="449"/>
        <v>898.39189352469089</v>
      </c>
      <c r="DQ213" s="49">
        <f t="shared" si="449"/>
        <v>918.38637463422469</v>
      </c>
      <c r="DR213" s="49">
        <f t="shared" si="449"/>
        <v>4805.5231139900761</v>
      </c>
      <c r="DS213" s="49">
        <f t="shared" si="449"/>
        <v>927.06256434926024</v>
      </c>
      <c r="DT213" s="49">
        <f t="shared" si="449"/>
        <v>845.51603866751259</v>
      </c>
      <c r="DU213" s="49">
        <f t="shared" si="449"/>
        <v>1018.0062247124669</v>
      </c>
      <c r="DV213" s="49">
        <f t="shared" si="449"/>
        <v>1033.7648557923969</v>
      </c>
      <c r="DW213" s="49">
        <f t="shared" si="449"/>
        <v>3824.3496835216347</v>
      </c>
      <c r="DX213" s="49">
        <f t="shared" si="449"/>
        <v>1033.745280655859</v>
      </c>
      <c r="DY213" s="49">
        <f t="shared" si="449"/>
        <v>951.0646494225241</v>
      </c>
      <c r="DZ213" s="49">
        <f t="shared" si="449"/>
        <v>1141.2731421997314</v>
      </c>
      <c r="EA213" s="49">
        <f t="shared" si="449"/>
        <v>1156.8257106101939</v>
      </c>
      <c r="EB213" s="49">
        <f t="shared" si="449"/>
        <v>4282.9087828883148</v>
      </c>
      <c r="ED213" s="28"/>
      <c r="EE213" s="28"/>
      <c r="FJ213"/>
      <c r="FK213"/>
      <c r="FL213"/>
      <c r="FM213"/>
      <c r="FN213"/>
      <c r="FO213"/>
      <c r="FP213"/>
      <c r="FQ213"/>
      <c r="FR213"/>
    </row>
    <row r="214" spans="1:174" s="1" customFormat="1" hidden="1" outlineLevel="1" x14ac:dyDescent="0.2">
      <c r="A214" s="1" t="s">
        <v>226</v>
      </c>
      <c r="B214" s="49">
        <f t="shared" ref="B214:AG214" si="450">+B41-B43+B26</f>
        <v>13.084593999999999</v>
      </c>
      <c r="C214" s="49">
        <f t="shared" si="450"/>
        <v>44.583999999999996</v>
      </c>
      <c r="D214" s="49">
        <f t="shared" si="450"/>
        <v>-3.2040000000000015</v>
      </c>
      <c r="E214" s="49">
        <f t="shared" si="450"/>
        <v>6.8449999999999909</v>
      </c>
      <c r="F214" s="49">
        <f t="shared" si="450"/>
        <v>5.5259999999999927</v>
      </c>
      <c r="G214" s="49">
        <f t="shared" si="450"/>
        <v>26.1</v>
      </c>
      <c r="H214" s="49">
        <f t="shared" si="450"/>
        <v>9.5360000000000102</v>
      </c>
      <c r="I214" s="49">
        <f t="shared" si="450"/>
        <v>4.7471849999999876</v>
      </c>
      <c r="J214" s="49">
        <f t="shared" si="450"/>
        <v>9.4119999999999919</v>
      </c>
      <c r="K214" s="49">
        <f t="shared" si="450"/>
        <v>12.714999999999991</v>
      </c>
      <c r="L214" s="49">
        <f t="shared" si="450"/>
        <v>36.457999999999963</v>
      </c>
      <c r="M214" s="49">
        <f t="shared" si="450"/>
        <v>13.885999999999992</v>
      </c>
      <c r="N214" s="49">
        <f t="shared" si="450"/>
        <v>9.2410000000000103</v>
      </c>
      <c r="O214" s="49">
        <f t="shared" si="450"/>
        <v>14.2</v>
      </c>
      <c r="P214" s="49">
        <f t="shared" si="450"/>
        <v>17.884000000000057</v>
      </c>
      <c r="Q214" s="49">
        <f t="shared" si="450"/>
        <v>55.211000000000006</v>
      </c>
      <c r="R214" s="49">
        <f t="shared" si="450"/>
        <v>20.954999999999963</v>
      </c>
      <c r="S214" s="49">
        <f t="shared" si="450"/>
        <v>13.961999999999994</v>
      </c>
      <c r="T214" s="49">
        <f t="shared" si="450"/>
        <v>20.881000000000036</v>
      </c>
      <c r="U214" s="49">
        <f t="shared" si="450"/>
        <v>25.554000000000045</v>
      </c>
      <c r="V214" s="49">
        <f t="shared" si="450"/>
        <v>81.352000000000089</v>
      </c>
      <c r="W214" s="49">
        <f t="shared" si="450"/>
        <v>26.733000000000015</v>
      </c>
      <c r="X214" s="49">
        <f t="shared" si="450"/>
        <v>17.957000000000015</v>
      </c>
      <c r="Y214" s="49">
        <f t="shared" si="450"/>
        <v>24.635000000000016</v>
      </c>
      <c r="Z214" s="49">
        <f t="shared" si="450"/>
        <v>32.392999999999958</v>
      </c>
      <c r="AA214" s="49">
        <f t="shared" si="450"/>
        <v>101.71799999999979</v>
      </c>
      <c r="AB214" s="49">
        <f t="shared" si="450"/>
        <v>34.749000000000024</v>
      </c>
      <c r="AC214" s="49">
        <f t="shared" si="450"/>
        <v>23.41599999999999</v>
      </c>
      <c r="AD214" s="49">
        <f t="shared" si="450"/>
        <v>34.862000000000023</v>
      </c>
      <c r="AE214" s="49">
        <f t="shared" si="450"/>
        <v>43.704999999999956</v>
      </c>
      <c r="AF214" s="49">
        <f t="shared" si="450"/>
        <v>136.73200000000017</v>
      </c>
      <c r="AG214" s="49">
        <f t="shared" si="450"/>
        <v>48.99500000000004</v>
      </c>
      <c r="AH214" s="49">
        <f t="shared" ref="AH214:BM214" si="451">+AH41-AH43+AH26</f>
        <v>32.210000000000008</v>
      </c>
      <c r="AI214" s="49">
        <f t="shared" si="451"/>
        <v>46.756999999999984</v>
      </c>
      <c r="AJ214" s="49">
        <f t="shared" si="451"/>
        <v>53.248000000000076</v>
      </c>
      <c r="AK214" s="49">
        <f t="shared" si="451"/>
        <v>180.33500000000032</v>
      </c>
      <c r="AL214" s="49">
        <f t="shared" si="451"/>
        <v>59.526520000000019</v>
      </c>
      <c r="AM214" s="49">
        <f t="shared" si="451"/>
        <v>43.211429999999915</v>
      </c>
      <c r="AN214" s="49">
        <f t="shared" si="451"/>
        <v>55.555999999999905</v>
      </c>
      <c r="AO214" s="49">
        <f t="shared" si="451"/>
        <v>57.68799999999996</v>
      </c>
      <c r="AP214" s="49">
        <f t="shared" si="451"/>
        <v>212.68589999999989</v>
      </c>
      <c r="AQ214" s="49">
        <f t="shared" si="451"/>
        <v>78.363000000000042</v>
      </c>
      <c r="AR214" s="49">
        <f t="shared" si="451"/>
        <v>52.030999999999921</v>
      </c>
      <c r="AS214" s="49">
        <f t="shared" si="451"/>
        <v>68.355100000000022</v>
      </c>
      <c r="AT214" s="49">
        <f t="shared" si="451"/>
        <v>69.595433590999903</v>
      </c>
      <c r="AU214" s="49">
        <f t="shared" si="451"/>
        <v>268.34443359099981</v>
      </c>
      <c r="AV214" s="49">
        <f t="shared" si="451"/>
        <v>110.13499999999986</v>
      </c>
      <c r="AW214" s="49">
        <f t="shared" si="451"/>
        <v>78.884999999999948</v>
      </c>
      <c r="AX214" s="49">
        <f t="shared" si="451"/>
        <v>97.580000000000098</v>
      </c>
      <c r="AY214" s="49">
        <f t="shared" si="451"/>
        <v>102.60300000000004</v>
      </c>
      <c r="AZ214" s="49">
        <f t="shared" si="451"/>
        <v>389.20299999999986</v>
      </c>
      <c r="BA214" s="49">
        <f t="shared" si="451"/>
        <v>144.71000000000009</v>
      </c>
      <c r="BB214" s="49">
        <f t="shared" si="451"/>
        <v>100.46099999999997</v>
      </c>
      <c r="BC214" s="49">
        <f t="shared" si="451"/>
        <v>125.51299999999995</v>
      </c>
      <c r="BD214" s="49">
        <f t="shared" si="451"/>
        <v>123.72199999999998</v>
      </c>
      <c r="BE214" s="49">
        <f t="shared" si="451"/>
        <v>494.46699999999942</v>
      </c>
      <c r="BF214" s="49">
        <f t="shared" si="451"/>
        <v>174.19000000000005</v>
      </c>
      <c r="BG214" s="49">
        <f t="shared" si="451"/>
        <v>127.31600000000005</v>
      </c>
      <c r="BH214" s="49">
        <f t="shared" si="451"/>
        <v>145.49800000000016</v>
      </c>
      <c r="BI214" s="49">
        <f t="shared" si="451"/>
        <v>134.50300000000007</v>
      </c>
      <c r="BJ214" s="49">
        <f t="shared" si="451"/>
        <v>581.50700000000029</v>
      </c>
      <c r="BK214" s="49">
        <f t="shared" si="451"/>
        <v>205.01300000000003</v>
      </c>
      <c r="BL214" s="49">
        <f t="shared" si="451"/>
        <v>150.83999999999995</v>
      </c>
      <c r="BM214" s="49">
        <f t="shared" si="451"/>
        <v>158.34300000000005</v>
      </c>
      <c r="BN214" s="49">
        <f t="shared" ref="BN214:CS214" si="452">+BN41-BN43+BN26</f>
        <v>158.50299999999993</v>
      </c>
      <c r="BO214" s="49">
        <f t="shared" si="452"/>
        <v>672.69899999999996</v>
      </c>
      <c r="BP214" s="49">
        <f t="shared" si="452"/>
        <v>208.09999999999994</v>
      </c>
      <c r="BQ214" s="49">
        <f t="shared" si="452"/>
        <v>108.66</v>
      </c>
      <c r="BR214" s="49">
        <f t="shared" si="452"/>
        <v>160.89999999999975</v>
      </c>
      <c r="BS214" s="49">
        <f t="shared" si="452"/>
        <v>104.70000000000003</v>
      </c>
      <c r="BT214" s="49">
        <f t="shared" si="452"/>
        <v>582.35999999999967</v>
      </c>
      <c r="BU214" s="49">
        <f t="shared" si="452"/>
        <v>139.39999999999981</v>
      </c>
      <c r="BV214" s="49">
        <f t="shared" si="452"/>
        <v>177.10000000000011</v>
      </c>
      <c r="BW214" s="49">
        <f t="shared" si="452"/>
        <v>203.10000000000005</v>
      </c>
      <c r="BX214" s="49">
        <f t="shared" si="452"/>
        <v>203.20000000000022</v>
      </c>
      <c r="BY214" s="49">
        <f t="shared" si="452"/>
        <v>722.8</v>
      </c>
      <c r="BZ214" s="49">
        <f t="shared" si="452"/>
        <v>259.80000000000018</v>
      </c>
      <c r="CA214" s="49">
        <f t="shared" si="452"/>
        <v>225.20000000000041</v>
      </c>
      <c r="CB214" s="49">
        <f t="shared" si="452"/>
        <v>228.29999999999998</v>
      </c>
      <c r="CC214" s="49">
        <f t="shared" si="452"/>
        <v>285.30000000000018</v>
      </c>
      <c r="CD214" s="49">
        <f t="shared" si="452"/>
        <v>998.599999999999</v>
      </c>
      <c r="CE214" s="49">
        <f t="shared" si="452"/>
        <v>346.60000000000025</v>
      </c>
      <c r="CF214" s="49">
        <f t="shared" si="452"/>
        <v>261.59999999999974</v>
      </c>
      <c r="CG214" s="49">
        <f t="shared" si="452"/>
        <v>279.10000000000031</v>
      </c>
      <c r="CH214" s="49">
        <f t="shared" si="452"/>
        <v>328.30000000000007</v>
      </c>
      <c r="CI214" s="49">
        <f t="shared" si="452"/>
        <v>1215.6000000000004</v>
      </c>
      <c r="CJ214" s="49">
        <f t="shared" si="452"/>
        <v>382.10000000000014</v>
      </c>
      <c r="CK214" s="49">
        <f t="shared" si="452"/>
        <v>309.89999999999969</v>
      </c>
      <c r="CL214" s="49">
        <f t="shared" si="452"/>
        <v>333.09999999999985</v>
      </c>
      <c r="CM214" s="49">
        <f t="shared" si="452"/>
        <v>359</v>
      </c>
      <c r="CN214" s="49">
        <f t="shared" si="452"/>
        <v>1384.0999999999997</v>
      </c>
      <c r="CO214" s="49">
        <f t="shared" si="452"/>
        <v>432.20000000000005</v>
      </c>
      <c r="CP214" s="49">
        <f t="shared" si="452"/>
        <v>390.39999999999969</v>
      </c>
      <c r="CQ214" s="49">
        <f t="shared" si="452"/>
        <v>417.8000000000003</v>
      </c>
      <c r="CR214" s="49">
        <f t="shared" si="452"/>
        <v>1552.1</v>
      </c>
      <c r="CS214" s="49">
        <f t="shared" si="452"/>
        <v>2792.8999999999965</v>
      </c>
      <c r="CT214" s="49">
        <f t="shared" ref="CT214:EB214" si="453">+CT41-CT43+CT26</f>
        <v>520.50000000000034</v>
      </c>
      <c r="CU214" s="49">
        <f t="shared" si="453"/>
        <v>426.90000000000038</v>
      </c>
      <c r="CV214" s="49">
        <f t="shared" si="453"/>
        <v>512.49999999999989</v>
      </c>
      <c r="CW214" s="49">
        <f t="shared" si="453"/>
        <v>587.60000000000048</v>
      </c>
      <c r="CX214" s="49">
        <f t="shared" si="453"/>
        <v>2047.500000000002</v>
      </c>
      <c r="CY214" s="49">
        <f t="shared" si="453"/>
        <v>984.50000000000091</v>
      </c>
      <c r="CZ214" s="49">
        <f t="shared" si="453"/>
        <v>494.9</v>
      </c>
      <c r="DA214" s="49">
        <f t="shared" si="453"/>
        <v>626.49999999999966</v>
      </c>
      <c r="DB214" s="49">
        <f t="shared" si="453"/>
        <v>652.49999999999943</v>
      </c>
      <c r="DC214" s="49">
        <f t="shared" si="453"/>
        <v>2758.4000000000015</v>
      </c>
      <c r="DD214" s="49">
        <f t="shared" si="453"/>
        <v>687.59999999999991</v>
      </c>
      <c r="DE214" s="49">
        <f t="shared" si="453"/>
        <v>575.0999999999998</v>
      </c>
      <c r="DF214" s="49">
        <f t="shared" si="453"/>
        <v>754.09999999999991</v>
      </c>
      <c r="DG214" s="49">
        <f t="shared" si="453"/>
        <v>801.00000000000091</v>
      </c>
      <c r="DH214" s="49">
        <f t="shared" si="453"/>
        <v>2817.800000000002</v>
      </c>
      <c r="DI214" s="49">
        <f t="shared" si="453"/>
        <v>751.79999999999939</v>
      </c>
      <c r="DJ214" s="49">
        <f t="shared" si="453"/>
        <v>652.80000000000018</v>
      </c>
      <c r="DK214" s="49">
        <f t="shared" si="453"/>
        <v>811.80000000000007</v>
      </c>
      <c r="DL214" s="49">
        <f t="shared" si="453"/>
        <v>821.80000000000018</v>
      </c>
      <c r="DM214" s="49">
        <f t="shared" si="453"/>
        <v>3038.2000000000021</v>
      </c>
      <c r="DN214" s="49">
        <f t="shared" si="453"/>
        <v>2277.8000000000011</v>
      </c>
      <c r="DO214" s="49">
        <f t="shared" si="453"/>
        <v>738.64484583115814</v>
      </c>
      <c r="DP214" s="49">
        <f t="shared" si="453"/>
        <v>898.39189352469089</v>
      </c>
      <c r="DQ214" s="49">
        <f t="shared" si="453"/>
        <v>918.38637463422469</v>
      </c>
      <c r="DR214" s="49">
        <f t="shared" si="453"/>
        <v>4833.2231139900769</v>
      </c>
      <c r="DS214" s="49">
        <f t="shared" si="453"/>
        <v>927.06256434926024</v>
      </c>
      <c r="DT214" s="49">
        <f t="shared" si="453"/>
        <v>845.51603866751259</v>
      </c>
      <c r="DU214" s="49">
        <f t="shared" si="453"/>
        <v>1018.0062247124669</v>
      </c>
      <c r="DV214" s="49">
        <f t="shared" si="453"/>
        <v>1033.7648557923969</v>
      </c>
      <c r="DW214" s="49">
        <f t="shared" si="453"/>
        <v>3824.3496835216347</v>
      </c>
      <c r="DX214" s="49">
        <f t="shared" si="453"/>
        <v>1033.745280655859</v>
      </c>
      <c r="DY214" s="49">
        <f t="shared" si="453"/>
        <v>951.0646494225241</v>
      </c>
      <c r="DZ214" s="49">
        <f t="shared" si="453"/>
        <v>1141.2731421997314</v>
      </c>
      <c r="EA214" s="49">
        <f t="shared" si="453"/>
        <v>1156.8257106101939</v>
      </c>
      <c r="EB214" s="49">
        <f t="shared" si="453"/>
        <v>4282.9087828883148</v>
      </c>
      <c r="ED214" s="28"/>
      <c r="EE214" s="28"/>
      <c r="FJ214"/>
      <c r="FK214"/>
      <c r="FL214"/>
      <c r="FM214"/>
      <c r="FN214"/>
      <c r="FO214"/>
      <c r="FP214"/>
      <c r="FQ214"/>
      <c r="FR214"/>
    </row>
    <row r="215" spans="1:174" s="1" customFormat="1" hidden="1" outlineLevel="1" x14ac:dyDescent="0.2">
      <c r="A215" s="1" t="s">
        <v>227</v>
      </c>
      <c r="B215" s="174">
        <f>B214/B124</f>
        <v>1.3685096013052754E-2</v>
      </c>
      <c r="C215" s="174"/>
      <c r="D215" s="174"/>
      <c r="E215" s="174"/>
      <c r="F215" s="174"/>
      <c r="G215" s="174">
        <f t="shared" ref="G215:AL215" si="454">G214/G124</f>
        <v>2.2685000086915711E-2</v>
      </c>
      <c r="H215" s="174">
        <f t="shared" si="454"/>
        <v>8.047746360960336E-3</v>
      </c>
      <c r="I215" s="174">
        <f t="shared" si="454"/>
        <v>3.9863368109204636E-3</v>
      </c>
      <c r="J215" s="174">
        <f t="shared" si="454"/>
        <v>7.3042776432606883E-3</v>
      </c>
      <c r="K215" s="174">
        <f t="shared" si="454"/>
        <v>9.8047834079776856E-3</v>
      </c>
      <c r="L215" s="174">
        <f t="shared" si="454"/>
        <v>2.8160289187894861E-2</v>
      </c>
      <c r="M215" s="174">
        <f t="shared" si="454"/>
        <v>9.6725029534360102E-3</v>
      </c>
      <c r="N215" s="174">
        <f t="shared" si="454"/>
        <v>6.4300783772349825E-3</v>
      </c>
      <c r="O215" s="174">
        <f t="shared" si="454"/>
        <v>9.875595317576891E-3</v>
      </c>
      <c r="P215" s="174">
        <f t="shared" si="454"/>
        <v>1.2295668052713831E-2</v>
      </c>
      <c r="Q215" s="174">
        <f t="shared" si="454"/>
        <v>3.8273462087706413E-2</v>
      </c>
      <c r="R215" s="174">
        <f t="shared" si="454"/>
        <v>1.4291345671198771E-2</v>
      </c>
      <c r="S215" s="174">
        <f t="shared" si="454"/>
        <v>9.5311561356561606E-3</v>
      </c>
      <c r="T215" s="174">
        <f t="shared" si="454"/>
        <v>1.4097505779160481E-2</v>
      </c>
      <c r="U215" s="174">
        <f t="shared" si="454"/>
        <v>1.7285089665472601E-2</v>
      </c>
      <c r="V215" s="174">
        <f t="shared" si="454"/>
        <v>5.5335323134017761E-2</v>
      </c>
      <c r="W215" s="174">
        <f t="shared" si="454"/>
        <v>1.8017453333764689E-2</v>
      </c>
      <c r="X215" s="174">
        <f t="shared" si="454"/>
        <v>1.1917339838969586E-2</v>
      </c>
      <c r="Y215" s="174">
        <f t="shared" si="454"/>
        <v>1.6094112174687928E-2</v>
      </c>
      <c r="Z215" s="174">
        <f t="shared" si="454"/>
        <v>2.1518212061305587E-2</v>
      </c>
      <c r="AA215" s="174">
        <f t="shared" si="454"/>
        <v>6.7441163522179229E-2</v>
      </c>
      <c r="AB215" s="174">
        <f t="shared" si="454"/>
        <v>2.2940873560790127E-2</v>
      </c>
      <c r="AC215" s="174">
        <f t="shared" si="454"/>
        <v>1.5211714111242475E-2</v>
      </c>
      <c r="AD215" s="174">
        <f t="shared" si="454"/>
        <v>2.2476415945863713E-2</v>
      </c>
      <c r="AE215" s="174">
        <f t="shared" si="454"/>
        <v>2.7973849683041948E-2</v>
      </c>
      <c r="AF215" s="174">
        <f t="shared" si="454"/>
        <v>8.8557224241513688E-2</v>
      </c>
      <c r="AG215" s="174">
        <f t="shared" si="454"/>
        <v>3.1115048519026595E-2</v>
      </c>
      <c r="AH215" s="174">
        <f t="shared" si="454"/>
        <v>2.0349961208083887E-2</v>
      </c>
      <c r="AI215" s="174">
        <f t="shared" si="454"/>
        <v>2.9631897019382368E-2</v>
      </c>
      <c r="AJ215" s="174">
        <f t="shared" si="454"/>
        <v>3.3824145947937492E-2</v>
      </c>
      <c r="AK215" s="174">
        <f t="shared" si="454"/>
        <v>0.11432449429312634</v>
      </c>
      <c r="AL215" s="174">
        <f t="shared" si="454"/>
        <v>3.7963438682241543E-2</v>
      </c>
      <c r="AM215" s="174">
        <f t="shared" ref="AM215:BR215" si="455">AM214/AM124</f>
        <v>2.7152340892924863E-2</v>
      </c>
      <c r="AN215" s="174">
        <f t="shared" si="455"/>
        <v>3.461942067494031E-2</v>
      </c>
      <c r="AO215" s="174">
        <f t="shared" si="455"/>
        <v>3.6124811197639418E-2</v>
      </c>
      <c r="AP215" s="174">
        <f t="shared" si="455"/>
        <v>0.13376471698113201</v>
      </c>
      <c r="AQ215" s="174">
        <f t="shared" si="455"/>
        <v>4.9072812348140642E-2</v>
      </c>
      <c r="AR215" s="174">
        <f t="shared" si="455"/>
        <v>3.2550134877459148E-2</v>
      </c>
      <c r="AS215" s="174">
        <f t="shared" si="455"/>
        <v>4.2439291816502113E-2</v>
      </c>
      <c r="AT215" s="174">
        <f t="shared" si="455"/>
        <v>4.3013246966007355E-2</v>
      </c>
      <c r="AU215" s="174">
        <f t="shared" si="455"/>
        <v>0.16702711926301125</v>
      </c>
      <c r="AV215" s="174">
        <f t="shared" si="455"/>
        <v>6.754345079664896E-2</v>
      </c>
      <c r="AW215" s="174">
        <f t="shared" si="455"/>
        <v>4.7918402950731208E-2</v>
      </c>
      <c r="AX215" s="174">
        <f t="shared" si="455"/>
        <v>5.9169660117053872E-2</v>
      </c>
      <c r="AY215" s="174">
        <f t="shared" si="455"/>
        <v>6.205171066605062E-2</v>
      </c>
      <c r="AZ215" s="174">
        <f t="shared" si="455"/>
        <v>0.23647394067539151</v>
      </c>
      <c r="BA215" s="174">
        <f t="shared" si="455"/>
        <v>8.7105958550782278E-2</v>
      </c>
      <c r="BB215" s="174">
        <f t="shared" si="455"/>
        <v>6.0660312875122857E-2</v>
      </c>
      <c r="BC215" s="174">
        <f t="shared" si="455"/>
        <v>7.7665283068370519E-2</v>
      </c>
      <c r="BD215" s="174">
        <f t="shared" si="455"/>
        <v>7.781825592307362E-2</v>
      </c>
      <c r="BE215" s="174">
        <f t="shared" si="455"/>
        <v>0.30319885408324782</v>
      </c>
      <c r="BF215" s="174">
        <f t="shared" si="455"/>
        <v>0.10983682431026463</v>
      </c>
      <c r="BG215" s="174">
        <f t="shared" si="455"/>
        <v>8.0111953869367883E-2</v>
      </c>
      <c r="BH215" s="174">
        <f t="shared" si="455"/>
        <v>9.1134581633279518E-2</v>
      </c>
      <c r="BI215" s="174">
        <f t="shared" si="455"/>
        <v>8.5758534856081939E-2</v>
      </c>
      <c r="BJ215" s="174">
        <f t="shared" si="455"/>
        <v>0.36687942052045797</v>
      </c>
      <c r="BK215" s="174">
        <f t="shared" si="455"/>
        <v>0.13095454057672556</v>
      </c>
      <c r="BL215" s="174">
        <f t="shared" si="455"/>
        <v>9.7434936793897045E-2</v>
      </c>
      <c r="BM215" s="174">
        <f t="shared" si="455"/>
        <v>0.10368746881380486</v>
      </c>
      <c r="BN215" s="174">
        <f t="shared" si="455"/>
        <v>0.10440013542120864</v>
      </c>
      <c r="BO215" s="174">
        <f t="shared" si="455"/>
        <v>0.43688973275128906</v>
      </c>
      <c r="BP215" s="174">
        <f t="shared" si="455"/>
        <v>0.13968317895019461</v>
      </c>
      <c r="BQ215" s="174">
        <f t="shared" si="455"/>
        <v>7.3488435006086844E-2</v>
      </c>
      <c r="BR215" s="174">
        <f t="shared" si="455"/>
        <v>0.10994943282766144</v>
      </c>
      <c r="BS215" s="174">
        <f t="shared" ref="BS215:CX215" si="456">BS214/BS124</f>
        <v>7.0562070359886805E-2</v>
      </c>
      <c r="BT215" s="174">
        <f t="shared" si="456"/>
        <v>0.39377916018662501</v>
      </c>
      <c r="BU215" s="174">
        <f t="shared" si="456"/>
        <v>9.4303883101068728E-2</v>
      </c>
      <c r="BV215" s="174">
        <f t="shared" si="456"/>
        <v>0.11967833491012307</v>
      </c>
      <c r="BW215" s="174">
        <f t="shared" si="456"/>
        <v>0.13599839292888713</v>
      </c>
      <c r="BX215" s="174">
        <f t="shared" si="456"/>
        <v>0.1340546246206625</v>
      </c>
      <c r="BY215" s="174">
        <f t="shared" si="456"/>
        <v>0.48451535058318806</v>
      </c>
      <c r="BZ215" s="174">
        <f t="shared" si="456"/>
        <v>0.1702713330711759</v>
      </c>
      <c r="CA215" s="174">
        <f t="shared" si="456"/>
        <v>0.14682487938453542</v>
      </c>
      <c r="CB215" s="174">
        <f t="shared" si="456"/>
        <v>0.14888483109430023</v>
      </c>
      <c r="CC215" s="174">
        <f t="shared" si="456"/>
        <v>0.18747535812853214</v>
      </c>
      <c r="CD215" s="174">
        <f t="shared" si="456"/>
        <v>0.65336299398063269</v>
      </c>
      <c r="CE215" s="174">
        <f t="shared" si="456"/>
        <v>0.22603365071083881</v>
      </c>
      <c r="CF215" s="174">
        <f t="shared" si="456"/>
        <v>0.16947395698367437</v>
      </c>
      <c r="CG215" s="174">
        <f t="shared" si="456"/>
        <v>0.18078766679621733</v>
      </c>
      <c r="CH215" s="174">
        <f t="shared" si="456"/>
        <v>0.21359791802212105</v>
      </c>
      <c r="CI215" s="174">
        <f t="shared" si="456"/>
        <v>0.7896583084318568</v>
      </c>
      <c r="CJ215" s="174">
        <f t="shared" si="456"/>
        <v>0.24860117111255703</v>
      </c>
      <c r="CK215" s="174">
        <f t="shared" si="456"/>
        <v>0.20037501616448966</v>
      </c>
      <c r="CL215" s="174">
        <f t="shared" si="456"/>
        <v>0.21440525231719867</v>
      </c>
      <c r="CM215" s="174">
        <f t="shared" si="456"/>
        <v>0.23206205559146736</v>
      </c>
      <c r="CN215" s="174">
        <f t="shared" si="456"/>
        <v>0.89527813712807225</v>
      </c>
      <c r="CO215" s="174">
        <f t="shared" si="456"/>
        <v>0.28385656114540919</v>
      </c>
      <c r="CP215" s="174">
        <f t="shared" si="456"/>
        <v>0.25640352029423336</v>
      </c>
      <c r="CQ215" s="174">
        <f t="shared" si="456"/>
        <v>0.27418296364352296</v>
      </c>
      <c r="CR215" s="174">
        <f t="shared" si="456"/>
        <v>1.0156393142258866</v>
      </c>
      <c r="CS215" s="174">
        <f t="shared" si="456"/>
        <v>1.8318903318903297</v>
      </c>
      <c r="CT215" s="174">
        <f t="shared" si="456"/>
        <v>0.33966327329678953</v>
      </c>
      <c r="CU215" s="174">
        <f t="shared" si="456"/>
        <v>0.27916557677216869</v>
      </c>
      <c r="CV215" s="174">
        <f t="shared" si="456"/>
        <v>0.33672798948751637</v>
      </c>
      <c r="CW215" s="174">
        <f t="shared" si="456"/>
        <v>0.38617245005257655</v>
      </c>
      <c r="CX215" s="174">
        <f t="shared" si="456"/>
        <v>1.341567291311756</v>
      </c>
      <c r="CY215" s="174">
        <f t="shared" ref="CY215:EB215" si="457">CY214/CY124</f>
        <v>0.64906381856540152</v>
      </c>
      <c r="CZ215" s="174">
        <f t="shared" si="457"/>
        <v>0.32634355423672928</v>
      </c>
      <c r="DA215" s="174">
        <f t="shared" si="457"/>
        <v>0.41334037078577529</v>
      </c>
      <c r="DB215" s="174">
        <f t="shared" si="457"/>
        <v>0.43369890329012922</v>
      </c>
      <c r="DC215" s="174">
        <f t="shared" si="457"/>
        <v>1.8226810935822262</v>
      </c>
      <c r="DD215" s="174">
        <f t="shared" si="457"/>
        <v>0.4573937337856715</v>
      </c>
      <c r="DE215" s="174">
        <f t="shared" si="457"/>
        <v>0.38685591282120263</v>
      </c>
      <c r="DF215" s="174">
        <f t="shared" si="457"/>
        <v>0.5097681335766916</v>
      </c>
      <c r="DG215" s="174">
        <f t="shared" si="457"/>
        <v>0.54180194805194859</v>
      </c>
      <c r="DH215" s="174">
        <f t="shared" si="457"/>
        <v>1.8950837312529436</v>
      </c>
      <c r="DI215" s="174">
        <f t="shared" si="457"/>
        <v>0.51125467528051638</v>
      </c>
      <c r="DJ215" s="174">
        <f t="shared" si="457"/>
        <v>0.44565811032222841</v>
      </c>
      <c r="DK215" s="174">
        <f t="shared" si="457"/>
        <v>0.55898917851921304</v>
      </c>
      <c r="DL215" s="174">
        <f t="shared" si="457"/>
        <v>0.56840598253265151</v>
      </c>
      <c r="DM215" s="174">
        <f t="shared" si="457"/>
        <v>2.0788586872851069</v>
      </c>
      <c r="DN215" s="174">
        <f t="shared" si="457"/>
        <v>1.5891398492601119</v>
      </c>
      <c r="DO215" s="174">
        <f t="shared" si="457"/>
        <v>0.51948175515870287</v>
      </c>
      <c r="DP215" s="174">
        <f t="shared" si="457"/>
        <v>0.63629562057023681</v>
      </c>
      <c r="DQ215" s="174">
        <f t="shared" si="457"/>
        <v>0.65496771030077883</v>
      </c>
      <c r="DR215" s="174">
        <f t="shared" si="457"/>
        <v>3.4093304931429613</v>
      </c>
      <c r="DS215" s="174">
        <f t="shared" si="457"/>
        <v>0.66497901444345453</v>
      </c>
      <c r="DT215" s="174">
        <f t="shared" si="457"/>
        <v>0.60972871789910621</v>
      </c>
      <c r="DU215" s="174">
        <f t="shared" si="457"/>
        <v>0.73847877760668224</v>
      </c>
      <c r="DV215" s="174">
        <f t="shared" si="457"/>
        <v>0.75427190314305281</v>
      </c>
      <c r="DW215" s="174">
        <f t="shared" si="457"/>
        <v>2.766308472763896</v>
      </c>
      <c r="DX215" s="174">
        <f t="shared" si="457"/>
        <v>0.75714951561193</v>
      </c>
      <c r="DY215" s="174">
        <f t="shared" si="457"/>
        <v>0.6983983367406964</v>
      </c>
      <c r="DZ215" s="174">
        <f t="shared" si="457"/>
        <v>0.84259728618604768</v>
      </c>
      <c r="EA215" s="174">
        <f t="shared" si="457"/>
        <v>0.86045247009401404</v>
      </c>
      <c r="EB215" s="174">
        <f t="shared" si="457"/>
        <v>3.1573225707283408</v>
      </c>
      <c r="ED215" s="28"/>
      <c r="EE215" s="28"/>
      <c r="FJ215"/>
      <c r="FK215"/>
      <c r="FL215"/>
      <c r="FM215"/>
      <c r="FN215"/>
      <c r="FO215"/>
      <c r="FP215"/>
      <c r="FQ215"/>
      <c r="FR215"/>
    </row>
    <row r="216" spans="1:174" hidden="1" outlineLevel="1" x14ac:dyDescent="0.2">
      <c r="A216" s="168" t="s">
        <v>173</v>
      </c>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c r="BA216" s="49"/>
      <c r="BB216" s="49"/>
      <c r="BC216" s="49"/>
      <c r="BD216" s="49"/>
      <c r="BE216" s="49"/>
      <c r="BF216" s="64">
        <v>10801</v>
      </c>
      <c r="BG216" s="64">
        <v>11225</v>
      </c>
      <c r="BH216" s="64">
        <v>11784</v>
      </c>
      <c r="BI216" s="64">
        <v>12440</v>
      </c>
      <c r="BJ216" s="64">
        <v>12440</v>
      </c>
      <c r="BK216" s="64">
        <v>13168</v>
      </c>
      <c r="BL216" s="64">
        <v>13728</v>
      </c>
      <c r="BM216" s="64">
        <v>14396</v>
      </c>
      <c r="BN216" s="64">
        <v>15011</v>
      </c>
      <c r="BO216" s="64">
        <v>15011</v>
      </c>
      <c r="BP216" s="64">
        <v>15756</v>
      </c>
      <c r="BQ216" s="64">
        <v>16226</v>
      </c>
      <c r="BR216" s="64">
        <v>16548</v>
      </c>
      <c r="BS216" s="64">
        <v>16680</v>
      </c>
      <c r="BT216" s="64">
        <v>16680</v>
      </c>
      <c r="BU216" s="64">
        <v>16875</v>
      </c>
      <c r="BV216" s="64">
        <v>16862</v>
      </c>
      <c r="BW216" s="64">
        <v>16729</v>
      </c>
      <c r="BX216" s="64">
        <v>16635</v>
      </c>
      <c r="BY216" s="64">
        <v>16635</v>
      </c>
      <c r="BZ216" s="64">
        <v>16706</v>
      </c>
      <c r="CA216" s="64">
        <v>16664</v>
      </c>
      <c r="CB216" s="64">
        <v>16737</v>
      </c>
      <c r="CC216" s="64">
        <v>16858</v>
      </c>
      <c r="CD216" s="64">
        <v>16858</v>
      </c>
      <c r="CE216" s="64">
        <v>17009</v>
      </c>
      <c r="CF216" s="64">
        <v>16863</v>
      </c>
      <c r="CG216" s="64">
        <v>17018</v>
      </c>
      <c r="CH216" s="64">
        <v>17003</v>
      </c>
      <c r="CI216" s="64">
        <v>17003</v>
      </c>
      <c r="CJ216" s="64">
        <v>17244</v>
      </c>
      <c r="CK216" s="64">
        <v>17420</v>
      </c>
      <c r="CL216" s="64">
        <v>17651</v>
      </c>
      <c r="CM216" s="64">
        <v>18066</v>
      </c>
      <c r="CN216" s="64">
        <v>18066</v>
      </c>
      <c r="CO216" s="64">
        <v>18278</v>
      </c>
      <c r="CP216" s="64">
        <v>18868</v>
      </c>
      <c r="CQ216" s="64">
        <v>19209</v>
      </c>
      <c r="CR216" s="64">
        <v>19767</v>
      </c>
      <c r="CS216" s="64">
        <v>19767</v>
      </c>
      <c r="CT216" s="64">
        <v>20184</v>
      </c>
      <c r="CU216" s="64">
        <v>20519</v>
      </c>
      <c r="CV216" s="64">
        <v>20863</v>
      </c>
      <c r="CW216" s="64">
        <v>21366</v>
      </c>
      <c r="CX216" s="64">
        <v>21366</v>
      </c>
      <c r="CY216" s="64">
        <v>21878</v>
      </c>
      <c r="CZ216" s="64">
        <v>22088</v>
      </c>
      <c r="DA216" s="64">
        <v>22519</v>
      </c>
      <c r="DB216" s="64">
        <v>23043</v>
      </c>
      <c r="DC216" s="64">
        <v>23043</v>
      </c>
      <c r="DD216" s="64">
        <v>23571</v>
      </c>
      <c r="DE216" s="64">
        <v>23921</v>
      </c>
      <c r="DF216" s="64">
        <v>24395</v>
      </c>
      <c r="DG216" s="64">
        <v>25085</v>
      </c>
      <c r="DH216" s="64">
        <v>25085</v>
      </c>
      <c r="DI216" s="64">
        <v>25734</v>
      </c>
      <c r="DJ216" s="64">
        <v>26161</v>
      </c>
      <c r="DK216" s="64">
        <v>26736</v>
      </c>
      <c r="DL216" s="64">
        <v>27339</v>
      </c>
      <c r="DM216" s="64">
        <v>27339</v>
      </c>
      <c r="DN216" s="64">
        <v>28039</v>
      </c>
      <c r="DO216" s="64">
        <v>28293</v>
      </c>
      <c r="DP216" s="64">
        <v>28709</v>
      </c>
      <c r="DQ216" s="64">
        <v>29357</v>
      </c>
      <c r="DR216" s="64">
        <v>29357</v>
      </c>
      <c r="DS216" s="64">
        <v>30070</v>
      </c>
      <c r="DT216" s="64">
        <v>30436</v>
      </c>
      <c r="DU216" s="64">
        <v>30964</v>
      </c>
      <c r="DV216" s="64">
        <v>31711</v>
      </c>
      <c r="DW216" s="64">
        <v>31711</v>
      </c>
      <c r="DX216" s="64">
        <v>32432</v>
      </c>
      <c r="DY216" s="64">
        <v>32806</v>
      </c>
      <c r="DZ216" s="64">
        <v>33342</v>
      </c>
      <c r="EA216" s="64">
        <v>34097</v>
      </c>
      <c r="EB216" s="64">
        <v>34097</v>
      </c>
    </row>
    <row r="217" spans="1:174" hidden="1" outlineLevel="1" x14ac:dyDescent="0.2">
      <c r="A217" s="168" t="s">
        <v>616</v>
      </c>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64">
        <f>+BF26-CF!BF12+IS!BF24</f>
        <v>-6.4560000000000031</v>
      </c>
      <c r="BG217" s="64">
        <f>+BG26-CF!BG12+IS!BG24</f>
        <v>-6.3810000000000144</v>
      </c>
      <c r="BH217" s="64">
        <f>+BH26-CF!BH12+IS!BH24</f>
        <v>-6.0379999999999683</v>
      </c>
      <c r="BI217" s="64">
        <f>+BI26-CF!BI12+IS!BI24</f>
        <v>-6.5389999999999873</v>
      </c>
      <c r="BJ217" s="64">
        <f>+BJ26-CF!BJ12+IS!BJ24</f>
        <v>-25.413999999999987</v>
      </c>
      <c r="BK217" s="64">
        <f>+BK26-CF!BK12+IS!BK24</f>
        <v>-5.9260000000000019</v>
      </c>
      <c r="BL217" s="64">
        <f>+BL26-CF!BL12+IS!BL24</f>
        <v>-5.9739999999999895</v>
      </c>
      <c r="BM217" s="64">
        <f>+BM26-CF!BM12+IS!BM24</f>
        <v>-5.9909999999999854</v>
      </c>
      <c r="BN217" s="64">
        <f>+BN26-CF!BN12+IS!BN24</f>
        <v>-6.187000000000026</v>
      </c>
      <c r="BO217" s="64">
        <f>+BO26-CF!BO12+IS!BO24</f>
        <v>-24.077999999999975</v>
      </c>
      <c r="BP217" s="64">
        <f>+BP26-CF!BP12+IS!BP24</f>
        <v>-6.7000000000000171</v>
      </c>
      <c r="BQ217" s="64">
        <f>+BQ26-CF!BQ12+IS!BQ24</f>
        <v>-8.3000000000000114</v>
      </c>
      <c r="BR217" s="64">
        <f>+BR26-CF!BR12+IS!BR24</f>
        <v>162.4</v>
      </c>
      <c r="BS217" s="64">
        <f>+BS26-CF!BS12+IS!BS24</f>
        <v>64.3</v>
      </c>
      <c r="BT217" s="64">
        <f>+BT26-CF!BT12+IS!BT24</f>
        <v>211.69999999999993</v>
      </c>
      <c r="BU217" s="64">
        <f t="shared" ref="BU217:CW217" si="458">+BU26</f>
        <v>75.5</v>
      </c>
      <c r="BV217" s="64">
        <f t="shared" si="458"/>
        <v>152.1</v>
      </c>
      <c r="BW217" s="64">
        <f t="shared" si="458"/>
        <v>51.6</v>
      </c>
      <c r="BX217" s="64">
        <f t="shared" si="458"/>
        <v>53.2</v>
      </c>
      <c r="BY217" s="64">
        <f t="shared" si="458"/>
        <v>332.4</v>
      </c>
      <c r="BZ217" s="64">
        <f t="shared" si="458"/>
        <v>18.3</v>
      </c>
      <c r="CA217" s="64">
        <f t="shared" si="458"/>
        <v>7.9</v>
      </c>
      <c r="CB217" s="64">
        <f t="shared" si="458"/>
        <v>20.399999999999999</v>
      </c>
      <c r="CC217" s="64">
        <f t="shared" si="458"/>
        <v>6.4</v>
      </c>
      <c r="CD217" s="64">
        <f t="shared" si="458"/>
        <v>53</v>
      </c>
      <c r="CE217" s="64">
        <f t="shared" si="458"/>
        <v>0</v>
      </c>
      <c r="CF217" s="64">
        <f t="shared" si="458"/>
        <v>0</v>
      </c>
      <c r="CG217" s="64">
        <f t="shared" si="458"/>
        <v>0</v>
      </c>
      <c r="CH217" s="64">
        <f t="shared" si="458"/>
        <v>-30.2</v>
      </c>
      <c r="CI217" s="64">
        <f t="shared" si="458"/>
        <v>-30.2</v>
      </c>
      <c r="CJ217" s="64">
        <f t="shared" si="458"/>
        <v>0</v>
      </c>
      <c r="CK217" s="64">
        <f t="shared" si="458"/>
        <v>0</v>
      </c>
      <c r="CL217" s="64">
        <f t="shared" si="458"/>
        <v>0</v>
      </c>
      <c r="CM217" s="64">
        <f t="shared" si="458"/>
        <v>0</v>
      </c>
      <c r="CN217" s="64">
        <f t="shared" si="458"/>
        <v>0</v>
      </c>
      <c r="CO217" s="64">
        <f t="shared" si="458"/>
        <v>0</v>
      </c>
      <c r="CP217" s="64">
        <f t="shared" si="458"/>
        <v>0</v>
      </c>
      <c r="CQ217" s="64">
        <f t="shared" si="458"/>
        <v>0</v>
      </c>
      <c r="CR217" s="64">
        <f t="shared" si="458"/>
        <v>2784.1</v>
      </c>
      <c r="CS217" s="64">
        <f t="shared" si="458"/>
        <v>2784.1</v>
      </c>
      <c r="CT217" s="64">
        <f t="shared" si="458"/>
        <v>-20.2</v>
      </c>
      <c r="CU217" s="64">
        <f t="shared" si="458"/>
        <v>0</v>
      </c>
      <c r="CV217" s="64">
        <f t="shared" si="458"/>
        <v>0</v>
      </c>
      <c r="CW217" s="64">
        <f t="shared" si="458"/>
        <v>0</v>
      </c>
      <c r="CX217" s="64">
        <f>+CX26</f>
        <v>-20.2</v>
      </c>
      <c r="CY217" s="64">
        <f t="shared" ref="CY217:EB217" si="459">+CY26</f>
        <v>0</v>
      </c>
      <c r="CZ217" s="64">
        <f t="shared" si="459"/>
        <v>0</v>
      </c>
      <c r="DA217" s="64">
        <f t="shared" si="459"/>
        <v>0</v>
      </c>
      <c r="DB217" s="64">
        <f t="shared" si="459"/>
        <v>0</v>
      </c>
      <c r="DC217" s="64">
        <f t="shared" si="459"/>
        <v>0</v>
      </c>
      <c r="DD217" s="64">
        <f t="shared" si="459"/>
        <v>0</v>
      </c>
      <c r="DE217" s="64">
        <f t="shared" si="459"/>
        <v>0</v>
      </c>
      <c r="DF217" s="64">
        <f t="shared" si="459"/>
        <v>0</v>
      </c>
      <c r="DG217" s="64">
        <f t="shared" si="459"/>
        <v>0</v>
      </c>
      <c r="DH217" s="64">
        <f t="shared" si="459"/>
        <v>0</v>
      </c>
      <c r="DI217" s="64">
        <f t="shared" si="459"/>
        <v>0</v>
      </c>
      <c r="DJ217" s="64">
        <f t="shared" si="459"/>
        <v>0</v>
      </c>
      <c r="DK217" s="64">
        <f t="shared" si="459"/>
        <v>120.2</v>
      </c>
      <c r="DL217" s="64">
        <f t="shared" si="459"/>
        <v>33.299999999999997</v>
      </c>
      <c r="DM217" s="64">
        <f t="shared" si="459"/>
        <v>153.5</v>
      </c>
      <c r="DN217" s="64">
        <f t="shared" si="459"/>
        <v>27.6</v>
      </c>
      <c r="DO217" s="64">
        <f t="shared" si="459"/>
        <v>0</v>
      </c>
      <c r="DP217" s="64">
        <f t="shared" si="459"/>
        <v>0</v>
      </c>
      <c r="DQ217" s="64">
        <f t="shared" si="459"/>
        <v>0</v>
      </c>
      <c r="DR217" s="64">
        <f t="shared" si="459"/>
        <v>27.6</v>
      </c>
      <c r="DS217" s="64">
        <f t="shared" si="459"/>
        <v>0</v>
      </c>
      <c r="DT217" s="64">
        <f t="shared" si="459"/>
        <v>0</v>
      </c>
      <c r="DU217" s="64">
        <f t="shared" si="459"/>
        <v>0</v>
      </c>
      <c r="DV217" s="64">
        <f t="shared" si="459"/>
        <v>0</v>
      </c>
      <c r="DW217" s="64">
        <f t="shared" si="459"/>
        <v>0</v>
      </c>
      <c r="DX217" s="64">
        <f t="shared" si="459"/>
        <v>0</v>
      </c>
      <c r="DY217" s="64">
        <f t="shared" si="459"/>
        <v>0</v>
      </c>
      <c r="DZ217" s="64">
        <f t="shared" si="459"/>
        <v>0</v>
      </c>
      <c r="EA217" s="64">
        <f t="shared" si="459"/>
        <v>0</v>
      </c>
      <c r="EB217" s="64">
        <f t="shared" si="459"/>
        <v>0</v>
      </c>
    </row>
    <row r="218" spans="1:174" collapsed="1" x14ac:dyDescent="0.2"/>
  </sheetData>
  <phoneticPr fontId="3" type="noConversion"/>
  <pageMargins left="0" right="0" top="0" bottom="0" header="0" footer="0"/>
  <pageSetup paperSize="5" scale="29" orientation="landscape" r:id="rId1"/>
  <headerFooter alignWithMargins="0"/>
  <ignoredErrors>
    <ignoredError sqref="G10:G18 AA18 G27:G28 EV44 AK9 G19:G20 BO38:BQ43 ES44:ET44 EO42:EP42 EW10:EW12 EU12 EU10 ER44 EU44 EV10:EV12 EU16:EU25 ES21:ET25 AA10:AA16 ER21:ER26 EQ21:EQ25 W10:Z18 EV27:EV28 EW16:EW25 ET16:ET20 EW43 EQ44 EO27:EP28 EO43:EP43 EQ27:EQ28 ES27:ET28 EO26:EP26 G26 G21:G25 EO10:EP25 ER27:ER28 EO38:EP41 G31:G33 EW42 EW27:EW28 EU27:EU28 ES15:ES20 EQ45:ET46 ES10:ES12 EQ20 EQ10:EQ18 ER10:ER18 ER20 EO44:EP44 EW44 EU26 EU29:EU30 EW26 EW29:EW30 ER29:ER30 ES26:ET26 ES29:ET30 EQ29:EQ30 EO29:EP30 EV26 EV29:EV30 G29:G30 BT42:BT43 BJ38:BN43 BR38:BS43 BO27:BQ28 ET10:ET12 EV16:EV25 BR27:BS36 BJ27:BN36 EO31:EP36 BO31:BQ36" formulaRange="1"/>
    <ignoredError sqref="F39:F40 G39 Q17 M62:V67 W58:AF60 AF17 G50 L50 CU38 DM117 CN116 BE142 DH38:DI39 DC72:DC77 CS120 CD72:CX77 EO61:EZ61 DH72:DM72 DC79:DC81 BY44 BY32 BY62:CI67 DH54 DM54 CY76:DB76 DC85 CD79:CX79 CI152:CN152 CI44:CN47 CX120 CD152 CT38:CT39 BT15:BT18 BO50 CN38:CN43 DM42:DO42 BJ142 H61:CV61 BK75:BW76 BO72 CN120 CD44:CG47 EX38:EZ45 CS38 CW35:DC35 CX33:CX34 CX40 CX61:CY61 CV38:CX39 CZ38:DB38 DC40 DC54 DC33:DC34 DC61 CS33:CS36 EX31:EZ36 DM36:DO36 CN15:CN36 CT35:CV36 CW36 DH61 DH36:DI36 DH33:DH35 DH41:DI41 DH40 DM61:DR61 CD148 CI148:CN148 CI145:CN146 CD145:CD146 DC83 DM33 DO33 DM34 DO34 DM35 DO35 DM38 DO38 DM39 DM40 DO40 DM41 DO41 CD49:CG53 CI49:CN53 BT21:BT26" formula="1"/>
    <ignoredError sqref="G40 AG17:AK17 AA17 V17 EQ42:EV43 EQ38:EW41 BO29:BQ30 BT38:BT41 BT27:BT35 EQ31:EW36" formula="1" formulaRange="1"/>
    <ignoredError sqref="R7:AB7" twoDigitTextYear="1"/>
  </ignoredError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EK180"/>
  <sheetViews>
    <sheetView showGridLines="0" zoomScaleNormal="100" workbookViewId="0">
      <pane xSplit="1" ySplit="6" topLeftCell="B7" activePane="bottomRight" state="frozen"/>
      <selection pane="topRight"/>
      <selection pane="bottomLeft"/>
      <selection pane="bottomRight" activeCell="DS9" sqref="DS9"/>
    </sheetView>
  </sheetViews>
  <sheetFormatPr defaultRowHeight="12.75" outlineLevelRow="1" outlineLevelCol="2" x14ac:dyDescent="0.2"/>
  <cols>
    <col min="1" max="1" width="36.85546875" customWidth="1"/>
    <col min="2" max="2" width="7" hidden="1" customWidth="1" outlineLevel="1"/>
    <col min="3" max="81" width="9.140625" hidden="1" customWidth="1" outlineLevel="1"/>
    <col min="82" max="82" width="9.28515625" hidden="1" customWidth="1" outlineLevel="1"/>
    <col min="83" max="86" width="9.140625" hidden="1" customWidth="1" outlineLevel="1"/>
    <col min="87" max="91" width="9.28515625" hidden="1" customWidth="1" outlineLevel="1"/>
    <col min="92" max="92" width="9.28515625" customWidth="1" collapsed="1"/>
    <col min="93" max="96" width="9.28515625" hidden="1" customWidth="1" outlineLevel="1"/>
    <col min="97" max="97" width="9.28515625" customWidth="1" collapsed="1"/>
    <col min="98" max="100" width="9.140625" hidden="1" customWidth="1" outlineLevel="1"/>
    <col min="101" max="101" width="9.140625" style="669" hidden="1" customWidth="1" outlineLevel="1"/>
    <col min="102" max="102" width="9.28515625" style="669" customWidth="1" collapsed="1"/>
    <col min="103" max="105" width="9.140625" style="773" hidden="1" customWidth="1" outlineLevel="1"/>
    <col min="106" max="106" width="9.140625" style="897" hidden="1" customWidth="1" outlineLevel="1"/>
    <col min="107" max="107" width="9.28515625" style="773" customWidth="1" collapsed="1"/>
    <col min="108" max="111" width="9.140625" hidden="1" customWidth="1" outlineLevel="1"/>
    <col min="112" max="112" width="9.140625" customWidth="1" collapsed="1"/>
    <col min="113" max="114" width="9.140625" customWidth="1" outlineLevel="1"/>
    <col min="115" max="116" width="9.140625" style="773" customWidth="1" outlineLevel="1"/>
    <col min="117" max="117" width="9.140625" style="773" customWidth="1"/>
    <col min="118" max="121" width="9.140625" customWidth="1" outlineLevel="2"/>
    <col min="122" max="122" width="9.140625" customWidth="1" outlineLevel="1"/>
    <col min="123" max="126" width="9.140625" hidden="1" customWidth="1" outlineLevel="2"/>
    <col min="127" max="127" width="9.140625" customWidth="1" outlineLevel="1" collapsed="1"/>
    <col min="128" max="131" width="9.140625" hidden="1" customWidth="1" outlineLevel="2"/>
    <col min="132" max="132" width="9.140625" customWidth="1" outlineLevel="1" collapsed="1"/>
    <col min="134" max="134" width="9.140625" style="416"/>
    <col min="135" max="135" width="25.5703125" customWidth="1"/>
    <col min="141" max="141" width="9.140625" style="416"/>
  </cols>
  <sheetData>
    <row r="1" spans="1:141" ht="27.75" customHeight="1" x14ac:dyDescent="0.2">
      <c r="A1" s="28"/>
      <c r="B1" s="182"/>
      <c r="C1" s="175"/>
      <c r="D1" s="175"/>
      <c r="E1" s="175"/>
      <c r="F1" s="175"/>
      <c r="G1" s="175"/>
      <c r="H1" s="175"/>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7"/>
      <c r="BE1" s="157"/>
      <c r="BF1" s="157"/>
      <c r="BG1" s="157"/>
      <c r="BH1" s="157"/>
      <c r="BI1" s="157"/>
      <c r="BJ1" s="157"/>
      <c r="BK1" s="157"/>
      <c r="BL1" s="157"/>
      <c r="BM1" s="157"/>
      <c r="BN1" s="157"/>
      <c r="BO1" s="157"/>
      <c r="BP1" s="157"/>
      <c r="BQ1" s="157"/>
      <c r="BR1" s="157"/>
      <c r="BS1" s="157"/>
      <c r="BT1" s="157"/>
      <c r="BU1" s="157"/>
      <c r="BV1" s="157"/>
      <c r="BW1" s="157"/>
      <c r="BX1" s="157"/>
      <c r="BY1" s="157"/>
      <c r="BZ1" s="157"/>
      <c r="CA1" s="157"/>
      <c r="CB1" s="157"/>
      <c r="CC1" s="157"/>
      <c r="CD1" s="157"/>
      <c r="CE1" s="157"/>
      <c r="CF1" s="157"/>
      <c r="CG1" s="157"/>
      <c r="CH1" s="157"/>
      <c r="CI1" s="157"/>
      <c r="CJ1" s="157"/>
      <c r="CK1" s="157"/>
      <c r="CL1" s="157"/>
      <c r="CM1" s="157"/>
      <c r="CN1" s="157"/>
      <c r="CO1" s="157"/>
      <c r="CP1" s="157"/>
      <c r="CQ1" s="157"/>
      <c r="CR1" s="157"/>
      <c r="CS1" s="157"/>
      <c r="CT1" s="157"/>
      <c r="CU1" s="157"/>
      <c r="CV1" s="157"/>
      <c r="CW1" s="674"/>
      <c r="CX1" s="674"/>
      <c r="CY1" s="157"/>
      <c r="CZ1" s="157"/>
      <c r="DA1" s="157"/>
      <c r="DB1" s="856"/>
      <c r="DC1" s="157"/>
      <c r="DD1" s="157"/>
      <c r="DE1" s="157"/>
      <c r="DF1" s="157"/>
      <c r="DG1" s="157"/>
      <c r="DH1" s="157"/>
      <c r="DI1" s="157"/>
      <c r="DJ1" s="157"/>
      <c r="DK1" s="157"/>
      <c r="DL1" s="157"/>
      <c r="DM1" s="157"/>
      <c r="DN1" s="157"/>
      <c r="DO1" s="157"/>
      <c r="DP1" s="157"/>
      <c r="DQ1" s="157"/>
      <c r="DR1" s="157"/>
      <c r="DS1" s="157"/>
      <c r="DT1" s="157"/>
      <c r="DU1" s="157"/>
      <c r="DV1" s="157"/>
      <c r="DW1" s="157"/>
      <c r="DX1" s="157"/>
      <c r="DY1" s="157"/>
      <c r="DZ1" s="157"/>
      <c r="EA1" s="157"/>
      <c r="EB1" s="157"/>
    </row>
    <row r="2" spans="1:141" x14ac:dyDescent="0.2">
      <c r="A2" s="28" t="s">
        <v>247</v>
      </c>
      <c r="B2" s="182"/>
      <c r="C2" s="175"/>
      <c r="D2" s="175"/>
      <c r="E2" s="175"/>
      <c r="F2" s="175"/>
      <c r="G2" s="175"/>
      <c r="H2" s="175"/>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157"/>
      <c r="BY2" s="157"/>
      <c r="BZ2" s="157"/>
      <c r="CA2" s="157"/>
      <c r="CB2" s="157"/>
      <c r="CC2" s="157"/>
      <c r="CD2" s="157"/>
      <c r="CE2" s="157"/>
      <c r="CF2" s="157"/>
      <c r="CG2" s="157"/>
      <c r="CH2" s="157"/>
      <c r="CI2" s="157"/>
      <c r="CJ2" s="157"/>
      <c r="CK2" s="157"/>
      <c r="CL2" s="157"/>
      <c r="CM2" s="157"/>
      <c r="CN2" s="157"/>
      <c r="CO2" s="157"/>
      <c r="CP2" s="157"/>
      <c r="CQ2" s="157"/>
      <c r="CR2" s="157"/>
      <c r="CS2" s="157"/>
      <c r="CT2" s="157"/>
      <c r="CU2" s="157"/>
      <c r="CV2" s="157"/>
      <c r="CW2" s="674"/>
      <c r="CX2" s="674"/>
      <c r="CY2" s="157"/>
      <c r="CZ2" s="157"/>
      <c r="DA2" s="157"/>
      <c r="DB2" s="856"/>
      <c r="DC2" s="157"/>
      <c r="DD2" s="157"/>
      <c r="DE2" s="157"/>
      <c r="DF2" s="157"/>
      <c r="DG2" s="157"/>
      <c r="DH2" s="157"/>
      <c r="DI2" s="157"/>
      <c r="DJ2" s="157"/>
      <c r="DK2" s="157"/>
      <c r="DL2" s="157"/>
      <c r="DM2" s="157"/>
      <c r="DN2" s="157"/>
      <c r="DO2" s="157"/>
      <c r="DP2" s="157"/>
      <c r="DQ2" s="157"/>
      <c r="DR2" s="157"/>
      <c r="DS2" s="157"/>
      <c r="DT2" s="157"/>
      <c r="DU2" s="157"/>
      <c r="DV2" s="157"/>
      <c r="DW2" s="157"/>
      <c r="DX2" s="157"/>
      <c r="DY2" s="157"/>
      <c r="DZ2" s="157"/>
      <c r="EA2" s="157"/>
      <c r="EB2" s="157"/>
    </row>
    <row r="3" spans="1:141" x14ac:dyDescent="0.2">
      <c r="A3" s="1" t="s">
        <v>655</v>
      </c>
      <c r="B3" s="182"/>
      <c r="C3" s="175"/>
      <c r="D3" s="175"/>
      <c r="E3" s="175"/>
      <c r="F3" s="175"/>
      <c r="G3" s="175"/>
      <c r="H3" s="175"/>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7"/>
      <c r="AS3" s="157"/>
      <c r="AT3" s="157"/>
      <c r="AU3" s="157"/>
      <c r="AV3" s="157"/>
      <c r="AW3" s="157"/>
      <c r="AX3" s="157"/>
      <c r="AY3" s="157"/>
      <c r="AZ3" s="157"/>
      <c r="BA3" s="157"/>
      <c r="BB3" s="157"/>
      <c r="BC3" s="157"/>
      <c r="BD3" s="157"/>
      <c r="BE3" s="157"/>
      <c r="BF3" s="157"/>
      <c r="BG3" s="157"/>
      <c r="BH3" s="157"/>
      <c r="BI3" s="157"/>
      <c r="BJ3" s="157"/>
      <c r="BK3" s="157"/>
      <c r="BL3" s="157"/>
      <c r="BM3" s="157"/>
      <c r="BN3" s="157"/>
      <c r="BO3" s="157"/>
      <c r="BP3" s="157"/>
      <c r="BQ3" s="157"/>
      <c r="BR3" s="157"/>
      <c r="BS3" s="157"/>
      <c r="BT3" s="157"/>
      <c r="BU3" s="157"/>
      <c r="BV3" s="157"/>
      <c r="BW3" s="157"/>
      <c r="BX3" s="157"/>
      <c r="BY3" s="157"/>
      <c r="BZ3" s="157">
        <f>BZ7-BY7</f>
        <v>91</v>
      </c>
      <c r="CA3" s="157">
        <f>CA7-BZ7</f>
        <v>91</v>
      </c>
      <c r="CB3" s="157">
        <f>CB7-CA7</f>
        <v>91</v>
      </c>
      <c r="CC3" s="157">
        <f>CC7-CB7</f>
        <v>98</v>
      </c>
      <c r="CD3" s="157"/>
      <c r="CE3" s="157">
        <f>CE7-CD7</f>
        <v>91</v>
      </c>
      <c r="CF3" s="157">
        <f>CF7-CE7</f>
        <v>91</v>
      </c>
      <c r="CG3" s="157">
        <f>CG7-CF7</f>
        <v>91</v>
      </c>
      <c r="CH3" s="157">
        <f>CH7-CG7</f>
        <v>91</v>
      </c>
      <c r="CI3" s="157"/>
      <c r="CJ3" s="157"/>
      <c r="CK3" s="157"/>
      <c r="CL3" s="157"/>
      <c r="CM3" s="157"/>
      <c r="CN3" s="157"/>
      <c r="CO3" s="157"/>
      <c r="CP3" s="157"/>
      <c r="CQ3" s="157"/>
      <c r="CR3" s="157"/>
      <c r="CS3" s="157"/>
      <c r="CT3" s="157"/>
      <c r="CU3" s="157"/>
      <c r="CV3" s="157"/>
      <c r="CW3" s="674"/>
      <c r="CX3" s="674"/>
      <c r="CY3" s="162"/>
      <c r="CZ3" s="162"/>
      <c r="DA3" s="162"/>
      <c r="DB3" s="857"/>
      <c r="DC3" s="157"/>
      <c r="DD3" s="157"/>
      <c r="DE3" s="157"/>
      <c r="DF3" s="157"/>
      <c r="DG3" s="157"/>
      <c r="DH3" s="157"/>
      <c r="DI3" s="157"/>
      <c r="DJ3" s="157"/>
      <c r="DK3" s="157"/>
      <c r="DL3" s="157"/>
      <c r="DM3" s="157"/>
      <c r="DN3" s="157"/>
      <c r="DO3" s="157"/>
      <c r="DP3" s="157"/>
      <c r="DQ3" s="157"/>
      <c r="DR3" s="157"/>
      <c r="DS3" s="157"/>
      <c r="DT3" s="157"/>
      <c r="DU3" s="157"/>
      <c r="DV3" s="157"/>
      <c r="DW3" s="157"/>
      <c r="DX3" s="157"/>
      <c r="DY3" s="157"/>
      <c r="DZ3" s="157"/>
      <c r="EA3" s="157"/>
      <c r="EB3" s="157"/>
    </row>
    <row r="4" spans="1:141" hidden="1" outlineLevel="1" x14ac:dyDescent="0.2">
      <c r="CW4"/>
      <c r="CX4"/>
      <c r="CY4"/>
      <c r="CZ4"/>
      <c r="DA4"/>
      <c r="DB4"/>
      <c r="DC4"/>
      <c r="DK4"/>
      <c r="DL4"/>
      <c r="DM4"/>
      <c r="ED4"/>
      <c r="EK4"/>
    </row>
    <row r="5" spans="1:141" ht="14.25" customHeight="1" collapsed="1" x14ac:dyDescent="0.25">
      <c r="A5" s="486" t="s">
        <v>135</v>
      </c>
      <c r="B5" s="183"/>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c r="AS5" s="184"/>
      <c r="AT5" s="184"/>
      <c r="AU5" s="184"/>
      <c r="AV5" s="184"/>
      <c r="AW5" s="184"/>
      <c r="AX5" s="184"/>
      <c r="AY5" s="184"/>
      <c r="AZ5" s="184"/>
      <c r="BA5" s="184"/>
      <c r="BB5" s="184"/>
      <c r="BC5" s="184"/>
      <c r="BD5" s="184"/>
      <c r="BE5" s="184"/>
      <c r="BF5" s="184"/>
      <c r="BG5" s="184"/>
      <c r="BH5" s="184"/>
      <c r="BI5" s="184"/>
      <c r="BJ5" s="184"/>
      <c r="BK5" s="184"/>
      <c r="BL5" s="184"/>
      <c r="BM5" s="184"/>
      <c r="BN5" s="184"/>
      <c r="BO5" s="410"/>
      <c r="BP5" s="184"/>
      <c r="BQ5" s="184"/>
      <c r="BR5" s="184"/>
      <c r="BS5" s="184"/>
      <c r="BT5" s="184"/>
      <c r="BU5" s="184"/>
      <c r="BV5" s="184"/>
      <c r="BW5" s="184"/>
      <c r="BX5" s="184"/>
      <c r="BY5" s="184"/>
      <c r="BZ5" s="184"/>
      <c r="CA5" s="184"/>
      <c r="CB5" s="184"/>
      <c r="CC5" s="184"/>
      <c r="CD5" s="184"/>
      <c r="CE5" s="184"/>
      <c r="CF5" s="184"/>
      <c r="CG5" s="184"/>
      <c r="CH5" s="184"/>
      <c r="CI5" s="184"/>
      <c r="CJ5" s="184"/>
      <c r="CK5" s="184"/>
      <c r="CL5" s="184"/>
      <c r="CM5" s="184"/>
      <c r="CN5" s="184"/>
      <c r="CO5" s="184"/>
      <c r="CP5" s="184"/>
      <c r="CQ5" s="184"/>
      <c r="CR5" s="184"/>
      <c r="CS5" s="184"/>
      <c r="CT5" s="184"/>
      <c r="CU5" s="184"/>
      <c r="CV5" s="184"/>
      <c r="CW5" s="675"/>
      <c r="CX5" s="675"/>
      <c r="CY5" s="184"/>
      <c r="CZ5" s="184"/>
      <c r="DA5" s="184"/>
      <c r="DB5" s="898"/>
      <c r="DC5" s="184"/>
      <c r="DD5" s="184"/>
      <c r="DE5" s="184"/>
      <c r="DF5" s="184"/>
      <c r="DG5" s="184"/>
      <c r="DH5" s="184"/>
      <c r="DI5" s="184"/>
      <c r="DJ5" s="184"/>
      <c r="DK5" s="184"/>
      <c r="DL5" s="184"/>
      <c r="DM5" s="184"/>
      <c r="DN5" s="184"/>
      <c r="DO5" s="184"/>
      <c r="DP5" s="184"/>
      <c r="DQ5" s="184"/>
      <c r="DR5" s="184"/>
      <c r="DS5" s="184"/>
      <c r="DT5" s="184"/>
      <c r="DU5" s="184"/>
      <c r="DV5" s="184"/>
      <c r="DW5" s="184"/>
      <c r="DX5" s="184"/>
      <c r="DY5" s="184"/>
      <c r="DZ5" s="184"/>
      <c r="EA5" s="184"/>
      <c r="EB5" s="616"/>
    </row>
    <row r="6" spans="1:141" x14ac:dyDescent="0.2">
      <c r="A6" s="185" t="s">
        <v>249</v>
      </c>
      <c r="B6" s="446" t="s">
        <v>250</v>
      </c>
      <c r="C6" s="447">
        <v>34669</v>
      </c>
      <c r="D6" s="447">
        <v>34759</v>
      </c>
      <c r="E6" s="447">
        <v>34851</v>
      </c>
      <c r="F6" s="447">
        <v>34943</v>
      </c>
      <c r="G6" s="474" t="s">
        <v>251</v>
      </c>
      <c r="H6" s="447">
        <v>35034</v>
      </c>
      <c r="I6" s="447">
        <v>35125</v>
      </c>
      <c r="J6" s="447">
        <v>35217</v>
      </c>
      <c r="K6" s="447">
        <v>35309</v>
      </c>
      <c r="L6" s="446" t="s">
        <v>252</v>
      </c>
      <c r="M6" s="447" t="s">
        <v>11</v>
      </c>
      <c r="N6" s="475" t="s">
        <v>12</v>
      </c>
      <c r="O6" s="475" t="s">
        <v>13</v>
      </c>
      <c r="P6" s="447" t="s">
        <v>152</v>
      </c>
      <c r="Q6" s="446" t="s">
        <v>134</v>
      </c>
      <c r="R6" s="447" t="s">
        <v>133</v>
      </c>
      <c r="S6" s="447" t="s">
        <v>132</v>
      </c>
      <c r="T6" s="447">
        <v>35947</v>
      </c>
      <c r="U6" s="447">
        <v>36039</v>
      </c>
      <c r="V6" s="446" t="s">
        <v>158</v>
      </c>
      <c r="W6" s="447">
        <v>36130</v>
      </c>
      <c r="X6" s="447">
        <v>36220</v>
      </c>
      <c r="Y6" s="447">
        <v>36312</v>
      </c>
      <c r="Z6" s="447">
        <v>36404</v>
      </c>
      <c r="AA6" s="446" t="s">
        <v>255</v>
      </c>
      <c r="AB6" s="447">
        <v>36495</v>
      </c>
      <c r="AC6" s="447">
        <v>36586</v>
      </c>
      <c r="AD6" s="447">
        <v>36678</v>
      </c>
      <c r="AE6" s="447">
        <v>36770</v>
      </c>
      <c r="AF6" s="446" t="s">
        <v>260</v>
      </c>
      <c r="AG6" s="447">
        <v>36861</v>
      </c>
      <c r="AH6" s="447">
        <v>36951</v>
      </c>
      <c r="AI6" s="447">
        <v>37043</v>
      </c>
      <c r="AJ6" s="447">
        <v>37135</v>
      </c>
      <c r="AK6" s="446" t="s">
        <v>265</v>
      </c>
      <c r="AL6" s="447">
        <v>37226</v>
      </c>
      <c r="AM6" s="447">
        <v>37316</v>
      </c>
      <c r="AN6" s="447">
        <v>37408</v>
      </c>
      <c r="AO6" s="447">
        <v>37500</v>
      </c>
      <c r="AP6" s="446" t="s">
        <v>131</v>
      </c>
      <c r="AQ6" s="447">
        <v>37591</v>
      </c>
      <c r="AR6" s="447">
        <v>37681</v>
      </c>
      <c r="AS6" s="447">
        <v>37773</v>
      </c>
      <c r="AT6" s="447">
        <v>37865</v>
      </c>
      <c r="AU6" s="446" t="s">
        <v>129</v>
      </c>
      <c r="AV6" s="447">
        <v>37956</v>
      </c>
      <c r="AW6" s="447">
        <v>38047</v>
      </c>
      <c r="AX6" s="447">
        <v>38139</v>
      </c>
      <c r="AY6" s="447">
        <v>38231</v>
      </c>
      <c r="AZ6" s="446" t="s">
        <v>128</v>
      </c>
      <c r="BA6" s="447">
        <v>38322</v>
      </c>
      <c r="BB6" s="447">
        <v>38412</v>
      </c>
      <c r="BC6" s="447">
        <v>38504</v>
      </c>
      <c r="BD6" s="447">
        <v>38596</v>
      </c>
      <c r="BE6" s="446" t="s">
        <v>102</v>
      </c>
      <c r="BF6" s="447">
        <v>38687</v>
      </c>
      <c r="BG6" s="447">
        <v>38777</v>
      </c>
      <c r="BH6" s="447">
        <v>38869</v>
      </c>
      <c r="BI6" s="447">
        <v>38961</v>
      </c>
      <c r="BJ6" s="446" t="s">
        <v>127</v>
      </c>
      <c r="BK6" s="447">
        <v>39052</v>
      </c>
      <c r="BL6" s="447">
        <v>39142</v>
      </c>
      <c r="BM6" s="447">
        <v>39234</v>
      </c>
      <c r="BN6" s="447">
        <v>39326</v>
      </c>
      <c r="BO6" s="446" t="s">
        <v>126</v>
      </c>
      <c r="BP6" s="447">
        <v>39417</v>
      </c>
      <c r="BQ6" s="447">
        <v>39508</v>
      </c>
      <c r="BR6" s="447">
        <v>39600</v>
      </c>
      <c r="BS6" s="447">
        <v>39692</v>
      </c>
      <c r="BT6" s="446" t="s">
        <v>125</v>
      </c>
      <c r="BU6" s="447">
        <v>39783</v>
      </c>
      <c r="BV6" s="447">
        <v>39873</v>
      </c>
      <c r="BW6" s="447">
        <v>39965</v>
      </c>
      <c r="BX6" s="447">
        <v>40057</v>
      </c>
      <c r="BY6" s="446" t="s">
        <v>151</v>
      </c>
      <c r="BZ6" s="447">
        <v>40148</v>
      </c>
      <c r="CA6" s="447">
        <v>40238</v>
      </c>
      <c r="CB6" s="447">
        <v>40330</v>
      </c>
      <c r="CC6" s="447">
        <v>40422</v>
      </c>
      <c r="CD6" s="446" t="s">
        <v>124</v>
      </c>
      <c r="CE6" s="447">
        <v>40513</v>
      </c>
      <c r="CF6" s="447">
        <v>40603</v>
      </c>
      <c r="CG6" s="447">
        <v>40695</v>
      </c>
      <c r="CH6" s="447">
        <v>40787</v>
      </c>
      <c r="CI6" s="446" t="s">
        <v>123</v>
      </c>
      <c r="CJ6" s="447">
        <v>40878</v>
      </c>
      <c r="CK6" s="447">
        <v>40969</v>
      </c>
      <c r="CL6" s="447">
        <v>41061</v>
      </c>
      <c r="CM6" s="447">
        <v>41153</v>
      </c>
      <c r="CN6" s="446" t="s">
        <v>122</v>
      </c>
      <c r="CO6" s="447">
        <v>41244</v>
      </c>
      <c r="CP6" s="447">
        <v>41334</v>
      </c>
      <c r="CQ6" s="447">
        <v>41426</v>
      </c>
      <c r="CR6" s="447">
        <v>41518</v>
      </c>
      <c r="CS6" s="446" t="s">
        <v>121</v>
      </c>
      <c r="CT6" s="447">
        <v>41609</v>
      </c>
      <c r="CU6" s="447">
        <v>41699</v>
      </c>
      <c r="CV6" s="135">
        <v>41791</v>
      </c>
      <c r="CW6" s="676">
        <v>41883</v>
      </c>
      <c r="CX6" s="740" t="s">
        <v>120</v>
      </c>
      <c r="CY6" s="447">
        <v>41974</v>
      </c>
      <c r="CZ6" s="447">
        <v>42064</v>
      </c>
      <c r="DA6" s="447">
        <v>42156</v>
      </c>
      <c r="DB6" s="859">
        <v>42248</v>
      </c>
      <c r="DC6" s="446" t="s">
        <v>119</v>
      </c>
      <c r="DD6" s="447">
        <v>42339</v>
      </c>
      <c r="DE6" s="447">
        <v>42430</v>
      </c>
      <c r="DF6" s="447">
        <v>42522</v>
      </c>
      <c r="DG6" s="447">
        <v>42614</v>
      </c>
      <c r="DH6" s="446" t="s">
        <v>118</v>
      </c>
      <c r="DI6" s="447">
        <v>42705</v>
      </c>
      <c r="DJ6" s="447">
        <v>42795</v>
      </c>
      <c r="DK6" s="447">
        <v>42887</v>
      </c>
      <c r="DL6" s="447">
        <v>42979</v>
      </c>
      <c r="DM6" s="446" t="s">
        <v>117</v>
      </c>
      <c r="DN6" s="487">
        <v>43070</v>
      </c>
      <c r="DO6" s="487">
        <v>43160</v>
      </c>
      <c r="DP6" s="487">
        <v>43252</v>
      </c>
      <c r="DQ6" s="487">
        <v>43344</v>
      </c>
      <c r="DR6" s="488" t="s">
        <v>116</v>
      </c>
      <c r="DS6" s="642" t="s">
        <v>594</v>
      </c>
      <c r="DT6" s="642" t="s">
        <v>590</v>
      </c>
      <c r="DU6" s="642" t="s">
        <v>591</v>
      </c>
      <c r="DV6" s="642" t="s">
        <v>592</v>
      </c>
      <c r="DW6" s="643" t="s">
        <v>593</v>
      </c>
      <c r="DX6" s="642" t="s">
        <v>599</v>
      </c>
      <c r="DY6" s="642" t="s">
        <v>595</v>
      </c>
      <c r="DZ6" s="642" t="s">
        <v>596</v>
      </c>
      <c r="EA6" s="642" t="s">
        <v>597</v>
      </c>
      <c r="EB6" s="643" t="s">
        <v>598</v>
      </c>
      <c r="ED6" s="417"/>
      <c r="EK6" s="417"/>
    </row>
    <row r="7" spans="1:141" x14ac:dyDescent="0.2">
      <c r="A7" s="83" t="s">
        <v>115</v>
      </c>
      <c r="B7" s="179"/>
      <c r="C7" s="175"/>
      <c r="D7" s="175"/>
      <c r="E7" s="175"/>
      <c r="F7" s="175"/>
      <c r="G7" s="170"/>
      <c r="H7" s="175"/>
      <c r="I7" s="175"/>
      <c r="J7" s="175"/>
      <c r="K7" s="175"/>
      <c r="L7" s="170"/>
      <c r="M7" s="175"/>
      <c r="N7" s="175"/>
      <c r="O7" s="175"/>
      <c r="P7" s="175"/>
      <c r="Q7" s="170"/>
      <c r="R7" s="175"/>
      <c r="S7" s="175"/>
      <c r="T7" s="175"/>
      <c r="U7" s="175"/>
      <c r="V7" s="170"/>
      <c r="W7" s="175"/>
      <c r="X7" s="175"/>
      <c r="Y7" s="175"/>
      <c r="Z7" s="175"/>
      <c r="AA7" s="170"/>
      <c r="AB7" s="175"/>
      <c r="AC7" s="175"/>
      <c r="AD7" s="175"/>
      <c r="AE7" s="175"/>
      <c r="AF7" s="170"/>
      <c r="AG7" s="175"/>
      <c r="AH7" s="175"/>
      <c r="AI7" s="175"/>
      <c r="AJ7" s="175"/>
      <c r="AK7" s="170"/>
      <c r="AL7" s="175"/>
      <c r="AM7" s="175"/>
      <c r="AN7" s="175"/>
      <c r="AO7" s="175"/>
      <c r="AP7" s="170"/>
      <c r="AQ7" s="175"/>
      <c r="AR7" s="175"/>
      <c r="AS7" s="175"/>
      <c r="AT7" s="175"/>
      <c r="AU7" s="170"/>
      <c r="AV7" s="175"/>
      <c r="AW7" s="175"/>
      <c r="AX7" s="175"/>
      <c r="AY7" s="175"/>
      <c r="AZ7" s="170"/>
      <c r="BA7" s="175"/>
      <c r="BB7" s="175"/>
      <c r="BC7" s="175"/>
      <c r="BD7" s="175"/>
      <c r="BE7" s="170"/>
      <c r="BF7" s="175"/>
      <c r="BG7" s="175"/>
      <c r="BH7" s="175"/>
      <c r="BI7" s="175"/>
      <c r="BJ7" s="170"/>
      <c r="BK7" s="175"/>
      <c r="BL7" s="175"/>
      <c r="BM7" s="175"/>
      <c r="BN7" s="175"/>
      <c r="BO7" s="170"/>
      <c r="BP7" s="175"/>
      <c r="BQ7" s="175"/>
      <c r="BR7" s="175"/>
      <c r="BS7" s="175"/>
      <c r="BT7" s="170"/>
      <c r="BU7" s="175"/>
      <c r="BV7" s="175"/>
      <c r="BW7" s="441">
        <v>39992</v>
      </c>
      <c r="BX7" s="441">
        <v>40083</v>
      </c>
      <c r="BY7" s="442">
        <f>BX7</f>
        <v>40083</v>
      </c>
      <c r="BZ7" s="441">
        <v>40174</v>
      </c>
      <c r="CA7" s="441">
        <v>40265</v>
      </c>
      <c r="CB7" s="441">
        <v>40356</v>
      </c>
      <c r="CC7" s="441">
        <v>40454</v>
      </c>
      <c r="CD7" s="442">
        <f>CC7</f>
        <v>40454</v>
      </c>
      <c r="CE7" s="441">
        <v>40545</v>
      </c>
      <c r="CF7" s="441">
        <v>40636</v>
      </c>
      <c r="CG7" s="441">
        <v>40727</v>
      </c>
      <c r="CH7" s="441">
        <v>40818</v>
      </c>
      <c r="CI7" s="442">
        <f>CH7</f>
        <v>40818</v>
      </c>
      <c r="CJ7" s="441">
        <f>CI7+91</f>
        <v>40909</v>
      </c>
      <c r="CK7" s="441">
        <f>CJ7+91</f>
        <v>41000</v>
      </c>
      <c r="CL7" s="441">
        <f>CK7+91</f>
        <v>41091</v>
      </c>
      <c r="CM7" s="441">
        <f>CL7+91</f>
        <v>41182</v>
      </c>
      <c r="CN7" s="442">
        <f>CM7</f>
        <v>41182</v>
      </c>
      <c r="CO7" s="441">
        <v>41273</v>
      </c>
      <c r="CP7" s="441">
        <v>41364</v>
      </c>
      <c r="CQ7" s="441">
        <v>41455</v>
      </c>
      <c r="CR7" s="441">
        <v>41546</v>
      </c>
      <c r="CS7" s="442">
        <f>CR7</f>
        <v>41546</v>
      </c>
      <c r="CT7" s="441">
        <v>41637</v>
      </c>
      <c r="CU7" s="441">
        <f>CT7+13*7</f>
        <v>41728</v>
      </c>
      <c r="CV7" s="630">
        <f>CU7+13*7</f>
        <v>41819</v>
      </c>
      <c r="CW7" s="677">
        <f>CV7+13*7</f>
        <v>41910</v>
      </c>
      <c r="CX7" s="741">
        <f>CW7</f>
        <v>41910</v>
      </c>
      <c r="CY7" s="441">
        <f>CX7+13*7</f>
        <v>42001</v>
      </c>
      <c r="CZ7" s="441">
        <f>CY7+13*7</f>
        <v>42092</v>
      </c>
      <c r="DA7" s="441">
        <f>CZ7+13*7</f>
        <v>42183</v>
      </c>
      <c r="DB7" s="860">
        <f>DA7+13*7</f>
        <v>42274</v>
      </c>
      <c r="DC7" s="442">
        <f>DB7</f>
        <v>42274</v>
      </c>
      <c r="DD7" s="441">
        <f>DC7+13*7</f>
        <v>42365</v>
      </c>
      <c r="DE7" s="441">
        <f>DD7+13*7</f>
        <v>42456</v>
      </c>
      <c r="DF7" s="441">
        <f>DE7+13*7</f>
        <v>42547</v>
      </c>
      <c r="DG7" s="615">
        <f>DF7+14*7</f>
        <v>42645</v>
      </c>
      <c r="DH7" s="442">
        <f>DG7</f>
        <v>42645</v>
      </c>
      <c r="DI7" s="441">
        <f>DH7+13*7</f>
        <v>42736</v>
      </c>
      <c r="DJ7" s="441">
        <f>DI7+13*7</f>
        <v>42827</v>
      </c>
      <c r="DK7" s="441">
        <f>DJ7+13*7</f>
        <v>42918</v>
      </c>
      <c r="DL7" s="441">
        <f>DK7+13*7</f>
        <v>43009</v>
      </c>
      <c r="DM7" s="442">
        <f>DL7</f>
        <v>43009</v>
      </c>
      <c r="DN7" s="441">
        <f>DM7+13*7</f>
        <v>43100</v>
      </c>
      <c r="DO7" s="441">
        <f>DN7+13*7</f>
        <v>43191</v>
      </c>
      <c r="DP7" s="441">
        <f>DO7+13*7</f>
        <v>43282</v>
      </c>
      <c r="DQ7" s="441">
        <f>DP7+13*7</f>
        <v>43373</v>
      </c>
      <c r="DR7" s="442">
        <f>DQ7</f>
        <v>43373</v>
      </c>
      <c r="DS7" s="441">
        <f>DR7+13*7</f>
        <v>43464</v>
      </c>
      <c r="DT7" s="441">
        <f>DS7+13*7</f>
        <v>43555</v>
      </c>
      <c r="DU7" s="441">
        <f>DT7+13*7</f>
        <v>43646</v>
      </c>
      <c r="DV7" s="441">
        <f>DU7+13*7</f>
        <v>43737</v>
      </c>
      <c r="DW7" s="442">
        <f>DV7</f>
        <v>43737</v>
      </c>
      <c r="DX7" s="441">
        <f>DW7+13*7</f>
        <v>43828</v>
      </c>
      <c r="DY7" s="441">
        <f>DX7+13*7</f>
        <v>43919</v>
      </c>
      <c r="DZ7" s="441">
        <f>DY7+13*7</f>
        <v>44010</v>
      </c>
      <c r="EA7" s="441">
        <f>DZ7+13*7</f>
        <v>44101</v>
      </c>
      <c r="EB7" s="442">
        <f>EA7</f>
        <v>44101</v>
      </c>
    </row>
    <row r="8" spans="1:141" x14ac:dyDescent="0.2">
      <c r="A8" s="186" t="s">
        <v>114</v>
      </c>
      <c r="B8" s="179"/>
      <c r="C8" s="175"/>
      <c r="D8" s="175"/>
      <c r="E8" s="175"/>
      <c r="F8" s="175"/>
      <c r="G8" s="170"/>
      <c r="H8" s="175"/>
      <c r="I8" s="175"/>
      <c r="J8" s="175"/>
      <c r="K8" s="175"/>
      <c r="L8" s="170"/>
      <c r="M8" s="175"/>
      <c r="N8" s="175"/>
      <c r="O8" s="175"/>
      <c r="P8" s="175"/>
      <c r="Q8" s="170"/>
      <c r="R8" s="175"/>
      <c r="S8" s="175"/>
      <c r="T8" s="175"/>
      <c r="U8" s="175"/>
      <c r="V8" s="170"/>
      <c r="W8" s="175"/>
      <c r="X8" s="175"/>
      <c r="Y8" s="175"/>
      <c r="Z8" s="175"/>
      <c r="AA8" s="170"/>
      <c r="AB8" s="175"/>
      <c r="AC8" s="175"/>
      <c r="AD8" s="175"/>
      <c r="AE8" s="175"/>
      <c r="AF8" s="170"/>
      <c r="AG8" s="175"/>
      <c r="AH8" s="175"/>
      <c r="AI8" s="175"/>
      <c r="AJ8" s="175"/>
      <c r="AK8" s="170"/>
      <c r="AL8" s="175"/>
      <c r="AM8" s="175"/>
      <c r="AN8" s="175"/>
      <c r="AO8" s="175"/>
      <c r="AP8" s="170"/>
      <c r="AQ8" s="175"/>
      <c r="AR8" s="175"/>
      <c r="AS8" s="175"/>
      <c r="AT8" s="175"/>
      <c r="AU8" s="170"/>
      <c r="AV8" s="175"/>
      <c r="AW8" s="175"/>
      <c r="AX8" s="175"/>
      <c r="AY8" s="175"/>
      <c r="AZ8" s="170"/>
      <c r="BA8" s="175"/>
      <c r="BB8" s="175"/>
      <c r="BC8" s="175"/>
      <c r="BD8" s="175"/>
      <c r="BE8" s="170"/>
      <c r="BF8" s="175"/>
      <c r="BG8" s="175"/>
      <c r="BH8" s="175"/>
      <c r="BI8" s="175"/>
      <c r="BJ8" s="170"/>
      <c r="BK8" s="175"/>
      <c r="BL8" s="175"/>
      <c r="BM8" s="175"/>
      <c r="BN8" s="175"/>
      <c r="BO8" s="170"/>
      <c r="BP8" s="175"/>
      <c r="BQ8" s="175"/>
      <c r="BR8" s="175"/>
      <c r="BS8" s="175"/>
      <c r="BT8" s="170"/>
      <c r="BU8" s="175"/>
      <c r="BV8" s="175"/>
      <c r="BW8" s="175"/>
      <c r="BX8" s="175"/>
      <c r="BY8" s="170"/>
      <c r="BZ8" s="175"/>
      <c r="CA8" s="175"/>
      <c r="CB8" s="175"/>
      <c r="CC8" s="175"/>
      <c r="CD8" s="170"/>
      <c r="CE8" s="175"/>
      <c r="CF8" s="175"/>
      <c r="CG8" s="175"/>
      <c r="CH8" s="175"/>
      <c r="CI8" s="170"/>
      <c r="CJ8" s="175"/>
      <c r="CK8" s="175"/>
      <c r="CL8" s="175"/>
      <c r="CM8" s="175"/>
      <c r="CN8" s="170"/>
      <c r="CO8" s="175"/>
      <c r="CP8" s="175"/>
      <c r="CQ8" s="175"/>
      <c r="CR8" s="175"/>
      <c r="CS8" s="170"/>
      <c r="CT8" s="175"/>
      <c r="CU8" s="175"/>
      <c r="CV8" s="602"/>
      <c r="CW8" s="678"/>
      <c r="CX8" s="742"/>
      <c r="CY8" s="175"/>
      <c r="CZ8" s="175"/>
      <c r="DA8" s="175"/>
      <c r="DB8" s="861"/>
      <c r="DC8" s="170"/>
      <c r="DD8" s="175"/>
      <c r="DE8" s="175"/>
      <c r="DF8" s="175"/>
      <c r="DG8" s="175"/>
      <c r="DH8" s="170"/>
      <c r="DI8" s="157"/>
      <c r="DJ8" s="157"/>
      <c r="DK8" s="157"/>
      <c r="DL8" s="157"/>
      <c r="DM8" s="170"/>
      <c r="DN8" s="157"/>
      <c r="DO8" s="157"/>
      <c r="DP8" s="157"/>
      <c r="DQ8" s="157"/>
      <c r="DR8" s="170"/>
      <c r="DS8" s="157"/>
      <c r="DT8" s="157"/>
      <c r="DU8" s="157"/>
      <c r="DV8" s="157"/>
      <c r="DW8" s="170"/>
      <c r="DX8" s="157"/>
      <c r="DY8" s="157"/>
      <c r="DZ8" s="157"/>
      <c r="EA8" s="157"/>
      <c r="EB8" s="170"/>
    </row>
    <row r="9" spans="1:141" x14ac:dyDescent="0.2">
      <c r="A9" s="181" t="s">
        <v>650</v>
      </c>
      <c r="B9" s="428"/>
      <c r="C9" s="429"/>
      <c r="D9" s="429"/>
      <c r="E9" s="429"/>
      <c r="F9" s="429"/>
      <c r="G9" s="430"/>
      <c r="H9" s="429"/>
      <c r="I9" s="429"/>
      <c r="J9" s="429"/>
      <c r="K9" s="429"/>
      <c r="L9" s="430"/>
      <c r="M9" s="429"/>
      <c r="N9" s="429"/>
      <c r="O9" s="429"/>
      <c r="P9" s="429"/>
      <c r="Q9" s="430">
        <v>70.126000000000005</v>
      </c>
      <c r="R9" s="429"/>
      <c r="S9" s="429"/>
      <c r="T9" s="429"/>
      <c r="U9" s="429">
        <v>101.663</v>
      </c>
      <c r="V9" s="430">
        <f t="shared" ref="V9:V15" si="0">U9</f>
        <v>101.663</v>
      </c>
      <c r="W9" s="429">
        <v>128.38499999999999</v>
      </c>
      <c r="X9" s="429">
        <v>127.474</v>
      </c>
      <c r="Y9" s="431">
        <v>90.945999999999998</v>
      </c>
      <c r="Z9" s="431">
        <v>66.418999999999997</v>
      </c>
      <c r="AA9" s="430">
        <f t="shared" ref="AA9:AA15" si="1">Z9</f>
        <v>66.418999999999997</v>
      </c>
      <c r="AB9" s="431">
        <v>77.367999999999995</v>
      </c>
      <c r="AC9" s="431">
        <v>85.257999999999996</v>
      </c>
      <c r="AD9" s="431">
        <v>67.436000000000007</v>
      </c>
      <c r="AE9" s="429">
        <v>70.816999999999993</v>
      </c>
      <c r="AF9" s="430">
        <f t="shared" ref="AF9:AF15" si="2">AE9</f>
        <v>70.816999999999993</v>
      </c>
      <c r="AG9" s="431">
        <v>177.441</v>
      </c>
      <c r="AH9" s="431">
        <v>215.18</v>
      </c>
      <c r="AI9" s="431">
        <v>151.99100000000001</v>
      </c>
      <c r="AJ9" s="429">
        <v>113.23699999999999</v>
      </c>
      <c r="AK9" s="430">
        <f t="shared" ref="AK9:AK15" si="3">AJ9</f>
        <v>113.23699999999999</v>
      </c>
      <c r="AL9" s="429">
        <v>226.833</v>
      </c>
      <c r="AM9" s="429">
        <v>161.84399999999999</v>
      </c>
      <c r="AN9" s="429">
        <v>209.143</v>
      </c>
      <c r="AO9" s="429">
        <v>99.677000000000007</v>
      </c>
      <c r="AP9" s="430">
        <f t="shared" ref="AP9:AP15" si="4">AO9</f>
        <v>99.677000000000007</v>
      </c>
      <c r="AQ9" s="429">
        <v>251.46100000000001</v>
      </c>
      <c r="AR9" s="429">
        <v>250.40100000000001</v>
      </c>
      <c r="AS9" s="429">
        <v>263.63799999999998</v>
      </c>
      <c r="AT9" s="429">
        <v>200.90700000000001</v>
      </c>
      <c r="AU9" s="430">
        <f t="shared" ref="AU9:AU15" si="5">AT9</f>
        <v>200.90700000000001</v>
      </c>
      <c r="AV9" s="431">
        <v>448.67599999999999</v>
      </c>
      <c r="AW9" s="431">
        <v>370.08100000000002</v>
      </c>
      <c r="AX9" s="431">
        <v>383.37299999999999</v>
      </c>
      <c r="AY9" s="429">
        <v>145.053</v>
      </c>
      <c r="AZ9" s="430">
        <f t="shared" ref="AZ9:AZ15" si="6">AY9</f>
        <v>145.053</v>
      </c>
      <c r="BA9" s="431">
        <v>643.548</v>
      </c>
      <c r="BB9" s="431">
        <v>177.142</v>
      </c>
      <c r="BC9" s="431">
        <v>130.11199999999999</v>
      </c>
      <c r="BD9" s="429">
        <v>173.809</v>
      </c>
      <c r="BE9" s="430">
        <f t="shared" ref="BE9:BE15" si="7">BD9</f>
        <v>173.809</v>
      </c>
      <c r="BF9" s="431">
        <v>251.435</v>
      </c>
      <c r="BG9" s="431">
        <v>202.67099999999999</v>
      </c>
      <c r="BH9" s="431">
        <v>215.739</v>
      </c>
      <c r="BI9" s="429">
        <v>312.60599999999999</v>
      </c>
      <c r="BJ9" s="430">
        <f t="shared" ref="BJ9:BJ15" si="8">BI9</f>
        <v>312.60599999999999</v>
      </c>
      <c r="BK9" s="431">
        <v>270.87299999999999</v>
      </c>
      <c r="BL9" s="431">
        <v>200.179</v>
      </c>
      <c r="BM9" s="431">
        <v>172.78899999999999</v>
      </c>
      <c r="BN9" s="429">
        <v>281.26100000000002</v>
      </c>
      <c r="BO9" s="430">
        <f t="shared" ref="BO9:BO15" si="9">BN9</f>
        <v>281.26100000000002</v>
      </c>
      <c r="BP9" s="431">
        <v>349.3</v>
      </c>
      <c r="BQ9" s="431">
        <v>303.39999999999998</v>
      </c>
      <c r="BR9" s="431">
        <v>297</v>
      </c>
      <c r="BS9" s="431">
        <v>269.8</v>
      </c>
      <c r="BT9" s="430">
        <f t="shared" ref="BT9:BT15" si="10">BS9</f>
        <v>269.8</v>
      </c>
      <c r="BU9" s="432">
        <v>356.8</v>
      </c>
      <c r="BV9" s="432">
        <v>253.2</v>
      </c>
      <c r="BW9" s="432">
        <v>292</v>
      </c>
      <c r="BX9" s="432">
        <v>599.79999999999995</v>
      </c>
      <c r="BY9" s="430">
        <f t="shared" ref="BY9:BY15" si="11">BX9</f>
        <v>599.79999999999995</v>
      </c>
      <c r="BZ9" s="429">
        <v>1306.3</v>
      </c>
      <c r="CA9" s="429">
        <v>1086</v>
      </c>
      <c r="CB9" s="429">
        <v>1125.2</v>
      </c>
      <c r="CC9" s="429">
        <v>1164</v>
      </c>
      <c r="CD9" s="430">
        <f t="shared" ref="CD9:CD15" si="12">CC9</f>
        <v>1164</v>
      </c>
      <c r="CE9" s="429">
        <v>1792</v>
      </c>
      <c r="CF9" s="429">
        <v>1645.2</v>
      </c>
      <c r="CG9" s="429">
        <v>1720.8</v>
      </c>
      <c r="CH9" s="429">
        <v>1148.0999999999999</v>
      </c>
      <c r="CI9" s="430">
        <f t="shared" ref="CI9:CI15" si="13">CH9</f>
        <v>1148.0999999999999</v>
      </c>
      <c r="CJ9" s="429">
        <v>1569.6</v>
      </c>
      <c r="CK9" s="429">
        <v>1432.2</v>
      </c>
      <c r="CL9" s="429">
        <v>1501.3</v>
      </c>
      <c r="CM9" s="429">
        <v>1188.5999999999999</v>
      </c>
      <c r="CN9" s="430">
        <f t="shared" ref="CN9:CN15" si="14">CM9</f>
        <v>1188.5999999999999</v>
      </c>
      <c r="CO9" s="429">
        <v>1852.1</v>
      </c>
      <c r="CP9" s="429">
        <v>1223.2</v>
      </c>
      <c r="CQ9" s="429">
        <v>1430.8</v>
      </c>
      <c r="CR9" s="429">
        <v>2575.6999999999998</v>
      </c>
      <c r="CS9" s="430">
        <f t="shared" ref="CS9:CS15" si="15">CR9</f>
        <v>2575.6999999999998</v>
      </c>
      <c r="CT9" s="429">
        <v>1545.8</v>
      </c>
      <c r="CU9" s="429">
        <v>1190.3</v>
      </c>
      <c r="CV9" s="631">
        <v>1019.4</v>
      </c>
      <c r="CW9" s="679">
        <v>1708.4</v>
      </c>
      <c r="CX9" s="743">
        <f t="shared" ref="CX9:CX15" si="16">CW9</f>
        <v>1708.4</v>
      </c>
      <c r="CY9" s="429">
        <v>1857</v>
      </c>
      <c r="CZ9" s="429">
        <v>1750.4</v>
      </c>
      <c r="DA9" s="429">
        <v>2080.5</v>
      </c>
      <c r="DB9" s="862">
        <v>1530.1</v>
      </c>
      <c r="DC9" s="430">
        <f t="shared" ref="DC9:DC15" si="17">DB9</f>
        <v>1530.1</v>
      </c>
      <c r="DD9" s="429">
        <v>2263.5</v>
      </c>
      <c r="DE9" s="429">
        <v>1294.4000000000001</v>
      </c>
      <c r="DF9" s="429">
        <v>2141.8000000000002</v>
      </c>
      <c r="DG9" s="429">
        <v>2128.8000000000002</v>
      </c>
      <c r="DH9" s="430">
        <f t="shared" ref="DH9:DH15" si="18">DG9</f>
        <v>2128.8000000000002</v>
      </c>
      <c r="DI9" s="429">
        <v>2034.6</v>
      </c>
      <c r="DJ9" s="429">
        <v>2163.9</v>
      </c>
      <c r="DK9" s="429">
        <v>2716.2</v>
      </c>
      <c r="DL9" s="429">
        <v>2462.3000000000002</v>
      </c>
      <c r="DM9" s="430">
        <f t="shared" ref="DM9:DM15" si="19">DL9</f>
        <v>2462.3000000000002</v>
      </c>
      <c r="DN9" s="429">
        <f>CF!DN78</f>
        <v>4859.3240845416558</v>
      </c>
      <c r="DO9" s="429">
        <f>CF!DO78</f>
        <v>4064.8268685418752</v>
      </c>
      <c r="DP9" s="429">
        <f>CF!DP78</f>
        <v>3677.0444246807551</v>
      </c>
      <c r="DQ9" s="429">
        <f>CF!DQ78</f>
        <v>3197.7167715683722</v>
      </c>
      <c r="DR9" s="430">
        <f t="shared" ref="DR9:DR15" si="20">DQ9</f>
        <v>3197.7167715683722</v>
      </c>
      <c r="DS9" s="429">
        <f>CF!DS78</f>
        <v>4526.9098782754554</v>
      </c>
      <c r="DT9" s="429">
        <f>CF!DT78</f>
        <v>3849.113775498105</v>
      </c>
      <c r="DU9" s="429">
        <f>CF!DU78</f>
        <v>3558.4987815368668</v>
      </c>
      <c r="DV9" s="429">
        <f>CF!DV78</f>
        <v>3207.1224126739853</v>
      </c>
      <c r="DW9" s="430">
        <f t="shared" ref="DW9:DW15" si="21">DV9</f>
        <v>3207.1224126739853</v>
      </c>
      <c r="DX9" s="429">
        <f>CF!DX78</f>
        <v>4266.3009364135432</v>
      </c>
      <c r="DY9" s="429">
        <f>CF!DY78</f>
        <v>3817.2382699160744</v>
      </c>
      <c r="DZ9" s="429">
        <f>CF!DZ78</f>
        <v>3380.912205931706</v>
      </c>
      <c r="EA9" s="429">
        <f>CF!EA78</f>
        <v>2916.4021584186521</v>
      </c>
      <c r="EB9" s="430">
        <f t="shared" ref="EB9:EB15" si="22">EA9</f>
        <v>2916.4021584186521</v>
      </c>
      <c r="ED9" s="418"/>
      <c r="EK9" s="418"/>
    </row>
    <row r="10" spans="1:141" x14ac:dyDescent="0.2">
      <c r="A10" s="174" t="s">
        <v>113</v>
      </c>
      <c r="B10" s="179"/>
      <c r="C10" s="175"/>
      <c r="D10" s="175"/>
      <c r="E10" s="175"/>
      <c r="F10" s="175"/>
      <c r="G10" s="170"/>
      <c r="H10" s="175"/>
      <c r="I10" s="175"/>
      <c r="J10" s="175"/>
      <c r="K10" s="175"/>
      <c r="L10" s="170"/>
      <c r="M10" s="175"/>
      <c r="N10" s="175"/>
      <c r="O10" s="175"/>
      <c r="P10" s="175"/>
      <c r="Q10" s="170">
        <v>83.504000000000005</v>
      </c>
      <c r="R10" s="175"/>
      <c r="S10" s="175"/>
      <c r="T10" s="175"/>
      <c r="U10" s="175">
        <v>21.873999999999999</v>
      </c>
      <c r="V10" s="170">
        <f t="shared" si="0"/>
        <v>21.873999999999999</v>
      </c>
      <c r="W10" s="175">
        <v>56.079000000000001</v>
      </c>
      <c r="X10" s="175">
        <v>38.222999999999999</v>
      </c>
      <c r="Y10" s="178">
        <v>58.460999999999999</v>
      </c>
      <c r="Z10" s="178">
        <v>51.366999999999997</v>
      </c>
      <c r="AA10" s="170">
        <f t="shared" si="1"/>
        <v>51.366999999999997</v>
      </c>
      <c r="AB10" s="178">
        <v>72.808000000000007</v>
      </c>
      <c r="AC10" s="178">
        <v>42.926000000000002</v>
      </c>
      <c r="AD10" s="178">
        <v>56.127000000000002</v>
      </c>
      <c r="AE10" s="175">
        <v>57.573</v>
      </c>
      <c r="AF10" s="170">
        <f t="shared" si="2"/>
        <v>57.573</v>
      </c>
      <c r="AG10" s="178">
        <v>44.593000000000004</v>
      </c>
      <c r="AH10" s="178">
        <v>45.649000000000001</v>
      </c>
      <c r="AI10" s="178">
        <v>115.654</v>
      </c>
      <c r="AJ10" s="175">
        <v>101.399</v>
      </c>
      <c r="AK10" s="170">
        <f t="shared" si="3"/>
        <v>101.399</v>
      </c>
      <c r="AL10" s="175">
        <v>72.771000000000001</v>
      </c>
      <c r="AM10" s="175">
        <v>151.53700000000001</v>
      </c>
      <c r="AN10" s="175">
        <v>206.827</v>
      </c>
      <c r="AO10" s="175">
        <v>217.30199999999999</v>
      </c>
      <c r="AP10" s="170">
        <f t="shared" si="4"/>
        <v>217.30199999999999</v>
      </c>
      <c r="AQ10" s="175">
        <v>191.13399999999999</v>
      </c>
      <c r="AR10" s="175">
        <v>240.11099999999999</v>
      </c>
      <c r="AS10" s="175">
        <v>282.87900000000002</v>
      </c>
      <c r="AT10" s="175">
        <v>128.905</v>
      </c>
      <c r="AU10" s="170">
        <f t="shared" si="5"/>
        <v>128.905</v>
      </c>
      <c r="AV10" s="178">
        <v>190.32900000000001</v>
      </c>
      <c r="AW10" s="178">
        <v>258.40899999999999</v>
      </c>
      <c r="AX10" s="178">
        <v>311.84699999999998</v>
      </c>
      <c r="AY10" s="175">
        <v>483.15699999999998</v>
      </c>
      <c r="AZ10" s="170">
        <f t="shared" si="6"/>
        <v>483.15699999999998</v>
      </c>
      <c r="BA10" s="178">
        <v>303.28500000000003</v>
      </c>
      <c r="BB10" s="178">
        <v>490.37900000000002</v>
      </c>
      <c r="BC10" s="178">
        <v>183.78200000000001</v>
      </c>
      <c r="BD10" s="175">
        <v>95.379000000000005</v>
      </c>
      <c r="BE10" s="170">
        <f t="shared" si="7"/>
        <v>95.379000000000005</v>
      </c>
      <c r="BF10" s="178">
        <v>240.25</v>
      </c>
      <c r="BG10" s="178">
        <v>193.23099999999999</v>
      </c>
      <c r="BH10" s="178">
        <v>175.851</v>
      </c>
      <c r="BI10" s="175">
        <v>87.542000000000002</v>
      </c>
      <c r="BJ10" s="170">
        <f t="shared" si="8"/>
        <v>87.542000000000002</v>
      </c>
      <c r="BK10" s="178">
        <v>103.184</v>
      </c>
      <c r="BL10" s="178">
        <v>77.872</v>
      </c>
      <c r="BM10" s="178">
        <v>85.956000000000003</v>
      </c>
      <c r="BN10" s="175">
        <v>83.844999999999999</v>
      </c>
      <c r="BO10" s="170">
        <f t="shared" si="9"/>
        <v>83.844999999999999</v>
      </c>
      <c r="BP10" s="178">
        <v>113.2</v>
      </c>
      <c r="BQ10" s="175">
        <v>0</v>
      </c>
      <c r="BR10" s="175">
        <v>0</v>
      </c>
      <c r="BS10" s="175">
        <v>3</v>
      </c>
      <c r="BT10" s="170">
        <f t="shared" si="10"/>
        <v>3</v>
      </c>
      <c r="BU10" s="180">
        <v>3</v>
      </c>
      <c r="BV10" s="180">
        <v>7.8</v>
      </c>
      <c r="BW10" s="180">
        <v>5.6</v>
      </c>
      <c r="BX10" s="180">
        <v>21.5</v>
      </c>
      <c r="BY10" s="170">
        <f t="shared" si="11"/>
        <v>21.5</v>
      </c>
      <c r="BZ10" s="175">
        <v>2.5</v>
      </c>
      <c r="CA10" s="175">
        <v>158.30000000000001</v>
      </c>
      <c r="CB10" s="175">
        <v>223.9</v>
      </c>
      <c r="CC10" s="175">
        <v>236.5</v>
      </c>
      <c r="CD10" s="170">
        <f t="shared" si="12"/>
        <v>236.5</v>
      </c>
      <c r="CE10" s="175">
        <v>204.5</v>
      </c>
      <c r="CF10" s="175">
        <v>224.8</v>
      </c>
      <c r="CG10" s="175">
        <v>173.6</v>
      </c>
      <c r="CH10" s="175">
        <v>855</v>
      </c>
      <c r="CI10" s="170">
        <f t="shared" si="13"/>
        <v>855</v>
      </c>
      <c r="CJ10" s="175">
        <v>703.6</v>
      </c>
      <c r="CK10" s="175">
        <v>802.1</v>
      </c>
      <c r="CL10" s="175">
        <v>996.3</v>
      </c>
      <c r="CM10" s="175">
        <v>848.4</v>
      </c>
      <c r="CN10" s="170">
        <f t="shared" si="14"/>
        <v>848.4</v>
      </c>
      <c r="CO10" s="175">
        <v>607.6</v>
      </c>
      <c r="CP10" s="175">
        <v>474.5</v>
      </c>
      <c r="CQ10" s="175">
        <v>613.5</v>
      </c>
      <c r="CR10" s="175">
        <v>658.1</v>
      </c>
      <c r="CS10" s="170">
        <f t="shared" si="15"/>
        <v>658.1</v>
      </c>
      <c r="CT10" s="175">
        <v>157</v>
      </c>
      <c r="CU10" s="175">
        <v>299.2</v>
      </c>
      <c r="CV10" s="602">
        <v>176.9</v>
      </c>
      <c r="CW10" s="678">
        <v>135.4</v>
      </c>
      <c r="CX10" s="742">
        <f t="shared" si="16"/>
        <v>135.4</v>
      </c>
      <c r="CY10" s="175">
        <v>96.1</v>
      </c>
      <c r="CZ10" s="175">
        <v>99.4</v>
      </c>
      <c r="DA10" s="175">
        <v>94.7</v>
      </c>
      <c r="DB10" s="861">
        <v>81.3</v>
      </c>
      <c r="DC10" s="170">
        <f t="shared" si="17"/>
        <v>81.3</v>
      </c>
      <c r="DD10" s="175">
        <v>116.4</v>
      </c>
      <c r="DE10" s="175">
        <v>123.2</v>
      </c>
      <c r="DF10" s="175">
        <v>174.5</v>
      </c>
      <c r="DG10" s="175">
        <v>134.4</v>
      </c>
      <c r="DH10" s="170">
        <f t="shared" si="18"/>
        <v>134.4</v>
      </c>
      <c r="DI10" s="175">
        <v>140.80000000000001</v>
      </c>
      <c r="DJ10" s="175">
        <v>231</v>
      </c>
      <c r="DK10" s="175">
        <v>289.89999999999998</v>
      </c>
      <c r="DL10" s="175">
        <v>228.6</v>
      </c>
      <c r="DM10" s="170">
        <f t="shared" si="19"/>
        <v>228.6</v>
      </c>
      <c r="DN10" s="175">
        <f>DM10-CF!DN42-CF!DN44</f>
        <v>228.6</v>
      </c>
      <c r="DO10" s="175">
        <f>DN10-CF!DO42-CF!DO44</f>
        <v>228.6</v>
      </c>
      <c r="DP10" s="175">
        <f>DO10-CF!DP42-CF!DP44</f>
        <v>228.6</v>
      </c>
      <c r="DQ10" s="175">
        <f>DP10-CF!DQ42-CF!DQ44</f>
        <v>228.6</v>
      </c>
      <c r="DR10" s="170">
        <f t="shared" si="20"/>
        <v>228.6</v>
      </c>
      <c r="DS10" s="175">
        <f>DR10-CF!DS42-CF!DS44</f>
        <v>228.6</v>
      </c>
      <c r="DT10" s="175">
        <f>DS10-CF!DT42-CF!DT44</f>
        <v>228.6</v>
      </c>
      <c r="DU10" s="175">
        <f>DT10-CF!DU42-CF!DU44</f>
        <v>228.6</v>
      </c>
      <c r="DV10" s="175">
        <f>DU10-CF!DV42-CF!DV44</f>
        <v>228.6</v>
      </c>
      <c r="DW10" s="170">
        <f t="shared" si="21"/>
        <v>228.6</v>
      </c>
      <c r="DX10" s="175">
        <f>DW10-CF!DX42-CF!DX44</f>
        <v>228.6</v>
      </c>
      <c r="DY10" s="175">
        <f>DX10-CF!DY42-CF!DY44</f>
        <v>228.6</v>
      </c>
      <c r="DZ10" s="175">
        <f>DY10-CF!DZ42-CF!DZ44</f>
        <v>228.6</v>
      </c>
      <c r="EA10" s="175">
        <f>DZ10-CF!EA42-CF!EA44</f>
        <v>228.6</v>
      </c>
      <c r="EB10" s="170">
        <f t="shared" si="22"/>
        <v>228.6</v>
      </c>
      <c r="ED10" s="418"/>
      <c r="EK10" s="418"/>
    </row>
    <row r="11" spans="1:141" x14ac:dyDescent="0.2">
      <c r="A11" s="174" t="s">
        <v>112</v>
      </c>
      <c r="B11" s="179"/>
      <c r="C11" s="175"/>
      <c r="D11" s="175"/>
      <c r="E11" s="175"/>
      <c r="F11" s="175"/>
      <c r="G11" s="170"/>
      <c r="H11" s="175"/>
      <c r="I11" s="175"/>
      <c r="J11" s="175"/>
      <c r="K11" s="175"/>
      <c r="L11" s="170"/>
      <c r="M11" s="175"/>
      <c r="N11" s="175"/>
      <c r="O11" s="175"/>
      <c r="P11" s="175"/>
      <c r="Q11" s="170">
        <v>0</v>
      </c>
      <c r="R11" s="175"/>
      <c r="S11" s="175"/>
      <c r="T11" s="175"/>
      <c r="U11" s="175">
        <v>0</v>
      </c>
      <c r="V11" s="170">
        <f t="shared" si="0"/>
        <v>0</v>
      </c>
      <c r="W11" s="178">
        <v>0</v>
      </c>
      <c r="X11" s="178">
        <v>0</v>
      </c>
      <c r="Y11" s="178">
        <v>0</v>
      </c>
      <c r="Z11" s="178">
        <v>0</v>
      </c>
      <c r="AA11" s="170">
        <f t="shared" si="1"/>
        <v>0</v>
      </c>
      <c r="AB11" s="178">
        <v>0</v>
      </c>
      <c r="AC11" s="178">
        <v>0</v>
      </c>
      <c r="AD11" s="178">
        <v>0</v>
      </c>
      <c r="AE11" s="175">
        <v>3.7629999999999999</v>
      </c>
      <c r="AF11" s="170">
        <f t="shared" si="2"/>
        <v>3.7629999999999999</v>
      </c>
      <c r="AG11" s="178">
        <v>5.6950000000000003</v>
      </c>
      <c r="AH11" s="178">
        <v>5.34</v>
      </c>
      <c r="AI11" s="178">
        <v>6.3220000000000001</v>
      </c>
      <c r="AJ11" s="175">
        <v>5.9130000000000003</v>
      </c>
      <c r="AK11" s="170">
        <f t="shared" si="3"/>
        <v>5.9130000000000003</v>
      </c>
      <c r="AL11" s="175">
        <v>9.06</v>
      </c>
      <c r="AM11" s="175">
        <v>9.9090000000000007</v>
      </c>
      <c r="AN11" s="175">
        <v>10.446</v>
      </c>
      <c r="AO11" s="175">
        <v>10.36</v>
      </c>
      <c r="AP11" s="170">
        <f t="shared" si="4"/>
        <v>10.36</v>
      </c>
      <c r="AQ11" s="175">
        <v>14.316000000000001</v>
      </c>
      <c r="AR11" s="175">
        <v>15.875</v>
      </c>
      <c r="AS11" s="175">
        <v>18.789000000000001</v>
      </c>
      <c r="AT11" s="175">
        <v>20.199000000000002</v>
      </c>
      <c r="AU11" s="170">
        <f t="shared" si="5"/>
        <v>20.199000000000002</v>
      </c>
      <c r="AV11" s="178">
        <v>26.388000000000002</v>
      </c>
      <c r="AW11" s="178">
        <v>29.143999999999998</v>
      </c>
      <c r="AX11" s="178">
        <v>23.893000000000001</v>
      </c>
      <c r="AY11" s="175">
        <v>24.798999999999999</v>
      </c>
      <c r="AZ11" s="170">
        <f t="shared" si="6"/>
        <v>24.798999999999999</v>
      </c>
      <c r="BA11" s="178">
        <v>31.587</v>
      </c>
      <c r="BB11" s="178">
        <v>33.082999999999998</v>
      </c>
      <c r="BC11" s="178">
        <v>34.646999999999998</v>
      </c>
      <c r="BD11" s="175">
        <v>37.847999999999999</v>
      </c>
      <c r="BE11" s="170">
        <f t="shared" si="7"/>
        <v>37.847999999999999</v>
      </c>
      <c r="BF11" s="178">
        <v>46.844999999999999</v>
      </c>
      <c r="BG11" s="178">
        <v>49.545999999999999</v>
      </c>
      <c r="BH11" s="178">
        <v>50.389000000000003</v>
      </c>
      <c r="BI11" s="175">
        <v>53.496000000000002</v>
      </c>
      <c r="BJ11" s="170">
        <f t="shared" si="8"/>
        <v>53.496000000000002</v>
      </c>
      <c r="BK11" s="178">
        <v>62.412999999999997</v>
      </c>
      <c r="BL11" s="178">
        <v>65.78</v>
      </c>
      <c r="BM11" s="178">
        <v>71.278000000000006</v>
      </c>
      <c r="BN11" s="175">
        <v>73.587999999999994</v>
      </c>
      <c r="BO11" s="170">
        <f t="shared" si="9"/>
        <v>73.587999999999994</v>
      </c>
      <c r="BP11" s="178">
        <v>72.900000000000006</v>
      </c>
      <c r="BQ11" s="175">
        <v>68.099999999999994</v>
      </c>
      <c r="BR11" s="175">
        <v>52.7</v>
      </c>
      <c r="BS11" s="175">
        <v>49.5</v>
      </c>
      <c r="BT11" s="170">
        <f t="shared" si="10"/>
        <v>49.5</v>
      </c>
      <c r="BU11" s="180">
        <v>35.700000000000003</v>
      </c>
      <c r="BV11" s="180">
        <v>33.5</v>
      </c>
      <c r="BW11" s="180">
        <v>39.1</v>
      </c>
      <c r="BX11" s="180">
        <v>44.8</v>
      </c>
      <c r="BY11" s="170">
        <f t="shared" si="11"/>
        <v>44.8</v>
      </c>
      <c r="BZ11" s="175">
        <v>47.9</v>
      </c>
      <c r="CA11" s="175">
        <v>49.6</v>
      </c>
      <c r="CB11" s="175">
        <v>46</v>
      </c>
      <c r="CC11" s="175">
        <v>49.2</v>
      </c>
      <c r="CD11" s="170">
        <f t="shared" si="12"/>
        <v>49.2</v>
      </c>
      <c r="CE11" s="175">
        <v>54.1</v>
      </c>
      <c r="CF11" s="175">
        <v>57.5</v>
      </c>
      <c r="CG11" s="175">
        <v>58.1</v>
      </c>
      <c r="CH11" s="175">
        <v>47.6</v>
      </c>
      <c r="CI11" s="170">
        <f t="shared" si="13"/>
        <v>47.6</v>
      </c>
      <c r="CJ11" s="305">
        <v>0</v>
      </c>
      <c r="CK11" s="305">
        <v>0</v>
      </c>
      <c r="CL11" s="305">
        <v>0</v>
      </c>
      <c r="CM11" s="305">
        <v>0</v>
      </c>
      <c r="CN11" s="436">
        <f t="shared" si="14"/>
        <v>0</v>
      </c>
      <c r="CO11" s="305">
        <v>0</v>
      </c>
      <c r="CP11" s="305">
        <v>0</v>
      </c>
      <c r="CQ11" s="305">
        <v>0</v>
      </c>
      <c r="CR11" s="305">
        <v>0</v>
      </c>
      <c r="CS11" s="436">
        <f t="shared" si="15"/>
        <v>0</v>
      </c>
      <c r="CT11" s="305">
        <v>0</v>
      </c>
      <c r="CU11" s="443">
        <v>0</v>
      </c>
      <c r="CV11" s="632">
        <v>0</v>
      </c>
      <c r="CW11" s="680">
        <f>CV11</f>
        <v>0</v>
      </c>
      <c r="CX11" s="725">
        <f t="shared" si="16"/>
        <v>0</v>
      </c>
      <c r="CY11" s="443">
        <f>CX11</f>
        <v>0</v>
      </c>
      <c r="CZ11" s="305">
        <v>0</v>
      </c>
      <c r="DA11" s="443">
        <v>0</v>
      </c>
      <c r="DB11" s="863">
        <f>DA11</f>
        <v>0</v>
      </c>
      <c r="DC11" s="436">
        <f t="shared" si="17"/>
        <v>0</v>
      </c>
      <c r="DD11" s="305">
        <f>DC11</f>
        <v>0</v>
      </c>
      <c r="DE11" s="443">
        <v>0</v>
      </c>
      <c r="DF11" s="305">
        <v>0</v>
      </c>
      <c r="DG11" s="443">
        <v>0</v>
      </c>
      <c r="DH11" s="436">
        <f t="shared" si="18"/>
        <v>0</v>
      </c>
      <c r="DI11" s="443">
        <v>0</v>
      </c>
      <c r="DJ11" s="443">
        <v>0</v>
      </c>
      <c r="DK11" s="305">
        <v>0</v>
      </c>
      <c r="DL11" s="443">
        <f>DK11</f>
        <v>0</v>
      </c>
      <c r="DM11" s="436">
        <f t="shared" si="19"/>
        <v>0</v>
      </c>
      <c r="DN11" s="305">
        <f>DM11</f>
        <v>0</v>
      </c>
      <c r="DO11" s="443">
        <f>DN11</f>
        <v>0</v>
      </c>
      <c r="DP11" s="305">
        <f>DO11</f>
        <v>0</v>
      </c>
      <c r="DQ11" s="443">
        <f>DP11</f>
        <v>0</v>
      </c>
      <c r="DR11" s="436">
        <f t="shared" si="20"/>
        <v>0</v>
      </c>
      <c r="DS11" s="305">
        <f>DR11</f>
        <v>0</v>
      </c>
      <c r="DT11" s="443">
        <f>DS11</f>
        <v>0</v>
      </c>
      <c r="DU11" s="305">
        <f>DT11</f>
        <v>0</v>
      </c>
      <c r="DV11" s="443">
        <f>DU11</f>
        <v>0</v>
      </c>
      <c r="DW11" s="436">
        <f t="shared" si="21"/>
        <v>0</v>
      </c>
      <c r="DX11" s="305">
        <f>DW11</f>
        <v>0</v>
      </c>
      <c r="DY11" s="443">
        <f>DX11</f>
        <v>0</v>
      </c>
      <c r="DZ11" s="305">
        <f>DY11</f>
        <v>0</v>
      </c>
      <c r="EA11" s="443">
        <f>DZ11</f>
        <v>0</v>
      </c>
      <c r="EB11" s="436">
        <f t="shared" si="22"/>
        <v>0</v>
      </c>
      <c r="ED11" s="418"/>
      <c r="EK11" s="418"/>
    </row>
    <row r="12" spans="1:141" x14ac:dyDescent="0.2">
      <c r="A12" s="174" t="s">
        <v>111</v>
      </c>
      <c r="B12" s="179"/>
      <c r="C12" s="175"/>
      <c r="D12" s="175"/>
      <c r="E12" s="175"/>
      <c r="F12" s="175"/>
      <c r="G12" s="170"/>
      <c r="H12" s="175"/>
      <c r="I12" s="175"/>
      <c r="J12" s="175"/>
      <c r="K12" s="175"/>
      <c r="L12" s="170"/>
      <c r="M12" s="175"/>
      <c r="N12" s="175"/>
      <c r="O12" s="175"/>
      <c r="P12" s="175"/>
      <c r="Q12" s="170">
        <v>31.231000000000002</v>
      </c>
      <c r="R12" s="175"/>
      <c r="S12" s="175"/>
      <c r="T12" s="175"/>
      <c r="U12" s="175">
        <v>50.972000000000001</v>
      </c>
      <c r="V12" s="170">
        <f t="shared" si="0"/>
        <v>50.972000000000001</v>
      </c>
      <c r="W12" s="178">
        <v>45.02</v>
      </c>
      <c r="X12" s="178">
        <v>37.970999999999997</v>
      </c>
      <c r="Y12" s="178">
        <v>41.468000000000004</v>
      </c>
      <c r="Z12" s="178">
        <v>47.646000000000001</v>
      </c>
      <c r="AA12" s="170">
        <f t="shared" si="1"/>
        <v>47.646000000000001</v>
      </c>
      <c r="AB12" s="178">
        <v>48.567</v>
      </c>
      <c r="AC12" s="178">
        <v>58.598999999999997</v>
      </c>
      <c r="AD12" s="178">
        <v>63.149000000000001</v>
      </c>
      <c r="AE12" s="175">
        <v>76.385000000000005</v>
      </c>
      <c r="AF12" s="170">
        <f t="shared" si="2"/>
        <v>76.385000000000005</v>
      </c>
      <c r="AG12" s="178">
        <v>78.349000000000004</v>
      </c>
      <c r="AH12" s="178">
        <v>75.981999999999999</v>
      </c>
      <c r="AI12" s="178">
        <v>95.942999999999998</v>
      </c>
      <c r="AJ12" s="175">
        <v>90.424999999999997</v>
      </c>
      <c r="AK12" s="170">
        <f t="shared" si="3"/>
        <v>90.424999999999997</v>
      </c>
      <c r="AL12" s="175">
        <v>89.712999999999994</v>
      </c>
      <c r="AM12" s="175">
        <v>85.971000000000004</v>
      </c>
      <c r="AN12" s="175">
        <v>93.77</v>
      </c>
      <c r="AO12" s="175">
        <v>97.572999999999993</v>
      </c>
      <c r="AP12" s="170">
        <f t="shared" si="4"/>
        <v>97.572999999999993</v>
      </c>
      <c r="AQ12" s="175">
        <v>111.249</v>
      </c>
      <c r="AR12" s="175">
        <v>103.142</v>
      </c>
      <c r="AS12" s="175">
        <v>107.47199999999999</v>
      </c>
      <c r="AT12" s="175">
        <v>114.44799999999999</v>
      </c>
      <c r="AU12" s="170">
        <f t="shared" si="5"/>
        <v>114.44799999999999</v>
      </c>
      <c r="AV12" s="178">
        <v>122.072</v>
      </c>
      <c r="AW12" s="178">
        <v>118.587</v>
      </c>
      <c r="AX12" s="178">
        <v>122.76</v>
      </c>
      <c r="AY12" s="175">
        <v>140.226</v>
      </c>
      <c r="AZ12" s="170">
        <f t="shared" si="6"/>
        <v>140.226</v>
      </c>
      <c r="BA12" s="178">
        <v>149.40600000000001</v>
      </c>
      <c r="BB12" s="178">
        <v>151.63800000000001</v>
      </c>
      <c r="BC12" s="178">
        <v>148.982</v>
      </c>
      <c r="BD12" s="175">
        <v>190.762</v>
      </c>
      <c r="BE12" s="170">
        <f t="shared" si="7"/>
        <v>190.762</v>
      </c>
      <c r="BF12" s="178">
        <v>197.76499999999999</v>
      </c>
      <c r="BG12" s="178">
        <v>190.452</v>
      </c>
      <c r="BH12" s="178">
        <v>184.941</v>
      </c>
      <c r="BI12" s="175">
        <v>224.27099999999999</v>
      </c>
      <c r="BJ12" s="170">
        <f t="shared" si="8"/>
        <v>224.27099999999999</v>
      </c>
      <c r="BK12" s="178">
        <v>227.82300000000001</v>
      </c>
      <c r="BL12" s="178">
        <v>240.77500000000001</v>
      </c>
      <c r="BM12" s="178">
        <v>250.86600000000001</v>
      </c>
      <c r="BN12" s="175">
        <v>287.92500000000001</v>
      </c>
      <c r="BO12" s="170">
        <f t="shared" si="9"/>
        <v>287.92500000000001</v>
      </c>
      <c r="BP12" s="178">
        <v>316.2</v>
      </c>
      <c r="BQ12" s="175">
        <v>300.3</v>
      </c>
      <c r="BR12" s="175">
        <v>284.10000000000002</v>
      </c>
      <c r="BS12" s="175">
        <v>329.5</v>
      </c>
      <c r="BT12" s="170">
        <f t="shared" si="10"/>
        <v>329.5</v>
      </c>
      <c r="BU12" s="180">
        <v>332</v>
      </c>
      <c r="BV12" s="180">
        <v>309.3</v>
      </c>
      <c r="BW12" s="180">
        <v>295.2</v>
      </c>
      <c r="BX12" s="180">
        <v>271</v>
      </c>
      <c r="BY12" s="170">
        <f t="shared" si="11"/>
        <v>271</v>
      </c>
      <c r="BZ12" s="175">
        <v>263.39999999999998</v>
      </c>
      <c r="CA12" s="175">
        <v>299.7</v>
      </c>
      <c r="CB12" s="175">
        <v>282.5</v>
      </c>
      <c r="CC12" s="175">
        <v>302.7</v>
      </c>
      <c r="CD12" s="170">
        <f t="shared" si="12"/>
        <v>302.7</v>
      </c>
      <c r="CE12" s="175">
        <v>316.10000000000002</v>
      </c>
      <c r="CF12" s="175">
        <v>355.7</v>
      </c>
      <c r="CG12" s="175">
        <v>361.5</v>
      </c>
      <c r="CH12" s="175">
        <v>386.5</v>
      </c>
      <c r="CI12" s="170">
        <f t="shared" si="13"/>
        <v>386.5</v>
      </c>
      <c r="CJ12" s="175">
        <v>431</v>
      </c>
      <c r="CK12" s="175">
        <v>437.4</v>
      </c>
      <c r="CL12" s="175">
        <v>433</v>
      </c>
      <c r="CM12" s="175">
        <v>485.9</v>
      </c>
      <c r="CN12" s="170">
        <f t="shared" si="14"/>
        <v>485.9</v>
      </c>
      <c r="CO12" s="175">
        <v>469.2</v>
      </c>
      <c r="CP12" s="175">
        <v>520</v>
      </c>
      <c r="CQ12" s="175">
        <v>506.8</v>
      </c>
      <c r="CR12" s="175">
        <v>561.4</v>
      </c>
      <c r="CS12" s="170">
        <f t="shared" si="15"/>
        <v>561.4</v>
      </c>
      <c r="CT12" s="175">
        <v>589.79999999999995</v>
      </c>
      <c r="CU12" s="175">
        <v>590</v>
      </c>
      <c r="CV12" s="602">
        <v>580.9</v>
      </c>
      <c r="CW12" s="678">
        <v>631</v>
      </c>
      <c r="CX12" s="742">
        <f t="shared" si="16"/>
        <v>631</v>
      </c>
      <c r="CY12" s="175">
        <v>664.9</v>
      </c>
      <c r="CZ12" s="175">
        <v>655.6</v>
      </c>
      <c r="DA12" s="175">
        <v>672.7</v>
      </c>
      <c r="DB12" s="861">
        <v>719</v>
      </c>
      <c r="DC12" s="170">
        <f t="shared" si="17"/>
        <v>719</v>
      </c>
      <c r="DD12" s="175">
        <v>764.4</v>
      </c>
      <c r="DE12" s="175">
        <v>743.7</v>
      </c>
      <c r="DF12" s="175">
        <v>747.3</v>
      </c>
      <c r="DG12" s="175">
        <v>768.8</v>
      </c>
      <c r="DH12" s="170">
        <f t="shared" si="18"/>
        <v>768.8</v>
      </c>
      <c r="DI12" s="175">
        <v>865.1</v>
      </c>
      <c r="DJ12" s="175">
        <v>791</v>
      </c>
      <c r="DK12" s="175">
        <v>791.1</v>
      </c>
      <c r="DL12" s="175">
        <v>870.4</v>
      </c>
      <c r="DM12" s="170">
        <f t="shared" si="19"/>
        <v>870.4</v>
      </c>
      <c r="DN12" s="175">
        <f t="shared" ref="DN12:DQ13" si="23">DN80*DN85/365</f>
        <v>916.52704041584548</v>
      </c>
      <c r="DO12" s="175">
        <f t="shared" si="23"/>
        <v>889.14106935745656</v>
      </c>
      <c r="DP12" s="175">
        <f t="shared" si="23"/>
        <v>885.0261866398655</v>
      </c>
      <c r="DQ12" s="175">
        <f t="shared" si="23"/>
        <v>862.52910352949709</v>
      </c>
      <c r="DR12" s="170">
        <f t="shared" si="20"/>
        <v>862.52910352949709</v>
      </c>
      <c r="DS12" s="175">
        <f t="shared" ref="DS12:DV13" si="24">DS80*DS85/365</f>
        <v>1016.4876793111353</v>
      </c>
      <c r="DT12" s="175">
        <f t="shared" si="24"/>
        <v>973.50418196180613</v>
      </c>
      <c r="DU12" s="175">
        <f t="shared" si="24"/>
        <v>970.44906098351089</v>
      </c>
      <c r="DV12" s="175">
        <f t="shared" si="24"/>
        <v>946.06055023161912</v>
      </c>
      <c r="DW12" s="170">
        <f t="shared" si="21"/>
        <v>946.06055023161912</v>
      </c>
      <c r="DX12" s="175">
        <f t="shared" ref="DX12:EA13" si="25">DX80*DX85/365</f>
        <v>1112.6371571741611</v>
      </c>
      <c r="DY12" s="175">
        <f t="shared" si="25"/>
        <v>1066.4444405723489</v>
      </c>
      <c r="DZ12" s="175">
        <f t="shared" si="25"/>
        <v>1062.3737240270186</v>
      </c>
      <c r="EA12" s="175">
        <f t="shared" si="25"/>
        <v>1034.6284718210331</v>
      </c>
      <c r="EB12" s="170">
        <f t="shared" si="22"/>
        <v>1034.6284718210331</v>
      </c>
      <c r="ED12" s="418"/>
      <c r="EK12" s="418"/>
    </row>
    <row r="13" spans="1:141" x14ac:dyDescent="0.2">
      <c r="A13" s="174" t="s">
        <v>460</v>
      </c>
      <c r="B13" s="179"/>
      <c r="C13" s="175"/>
      <c r="D13" s="175"/>
      <c r="E13" s="175"/>
      <c r="F13" s="175"/>
      <c r="G13" s="170"/>
      <c r="H13" s="175"/>
      <c r="I13" s="175"/>
      <c r="J13" s="175"/>
      <c r="K13" s="175"/>
      <c r="L13" s="170"/>
      <c r="M13" s="175"/>
      <c r="N13" s="175"/>
      <c r="O13" s="175"/>
      <c r="P13" s="175"/>
      <c r="Q13" s="170">
        <v>119.767</v>
      </c>
      <c r="R13" s="175"/>
      <c r="S13" s="175"/>
      <c r="T13" s="175"/>
      <c r="U13" s="175">
        <v>143.11000000000001</v>
      </c>
      <c r="V13" s="170">
        <f t="shared" si="0"/>
        <v>143.11000000000001</v>
      </c>
      <c r="W13" s="178">
        <v>117.95</v>
      </c>
      <c r="X13" s="178">
        <v>129.184</v>
      </c>
      <c r="Y13" s="178">
        <v>166.57900000000001</v>
      </c>
      <c r="Z13" s="178">
        <v>180.886</v>
      </c>
      <c r="AA13" s="170">
        <f t="shared" si="1"/>
        <v>180.886</v>
      </c>
      <c r="AB13" s="178">
        <v>157.232</v>
      </c>
      <c r="AC13" s="178">
        <v>151.94800000000001</v>
      </c>
      <c r="AD13" s="178">
        <v>181.98599999999999</v>
      </c>
      <c r="AE13" s="175">
        <v>201.65600000000001</v>
      </c>
      <c r="AF13" s="170">
        <f t="shared" si="2"/>
        <v>201.65600000000001</v>
      </c>
      <c r="AG13" s="178">
        <v>168.43799999999999</v>
      </c>
      <c r="AH13" s="178">
        <v>151.36799999999999</v>
      </c>
      <c r="AI13" s="178">
        <v>189.88900000000001</v>
      </c>
      <c r="AJ13" s="175">
        <v>221.25299999999999</v>
      </c>
      <c r="AK13" s="170">
        <f t="shared" si="3"/>
        <v>221.25299999999999</v>
      </c>
      <c r="AL13" s="175">
        <v>176.97200000000001</v>
      </c>
      <c r="AM13" s="175">
        <v>172.30600000000001</v>
      </c>
      <c r="AN13" s="175">
        <v>218.99</v>
      </c>
      <c r="AO13" s="175">
        <v>263.17399999999998</v>
      </c>
      <c r="AP13" s="170">
        <f t="shared" si="4"/>
        <v>263.17399999999998</v>
      </c>
      <c r="AQ13" s="175">
        <v>210.114</v>
      </c>
      <c r="AR13" s="175">
        <v>203.21199999999999</v>
      </c>
      <c r="AS13" s="175">
        <v>280.23899999999998</v>
      </c>
      <c r="AT13" s="175">
        <v>342.94400000000002</v>
      </c>
      <c r="AU13" s="170">
        <f t="shared" si="5"/>
        <v>342.94400000000002</v>
      </c>
      <c r="AV13" s="178">
        <v>305.529</v>
      </c>
      <c r="AW13" s="178">
        <v>307.21499999999997</v>
      </c>
      <c r="AX13" s="178">
        <v>385.28399999999999</v>
      </c>
      <c r="AY13" s="175">
        <v>422.66300000000001</v>
      </c>
      <c r="AZ13" s="170">
        <f t="shared" si="6"/>
        <v>422.66300000000001</v>
      </c>
      <c r="BA13" s="178">
        <v>379.47500000000002</v>
      </c>
      <c r="BB13" s="178">
        <v>406.07299999999998</v>
      </c>
      <c r="BC13" s="178">
        <v>495.54199999999997</v>
      </c>
      <c r="BD13" s="175">
        <v>546.29899999999998</v>
      </c>
      <c r="BE13" s="170">
        <f t="shared" si="7"/>
        <v>546.29899999999998</v>
      </c>
      <c r="BF13" s="178">
        <v>452.65</v>
      </c>
      <c r="BG13" s="178">
        <v>456.21499999999997</v>
      </c>
      <c r="BH13" s="178">
        <v>557.35900000000004</v>
      </c>
      <c r="BI13" s="175">
        <v>636.22199999999998</v>
      </c>
      <c r="BJ13" s="170">
        <f t="shared" si="8"/>
        <v>636.22199999999998</v>
      </c>
      <c r="BK13" s="178">
        <v>547.27700000000004</v>
      </c>
      <c r="BL13" s="178">
        <v>578.87699999999995</v>
      </c>
      <c r="BM13" s="178">
        <v>657.46600000000001</v>
      </c>
      <c r="BN13" s="175">
        <v>691.65800000000002</v>
      </c>
      <c r="BO13" s="170">
        <f t="shared" si="9"/>
        <v>691.65800000000002</v>
      </c>
      <c r="BP13" s="178">
        <v>580.9</v>
      </c>
      <c r="BQ13" s="175">
        <v>607.29999999999995</v>
      </c>
      <c r="BR13" s="175">
        <v>662.7</v>
      </c>
      <c r="BS13" s="175">
        <v>692.8</v>
      </c>
      <c r="BT13" s="170">
        <f t="shared" si="10"/>
        <v>692.8</v>
      </c>
      <c r="BU13" s="180">
        <v>590.4</v>
      </c>
      <c r="BV13" s="180">
        <v>627.79999999999995</v>
      </c>
      <c r="BW13" s="180">
        <v>703.6</v>
      </c>
      <c r="BX13" s="180">
        <v>664.9</v>
      </c>
      <c r="BY13" s="170">
        <f t="shared" si="11"/>
        <v>664.9</v>
      </c>
      <c r="BZ13" s="175">
        <v>544.9</v>
      </c>
      <c r="CA13" s="175">
        <v>488.7</v>
      </c>
      <c r="CB13" s="175">
        <v>496.6</v>
      </c>
      <c r="CC13" s="175">
        <v>543.29999999999995</v>
      </c>
      <c r="CD13" s="170">
        <f t="shared" si="12"/>
        <v>543.29999999999995</v>
      </c>
      <c r="CE13" s="175">
        <v>620.5</v>
      </c>
      <c r="CF13" s="175">
        <v>772.4</v>
      </c>
      <c r="CG13" s="175">
        <v>856.7</v>
      </c>
      <c r="CH13" s="175">
        <v>965.8</v>
      </c>
      <c r="CI13" s="170">
        <f t="shared" si="13"/>
        <v>965.8</v>
      </c>
      <c r="CJ13" s="175">
        <v>1124</v>
      </c>
      <c r="CK13" s="175">
        <v>1205</v>
      </c>
      <c r="CL13" s="175">
        <v>1249.2</v>
      </c>
      <c r="CM13" s="175">
        <v>1241.5</v>
      </c>
      <c r="CN13" s="170">
        <f t="shared" si="14"/>
        <v>1241.5</v>
      </c>
      <c r="CO13" s="175">
        <v>1093.2</v>
      </c>
      <c r="CP13" s="175">
        <v>1124.5</v>
      </c>
      <c r="CQ13" s="175">
        <v>1173.8</v>
      </c>
      <c r="CR13" s="175">
        <v>1111.2</v>
      </c>
      <c r="CS13" s="170">
        <f t="shared" si="15"/>
        <v>1111.2</v>
      </c>
      <c r="CT13" s="175">
        <v>943.3</v>
      </c>
      <c r="CU13" s="175">
        <v>954.7</v>
      </c>
      <c r="CV13" s="602">
        <v>1025.8</v>
      </c>
      <c r="CW13" s="678">
        <v>1090.9000000000001</v>
      </c>
      <c r="CX13" s="742">
        <f t="shared" si="16"/>
        <v>1090.9000000000001</v>
      </c>
      <c r="CY13" s="175">
        <v>1018.3</v>
      </c>
      <c r="CZ13" s="175">
        <v>1061.0999999999999</v>
      </c>
      <c r="DA13" s="175">
        <v>1166</v>
      </c>
      <c r="DB13" s="861">
        <v>1306.4000000000001</v>
      </c>
      <c r="DC13" s="170">
        <f t="shared" si="17"/>
        <v>1306.4000000000001</v>
      </c>
      <c r="DD13" s="175">
        <v>1242.5999999999999</v>
      </c>
      <c r="DE13" s="175">
        <v>1293.0999999999999</v>
      </c>
      <c r="DF13" s="175">
        <v>1325.1</v>
      </c>
      <c r="DG13" s="175">
        <v>1378.5</v>
      </c>
      <c r="DH13" s="170">
        <f t="shared" si="18"/>
        <v>1378.5</v>
      </c>
      <c r="DI13" s="175">
        <v>1218.7</v>
      </c>
      <c r="DJ13" s="175">
        <v>1323.6</v>
      </c>
      <c r="DK13" s="175">
        <v>1357.3</v>
      </c>
      <c r="DL13" s="175">
        <v>1364</v>
      </c>
      <c r="DM13" s="170">
        <f t="shared" si="19"/>
        <v>1364</v>
      </c>
      <c r="DN13" s="175">
        <f t="shared" si="23"/>
        <v>1329.0998823529412</v>
      </c>
      <c r="DO13" s="175">
        <f t="shared" si="23"/>
        <v>1517.1538513589842</v>
      </c>
      <c r="DP13" s="175">
        <f t="shared" si="23"/>
        <v>1546.0035932177359</v>
      </c>
      <c r="DQ13" s="175">
        <f t="shared" si="23"/>
        <v>1594.6420207879137</v>
      </c>
      <c r="DR13" s="170">
        <f t="shared" si="20"/>
        <v>1594.6420207879137</v>
      </c>
      <c r="DS13" s="175">
        <f t="shared" si="24"/>
        <v>1458.8123346596165</v>
      </c>
      <c r="DT13" s="175">
        <f t="shared" si="24"/>
        <v>1637.9951333949894</v>
      </c>
      <c r="DU13" s="175">
        <f t="shared" si="24"/>
        <v>1672.7938683625441</v>
      </c>
      <c r="DV13" s="175">
        <f t="shared" si="24"/>
        <v>1728.1948745915245</v>
      </c>
      <c r="DW13" s="170">
        <f t="shared" si="21"/>
        <v>1728.1948745915245</v>
      </c>
      <c r="DX13" s="175">
        <f t="shared" si="25"/>
        <v>1583.2361930126829</v>
      </c>
      <c r="DY13" s="175">
        <f t="shared" si="25"/>
        <v>1779.1054583074604</v>
      </c>
      <c r="DZ13" s="175">
        <f t="shared" si="25"/>
        <v>1815.5160373679882</v>
      </c>
      <c r="EA13" s="175">
        <f t="shared" si="25"/>
        <v>1874.2489197517691</v>
      </c>
      <c r="EB13" s="170">
        <f t="shared" si="22"/>
        <v>1874.2489197517691</v>
      </c>
      <c r="ED13" s="418"/>
      <c r="EK13" s="418"/>
    </row>
    <row r="14" spans="1:141" x14ac:dyDescent="0.2">
      <c r="A14" s="174" t="s">
        <v>110</v>
      </c>
      <c r="B14" s="179"/>
      <c r="C14" s="175"/>
      <c r="D14" s="175"/>
      <c r="E14" s="175"/>
      <c r="F14" s="175"/>
      <c r="G14" s="170"/>
      <c r="H14" s="175"/>
      <c r="I14" s="175"/>
      <c r="J14" s="175"/>
      <c r="K14" s="175"/>
      <c r="L14" s="170"/>
      <c r="M14" s="175"/>
      <c r="N14" s="175"/>
      <c r="O14" s="175"/>
      <c r="P14" s="175"/>
      <c r="Q14" s="170">
        <v>8.7629999999999999</v>
      </c>
      <c r="R14" s="175"/>
      <c r="S14" s="175"/>
      <c r="T14" s="175"/>
      <c r="U14" s="175">
        <v>11.205</v>
      </c>
      <c r="V14" s="170">
        <f t="shared" si="0"/>
        <v>11.205</v>
      </c>
      <c r="W14" s="178">
        <v>11.643000000000001</v>
      </c>
      <c r="X14" s="178">
        <v>15.882999999999999</v>
      </c>
      <c r="Y14" s="178">
        <v>19.966999999999999</v>
      </c>
      <c r="Z14" s="178">
        <v>19.048999999999999</v>
      </c>
      <c r="AA14" s="170">
        <f t="shared" si="1"/>
        <v>19.048999999999999</v>
      </c>
      <c r="AB14" s="178">
        <v>17.548999999999999</v>
      </c>
      <c r="AC14" s="178">
        <v>26.866</v>
      </c>
      <c r="AD14" s="178">
        <v>21.248000000000001</v>
      </c>
      <c r="AE14" s="175">
        <v>20.321000000000002</v>
      </c>
      <c r="AF14" s="170">
        <f t="shared" si="2"/>
        <v>20.321000000000002</v>
      </c>
      <c r="AG14" s="178">
        <v>22.417000000000002</v>
      </c>
      <c r="AH14" s="178">
        <v>29.43</v>
      </c>
      <c r="AI14" s="178">
        <v>29.567</v>
      </c>
      <c r="AJ14" s="175">
        <v>29.829000000000001</v>
      </c>
      <c r="AK14" s="170">
        <f t="shared" si="3"/>
        <v>29.829000000000001</v>
      </c>
      <c r="AL14" s="175">
        <v>36.53</v>
      </c>
      <c r="AM14" s="175">
        <v>39.543999999999997</v>
      </c>
      <c r="AN14" s="175">
        <v>38.466999999999999</v>
      </c>
      <c r="AO14" s="175">
        <v>42.350999999999999</v>
      </c>
      <c r="AP14" s="170">
        <f t="shared" si="4"/>
        <v>42.350999999999999</v>
      </c>
      <c r="AQ14" s="175">
        <v>42.892000000000003</v>
      </c>
      <c r="AR14" s="175">
        <v>50.607999999999997</v>
      </c>
      <c r="AS14" s="175">
        <v>62.290999999999997</v>
      </c>
      <c r="AT14" s="175">
        <v>55.173000000000002</v>
      </c>
      <c r="AU14" s="170">
        <f t="shared" si="5"/>
        <v>55.173000000000002</v>
      </c>
      <c r="AV14" s="178">
        <v>59.825000000000003</v>
      </c>
      <c r="AW14" s="178">
        <v>59.655999999999999</v>
      </c>
      <c r="AX14" s="178">
        <v>64.757999999999996</v>
      </c>
      <c r="AY14" s="175">
        <v>71.346999999999994</v>
      </c>
      <c r="AZ14" s="170">
        <f t="shared" si="6"/>
        <v>71.346999999999994</v>
      </c>
      <c r="BA14" s="178">
        <v>71.718000000000004</v>
      </c>
      <c r="BB14" s="178">
        <v>83.174999999999997</v>
      </c>
      <c r="BC14" s="178">
        <v>80.77</v>
      </c>
      <c r="BD14" s="175">
        <v>94.429000000000002</v>
      </c>
      <c r="BE14" s="170">
        <f t="shared" si="7"/>
        <v>94.429000000000002</v>
      </c>
      <c r="BF14" s="178">
        <v>87.518000000000001</v>
      </c>
      <c r="BG14" s="178">
        <v>87.162999999999997</v>
      </c>
      <c r="BH14" s="178">
        <v>95.424000000000007</v>
      </c>
      <c r="BI14" s="175">
        <v>126.874</v>
      </c>
      <c r="BJ14" s="170">
        <f t="shared" si="8"/>
        <v>126.874</v>
      </c>
      <c r="BK14" s="178">
        <v>121.32</v>
      </c>
      <c r="BL14" s="178">
        <v>124.95699999999999</v>
      </c>
      <c r="BM14" s="178">
        <v>128.37</v>
      </c>
      <c r="BN14" s="175">
        <v>148.75700000000001</v>
      </c>
      <c r="BO14" s="170">
        <f t="shared" si="9"/>
        <v>148.75700000000001</v>
      </c>
      <c r="BP14" s="178">
        <v>144.69999999999999</v>
      </c>
      <c r="BQ14" s="175">
        <v>145.80000000000001</v>
      </c>
      <c r="BR14" s="175">
        <v>145.4</v>
      </c>
      <c r="BS14" s="175">
        <v>169.2</v>
      </c>
      <c r="BT14" s="170">
        <f t="shared" si="10"/>
        <v>169.2</v>
      </c>
      <c r="BU14" s="180">
        <v>159.69999999999999</v>
      </c>
      <c r="BV14" s="180">
        <v>159.6</v>
      </c>
      <c r="BW14" s="180">
        <v>145.1</v>
      </c>
      <c r="BX14" s="180">
        <v>147.19999999999999</v>
      </c>
      <c r="BY14" s="170">
        <f t="shared" si="11"/>
        <v>147.19999999999999</v>
      </c>
      <c r="BZ14" s="175">
        <v>141</v>
      </c>
      <c r="CA14" s="175">
        <v>136.1</v>
      </c>
      <c r="CB14" s="175">
        <v>156</v>
      </c>
      <c r="CC14" s="175">
        <v>156.5</v>
      </c>
      <c r="CD14" s="170">
        <f t="shared" si="12"/>
        <v>156.5</v>
      </c>
      <c r="CE14" s="175">
        <v>151</v>
      </c>
      <c r="CF14" s="175">
        <v>226.7</v>
      </c>
      <c r="CG14" s="175">
        <v>152.80000000000001</v>
      </c>
      <c r="CH14" s="175">
        <v>161.5</v>
      </c>
      <c r="CI14" s="170">
        <f t="shared" si="13"/>
        <v>161.5</v>
      </c>
      <c r="CJ14" s="175">
        <v>180.1</v>
      </c>
      <c r="CK14" s="175">
        <v>259.60000000000002</v>
      </c>
      <c r="CL14" s="175">
        <v>172.9</v>
      </c>
      <c r="CM14" s="175">
        <v>196.5</v>
      </c>
      <c r="CN14" s="170">
        <f t="shared" si="14"/>
        <v>196.5</v>
      </c>
      <c r="CO14" s="175">
        <v>178.3</v>
      </c>
      <c r="CP14" s="175">
        <v>256.7</v>
      </c>
      <c r="CQ14" s="175">
        <v>302</v>
      </c>
      <c r="CR14" s="175">
        <v>287.7</v>
      </c>
      <c r="CS14" s="170">
        <f t="shared" si="15"/>
        <v>287.7</v>
      </c>
      <c r="CT14" s="175">
        <v>271.10000000000002</v>
      </c>
      <c r="CU14" s="178">
        <v>286.10000000000002</v>
      </c>
      <c r="CV14" s="602">
        <v>289.39999999999998</v>
      </c>
      <c r="CW14" s="681">
        <v>285.60000000000002</v>
      </c>
      <c r="CX14" s="742">
        <f t="shared" si="16"/>
        <v>285.60000000000002</v>
      </c>
      <c r="CY14" s="178">
        <v>600.5</v>
      </c>
      <c r="CZ14" s="175">
        <v>355.1</v>
      </c>
      <c r="DA14" s="178">
        <v>413.8</v>
      </c>
      <c r="DB14" s="861">
        <v>334.2</v>
      </c>
      <c r="DC14" s="170">
        <f t="shared" si="17"/>
        <v>334.2</v>
      </c>
      <c r="DD14" s="678">
        <v>340.8</v>
      </c>
      <c r="DE14" s="178">
        <v>429.1</v>
      </c>
      <c r="DF14" s="175">
        <v>467.5</v>
      </c>
      <c r="DG14" s="178">
        <v>350</v>
      </c>
      <c r="DH14" s="170">
        <f t="shared" si="18"/>
        <v>350</v>
      </c>
      <c r="DI14" s="178">
        <v>357</v>
      </c>
      <c r="DJ14" s="178">
        <v>409.9</v>
      </c>
      <c r="DK14" s="175">
        <v>354.8</v>
      </c>
      <c r="DL14" s="178">
        <v>358.1</v>
      </c>
      <c r="DM14" s="170">
        <f t="shared" si="19"/>
        <v>358.1</v>
      </c>
      <c r="DN14" s="171">
        <f t="shared" ref="DN14:DQ15" si="26">DM14</f>
        <v>358.1</v>
      </c>
      <c r="DO14" s="172">
        <f t="shared" si="26"/>
        <v>358.1</v>
      </c>
      <c r="DP14" s="171">
        <f t="shared" si="26"/>
        <v>358.1</v>
      </c>
      <c r="DQ14" s="172">
        <f t="shared" si="26"/>
        <v>358.1</v>
      </c>
      <c r="DR14" s="173">
        <f t="shared" si="20"/>
        <v>358.1</v>
      </c>
      <c r="DS14" s="171">
        <f t="shared" ref="DS14:DV15" si="27">DR14</f>
        <v>358.1</v>
      </c>
      <c r="DT14" s="172">
        <f t="shared" si="27"/>
        <v>358.1</v>
      </c>
      <c r="DU14" s="171">
        <f t="shared" si="27"/>
        <v>358.1</v>
      </c>
      <c r="DV14" s="172">
        <f t="shared" si="27"/>
        <v>358.1</v>
      </c>
      <c r="DW14" s="173">
        <f t="shared" si="21"/>
        <v>358.1</v>
      </c>
      <c r="DX14" s="171">
        <f t="shared" ref="DX14:EA15" si="28">DW14</f>
        <v>358.1</v>
      </c>
      <c r="DY14" s="172">
        <f t="shared" si="28"/>
        <v>358.1</v>
      </c>
      <c r="DZ14" s="171">
        <f t="shared" si="28"/>
        <v>358.1</v>
      </c>
      <c r="EA14" s="172">
        <f t="shared" si="28"/>
        <v>358.1</v>
      </c>
      <c r="EB14" s="173">
        <f t="shared" si="22"/>
        <v>358.1</v>
      </c>
      <c r="ED14" s="418"/>
      <c r="EK14" s="418"/>
    </row>
    <row r="15" spans="1:141" x14ac:dyDescent="0.2">
      <c r="A15" s="174" t="s">
        <v>109</v>
      </c>
      <c r="B15" s="481"/>
      <c r="C15" s="477"/>
      <c r="D15" s="477"/>
      <c r="E15" s="477"/>
      <c r="F15" s="477"/>
      <c r="G15" s="476"/>
      <c r="H15" s="477"/>
      <c r="I15" s="477"/>
      <c r="J15" s="477"/>
      <c r="K15" s="477"/>
      <c r="L15" s="476"/>
      <c r="M15" s="477"/>
      <c r="N15" s="477"/>
      <c r="O15" s="477"/>
      <c r="P15" s="477"/>
      <c r="Q15" s="476">
        <v>4.1639999999999997</v>
      </c>
      <c r="R15" s="477"/>
      <c r="S15" s="477"/>
      <c r="T15" s="477"/>
      <c r="U15" s="477">
        <v>8.4480000000000004</v>
      </c>
      <c r="V15" s="476">
        <f t="shared" si="0"/>
        <v>8.4480000000000004</v>
      </c>
      <c r="W15" s="482">
        <v>9.0229999999999997</v>
      </c>
      <c r="X15" s="482">
        <v>8.5359999999999996</v>
      </c>
      <c r="Y15" s="482">
        <v>9.0589999999999993</v>
      </c>
      <c r="Z15" s="482">
        <v>21.132999999999999</v>
      </c>
      <c r="AA15" s="476">
        <f t="shared" si="1"/>
        <v>21.132999999999999</v>
      </c>
      <c r="AB15" s="482">
        <v>25.093</v>
      </c>
      <c r="AC15" s="482">
        <v>26.369</v>
      </c>
      <c r="AD15" s="482">
        <v>26.146000000000001</v>
      </c>
      <c r="AE15" s="477">
        <v>29.303999999999998</v>
      </c>
      <c r="AF15" s="476">
        <f t="shared" si="2"/>
        <v>29.303999999999998</v>
      </c>
      <c r="AG15" s="482">
        <v>30.358000000000001</v>
      </c>
      <c r="AH15" s="482">
        <v>35.073999999999998</v>
      </c>
      <c r="AI15" s="482">
        <v>35.427999999999997</v>
      </c>
      <c r="AJ15" s="477">
        <v>31.869</v>
      </c>
      <c r="AK15" s="476">
        <f t="shared" si="3"/>
        <v>31.869</v>
      </c>
      <c r="AL15" s="482">
        <v>38.823999999999998</v>
      </c>
      <c r="AM15" s="482">
        <v>40.691000000000003</v>
      </c>
      <c r="AN15" s="482">
        <v>41.042999999999999</v>
      </c>
      <c r="AO15" s="477">
        <v>42.206000000000003</v>
      </c>
      <c r="AP15" s="476">
        <f t="shared" si="4"/>
        <v>42.206000000000003</v>
      </c>
      <c r="AQ15" s="482">
        <v>47.875999999999998</v>
      </c>
      <c r="AR15" s="482">
        <v>43.621000000000002</v>
      </c>
      <c r="AS15" s="482">
        <v>47.584000000000003</v>
      </c>
      <c r="AT15" s="477">
        <v>61.453000000000003</v>
      </c>
      <c r="AU15" s="476">
        <f t="shared" si="5"/>
        <v>61.453000000000003</v>
      </c>
      <c r="AV15" s="482">
        <v>71.528000000000006</v>
      </c>
      <c r="AW15" s="482">
        <v>78.195999999999998</v>
      </c>
      <c r="AX15" s="482">
        <v>79.775999999999996</v>
      </c>
      <c r="AY15" s="477">
        <v>63.65</v>
      </c>
      <c r="AZ15" s="476">
        <f t="shared" si="6"/>
        <v>63.65</v>
      </c>
      <c r="BA15" s="482">
        <v>73.700999999999993</v>
      </c>
      <c r="BB15" s="482">
        <v>70.966999999999999</v>
      </c>
      <c r="BC15" s="482">
        <v>66.540000000000006</v>
      </c>
      <c r="BD15" s="477">
        <v>70.808000000000007</v>
      </c>
      <c r="BE15" s="476">
        <f t="shared" si="7"/>
        <v>70.808000000000007</v>
      </c>
      <c r="BF15" s="482">
        <v>77.046000000000006</v>
      </c>
      <c r="BG15" s="482">
        <v>87.477000000000004</v>
      </c>
      <c r="BH15" s="482">
        <v>89.968999999999994</v>
      </c>
      <c r="BI15" s="477">
        <v>88.777000000000001</v>
      </c>
      <c r="BJ15" s="476">
        <f t="shared" si="8"/>
        <v>88.777000000000001</v>
      </c>
      <c r="BK15" s="482">
        <v>96.646000000000001</v>
      </c>
      <c r="BL15" s="482">
        <v>96.421999999999997</v>
      </c>
      <c r="BM15" s="482">
        <v>101.071</v>
      </c>
      <c r="BN15" s="477">
        <v>129.453</v>
      </c>
      <c r="BO15" s="476">
        <f t="shared" si="9"/>
        <v>129.453</v>
      </c>
      <c r="BP15" s="482">
        <v>160.4</v>
      </c>
      <c r="BQ15" s="477">
        <v>154.30000000000001</v>
      </c>
      <c r="BR15" s="477">
        <v>215.4</v>
      </c>
      <c r="BS15" s="477">
        <v>234.2</v>
      </c>
      <c r="BT15" s="476">
        <f t="shared" si="10"/>
        <v>234.2</v>
      </c>
      <c r="BU15" s="177">
        <v>216.3</v>
      </c>
      <c r="BV15" s="177">
        <v>212.9</v>
      </c>
      <c r="BW15" s="177">
        <v>237.1</v>
      </c>
      <c r="BX15" s="177">
        <v>286.60000000000002</v>
      </c>
      <c r="BY15" s="476">
        <f t="shared" si="11"/>
        <v>286.60000000000002</v>
      </c>
      <c r="BZ15" s="477">
        <v>277.89999999999998</v>
      </c>
      <c r="CA15" s="477">
        <v>272</v>
      </c>
      <c r="CB15" s="477">
        <v>280.7</v>
      </c>
      <c r="CC15" s="477">
        <v>304.2</v>
      </c>
      <c r="CD15" s="476">
        <f t="shared" si="12"/>
        <v>304.2</v>
      </c>
      <c r="CE15" s="477">
        <v>262.2</v>
      </c>
      <c r="CF15" s="477">
        <v>258</v>
      </c>
      <c r="CG15" s="477">
        <v>263.5</v>
      </c>
      <c r="CH15" s="477">
        <v>230.4</v>
      </c>
      <c r="CI15" s="476">
        <f t="shared" si="13"/>
        <v>230.4</v>
      </c>
      <c r="CJ15" s="477">
        <v>228.8</v>
      </c>
      <c r="CK15" s="477">
        <v>215.2</v>
      </c>
      <c r="CL15" s="477">
        <v>216.9</v>
      </c>
      <c r="CM15" s="477">
        <v>238.7</v>
      </c>
      <c r="CN15" s="476">
        <f t="shared" si="14"/>
        <v>238.7</v>
      </c>
      <c r="CO15" s="477">
        <v>215.6</v>
      </c>
      <c r="CP15" s="477">
        <v>211.3</v>
      </c>
      <c r="CQ15" s="477">
        <v>212.8</v>
      </c>
      <c r="CR15" s="477">
        <v>277.3</v>
      </c>
      <c r="CS15" s="476">
        <f t="shared" si="15"/>
        <v>277.3</v>
      </c>
      <c r="CT15" s="477">
        <v>252.4</v>
      </c>
      <c r="CU15" s="482">
        <v>258.7</v>
      </c>
      <c r="CV15" s="633">
        <v>264.5</v>
      </c>
      <c r="CW15" s="682">
        <v>317.39999999999998</v>
      </c>
      <c r="CX15" s="744">
        <f t="shared" si="16"/>
        <v>317.39999999999998</v>
      </c>
      <c r="CY15" s="482">
        <v>309.3</v>
      </c>
      <c r="CZ15" s="477">
        <v>323.8</v>
      </c>
      <c r="DA15" s="482">
        <v>333</v>
      </c>
      <c r="DB15" s="864">
        <v>0</v>
      </c>
      <c r="DC15" s="476">
        <f t="shared" si="17"/>
        <v>0</v>
      </c>
      <c r="DD15" s="482">
        <v>0</v>
      </c>
      <c r="DE15" s="482">
        <v>0</v>
      </c>
      <c r="DF15" s="477">
        <v>0</v>
      </c>
      <c r="DG15" s="482">
        <v>0</v>
      </c>
      <c r="DH15" s="476">
        <f t="shared" si="18"/>
        <v>0</v>
      </c>
      <c r="DI15" s="482">
        <v>0</v>
      </c>
      <c r="DJ15" s="482">
        <f t="shared" ref="DJ15:DL15" si="29">DI15</f>
        <v>0</v>
      </c>
      <c r="DK15" s="477">
        <v>0</v>
      </c>
      <c r="DL15" s="482">
        <f t="shared" si="29"/>
        <v>0</v>
      </c>
      <c r="DM15" s="476">
        <f t="shared" si="19"/>
        <v>0</v>
      </c>
      <c r="DN15" s="478">
        <f t="shared" si="26"/>
        <v>0</v>
      </c>
      <c r="DO15" s="480">
        <f t="shared" si="26"/>
        <v>0</v>
      </c>
      <c r="DP15" s="478">
        <f t="shared" si="26"/>
        <v>0</v>
      </c>
      <c r="DQ15" s="480">
        <f t="shared" si="26"/>
        <v>0</v>
      </c>
      <c r="DR15" s="479">
        <f t="shared" si="20"/>
        <v>0</v>
      </c>
      <c r="DS15" s="478">
        <f t="shared" si="27"/>
        <v>0</v>
      </c>
      <c r="DT15" s="480">
        <f t="shared" si="27"/>
        <v>0</v>
      </c>
      <c r="DU15" s="478">
        <f t="shared" si="27"/>
        <v>0</v>
      </c>
      <c r="DV15" s="480">
        <f t="shared" si="27"/>
        <v>0</v>
      </c>
      <c r="DW15" s="479">
        <f t="shared" si="21"/>
        <v>0</v>
      </c>
      <c r="DX15" s="478">
        <f t="shared" si="28"/>
        <v>0</v>
      </c>
      <c r="DY15" s="480">
        <f t="shared" si="28"/>
        <v>0</v>
      </c>
      <c r="DZ15" s="478">
        <f t="shared" si="28"/>
        <v>0</v>
      </c>
      <c r="EA15" s="480">
        <f t="shared" si="28"/>
        <v>0</v>
      </c>
      <c r="EB15" s="479">
        <f t="shared" si="22"/>
        <v>0</v>
      </c>
      <c r="ED15" s="418"/>
      <c r="EK15" s="418"/>
    </row>
    <row r="16" spans="1:141" x14ac:dyDescent="0.2">
      <c r="A16" s="188" t="s">
        <v>108</v>
      </c>
      <c r="B16" s="189">
        <v>84.58</v>
      </c>
      <c r="C16" s="190">
        <f>SUM(C9:C14)</f>
        <v>0</v>
      </c>
      <c r="D16" s="190">
        <f>SUM(D9:D14)</f>
        <v>0</v>
      </c>
      <c r="E16" s="190">
        <f>SUM(E9:E14)</f>
        <v>0</v>
      </c>
      <c r="F16" s="190">
        <f>SUM(F9:F14)</f>
        <v>0</v>
      </c>
      <c r="G16" s="189">
        <v>205.35</v>
      </c>
      <c r="H16" s="190">
        <f>SUM(H9:H14)</f>
        <v>0</v>
      </c>
      <c r="I16" s="190">
        <f>SUM(I9:I14)</f>
        <v>0</v>
      </c>
      <c r="J16" s="190">
        <f>SUM(J9:J14)</f>
        <v>0</v>
      </c>
      <c r="K16" s="190">
        <f>SUM(K9:K14)</f>
        <v>0</v>
      </c>
      <c r="L16" s="189">
        <v>339.5</v>
      </c>
      <c r="M16" s="190">
        <f>SUM(M9:M14)</f>
        <v>0</v>
      </c>
      <c r="N16" s="190">
        <f>SUM(N9:N14)</f>
        <v>0</v>
      </c>
      <c r="O16" s="190">
        <f>SUM(O9:O14)</f>
        <v>0</v>
      </c>
      <c r="P16" s="190">
        <f>SUM(P9:P14)</f>
        <v>0</v>
      </c>
      <c r="Q16" s="189">
        <f>SUM(Q9:Q15)</f>
        <v>317.55499999999995</v>
      </c>
      <c r="R16" s="190">
        <f>SUM(R9:R14)</f>
        <v>0</v>
      </c>
      <c r="S16" s="190">
        <f>SUM(S9:S14)</f>
        <v>0</v>
      </c>
      <c r="T16" s="190">
        <f>SUM(T9:T14)</f>
        <v>0</v>
      </c>
      <c r="U16" s="190">
        <f t="shared" ref="U16:AZ16" si="30">SUM(U9:U15)</f>
        <v>337.27199999999999</v>
      </c>
      <c r="V16" s="189">
        <f t="shared" si="30"/>
        <v>337.27199999999999</v>
      </c>
      <c r="W16" s="190">
        <f t="shared" si="30"/>
        <v>368.1</v>
      </c>
      <c r="X16" s="190">
        <f t="shared" si="30"/>
        <v>357.27099999999996</v>
      </c>
      <c r="Y16" s="190">
        <f t="shared" si="30"/>
        <v>386.48</v>
      </c>
      <c r="Z16" s="190">
        <f t="shared" si="30"/>
        <v>386.49999999999994</v>
      </c>
      <c r="AA16" s="189">
        <f t="shared" si="30"/>
        <v>386.49999999999994</v>
      </c>
      <c r="AB16" s="190">
        <f t="shared" si="30"/>
        <v>398.61700000000002</v>
      </c>
      <c r="AC16" s="190">
        <f t="shared" si="30"/>
        <v>391.96600000000001</v>
      </c>
      <c r="AD16" s="190">
        <f t="shared" si="30"/>
        <v>416.09199999999998</v>
      </c>
      <c r="AE16" s="190">
        <f t="shared" si="30"/>
        <v>459.81900000000002</v>
      </c>
      <c r="AF16" s="189">
        <f t="shared" si="30"/>
        <v>459.81900000000002</v>
      </c>
      <c r="AG16" s="190">
        <f t="shared" si="30"/>
        <v>527.29099999999994</v>
      </c>
      <c r="AH16" s="190">
        <f t="shared" si="30"/>
        <v>558.02299999999991</v>
      </c>
      <c r="AI16" s="190">
        <f t="shared" si="30"/>
        <v>624.79399999999998</v>
      </c>
      <c r="AJ16" s="190">
        <f t="shared" si="30"/>
        <v>593.92499999999995</v>
      </c>
      <c r="AK16" s="189">
        <f t="shared" si="30"/>
        <v>593.92499999999995</v>
      </c>
      <c r="AL16" s="190">
        <f t="shared" si="30"/>
        <v>650.70299999999986</v>
      </c>
      <c r="AM16" s="190">
        <f t="shared" si="30"/>
        <v>661.80200000000002</v>
      </c>
      <c r="AN16" s="190">
        <f t="shared" si="30"/>
        <v>818.68600000000004</v>
      </c>
      <c r="AO16" s="190">
        <f t="shared" si="30"/>
        <v>772.64300000000003</v>
      </c>
      <c r="AP16" s="189">
        <f t="shared" si="30"/>
        <v>772.64300000000003</v>
      </c>
      <c r="AQ16" s="190">
        <f t="shared" si="30"/>
        <v>869.04200000000003</v>
      </c>
      <c r="AR16" s="190">
        <f t="shared" si="30"/>
        <v>906.96999999999991</v>
      </c>
      <c r="AS16" s="190">
        <f t="shared" si="30"/>
        <v>1062.8920000000001</v>
      </c>
      <c r="AT16" s="190">
        <f t="shared" si="30"/>
        <v>924.029</v>
      </c>
      <c r="AU16" s="189">
        <f t="shared" si="30"/>
        <v>924.029</v>
      </c>
      <c r="AV16" s="190">
        <f t="shared" si="30"/>
        <v>1224.3470000000002</v>
      </c>
      <c r="AW16" s="190">
        <f t="shared" si="30"/>
        <v>1221.2879999999998</v>
      </c>
      <c r="AX16" s="190">
        <f t="shared" si="30"/>
        <v>1371.6910000000003</v>
      </c>
      <c r="AY16" s="190">
        <f t="shared" si="30"/>
        <v>1350.8950000000002</v>
      </c>
      <c r="AZ16" s="189">
        <f t="shared" si="30"/>
        <v>1350.8950000000002</v>
      </c>
      <c r="BA16" s="190">
        <f t="shared" ref="BA16:CF16" si="31">SUM(BA9:BA15)</f>
        <v>1652.72</v>
      </c>
      <c r="BB16" s="190">
        <f t="shared" si="31"/>
        <v>1412.4570000000001</v>
      </c>
      <c r="BC16" s="190">
        <f t="shared" si="31"/>
        <v>1140.375</v>
      </c>
      <c r="BD16" s="190">
        <f t="shared" si="31"/>
        <v>1209.3340000000001</v>
      </c>
      <c r="BE16" s="189">
        <f t="shared" si="31"/>
        <v>1209.3340000000001</v>
      </c>
      <c r="BF16" s="190">
        <f t="shared" si="31"/>
        <v>1353.509</v>
      </c>
      <c r="BG16" s="190">
        <f t="shared" si="31"/>
        <v>1266.7550000000001</v>
      </c>
      <c r="BH16" s="190">
        <f t="shared" si="31"/>
        <v>1369.672</v>
      </c>
      <c r="BI16" s="190">
        <f t="shared" si="31"/>
        <v>1529.788</v>
      </c>
      <c r="BJ16" s="189">
        <f t="shared" si="31"/>
        <v>1529.788</v>
      </c>
      <c r="BK16" s="190">
        <f t="shared" si="31"/>
        <v>1429.5360000000001</v>
      </c>
      <c r="BL16" s="190">
        <f t="shared" si="31"/>
        <v>1384.8620000000001</v>
      </c>
      <c r="BM16" s="190">
        <f t="shared" si="31"/>
        <v>1467.7959999999998</v>
      </c>
      <c r="BN16" s="190">
        <f t="shared" si="31"/>
        <v>1696.4870000000001</v>
      </c>
      <c r="BO16" s="189">
        <f t="shared" si="31"/>
        <v>1696.4870000000001</v>
      </c>
      <c r="BP16" s="190">
        <f>SUM(BP9:BP15)</f>
        <v>1737.6000000000001</v>
      </c>
      <c r="BQ16" s="190">
        <f>SUM(BQ9:BQ15)</f>
        <v>1579.1999999999998</v>
      </c>
      <c r="BR16" s="190">
        <f>SUM(BR9:BR15)</f>
        <v>1657.3000000000002</v>
      </c>
      <c r="BS16" s="190">
        <f>SUM(BS9:BS15)</f>
        <v>1748</v>
      </c>
      <c r="BT16" s="189">
        <f t="shared" si="31"/>
        <v>1748</v>
      </c>
      <c r="BU16" s="190">
        <f t="shared" si="31"/>
        <v>1693.9</v>
      </c>
      <c r="BV16" s="190">
        <f t="shared" si="31"/>
        <v>1604.1</v>
      </c>
      <c r="BW16" s="190">
        <f t="shared" si="31"/>
        <v>1717.6999999999998</v>
      </c>
      <c r="BX16" s="190">
        <f t="shared" si="31"/>
        <v>2035.8000000000002</v>
      </c>
      <c r="BY16" s="189">
        <f t="shared" si="31"/>
        <v>2035.8000000000002</v>
      </c>
      <c r="BZ16" s="190">
        <f t="shared" si="31"/>
        <v>2583.9</v>
      </c>
      <c r="CA16" s="190">
        <f t="shared" si="31"/>
        <v>2490.3999999999996</v>
      </c>
      <c r="CB16" s="190">
        <f t="shared" si="31"/>
        <v>2610.9</v>
      </c>
      <c r="CC16" s="190">
        <f t="shared" si="31"/>
        <v>2756.3999999999996</v>
      </c>
      <c r="CD16" s="189">
        <f t="shared" si="31"/>
        <v>2756.3999999999996</v>
      </c>
      <c r="CE16" s="190">
        <f t="shared" si="31"/>
        <v>3400.3999999999996</v>
      </c>
      <c r="CF16" s="190">
        <f t="shared" si="31"/>
        <v>3540.2999999999997</v>
      </c>
      <c r="CG16" s="190">
        <f t="shared" ref="CG16:DH16" si="32">SUM(CG9:CG15)</f>
        <v>3587</v>
      </c>
      <c r="CH16" s="190">
        <f t="shared" si="32"/>
        <v>3794.9</v>
      </c>
      <c r="CI16" s="189">
        <f t="shared" si="32"/>
        <v>3794.9</v>
      </c>
      <c r="CJ16" s="190">
        <f t="shared" si="32"/>
        <v>4237.0999999999995</v>
      </c>
      <c r="CK16" s="190">
        <f t="shared" si="32"/>
        <v>4351.5</v>
      </c>
      <c r="CL16" s="190">
        <f t="shared" si="32"/>
        <v>4569.5999999999995</v>
      </c>
      <c r="CM16" s="190">
        <f t="shared" si="32"/>
        <v>4199.6000000000004</v>
      </c>
      <c r="CN16" s="189">
        <f t="shared" si="32"/>
        <v>4199.6000000000004</v>
      </c>
      <c r="CO16" s="190">
        <f t="shared" si="32"/>
        <v>4416</v>
      </c>
      <c r="CP16" s="190">
        <f t="shared" si="32"/>
        <v>3810.2</v>
      </c>
      <c r="CQ16" s="190">
        <f t="shared" si="32"/>
        <v>4239.7</v>
      </c>
      <c r="CR16" s="190">
        <f t="shared" si="32"/>
        <v>5471.4</v>
      </c>
      <c r="CS16" s="189">
        <f t="shared" si="32"/>
        <v>5471.4</v>
      </c>
      <c r="CT16" s="190">
        <f t="shared" si="32"/>
        <v>3759.3999999999996</v>
      </c>
      <c r="CU16" s="190">
        <f t="shared" si="32"/>
        <v>3578.9999999999995</v>
      </c>
      <c r="CV16" s="634">
        <f t="shared" si="32"/>
        <v>3356.9</v>
      </c>
      <c r="CW16" s="683">
        <f t="shared" si="32"/>
        <v>4168.7</v>
      </c>
      <c r="CX16" s="745">
        <f t="shared" si="32"/>
        <v>4168.7</v>
      </c>
      <c r="CY16" s="190">
        <f t="shared" si="32"/>
        <v>4546.1000000000004</v>
      </c>
      <c r="CZ16" s="190">
        <f t="shared" si="32"/>
        <v>4245.3999999999996</v>
      </c>
      <c r="DA16" s="190">
        <f t="shared" si="32"/>
        <v>4760.7</v>
      </c>
      <c r="DB16" s="865">
        <f t="shared" si="32"/>
        <v>3970.9999999999995</v>
      </c>
      <c r="DC16" s="189">
        <f t="shared" si="32"/>
        <v>3970.9999999999995</v>
      </c>
      <c r="DD16" s="190">
        <f>SUM(DD9:DD15)</f>
        <v>4727.7</v>
      </c>
      <c r="DE16" s="190">
        <f t="shared" si="32"/>
        <v>3883.5</v>
      </c>
      <c r="DF16" s="190">
        <f t="shared" si="32"/>
        <v>4856.2000000000007</v>
      </c>
      <c r="DG16" s="190">
        <f t="shared" si="32"/>
        <v>4760.5</v>
      </c>
      <c r="DH16" s="189">
        <f t="shared" si="32"/>
        <v>4760.5</v>
      </c>
      <c r="DI16" s="190">
        <f>SUM(DI9:DI15)</f>
        <v>4616.2</v>
      </c>
      <c r="DJ16" s="190">
        <f>SUM(DJ9:DJ15)</f>
        <v>4919.3999999999996</v>
      </c>
      <c r="DK16" s="190">
        <f>SUM(DK9:DK15)</f>
        <v>5509.3</v>
      </c>
      <c r="DL16" s="190">
        <f>SUM(DL9:DL15)</f>
        <v>5283.4000000000005</v>
      </c>
      <c r="DM16" s="189">
        <f t="shared" ref="DM16:DV16" si="33">SUM(DM9:DM15)</f>
        <v>5283.4000000000005</v>
      </c>
      <c r="DN16" s="190">
        <f t="shared" si="33"/>
        <v>7691.6510073104437</v>
      </c>
      <c r="DO16" s="190">
        <f t="shared" si="33"/>
        <v>7057.8217892583161</v>
      </c>
      <c r="DP16" s="190">
        <f t="shared" si="33"/>
        <v>6694.7742045383566</v>
      </c>
      <c r="DQ16" s="190">
        <f t="shared" si="33"/>
        <v>6241.5878958857829</v>
      </c>
      <c r="DR16" s="189">
        <f t="shared" si="33"/>
        <v>6241.5878958857829</v>
      </c>
      <c r="DS16" s="190">
        <f t="shared" si="33"/>
        <v>7588.9098922462081</v>
      </c>
      <c r="DT16" s="190">
        <f t="shared" si="33"/>
        <v>7047.313090854901</v>
      </c>
      <c r="DU16" s="190">
        <f t="shared" si="33"/>
        <v>6788.4417108829221</v>
      </c>
      <c r="DV16" s="190">
        <f t="shared" si="33"/>
        <v>6468.0778374971287</v>
      </c>
      <c r="DW16" s="189">
        <f t="shared" ref="DW16:EB16" si="34">SUM(DW9:DW15)</f>
        <v>6468.0778374971287</v>
      </c>
      <c r="DX16" s="190">
        <f t="shared" si="34"/>
        <v>7548.8742866003877</v>
      </c>
      <c r="DY16" s="190">
        <f t="shared" si="34"/>
        <v>7249.4881687958841</v>
      </c>
      <c r="DZ16" s="190">
        <f t="shared" si="34"/>
        <v>6845.5019673267134</v>
      </c>
      <c r="EA16" s="190">
        <f t="shared" si="34"/>
        <v>6411.9795499914544</v>
      </c>
      <c r="EB16" s="189">
        <f t="shared" si="34"/>
        <v>6411.9795499914544</v>
      </c>
      <c r="ED16" s="418"/>
      <c r="EK16" s="418"/>
    </row>
    <row r="17" spans="1:141" ht="6" customHeight="1" x14ac:dyDescent="0.2">
      <c r="A17" s="1"/>
      <c r="B17" s="179"/>
      <c r="C17" s="175"/>
      <c r="D17" s="175"/>
      <c r="E17" s="175"/>
      <c r="F17" s="175"/>
      <c r="G17" s="170"/>
      <c r="H17" s="175"/>
      <c r="I17" s="175"/>
      <c r="J17" s="175"/>
      <c r="K17" s="175"/>
      <c r="L17" s="170"/>
      <c r="M17" s="175"/>
      <c r="N17" s="175"/>
      <c r="O17" s="175"/>
      <c r="P17" s="175"/>
      <c r="Q17" s="170"/>
      <c r="R17" s="175"/>
      <c r="S17" s="175"/>
      <c r="T17" s="175"/>
      <c r="U17" s="175"/>
      <c r="V17" s="170"/>
      <c r="W17" s="175"/>
      <c r="X17" s="175"/>
      <c r="Y17" s="175"/>
      <c r="Z17" s="175"/>
      <c r="AA17" s="170"/>
      <c r="AB17" s="175"/>
      <c r="AC17" s="175"/>
      <c r="AD17" s="175"/>
      <c r="AE17" s="175"/>
      <c r="AF17" s="170"/>
      <c r="AG17" s="175"/>
      <c r="AH17" s="175"/>
      <c r="AI17" s="175"/>
      <c r="AJ17" s="175"/>
      <c r="AK17" s="170"/>
      <c r="AL17" s="175"/>
      <c r="AM17" s="175"/>
      <c r="AN17" s="175"/>
      <c r="AO17" s="175"/>
      <c r="AP17" s="170"/>
      <c r="AQ17" s="175"/>
      <c r="AR17" s="175"/>
      <c r="AS17" s="175"/>
      <c r="AT17" s="175"/>
      <c r="AU17" s="170"/>
      <c r="AV17" s="175"/>
      <c r="AW17" s="175"/>
      <c r="AX17" s="175"/>
      <c r="AY17" s="175"/>
      <c r="AZ17" s="170"/>
      <c r="BA17" s="175"/>
      <c r="BB17" s="175"/>
      <c r="BC17" s="175"/>
      <c r="BD17" s="175"/>
      <c r="BE17" s="170"/>
      <c r="BF17" s="175"/>
      <c r="BG17" s="175"/>
      <c r="BH17" s="175"/>
      <c r="BI17" s="175"/>
      <c r="BJ17" s="170"/>
      <c r="BK17" s="175"/>
      <c r="BL17" s="175"/>
      <c r="BM17" s="175"/>
      <c r="BN17" s="175"/>
      <c r="BO17" s="170"/>
      <c r="BP17" s="175"/>
      <c r="BQ17" s="175"/>
      <c r="BR17" s="175"/>
      <c r="BS17" s="175"/>
      <c r="BT17" s="170"/>
      <c r="BU17" s="175"/>
      <c r="BV17" s="175"/>
      <c r="BW17" s="175"/>
      <c r="BX17" s="175"/>
      <c r="BY17" s="170"/>
      <c r="BZ17" s="175"/>
      <c r="CA17" s="175"/>
      <c r="CB17" s="175"/>
      <c r="CC17" s="175"/>
      <c r="CD17" s="170"/>
      <c r="CE17" s="175"/>
      <c r="CF17" s="175"/>
      <c r="CG17" s="175"/>
      <c r="CH17" s="175"/>
      <c r="CI17" s="170"/>
      <c r="CJ17" s="175"/>
      <c r="CK17" s="175"/>
      <c r="CL17" s="175"/>
      <c r="CM17" s="175"/>
      <c r="CN17" s="170"/>
      <c r="CO17" s="175"/>
      <c r="CP17" s="175"/>
      <c r="CQ17" s="175"/>
      <c r="CR17" s="175"/>
      <c r="CS17" s="170"/>
      <c r="CT17" s="175"/>
      <c r="CU17" s="175"/>
      <c r="CV17" s="175"/>
      <c r="CW17" s="678"/>
      <c r="CX17" s="742"/>
      <c r="CY17" s="175"/>
      <c r="CZ17" s="175"/>
      <c r="DA17" s="175"/>
      <c r="DB17" s="861"/>
      <c r="DC17" s="170"/>
      <c r="DD17" s="175"/>
      <c r="DE17" s="175"/>
      <c r="DF17" s="175"/>
      <c r="DG17" s="175"/>
      <c r="DH17" s="170"/>
      <c r="DI17" s="175"/>
      <c r="DJ17" s="175"/>
      <c r="DK17" s="175"/>
      <c r="DL17" s="175"/>
      <c r="DM17" s="170"/>
      <c r="DN17" s="175"/>
      <c r="DO17" s="175"/>
      <c r="DP17" s="175"/>
      <c r="DQ17" s="175"/>
      <c r="DR17" s="170"/>
      <c r="DS17" s="175"/>
      <c r="DT17" s="175"/>
      <c r="DU17" s="175"/>
      <c r="DV17" s="175"/>
      <c r="DW17" s="170"/>
      <c r="DX17" s="175"/>
      <c r="DY17" s="175"/>
      <c r="DZ17" s="175"/>
      <c r="EA17" s="175"/>
      <c r="EB17" s="170"/>
      <c r="ED17" s="418"/>
      <c r="EK17" s="418"/>
    </row>
    <row r="18" spans="1:141" x14ac:dyDescent="0.2">
      <c r="A18" s="155" t="s">
        <v>107</v>
      </c>
      <c r="B18" s="179"/>
      <c r="C18" s="175"/>
      <c r="D18" s="175"/>
      <c r="E18" s="175"/>
      <c r="F18" s="175"/>
      <c r="G18" s="170"/>
      <c r="H18" s="175"/>
      <c r="I18" s="175"/>
      <c r="J18" s="175"/>
      <c r="K18" s="175"/>
      <c r="L18" s="170"/>
      <c r="M18" s="175"/>
      <c r="N18" s="175"/>
      <c r="O18" s="175"/>
      <c r="P18" s="175"/>
      <c r="Q18" s="170"/>
      <c r="R18" s="175"/>
      <c r="S18" s="175"/>
      <c r="T18" s="175"/>
      <c r="U18" s="175"/>
      <c r="V18" s="170"/>
      <c r="W18" s="175"/>
      <c r="X18" s="175"/>
      <c r="Y18" s="175"/>
      <c r="Z18" s="175"/>
      <c r="AA18" s="170"/>
      <c r="AB18" s="175"/>
      <c r="AC18" s="175"/>
      <c r="AD18" s="175"/>
      <c r="AE18" s="175"/>
      <c r="AF18" s="170"/>
      <c r="AG18" s="175"/>
      <c r="AH18" s="175"/>
      <c r="AI18" s="175"/>
      <c r="AJ18" s="175"/>
      <c r="AK18" s="170"/>
      <c r="AL18" s="175"/>
      <c r="AM18" s="175"/>
      <c r="AN18" s="175"/>
      <c r="AO18" s="175"/>
      <c r="AP18" s="170"/>
      <c r="AQ18" s="175"/>
      <c r="AR18" s="175"/>
      <c r="AS18" s="175"/>
      <c r="AT18" s="175">
        <v>136.15899999999999</v>
      </c>
      <c r="AU18" s="170">
        <f t="shared" ref="AU18:AU26" si="35">AT18</f>
        <v>136.15899999999999</v>
      </c>
      <c r="AV18" s="175">
        <v>178.86699999999999</v>
      </c>
      <c r="AW18" s="175">
        <v>195.50800000000001</v>
      </c>
      <c r="AX18" s="175">
        <v>158.96199999999999</v>
      </c>
      <c r="AY18" s="175">
        <v>135.179</v>
      </c>
      <c r="AZ18" s="170">
        <v>135.179</v>
      </c>
      <c r="BA18" s="175">
        <v>164.58600000000001</v>
      </c>
      <c r="BB18" s="175">
        <v>142.78200000000001</v>
      </c>
      <c r="BC18" s="175">
        <v>83.894000000000005</v>
      </c>
      <c r="BD18" s="175">
        <v>60.475000000000001</v>
      </c>
      <c r="BE18" s="170">
        <v>60.475000000000001</v>
      </c>
      <c r="BF18" s="175">
        <v>55.658999999999999</v>
      </c>
      <c r="BG18" s="175">
        <v>37.639000000000003</v>
      </c>
      <c r="BH18" s="175">
        <v>24.045000000000002</v>
      </c>
      <c r="BI18" s="175">
        <v>5.8109999999999999</v>
      </c>
      <c r="BJ18" s="170">
        <v>5.8109999999999999</v>
      </c>
      <c r="BK18" s="175">
        <v>23.28</v>
      </c>
      <c r="BL18" s="175">
        <v>20.994</v>
      </c>
      <c r="BM18" s="175">
        <v>15.98</v>
      </c>
      <c r="BN18" s="175">
        <v>21.021999999999998</v>
      </c>
      <c r="BO18" s="170">
        <f t="shared" ref="BO18:BO26" si="36">BN18</f>
        <v>21.021999999999998</v>
      </c>
      <c r="BP18" s="175">
        <v>0</v>
      </c>
      <c r="BQ18" s="175">
        <v>70.5</v>
      </c>
      <c r="BR18" s="175">
        <v>77.599999999999994</v>
      </c>
      <c r="BS18" s="175">
        <v>71.400000000000006</v>
      </c>
      <c r="BT18" s="170">
        <f t="shared" ref="BT18:BT26" si="37">BS18</f>
        <v>71.400000000000006</v>
      </c>
      <c r="BU18" s="175">
        <v>80</v>
      </c>
      <c r="BV18" s="175">
        <v>77.2</v>
      </c>
      <c r="BW18" s="175">
        <v>68.099999999999994</v>
      </c>
      <c r="BX18" s="175">
        <v>71.2</v>
      </c>
      <c r="BY18" s="170">
        <v>71.2</v>
      </c>
      <c r="BZ18" s="175">
        <v>78</v>
      </c>
      <c r="CA18" s="175">
        <v>270</v>
      </c>
      <c r="CB18" s="175">
        <v>263.89999999999998</v>
      </c>
      <c r="CC18" s="175">
        <v>191.8</v>
      </c>
      <c r="CD18" s="170">
        <f t="shared" ref="CD18:CD26" si="38">CC18</f>
        <v>191.8</v>
      </c>
      <c r="CE18" s="175">
        <v>130.6</v>
      </c>
      <c r="CF18" s="175">
        <v>93.5</v>
      </c>
      <c r="CG18" s="175">
        <v>89.6</v>
      </c>
      <c r="CH18" s="175">
        <v>107</v>
      </c>
      <c r="CI18" s="170">
        <f t="shared" ref="CI18:CI24" si="39">CH18</f>
        <v>107</v>
      </c>
      <c r="CJ18" s="175">
        <v>146.1</v>
      </c>
      <c r="CK18" s="175">
        <v>145.9</v>
      </c>
      <c r="CL18" s="175">
        <v>140.1</v>
      </c>
      <c r="CM18" s="175">
        <v>116</v>
      </c>
      <c r="CN18" s="170">
        <f t="shared" ref="CN18:CN24" si="40">CM18</f>
        <v>116</v>
      </c>
      <c r="CO18" s="175">
        <v>80</v>
      </c>
      <c r="CP18" s="175">
        <v>44.4</v>
      </c>
      <c r="CQ18" s="175">
        <v>45.4</v>
      </c>
      <c r="CR18" s="175">
        <v>58.3</v>
      </c>
      <c r="CS18" s="170">
        <f t="shared" ref="CS18:CX18" si="41">CR18</f>
        <v>58.3</v>
      </c>
      <c r="CT18" s="175">
        <v>480</v>
      </c>
      <c r="CU18" s="175">
        <v>449.8</v>
      </c>
      <c r="CV18" s="602">
        <v>832.7</v>
      </c>
      <c r="CW18" s="678">
        <v>318.39999999999998</v>
      </c>
      <c r="CX18" s="742">
        <f t="shared" si="41"/>
        <v>318.39999999999998</v>
      </c>
      <c r="CY18" s="175">
        <v>307.5</v>
      </c>
      <c r="CZ18" s="175">
        <v>325.10000000000002</v>
      </c>
      <c r="DA18" s="175">
        <v>390.1</v>
      </c>
      <c r="DB18" s="861">
        <v>312.5</v>
      </c>
      <c r="DC18" s="170">
        <f t="shared" ref="DC18:DC24" si="42">DB18</f>
        <v>312.5</v>
      </c>
      <c r="DD18" s="175">
        <v>366.9</v>
      </c>
      <c r="DE18" s="175">
        <v>605</v>
      </c>
      <c r="DF18" s="175">
        <v>819.5</v>
      </c>
      <c r="DG18" s="175">
        <v>1141.7</v>
      </c>
      <c r="DH18" s="170">
        <f t="shared" ref="DH18:DV18" si="43">DG18</f>
        <v>1141.7</v>
      </c>
      <c r="DI18" s="175">
        <v>1278.3</v>
      </c>
      <c r="DJ18" s="175">
        <v>1070.0999999999999</v>
      </c>
      <c r="DK18" s="175">
        <v>708.3</v>
      </c>
      <c r="DL18" s="175">
        <v>542.29999999999995</v>
      </c>
      <c r="DM18" s="170">
        <f t="shared" si="43"/>
        <v>542.29999999999995</v>
      </c>
      <c r="DN18" s="171">
        <f t="shared" si="43"/>
        <v>542.29999999999995</v>
      </c>
      <c r="DO18" s="171">
        <f t="shared" si="43"/>
        <v>542.29999999999995</v>
      </c>
      <c r="DP18" s="171">
        <f t="shared" si="43"/>
        <v>542.29999999999995</v>
      </c>
      <c r="DQ18" s="171">
        <f t="shared" si="43"/>
        <v>542.29999999999995</v>
      </c>
      <c r="DR18" s="170">
        <f t="shared" si="43"/>
        <v>542.29999999999995</v>
      </c>
      <c r="DS18" s="171">
        <f t="shared" si="43"/>
        <v>542.29999999999995</v>
      </c>
      <c r="DT18" s="171">
        <f t="shared" si="43"/>
        <v>542.29999999999995</v>
      </c>
      <c r="DU18" s="171">
        <f t="shared" si="43"/>
        <v>542.29999999999995</v>
      </c>
      <c r="DV18" s="171">
        <f t="shared" si="43"/>
        <v>542.29999999999995</v>
      </c>
      <c r="DW18" s="170">
        <f t="shared" ref="DW18:DW24" si="44">DV18</f>
        <v>542.29999999999995</v>
      </c>
      <c r="DX18" s="171">
        <f>DW18</f>
        <v>542.29999999999995</v>
      </c>
      <c r="DY18" s="171">
        <f>DX18</f>
        <v>542.29999999999995</v>
      </c>
      <c r="DZ18" s="171">
        <f>DY18</f>
        <v>542.29999999999995</v>
      </c>
      <c r="EA18" s="171">
        <f>DZ18</f>
        <v>542.29999999999995</v>
      </c>
      <c r="EB18" s="170">
        <f t="shared" ref="EB18:EB24" si="45">EA18</f>
        <v>542.29999999999995</v>
      </c>
      <c r="ED18" s="418"/>
      <c r="EK18" s="418"/>
    </row>
    <row r="19" spans="1:141" x14ac:dyDescent="0.2">
      <c r="A19" s="155" t="s">
        <v>470</v>
      </c>
      <c r="B19" s="179"/>
      <c r="C19" s="175"/>
      <c r="D19" s="175"/>
      <c r="E19" s="175"/>
      <c r="F19" s="175"/>
      <c r="G19" s="170"/>
      <c r="H19" s="175"/>
      <c r="I19" s="175"/>
      <c r="J19" s="175"/>
      <c r="K19" s="175"/>
      <c r="L19" s="170"/>
      <c r="M19" s="175"/>
      <c r="N19" s="175"/>
      <c r="O19" s="175"/>
      <c r="P19" s="175"/>
      <c r="Q19" s="170">
        <v>34.463999999999999</v>
      </c>
      <c r="R19" s="175"/>
      <c r="S19" s="175"/>
      <c r="T19" s="175"/>
      <c r="U19" s="175">
        <v>38.917000000000002</v>
      </c>
      <c r="V19" s="170">
        <f t="shared" ref="V19:V24" si="46">U19</f>
        <v>38.917000000000002</v>
      </c>
      <c r="W19" s="175">
        <v>43.558999999999997</v>
      </c>
      <c r="X19" s="175">
        <v>48.527000000000001</v>
      </c>
      <c r="Y19" s="175">
        <v>55.078000000000003</v>
      </c>
      <c r="Z19" s="175">
        <v>68.06</v>
      </c>
      <c r="AA19" s="170">
        <f>Z19</f>
        <v>68.06</v>
      </c>
      <c r="AB19" s="191">
        <v>82.424000000000007</v>
      </c>
      <c r="AC19" s="191">
        <v>104.988</v>
      </c>
      <c r="AD19" s="191">
        <v>108.794</v>
      </c>
      <c r="AE19" s="191">
        <f>52.051+3.788</f>
        <v>55.838999999999999</v>
      </c>
      <c r="AF19" s="170">
        <f t="shared" ref="AF19:AF24" si="47">AE19</f>
        <v>55.838999999999999</v>
      </c>
      <c r="AG19" s="175">
        <f>63.898+3.832</f>
        <v>67.73</v>
      </c>
      <c r="AH19" s="175">
        <f>60.348+1.948</f>
        <v>62.295999999999999</v>
      </c>
      <c r="AI19" s="175">
        <f>56.363+1.948</f>
        <v>58.311</v>
      </c>
      <c r="AJ19" s="175">
        <v>63.097000000000001</v>
      </c>
      <c r="AK19" s="170">
        <f t="shared" ref="AK19:AK24" si="48">AJ19</f>
        <v>63.097000000000001</v>
      </c>
      <c r="AL19" s="175">
        <v>98.022999999999996</v>
      </c>
      <c r="AM19" s="175">
        <v>98.581000000000003</v>
      </c>
      <c r="AN19" s="175">
        <v>108.249</v>
      </c>
      <c r="AO19" s="175">
        <v>102.929</v>
      </c>
      <c r="AP19" s="170">
        <f t="shared" ref="AP19:AP24" si="49">AO19</f>
        <v>102.929</v>
      </c>
      <c r="AQ19" s="175">
        <v>107.575</v>
      </c>
      <c r="AR19" s="175">
        <v>111.27500000000001</v>
      </c>
      <c r="AS19" s="175">
        <v>119.339</v>
      </c>
      <c r="AT19" s="175">
        <v>144.25700000000001</v>
      </c>
      <c r="AU19" s="170">
        <f t="shared" si="35"/>
        <v>144.25700000000001</v>
      </c>
      <c r="AV19" s="175">
        <v>150.46199999999999</v>
      </c>
      <c r="AW19" s="175">
        <v>164.786</v>
      </c>
      <c r="AX19" s="175">
        <v>162.24600000000001</v>
      </c>
      <c r="AY19" s="175">
        <v>168.17699999999999</v>
      </c>
      <c r="AZ19" s="170">
        <v>167.74</v>
      </c>
      <c r="BA19" s="175">
        <v>184.63499999999999</v>
      </c>
      <c r="BB19" s="175">
        <v>189.11500000000001</v>
      </c>
      <c r="BC19" s="175">
        <v>182.06700000000001</v>
      </c>
      <c r="BD19" s="175">
        <v>201.089</v>
      </c>
      <c r="BE19" s="170">
        <v>201.089</v>
      </c>
      <c r="BF19" s="175">
        <v>207.47</v>
      </c>
      <c r="BG19" s="175">
        <v>214.78</v>
      </c>
      <c r="BH19" s="175">
        <v>217.30600000000001</v>
      </c>
      <c r="BI19" s="175">
        <v>219.09299999999999</v>
      </c>
      <c r="BJ19" s="170">
        <v>219.09299999999999</v>
      </c>
      <c r="BK19" s="175">
        <v>224.91800000000001</v>
      </c>
      <c r="BL19" s="175">
        <v>230.59399999999999</v>
      </c>
      <c r="BM19" s="175">
        <v>242.46</v>
      </c>
      <c r="BN19" s="175">
        <v>258.846</v>
      </c>
      <c r="BO19" s="170">
        <f t="shared" si="36"/>
        <v>258.846</v>
      </c>
      <c r="BP19" s="175">
        <v>270.3</v>
      </c>
      <c r="BQ19" s="175">
        <v>305.60000000000002</v>
      </c>
      <c r="BR19" s="175">
        <v>311.10000000000002</v>
      </c>
      <c r="BS19" s="175">
        <v>302.60000000000002</v>
      </c>
      <c r="BT19" s="170">
        <f t="shared" si="37"/>
        <v>302.60000000000002</v>
      </c>
      <c r="BU19" s="175">
        <v>311.10000000000002</v>
      </c>
      <c r="BV19" s="175">
        <v>310.2</v>
      </c>
      <c r="BW19" s="175">
        <v>340.3</v>
      </c>
      <c r="BX19" s="175">
        <v>352.3</v>
      </c>
      <c r="BY19" s="170">
        <v>352.3</v>
      </c>
      <c r="BZ19" s="175">
        <v>315.39999999999998</v>
      </c>
      <c r="CA19" s="175">
        <v>318.8</v>
      </c>
      <c r="CB19" s="175">
        <v>328.9</v>
      </c>
      <c r="CC19" s="175">
        <v>341.5</v>
      </c>
      <c r="CD19" s="170">
        <f t="shared" si="38"/>
        <v>341.5</v>
      </c>
      <c r="CE19" s="175">
        <v>352.9</v>
      </c>
      <c r="CF19" s="175">
        <v>354</v>
      </c>
      <c r="CG19" s="175">
        <v>384.1</v>
      </c>
      <c r="CH19" s="175">
        <v>372.3</v>
      </c>
      <c r="CI19" s="170">
        <f t="shared" si="39"/>
        <v>372.3</v>
      </c>
      <c r="CJ19" s="175">
        <v>382</v>
      </c>
      <c r="CK19" s="175">
        <v>393.8</v>
      </c>
      <c r="CL19" s="175">
        <v>414.3</v>
      </c>
      <c r="CM19" s="175">
        <v>459.9</v>
      </c>
      <c r="CN19" s="170">
        <f t="shared" si="40"/>
        <v>459.9</v>
      </c>
      <c r="CO19" s="175">
        <v>454.3</v>
      </c>
      <c r="CP19" s="175">
        <v>424.5</v>
      </c>
      <c r="CQ19" s="175">
        <v>443.4</v>
      </c>
      <c r="CR19" s="175">
        <v>496.5</v>
      </c>
      <c r="CS19" s="170">
        <f t="shared" ref="CS19:CS24" si="50">CR19</f>
        <v>496.5</v>
      </c>
      <c r="CT19" s="175">
        <v>489.3</v>
      </c>
      <c r="CU19" s="175">
        <v>512.79999999999995</v>
      </c>
      <c r="CV19" s="602">
        <v>541.5</v>
      </c>
      <c r="CW19" s="678">
        <v>514.9</v>
      </c>
      <c r="CX19" s="742">
        <f>CW19</f>
        <v>514.9</v>
      </c>
      <c r="CY19" s="175">
        <v>320.89999999999998</v>
      </c>
      <c r="CZ19" s="175">
        <v>337</v>
      </c>
      <c r="DA19" s="175">
        <v>359.4</v>
      </c>
      <c r="DB19" s="861">
        <v>352</v>
      </c>
      <c r="DC19" s="170">
        <f t="shared" si="42"/>
        <v>352</v>
      </c>
      <c r="DD19" s="175">
        <v>289.60000000000002</v>
      </c>
      <c r="DE19" s="175">
        <v>332.4</v>
      </c>
      <c r="DF19" s="175">
        <v>352.6</v>
      </c>
      <c r="DG19" s="175">
        <v>354.5</v>
      </c>
      <c r="DH19" s="170">
        <f t="shared" ref="DH19:DH24" si="51">DG19</f>
        <v>354.5</v>
      </c>
      <c r="DI19" s="175">
        <v>373.7</v>
      </c>
      <c r="DJ19" s="175">
        <v>391.2</v>
      </c>
      <c r="DK19" s="175">
        <v>430.2</v>
      </c>
      <c r="DL19" s="175">
        <v>481.6</v>
      </c>
      <c r="DM19" s="170">
        <f t="shared" ref="DM19:DM24" si="52">DL19</f>
        <v>481.6</v>
      </c>
      <c r="DN19" s="175">
        <f>DM19-CF!DN18+CF!DN20</f>
        <v>481.6</v>
      </c>
      <c r="DO19" s="175">
        <f>DN19-CF!DO18+CF!DO20</f>
        <v>481.6</v>
      </c>
      <c r="DP19" s="175">
        <f>DO19-CF!DP18+CF!DP20</f>
        <v>481.6</v>
      </c>
      <c r="DQ19" s="175">
        <f>DP19-CF!DQ18+CF!DQ20</f>
        <v>481.6</v>
      </c>
      <c r="DR19" s="170">
        <f t="shared" ref="DR19:DR24" si="53">DQ19</f>
        <v>481.6</v>
      </c>
      <c r="DS19" s="175">
        <f>DR19-CF!DS18+CF!DS20</f>
        <v>481.6</v>
      </c>
      <c r="DT19" s="175">
        <f>DS19-CF!DT18+CF!DT20</f>
        <v>481.6</v>
      </c>
      <c r="DU19" s="175">
        <f>DT19-CF!DU18+CF!DU20</f>
        <v>481.6</v>
      </c>
      <c r="DV19" s="175">
        <f>DU19-CF!DV18+CF!DV20</f>
        <v>481.6</v>
      </c>
      <c r="DW19" s="170">
        <f t="shared" si="44"/>
        <v>481.6</v>
      </c>
      <c r="DX19" s="175">
        <f>DW19-CF!DX18+CF!DX20</f>
        <v>481.6</v>
      </c>
      <c r="DY19" s="175">
        <f>DX19-CF!DY18+CF!DY20</f>
        <v>481.6</v>
      </c>
      <c r="DZ19" s="175">
        <f>DY19-CF!DZ18+CF!DZ20</f>
        <v>481.6</v>
      </c>
      <c r="EA19" s="175">
        <f>DZ19-CF!EA18+CF!EA20</f>
        <v>481.6</v>
      </c>
      <c r="EB19" s="170">
        <f t="shared" si="45"/>
        <v>481.6</v>
      </c>
      <c r="ED19" s="418"/>
      <c r="EK19" s="418"/>
    </row>
    <row r="20" spans="1:141" x14ac:dyDescent="0.2">
      <c r="A20" s="155" t="s">
        <v>10</v>
      </c>
      <c r="B20" s="179"/>
      <c r="C20" s="175"/>
      <c r="D20" s="175"/>
      <c r="E20" s="175"/>
      <c r="F20" s="175"/>
      <c r="G20" s="170"/>
      <c r="H20" s="175"/>
      <c r="I20" s="175"/>
      <c r="J20" s="175"/>
      <c r="K20" s="175"/>
      <c r="L20" s="170"/>
      <c r="M20" s="175"/>
      <c r="N20" s="175"/>
      <c r="O20" s="175"/>
      <c r="P20" s="175"/>
      <c r="Q20" s="170">
        <v>483.8</v>
      </c>
      <c r="R20" s="175"/>
      <c r="S20" s="175"/>
      <c r="T20" s="175"/>
      <c r="U20" s="175">
        <v>600.79</v>
      </c>
      <c r="V20" s="170">
        <f t="shared" si="46"/>
        <v>600.79</v>
      </c>
      <c r="W20" s="175">
        <v>628.20000000000005</v>
      </c>
      <c r="X20" s="175">
        <v>654.22400000000005</v>
      </c>
      <c r="Y20" s="175">
        <v>691.7</v>
      </c>
      <c r="Z20" s="175">
        <v>760.28899999999999</v>
      </c>
      <c r="AA20" s="170">
        <f>Z20</f>
        <v>760.28899999999999</v>
      </c>
      <c r="AB20" s="191">
        <v>796.55</v>
      </c>
      <c r="AC20" s="191">
        <v>840.94399999999996</v>
      </c>
      <c r="AD20" s="191">
        <v>882.47500000000002</v>
      </c>
      <c r="AE20" s="191">
        <v>930.75900000000001</v>
      </c>
      <c r="AF20" s="170">
        <f t="shared" si="47"/>
        <v>930.75900000000001</v>
      </c>
      <c r="AG20" s="175">
        <v>960.38300000000004</v>
      </c>
      <c r="AH20" s="175">
        <v>997.58500000000004</v>
      </c>
      <c r="AI20" s="175">
        <v>1048.1389999999999</v>
      </c>
      <c r="AJ20" s="175">
        <v>1135.7840000000001</v>
      </c>
      <c r="AK20" s="170">
        <f t="shared" si="48"/>
        <v>1135.7840000000001</v>
      </c>
      <c r="AL20" s="175">
        <v>1159.462</v>
      </c>
      <c r="AM20" s="175">
        <v>1195.3969999999999</v>
      </c>
      <c r="AN20" s="175">
        <v>1224.154</v>
      </c>
      <c r="AO20" s="175">
        <v>1265.7560000000001</v>
      </c>
      <c r="AP20" s="170">
        <f t="shared" si="49"/>
        <v>1265.7560000000001</v>
      </c>
      <c r="AQ20" s="192">
        <v>1303.8920000000001</v>
      </c>
      <c r="AR20" s="192">
        <v>1329.905</v>
      </c>
      <c r="AS20" s="192">
        <v>1346.5250000000001</v>
      </c>
      <c r="AT20" s="192">
        <v>1384.902</v>
      </c>
      <c r="AU20" s="170">
        <f t="shared" si="35"/>
        <v>1384.902</v>
      </c>
      <c r="AV20" s="175">
        <v>1377.7159999999999</v>
      </c>
      <c r="AW20" s="175">
        <v>1372.0029999999999</v>
      </c>
      <c r="AX20" s="175">
        <v>1383.058</v>
      </c>
      <c r="AY20" s="175">
        <v>1551.4159999999999</v>
      </c>
      <c r="AZ20" s="170">
        <v>1551.4159999999999</v>
      </c>
      <c r="BA20" s="175">
        <v>1655.1210000000001</v>
      </c>
      <c r="BB20" s="175">
        <v>1698.8030000000001</v>
      </c>
      <c r="BC20" s="175">
        <v>1738.83</v>
      </c>
      <c r="BD20" s="175">
        <v>1842.019</v>
      </c>
      <c r="BE20" s="170">
        <v>1842.019</v>
      </c>
      <c r="BF20" s="175">
        <v>1870.7929999999999</v>
      </c>
      <c r="BG20" s="175">
        <v>1963.701</v>
      </c>
      <c r="BH20" s="175">
        <v>2090.9029999999998</v>
      </c>
      <c r="BI20" s="175">
        <v>2287.8989999999999</v>
      </c>
      <c r="BJ20" s="170">
        <v>2287.8989999999999</v>
      </c>
      <c r="BK20" s="175">
        <v>2396.8009999999999</v>
      </c>
      <c r="BL20" s="175">
        <v>2523.87</v>
      </c>
      <c r="BM20" s="175">
        <v>2686.9690000000001</v>
      </c>
      <c r="BN20" s="175">
        <v>2890.433</v>
      </c>
      <c r="BO20" s="170">
        <f t="shared" si="36"/>
        <v>2890.433</v>
      </c>
      <c r="BP20" s="175">
        <v>2993</v>
      </c>
      <c r="BQ20" s="175">
        <v>3052.3</v>
      </c>
      <c r="BR20" s="175">
        <v>2947.4</v>
      </c>
      <c r="BS20" s="175">
        <v>2956.4</v>
      </c>
      <c r="BT20" s="170">
        <f t="shared" si="37"/>
        <v>2956.4</v>
      </c>
      <c r="BU20" s="175">
        <v>2822.5</v>
      </c>
      <c r="BV20" s="175">
        <v>2658</v>
      </c>
      <c r="BW20" s="175">
        <v>2594.1999999999998</v>
      </c>
      <c r="BX20" s="175">
        <v>2536.4</v>
      </c>
      <c r="BY20" s="170">
        <v>2536.4</v>
      </c>
      <c r="BZ20" s="175">
        <v>2482.6999999999998</v>
      </c>
      <c r="CA20" s="175">
        <v>2414.6</v>
      </c>
      <c r="CB20" s="175">
        <v>2361.5</v>
      </c>
      <c r="CC20" s="175">
        <v>2416.5</v>
      </c>
      <c r="CD20" s="170">
        <f t="shared" si="38"/>
        <v>2416.5</v>
      </c>
      <c r="CE20" s="175">
        <v>2393.6</v>
      </c>
      <c r="CF20" s="175">
        <v>2378.5</v>
      </c>
      <c r="CG20" s="175">
        <v>2384.8000000000002</v>
      </c>
      <c r="CH20" s="175">
        <v>2355</v>
      </c>
      <c r="CI20" s="170">
        <f t="shared" si="39"/>
        <v>2355</v>
      </c>
      <c r="CJ20" s="175">
        <v>2347.3000000000002</v>
      </c>
      <c r="CK20" s="175">
        <v>2382.5</v>
      </c>
      <c r="CL20" s="175">
        <v>2444.1999999999998</v>
      </c>
      <c r="CM20" s="175">
        <v>2658.9</v>
      </c>
      <c r="CN20" s="170">
        <f t="shared" si="40"/>
        <v>2658.9</v>
      </c>
      <c r="CO20" s="175">
        <v>2711.1</v>
      </c>
      <c r="CP20" s="175">
        <v>2845.3</v>
      </c>
      <c r="CQ20" s="175">
        <v>2987.1</v>
      </c>
      <c r="CR20" s="175">
        <v>3200.5</v>
      </c>
      <c r="CS20" s="170">
        <f t="shared" si="50"/>
        <v>3200.5</v>
      </c>
      <c r="CT20" s="175">
        <v>3233</v>
      </c>
      <c r="CU20" s="175">
        <v>3278.1</v>
      </c>
      <c r="CV20" s="602">
        <v>3373.7</v>
      </c>
      <c r="CW20" s="678">
        <v>3519</v>
      </c>
      <c r="CX20" s="742">
        <f>CW20</f>
        <v>3519</v>
      </c>
      <c r="CY20" s="175">
        <v>3822.3</v>
      </c>
      <c r="CZ20" s="175">
        <v>3897.7</v>
      </c>
      <c r="DA20" s="175">
        <v>3977.7</v>
      </c>
      <c r="DB20" s="861">
        <v>4088.3</v>
      </c>
      <c r="DC20" s="170">
        <f t="shared" si="42"/>
        <v>4088.3</v>
      </c>
      <c r="DD20" s="175">
        <v>4122.5</v>
      </c>
      <c r="DE20" s="175">
        <v>4246.8999999999996</v>
      </c>
      <c r="DF20" s="175">
        <v>4359.2</v>
      </c>
      <c r="DG20" s="175">
        <v>4533.8</v>
      </c>
      <c r="DH20" s="170">
        <f t="shared" si="51"/>
        <v>4533.8</v>
      </c>
      <c r="DI20" s="175">
        <v>4478.5</v>
      </c>
      <c r="DJ20" s="175">
        <v>4564.5</v>
      </c>
      <c r="DK20" s="175">
        <v>4699.8</v>
      </c>
      <c r="DL20" s="175">
        <v>4919.5</v>
      </c>
      <c r="DM20" s="170">
        <f t="shared" si="52"/>
        <v>4919.5</v>
      </c>
      <c r="DN20" s="175">
        <f>DM20-CF!DN50-CF!DN12</f>
        <v>5116.2275</v>
      </c>
      <c r="DO20" s="175">
        <f>DN20-CF!DO50-CF!DO12</f>
        <v>5275.7634743310882</v>
      </c>
      <c r="DP20" s="175">
        <f>DO20-CF!DP50-CF!DP12</f>
        <v>5465.4173331980392</v>
      </c>
      <c r="DQ20" s="175">
        <f>DP20-CF!DQ50-CF!DQ12</f>
        <v>5820.2136981893545</v>
      </c>
      <c r="DR20" s="170">
        <f t="shared" si="53"/>
        <v>5820.2136981893545</v>
      </c>
      <c r="DS20" s="175">
        <f>DR20-CF!DS50-CF!DS12</f>
        <v>6001.89231866519</v>
      </c>
      <c r="DT20" s="175">
        <f>DS20-CF!DT50-CF!DT12</f>
        <v>6156.0934474571341</v>
      </c>
      <c r="DU20" s="175">
        <f>DT20-CF!DU50-CF!DU12</f>
        <v>6341.9425245304628</v>
      </c>
      <c r="DV20" s="175">
        <f>DU20-CF!DV50-CF!DV12</f>
        <v>6672.182445473667</v>
      </c>
      <c r="DW20" s="170">
        <f t="shared" si="44"/>
        <v>6672.182445473667</v>
      </c>
      <c r="DX20" s="175">
        <f>DW20-CF!DX50-CF!DX12</f>
        <v>6840.8616881158223</v>
      </c>
      <c r="DY20" s="175">
        <f>DX20-CF!DY50-CF!DY12</f>
        <v>6979.5035778537267</v>
      </c>
      <c r="DZ20" s="175">
        <f>DY20-CF!DZ50-CF!DZ12</f>
        <v>7150.1700656494795</v>
      </c>
      <c r="EA20" s="175">
        <f>DZ20-CF!EA50-CF!EA12</f>
        <v>7439.3293226886553</v>
      </c>
      <c r="EB20" s="170">
        <f t="shared" si="45"/>
        <v>7439.3293226886553</v>
      </c>
      <c r="ED20" s="418"/>
      <c r="EK20" s="418"/>
    </row>
    <row r="21" spans="1:141" x14ac:dyDescent="0.2">
      <c r="A21" s="155" t="s">
        <v>9</v>
      </c>
      <c r="B21" s="179"/>
      <c r="C21" s="175"/>
      <c r="D21" s="175"/>
      <c r="E21" s="175"/>
      <c r="F21" s="175"/>
      <c r="G21" s="170"/>
      <c r="H21" s="175"/>
      <c r="I21" s="175"/>
      <c r="J21" s="175"/>
      <c r="K21" s="175"/>
      <c r="L21" s="170"/>
      <c r="M21" s="175"/>
      <c r="N21" s="175"/>
      <c r="O21" s="175"/>
      <c r="P21" s="175"/>
      <c r="Q21" s="170">
        <v>0</v>
      </c>
      <c r="R21" s="175"/>
      <c r="S21" s="175"/>
      <c r="T21" s="175"/>
      <c r="U21" s="175">
        <v>0</v>
      </c>
      <c r="V21" s="170">
        <f t="shared" si="46"/>
        <v>0</v>
      </c>
      <c r="W21" s="175">
        <v>0</v>
      </c>
      <c r="X21" s="175">
        <v>0</v>
      </c>
      <c r="Y21" s="175">
        <v>0</v>
      </c>
      <c r="Z21" s="175">
        <v>0</v>
      </c>
      <c r="AA21" s="170">
        <v>0</v>
      </c>
      <c r="AB21" s="180">
        <v>0</v>
      </c>
      <c r="AC21" s="180">
        <v>0</v>
      </c>
      <c r="AD21" s="180">
        <v>0</v>
      </c>
      <c r="AE21" s="180">
        <v>0</v>
      </c>
      <c r="AF21" s="170">
        <f t="shared" si="47"/>
        <v>0</v>
      </c>
      <c r="AG21" s="192">
        <v>0</v>
      </c>
      <c r="AH21" s="192">
        <v>0</v>
      </c>
      <c r="AI21" s="192">
        <v>0</v>
      </c>
      <c r="AJ21" s="192">
        <v>0</v>
      </c>
      <c r="AK21" s="170">
        <f t="shared" si="48"/>
        <v>0</v>
      </c>
      <c r="AL21" s="192" t="s">
        <v>210</v>
      </c>
      <c r="AM21" s="192" t="s">
        <v>210</v>
      </c>
      <c r="AN21" s="192" t="s">
        <v>210</v>
      </c>
      <c r="AO21" s="192" t="s">
        <v>210</v>
      </c>
      <c r="AP21" s="170" t="str">
        <f t="shared" si="49"/>
        <v xml:space="preserve"> </v>
      </c>
      <c r="AQ21" s="519">
        <v>0</v>
      </c>
      <c r="AR21" s="443">
        <v>0</v>
      </c>
      <c r="AS21" s="443">
        <v>0</v>
      </c>
      <c r="AT21" s="305">
        <v>0</v>
      </c>
      <c r="AU21" s="436">
        <f t="shared" si="35"/>
        <v>0</v>
      </c>
      <c r="AV21" s="519">
        <v>0</v>
      </c>
      <c r="AW21" s="519">
        <v>0</v>
      </c>
      <c r="AX21" s="519">
        <v>0</v>
      </c>
      <c r="AY21" s="519">
        <v>0</v>
      </c>
      <c r="AZ21" s="436">
        <v>0</v>
      </c>
      <c r="BA21" s="519">
        <v>0</v>
      </c>
      <c r="BB21" s="520">
        <v>0</v>
      </c>
      <c r="BC21" s="520">
        <v>11.884</v>
      </c>
      <c r="BD21" s="520">
        <v>0</v>
      </c>
      <c r="BE21" s="392">
        <v>0</v>
      </c>
      <c r="BF21" s="520">
        <v>0</v>
      </c>
      <c r="BG21" s="520">
        <v>0</v>
      </c>
      <c r="BH21" s="520">
        <v>0</v>
      </c>
      <c r="BI21" s="520">
        <v>0</v>
      </c>
      <c r="BJ21" s="392">
        <v>0</v>
      </c>
      <c r="BK21" s="520">
        <v>0</v>
      </c>
      <c r="BL21" s="520">
        <v>0</v>
      </c>
      <c r="BM21" s="520">
        <v>0</v>
      </c>
      <c r="BN21" s="520">
        <v>0</v>
      </c>
      <c r="BO21" s="392">
        <f t="shared" si="36"/>
        <v>0</v>
      </c>
      <c r="BP21" s="520">
        <v>0</v>
      </c>
      <c r="BQ21" s="520">
        <v>0</v>
      </c>
      <c r="BR21" s="520">
        <v>0</v>
      </c>
      <c r="BS21" s="520">
        <v>0</v>
      </c>
      <c r="BT21" s="392">
        <f t="shared" si="37"/>
        <v>0</v>
      </c>
      <c r="BU21" s="520">
        <v>0</v>
      </c>
      <c r="BV21" s="520">
        <v>0</v>
      </c>
      <c r="BW21" s="520">
        <v>0</v>
      </c>
      <c r="BX21" s="520">
        <v>0</v>
      </c>
      <c r="BY21" s="392">
        <v>0</v>
      </c>
      <c r="BZ21" s="520">
        <v>0</v>
      </c>
      <c r="CA21" s="520">
        <v>0</v>
      </c>
      <c r="CB21" s="520">
        <v>0</v>
      </c>
      <c r="CC21" s="520">
        <v>0</v>
      </c>
      <c r="CD21" s="392">
        <f t="shared" si="38"/>
        <v>0</v>
      </c>
      <c r="CE21" s="520">
        <v>0</v>
      </c>
      <c r="CF21" s="520">
        <v>0</v>
      </c>
      <c r="CG21" s="520">
        <v>0</v>
      </c>
      <c r="CH21" s="520">
        <v>0</v>
      </c>
      <c r="CI21" s="392">
        <f t="shared" si="39"/>
        <v>0</v>
      </c>
      <c r="CJ21" s="520">
        <v>0</v>
      </c>
      <c r="CK21" s="520">
        <v>0</v>
      </c>
      <c r="CL21" s="520">
        <v>0</v>
      </c>
      <c r="CM21" s="520">
        <v>0</v>
      </c>
      <c r="CN21" s="392">
        <f t="shared" si="40"/>
        <v>0</v>
      </c>
      <c r="CO21" s="520">
        <v>0</v>
      </c>
      <c r="CP21" s="520">
        <v>0</v>
      </c>
      <c r="CQ21" s="520">
        <v>0</v>
      </c>
      <c r="CR21" s="520">
        <v>967</v>
      </c>
      <c r="CS21" s="170">
        <f t="shared" si="50"/>
        <v>967</v>
      </c>
      <c r="CT21" s="520">
        <v>949</v>
      </c>
      <c r="CU21" s="520">
        <v>943.4</v>
      </c>
      <c r="CV21" s="414">
        <v>947.1</v>
      </c>
      <c r="CW21" s="684">
        <v>903.3</v>
      </c>
      <c r="CX21" s="726">
        <f>CW21</f>
        <v>903.3</v>
      </c>
      <c r="CY21" s="520">
        <v>831.7</v>
      </c>
      <c r="CZ21" s="520">
        <v>851.1</v>
      </c>
      <c r="DA21" s="520">
        <v>851.2</v>
      </c>
      <c r="DB21" s="866">
        <v>1180.8</v>
      </c>
      <c r="DC21" s="392">
        <f t="shared" si="42"/>
        <v>1180.8</v>
      </c>
      <c r="DD21" s="520">
        <v>938.5</v>
      </c>
      <c r="DE21" s="520">
        <v>910.2</v>
      </c>
      <c r="DF21" s="520">
        <v>822.8</v>
      </c>
      <c r="DG21" s="520">
        <v>885.4</v>
      </c>
      <c r="DH21" s="392">
        <f t="shared" si="51"/>
        <v>885.4</v>
      </c>
      <c r="DI21" s="520">
        <v>806.1</v>
      </c>
      <c r="DJ21" s="520">
        <v>811.2</v>
      </c>
      <c r="DK21" s="520">
        <v>805.9</v>
      </c>
      <c r="DL21" s="520">
        <v>795.4</v>
      </c>
      <c r="DM21" s="392">
        <f t="shared" si="52"/>
        <v>795.4</v>
      </c>
      <c r="DN21" s="520">
        <f t="shared" ref="DN21:DQ24" si="54">DM21</f>
        <v>795.4</v>
      </c>
      <c r="DO21" s="520">
        <f t="shared" si="54"/>
        <v>795.4</v>
      </c>
      <c r="DP21" s="520">
        <f t="shared" si="54"/>
        <v>795.4</v>
      </c>
      <c r="DQ21" s="520">
        <f t="shared" si="54"/>
        <v>795.4</v>
      </c>
      <c r="DR21" s="392">
        <f t="shared" si="53"/>
        <v>795.4</v>
      </c>
      <c r="DS21" s="520">
        <f t="shared" ref="DS21:DV24" si="55">DR21</f>
        <v>795.4</v>
      </c>
      <c r="DT21" s="520">
        <f t="shared" si="55"/>
        <v>795.4</v>
      </c>
      <c r="DU21" s="520">
        <f t="shared" si="55"/>
        <v>795.4</v>
      </c>
      <c r="DV21" s="520">
        <f t="shared" si="55"/>
        <v>795.4</v>
      </c>
      <c r="DW21" s="392">
        <f t="shared" si="44"/>
        <v>795.4</v>
      </c>
      <c r="DX21" s="520">
        <f t="shared" ref="DX21:EA24" si="56">DW21</f>
        <v>795.4</v>
      </c>
      <c r="DY21" s="520">
        <f t="shared" si="56"/>
        <v>795.4</v>
      </c>
      <c r="DZ21" s="520">
        <f t="shared" si="56"/>
        <v>795.4</v>
      </c>
      <c r="EA21" s="520">
        <f t="shared" si="56"/>
        <v>795.4</v>
      </c>
      <c r="EB21" s="392">
        <f t="shared" si="45"/>
        <v>795.4</v>
      </c>
      <c r="ED21" s="418"/>
      <c r="EK21" s="418"/>
    </row>
    <row r="22" spans="1:141" x14ac:dyDescent="0.2">
      <c r="A22" s="155" t="s">
        <v>8</v>
      </c>
      <c r="B22" s="179"/>
      <c r="C22" s="175"/>
      <c r="D22" s="175"/>
      <c r="E22" s="175"/>
      <c r="F22" s="175"/>
      <c r="G22" s="170"/>
      <c r="H22" s="175"/>
      <c r="I22" s="175"/>
      <c r="J22" s="175"/>
      <c r="K22" s="175"/>
      <c r="L22" s="170"/>
      <c r="M22" s="175"/>
      <c r="N22" s="175"/>
      <c r="O22" s="175"/>
      <c r="P22" s="175"/>
      <c r="Q22" s="170">
        <v>16.341999999999999</v>
      </c>
      <c r="R22" s="175"/>
      <c r="S22" s="175"/>
      <c r="T22" s="175"/>
      <c r="U22" s="175">
        <v>15.763999999999999</v>
      </c>
      <c r="V22" s="170">
        <f t="shared" si="46"/>
        <v>15.763999999999999</v>
      </c>
      <c r="W22" s="175">
        <v>16.594000000000001</v>
      </c>
      <c r="X22" s="175">
        <v>20.654</v>
      </c>
      <c r="Y22" s="175">
        <v>21.687999999999999</v>
      </c>
      <c r="Z22" s="175">
        <v>23.474</v>
      </c>
      <c r="AA22" s="170">
        <f>Z22</f>
        <v>23.474</v>
      </c>
      <c r="AB22" s="191">
        <v>27.582000000000001</v>
      </c>
      <c r="AC22" s="191">
        <v>27.367000000000001</v>
      </c>
      <c r="AD22" s="191">
        <v>27.140999999999998</v>
      </c>
      <c r="AE22" s="191">
        <v>25.402999999999999</v>
      </c>
      <c r="AF22" s="170">
        <f t="shared" si="47"/>
        <v>25.402999999999999</v>
      </c>
      <c r="AG22" s="175">
        <v>23.366</v>
      </c>
      <c r="AH22" s="175">
        <v>27.78</v>
      </c>
      <c r="AI22" s="175">
        <v>29.562000000000001</v>
      </c>
      <c r="AJ22" s="175">
        <v>36.387999999999998</v>
      </c>
      <c r="AK22" s="170">
        <f t="shared" si="48"/>
        <v>36.387999999999998</v>
      </c>
      <c r="AL22" s="175">
        <v>35.22</v>
      </c>
      <c r="AM22" s="175">
        <v>42.854999999999997</v>
      </c>
      <c r="AN22" s="175">
        <v>44.128999999999998</v>
      </c>
      <c r="AO22" s="175">
        <v>43.691000000000003</v>
      </c>
      <c r="AP22" s="170">
        <f t="shared" si="49"/>
        <v>43.691000000000003</v>
      </c>
      <c r="AQ22" s="192">
        <v>43.113</v>
      </c>
      <c r="AR22" s="192">
        <v>42.070999999999998</v>
      </c>
      <c r="AS22" s="192">
        <v>44.167000000000002</v>
      </c>
      <c r="AT22" s="192">
        <v>52.113</v>
      </c>
      <c r="AU22" s="170">
        <f t="shared" si="35"/>
        <v>52.113</v>
      </c>
      <c r="AV22" s="175">
        <v>53.070999999999998</v>
      </c>
      <c r="AW22" s="175">
        <v>53.066000000000003</v>
      </c>
      <c r="AX22" s="175">
        <v>59.076000000000001</v>
      </c>
      <c r="AY22" s="175">
        <v>85.561000000000007</v>
      </c>
      <c r="AZ22" s="170">
        <v>85.561000000000007</v>
      </c>
      <c r="BA22" s="175">
        <v>62.584000000000003</v>
      </c>
      <c r="BB22" s="175">
        <v>58.978000000000002</v>
      </c>
      <c r="BC22" s="175">
        <v>63.49</v>
      </c>
      <c r="BD22" s="175">
        <v>72.893000000000001</v>
      </c>
      <c r="BE22" s="170">
        <v>72.893000000000001</v>
      </c>
      <c r="BF22" s="175">
        <v>97.375</v>
      </c>
      <c r="BG22" s="175">
        <v>125.17100000000001</v>
      </c>
      <c r="BH22" s="175">
        <v>147.648</v>
      </c>
      <c r="BI22" s="175">
        <v>186.917</v>
      </c>
      <c r="BJ22" s="170">
        <v>186.917</v>
      </c>
      <c r="BK22" s="175">
        <v>205.72399999999999</v>
      </c>
      <c r="BL22" s="175">
        <v>228.12799999999999</v>
      </c>
      <c r="BM22" s="175">
        <v>235.107</v>
      </c>
      <c r="BN22" s="175">
        <v>219.422</v>
      </c>
      <c r="BO22" s="170">
        <f t="shared" si="36"/>
        <v>219.422</v>
      </c>
      <c r="BP22" s="175">
        <v>247</v>
      </c>
      <c r="BQ22" s="175">
        <v>245</v>
      </c>
      <c r="BR22" s="175">
        <v>258.3</v>
      </c>
      <c r="BS22" s="175">
        <v>261.10000000000002</v>
      </c>
      <c r="BT22" s="170">
        <f t="shared" si="37"/>
        <v>261.10000000000002</v>
      </c>
      <c r="BU22" s="175">
        <v>294.2</v>
      </c>
      <c r="BV22" s="175">
        <v>303.39999999999998</v>
      </c>
      <c r="BW22" s="175">
        <v>287.89999999999998</v>
      </c>
      <c r="BX22" s="175">
        <v>253.8</v>
      </c>
      <c r="BY22" s="170">
        <v>253.8</v>
      </c>
      <c r="BZ22" s="175">
        <v>310.5</v>
      </c>
      <c r="CA22" s="175">
        <v>319</v>
      </c>
      <c r="CB22" s="175">
        <v>311.10000000000002</v>
      </c>
      <c r="CC22" s="175">
        <v>346.5</v>
      </c>
      <c r="CD22" s="170">
        <f t="shared" si="38"/>
        <v>346.5</v>
      </c>
      <c r="CE22" s="175">
        <v>317.89999999999998</v>
      </c>
      <c r="CF22" s="175">
        <v>323.39999999999998</v>
      </c>
      <c r="CG22" s="175">
        <v>312.10000000000002</v>
      </c>
      <c r="CH22" s="175">
        <v>297.7</v>
      </c>
      <c r="CI22" s="170">
        <f t="shared" si="39"/>
        <v>297.7</v>
      </c>
      <c r="CJ22" s="175">
        <v>386</v>
      </c>
      <c r="CK22" s="175">
        <v>392.1</v>
      </c>
      <c r="CL22" s="175">
        <v>404</v>
      </c>
      <c r="CM22" s="175">
        <v>385.7</v>
      </c>
      <c r="CN22" s="170">
        <f t="shared" si="40"/>
        <v>385.7</v>
      </c>
      <c r="CO22" s="175">
        <v>428.5</v>
      </c>
      <c r="CP22" s="175">
        <v>514.79999999999995</v>
      </c>
      <c r="CQ22" s="175">
        <v>485.8</v>
      </c>
      <c r="CR22" s="175">
        <v>274.8</v>
      </c>
      <c r="CS22" s="170">
        <f t="shared" si="50"/>
        <v>274.8</v>
      </c>
      <c r="CT22" s="175">
        <v>276.10000000000002</v>
      </c>
      <c r="CU22" s="175">
        <v>195.9</v>
      </c>
      <c r="CV22" s="602">
        <v>193</v>
      </c>
      <c r="CW22" s="678">
        <v>198.9</v>
      </c>
      <c r="CX22" s="742">
        <f t="shared" ref="CX22" si="57">CW22</f>
        <v>198.9</v>
      </c>
      <c r="CY22" s="175">
        <v>382.2</v>
      </c>
      <c r="CZ22" s="175">
        <v>395.2</v>
      </c>
      <c r="DA22" s="175">
        <v>443.3</v>
      </c>
      <c r="DB22" s="861">
        <v>415.9</v>
      </c>
      <c r="DC22" s="170">
        <f t="shared" si="42"/>
        <v>415.9</v>
      </c>
      <c r="DD22" s="175">
        <v>416.9</v>
      </c>
      <c r="DE22" s="175">
        <v>401.2</v>
      </c>
      <c r="DF22" s="175">
        <v>391.1</v>
      </c>
      <c r="DG22" s="175">
        <v>417.7</v>
      </c>
      <c r="DH22" s="170">
        <f t="shared" si="51"/>
        <v>417.7</v>
      </c>
      <c r="DI22" s="175">
        <v>394.9</v>
      </c>
      <c r="DJ22" s="175">
        <v>368</v>
      </c>
      <c r="DK22" s="175">
        <v>365.3</v>
      </c>
      <c r="DL22" s="175">
        <v>362.8</v>
      </c>
      <c r="DM22" s="170">
        <f t="shared" si="52"/>
        <v>362.8</v>
      </c>
      <c r="DN22" s="171">
        <f t="shared" si="54"/>
        <v>362.8</v>
      </c>
      <c r="DO22" s="171">
        <f t="shared" si="54"/>
        <v>362.8</v>
      </c>
      <c r="DP22" s="171">
        <f t="shared" si="54"/>
        <v>362.8</v>
      </c>
      <c r="DQ22" s="171">
        <f t="shared" si="54"/>
        <v>362.8</v>
      </c>
      <c r="DR22" s="170">
        <f t="shared" si="53"/>
        <v>362.8</v>
      </c>
      <c r="DS22" s="171">
        <f t="shared" si="55"/>
        <v>362.8</v>
      </c>
      <c r="DT22" s="171">
        <f t="shared" si="55"/>
        <v>362.8</v>
      </c>
      <c r="DU22" s="171">
        <f t="shared" si="55"/>
        <v>362.8</v>
      </c>
      <c r="DV22" s="171">
        <f t="shared" si="55"/>
        <v>362.8</v>
      </c>
      <c r="DW22" s="170">
        <f t="shared" si="44"/>
        <v>362.8</v>
      </c>
      <c r="DX22" s="171">
        <f t="shared" si="56"/>
        <v>362.8</v>
      </c>
      <c r="DY22" s="171">
        <f t="shared" si="56"/>
        <v>362.8</v>
      </c>
      <c r="DZ22" s="171">
        <f t="shared" si="56"/>
        <v>362.8</v>
      </c>
      <c r="EA22" s="171">
        <f t="shared" si="56"/>
        <v>362.8</v>
      </c>
      <c r="EB22" s="170">
        <f t="shared" si="45"/>
        <v>362.8</v>
      </c>
      <c r="ED22" s="418"/>
      <c r="EK22" s="418"/>
    </row>
    <row r="23" spans="1:141" x14ac:dyDescent="0.2">
      <c r="A23" s="155" t="s">
        <v>7</v>
      </c>
      <c r="B23" s="179"/>
      <c r="C23" s="175"/>
      <c r="D23" s="175"/>
      <c r="E23" s="175"/>
      <c r="F23" s="175"/>
      <c r="G23" s="170"/>
      <c r="H23" s="175"/>
      <c r="I23" s="175"/>
      <c r="J23" s="175"/>
      <c r="K23" s="175"/>
      <c r="L23" s="170"/>
      <c r="M23" s="175"/>
      <c r="N23" s="175"/>
      <c r="O23" s="175"/>
      <c r="P23" s="175"/>
      <c r="Q23" s="170">
        <v>0</v>
      </c>
      <c r="R23" s="175"/>
      <c r="S23" s="175"/>
      <c r="T23" s="175"/>
      <c r="U23" s="175"/>
      <c r="V23" s="392">
        <f t="shared" si="46"/>
        <v>0</v>
      </c>
      <c r="W23" s="521">
        <v>0</v>
      </c>
      <c r="X23" s="521">
        <v>0</v>
      </c>
      <c r="Y23" s="521">
        <v>0</v>
      </c>
      <c r="Z23" s="521">
        <v>0</v>
      </c>
      <c r="AA23" s="392">
        <f>Z23</f>
        <v>0</v>
      </c>
      <c r="AB23" s="522">
        <v>0</v>
      </c>
      <c r="AC23" s="522">
        <v>0</v>
      </c>
      <c r="AD23" s="522">
        <v>0</v>
      </c>
      <c r="AE23" s="522">
        <v>0</v>
      </c>
      <c r="AF23" s="392">
        <f t="shared" si="47"/>
        <v>0</v>
      </c>
      <c r="AG23" s="520">
        <v>0</v>
      </c>
      <c r="AH23" s="520">
        <v>0</v>
      </c>
      <c r="AI23" s="520">
        <v>0</v>
      </c>
      <c r="AJ23" s="520">
        <v>0</v>
      </c>
      <c r="AK23" s="392">
        <f t="shared" si="48"/>
        <v>0</v>
      </c>
      <c r="AL23" s="520" t="s">
        <v>210</v>
      </c>
      <c r="AM23" s="520" t="s">
        <v>210</v>
      </c>
      <c r="AN23" s="520" t="s">
        <v>210</v>
      </c>
      <c r="AO23" s="520">
        <v>9.8620000000000001</v>
      </c>
      <c r="AP23" s="392">
        <f t="shared" si="49"/>
        <v>9.8620000000000001</v>
      </c>
      <c r="AQ23" s="520">
        <v>0</v>
      </c>
      <c r="AR23" s="523">
        <v>0</v>
      </c>
      <c r="AS23" s="520">
        <v>0</v>
      </c>
      <c r="AT23" s="523">
        <v>24.942</v>
      </c>
      <c r="AU23" s="392">
        <f t="shared" si="35"/>
        <v>24.942</v>
      </c>
      <c r="AV23" s="520">
        <v>25.27</v>
      </c>
      <c r="AW23" s="520">
        <v>25.628</v>
      </c>
      <c r="AX23" s="520">
        <v>25.948</v>
      </c>
      <c r="AY23" s="520">
        <v>26.8</v>
      </c>
      <c r="AZ23" s="392">
        <v>26.8</v>
      </c>
      <c r="BA23" s="520">
        <v>27.725999999999999</v>
      </c>
      <c r="BB23" s="520">
        <v>29.62</v>
      </c>
      <c r="BC23" s="520">
        <v>34.898000000000003</v>
      </c>
      <c r="BD23" s="520">
        <v>35.408999999999999</v>
      </c>
      <c r="BE23" s="392">
        <v>35.408999999999999</v>
      </c>
      <c r="BF23" s="520">
        <v>35.936999999999998</v>
      </c>
      <c r="BG23" s="520">
        <v>36.656999999999996</v>
      </c>
      <c r="BH23" s="520">
        <v>36.820999999999998</v>
      </c>
      <c r="BI23" s="520">
        <v>37.954999999999998</v>
      </c>
      <c r="BJ23" s="392">
        <v>37.954999999999998</v>
      </c>
      <c r="BK23" s="520">
        <v>39.469000000000001</v>
      </c>
      <c r="BL23" s="520">
        <v>39.942</v>
      </c>
      <c r="BM23" s="520">
        <v>40.392000000000003</v>
      </c>
      <c r="BN23" s="520">
        <v>42.042999999999999</v>
      </c>
      <c r="BO23" s="392">
        <f t="shared" si="36"/>
        <v>42.042999999999999</v>
      </c>
      <c r="BP23" s="520">
        <v>42.4</v>
      </c>
      <c r="BQ23" s="520">
        <v>58.1</v>
      </c>
      <c r="BR23" s="520">
        <v>65.8</v>
      </c>
      <c r="BS23" s="520">
        <v>66.599999999999994</v>
      </c>
      <c r="BT23" s="392">
        <f t="shared" si="37"/>
        <v>66.599999999999994</v>
      </c>
      <c r="BU23" s="520">
        <v>66.8</v>
      </c>
      <c r="BV23" s="520">
        <v>67.3</v>
      </c>
      <c r="BW23" s="520">
        <v>67.7</v>
      </c>
      <c r="BX23" s="520">
        <v>68.2</v>
      </c>
      <c r="BY23" s="392">
        <v>68.2</v>
      </c>
      <c r="BZ23" s="520">
        <v>68.599999999999994</v>
      </c>
      <c r="CA23" s="520">
        <v>69.099999999999994</v>
      </c>
      <c r="CB23" s="520">
        <v>69.7</v>
      </c>
      <c r="CC23" s="520">
        <v>70.8</v>
      </c>
      <c r="CD23" s="392">
        <f t="shared" si="38"/>
        <v>70.8</v>
      </c>
      <c r="CE23" s="520">
        <v>71.900000000000006</v>
      </c>
      <c r="CF23" s="520">
        <v>72.599999999999994</v>
      </c>
      <c r="CG23" s="520">
        <v>74.5</v>
      </c>
      <c r="CH23" s="520">
        <v>111.9</v>
      </c>
      <c r="CI23" s="392">
        <f t="shared" si="39"/>
        <v>111.9</v>
      </c>
      <c r="CJ23" s="520">
        <v>0</v>
      </c>
      <c r="CK23" s="520">
        <v>0</v>
      </c>
      <c r="CL23" s="520">
        <v>0</v>
      </c>
      <c r="CM23" s="520">
        <v>0</v>
      </c>
      <c r="CN23" s="392">
        <f t="shared" si="40"/>
        <v>0</v>
      </c>
      <c r="CO23" s="520">
        <v>0</v>
      </c>
      <c r="CP23" s="520">
        <v>0</v>
      </c>
      <c r="CQ23" s="520">
        <v>0</v>
      </c>
      <c r="CR23" s="520">
        <v>185.3</v>
      </c>
      <c r="CS23" s="170">
        <f t="shared" si="50"/>
        <v>185.3</v>
      </c>
      <c r="CT23" s="520">
        <v>205.8</v>
      </c>
      <c r="CU23" s="520">
        <v>277.2</v>
      </c>
      <c r="CV23" s="414">
        <v>278.7</v>
      </c>
      <c r="CW23" s="684">
        <v>273.5</v>
      </c>
      <c r="CX23" s="726">
        <f>CW23</f>
        <v>273.5</v>
      </c>
      <c r="CY23" s="520">
        <v>555.5</v>
      </c>
      <c r="CZ23" s="520">
        <v>547</v>
      </c>
      <c r="DA23" s="520">
        <v>525.79999999999995</v>
      </c>
      <c r="DB23" s="866">
        <v>520.4</v>
      </c>
      <c r="DC23" s="392">
        <f t="shared" si="42"/>
        <v>520.4</v>
      </c>
      <c r="DD23" s="520">
        <v>509.1</v>
      </c>
      <c r="DE23" s="520">
        <v>515.20000000000005</v>
      </c>
      <c r="DF23" s="520">
        <v>526.70000000000005</v>
      </c>
      <c r="DG23" s="520">
        <v>516.29999999999995</v>
      </c>
      <c r="DH23" s="392">
        <f t="shared" si="51"/>
        <v>516.29999999999995</v>
      </c>
      <c r="DI23" s="520">
        <v>470.6</v>
      </c>
      <c r="DJ23" s="520">
        <v>467.7</v>
      </c>
      <c r="DK23" s="520">
        <v>454.8</v>
      </c>
      <c r="DL23" s="520">
        <v>441.4</v>
      </c>
      <c r="DM23" s="392">
        <f t="shared" si="52"/>
        <v>441.4</v>
      </c>
      <c r="DN23" s="520">
        <f t="shared" si="54"/>
        <v>441.4</v>
      </c>
      <c r="DO23" s="520">
        <f t="shared" si="54"/>
        <v>441.4</v>
      </c>
      <c r="DP23" s="520">
        <f t="shared" si="54"/>
        <v>441.4</v>
      </c>
      <c r="DQ23" s="520">
        <f t="shared" si="54"/>
        <v>441.4</v>
      </c>
      <c r="DR23" s="392">
        <f t="shared" si="53"/>
        <v>441.4</v>
      </c>
      <c r="DS23" s="520">
        <f t="shared" si="55"/>
        <v>441.4</v>
      </c>
      <c r="DT23" s="520">
        <f t="shared" si="55"/>
        <v>441.4</v>
      </c>
      <c r="DU23" s="520">
        <f t="shared" si="55"/>
        <v>441.4</v>
      </c>
      <c r="DV23" s="520">
        <f t="shared" si="55"/>
        <v>441.4</v>
      </c>
      <c r="DW23" s="392">
        <f t="shared" si="44"/>
        <v>441.4</v>
      </c>
      <c r="DX23" s="520">
        <f t="shared" si="56"/>
        <v>441.4</v>
      </c>
      <c r="DY23" s="520">
        <f t="shared" si="56"/>
        <v>441.4</v>
      </c>
      <c r="DZ23" s="520">
        <f t="shared" si="56"/>
        <v>441.4</v>
      </c>
      <c r="EA23" s="520">
        <f t="shared" si="56"/>
        <v>441.4</v>
      </c>
      <c r="EB23" s="392">
        <f t="shared" si="45"/>
        <v>441.4</v>
      </c>
      <c r="ED23" s="418"/>
      <c r="EK23" s="418"/>
    </row>
    <row r="24" spans="1:141" x14ac:dyDescent="0.2">
      <c r="A24" s="155" t="s">
        <v>6</v>
      </c>
      <c r="B24" s="179"/>
      <c r="C24" s="175"/>
      <c r="D24" s="175"/>
      <c r="E24" s="175"/>
      <c r="F24" s="175"/>
      <c r="G24" s="170"/>
      <c r="H24" s="175"/>
      <c r="I24" s="175"/>
      <c r="J24" s="175"/>
      <c r="K24" s="175"/>
      <c r="L24" s="170"/>
      <c r="M24" s="175"/>
      <c r="N24" s="175"/>
      <c r="O24" s="175"/>
      <c r="P24" s="175"/>
      <c r="Q24" s="170">
        <v>0</v>
      </c>
      <c r="R24" s="175"/>
      <c r="S24" s="175"/>
      <c r="T24" s="175"/>
      <c r="U24" s="175">
        <v>0</v>
      </c>
      <c r="V24" s="170">
        <f t="shared" si="46"/>
        <v>0</v>
      </c>
      <c r="W24" s="175">
        <v>0</v>
      </c>
      <c r="X24" s="175">
        <v>13.663</v>
      </c>
      <c r="Y24" s="175">
        <v>13.56</v>
      </c>
      <c r="Z24" s="175">
        <v>14.191000000000001</v>
      </c>
      <c r="AA24" s="170">
        <f>Z24</f>
        <v>14.191000000000001</v>
      </c>
      <c r="AB24" s="191">
        <v>19.384</v>
      </c>
      <c r="AC24" s="191">
        <v>18.686</v>
      </c>
      <c r="AD24" s="191">
        <v>20.527999999999999</v>
      </c>
      <c r="AE24" s="191">
        <v>21.311</v>
      </c>
      <c r="AF24" s="170">
        <f t="shared" si="47"/>
        <v>21.311</v>
      </c>
      <c r="AG24" s="175">
        <v>23.077999999999999</v>
      </c>
      <c r="AH24" s="175">
        <v>22.585000000000001</v>
      </c>
      <c r="AI24" s="175">
        <v>22.036000000000001</v>
      </c>
      <c r="AJ24" s="175">
        <v>21.844999999999999</v>
      </c>
      <c r="AK24" s="170">
        <f t="shared" si="48"/>
        <v>21.844999999999999</v>
      </c>
      <c r="AL24" s="175">
        <v>21.038</v>
      </c>
      <c r="AM24" s="175">
        <v>20.966999999999999</v>
      </c>
      <c r="AN24" s="175">
        <v>20.536000000000001</v>
      </c>
      <c r="AO24" s="175">
        <v>19.902000000000001</v>
      </c>
      <c r="AP24" s="170">
        <f t="shared" si="49"/>
        <v>19.902000000000001</v>
      </c>
      <c r="AQ24" s="178">
        <v>30.33</v>
      </c>
      <c r="AR24" s="178">
        <v>30.706</v>
      </c>
      <c r="AS24" s="178">
        <v>31.202000000000002</v>
      </c>
      <c r="AT24" s="175">
        <v>63.344000000000001</v>
      </c>
      <c r="AU24" s="170">
        <f t="shared" si="35"/>
        <v>63.344000000000001</v>
      </c>
      <c r="AV24" s="175">
        <v>63.374000000000002</v>
      </c>
      <c r="AW24" s="175">
        <v>63.375999999999998</v>
      </c>
      <c r="AX24" s="175">
        <v>63.311</v>
      </c>
      <c r="AY24" s="175">
        <v>68.95</v>
      </c>
      <c r="AZ24" s="170">
        <v>68.95</v>
      </c>
      <c r="BA24" s="175">
        <v>72.462000000000003</v>
      </c>
      <c r="BB24" s="175">
        <v>71.662000000000006</v>
      </c>
      <c r="BC24" s="175">
        <v>72.543000000000006</v>
      </c>
      <c r="BD24" s="175">
        <v>92.474000000000004</v>
      </c>
      <c r="BE24" s="170">
        <v>92.474000000000004</v>
      </c>
      <c r="BF24" s="175">
        <v>92.341999999999999</v>
      </c>
      <c r="BG24" s="175">
        <v>172.33699999999999</v>
      </c>
      <c r="BH24" s="175">
        <v>166.047</v>
      </c>
      <c r="BI24" s="175">
        <v>161.47800000000001</v>
      </c>
      <c r="BJ24" s="170">
        <v>161.47800000000001</v>
      </c>
      <c r="BK24" s="175">
        <v>207.90600000000001</v>
      </c>
      <c r="BL24" s="175">
        <v>208.48500000000001</v>
      </c>
      <c r="BM24" s="175">
        <v>215.21899999999999</v>
      </c>
      <c r="BN24" s="175">
        <v>215.625</v>
      </c>
      <c r="BO24" s="170">
        <f t="shared" si="36"/>
        <v>215.625</v>
      </c>
      <c r="BP24" s="175">
        <v>216.1</v>
      </c>
      <c r="BQ24" s="175">
        <v>223.4</v>
      </c>
      <c r="BR24" s="175">
        <v>234.8</v>
      </c>
      <c r="BS24" s="175">
        <v>266.5</v>
      </c>
      <c r="BT24" s="170">
        <f t="shared" si="37"/>
        <v>266.5</v>
      </c>
      <c r="BU24" s="175">
        <v>261.89999999999998</v>
      </c>
      <c r="BV24" s="175">
        <v>261.10000000000002</v>
      </c>
      <c r="BW24" s="175">
        <v>257.2</v>
      </c>
      <c r="BX24" s="175">
        <v>259.10000000000002</v>
      </c>
      <c r="BY24" s="170">
        <v>259.10000000000002</v>
      </c>
      <c r="BZ24" s="175">
        <v>262.5</v>
      </c>
      <c r="CA24" s="175">
        <v>262.8</v>
      </c>
      <c r="CB24" s="175">
        <v>260.89999999999998</v>
      </c>
      <c r="CC24" s="175">
        <v>262.39999999999998</v>
      </c>
      <c r="CD24" s="170">
        <f t="shared" si="38"/>
        <v>262.39999999999998</v>
      </c>
      <c r="CE24" s="175">
        <v>263.8</v>
      </c>
      <c r="CF24" s="175">
        <v>265.3</v>
      </c>
      <c r="CG24" s="175">
        <v>265.7</v>
      </c>
      <c r="CH24" s="175">
        <v>321.60000000000002</v>
      </c>
      <c r="CI24" s="170">
        <f t="shared" si="39"/>
        <v>321.60000000000002</v>
      </c>
      <c r="CJ24" s="175">
        <v>337.1</v>
      </c>
      <c r="CK24" s="175">
        <v>340.7</v>
      </c>
      <c r="CL24" s="175">
        <v>336.7</v>
      </c>
      <c r="CM24" s="175">
        <v>399.1</v>
      </c>
      <c r="CN24" s="170">
        <f t="shared" si="40"/>
        <v>399.1</v>
      </c>
      <c r="CO24" s="175">
        <v>400.2</v>
      </c>
      <c r="CP24" s="175">
        <v>863.6</v>
      </c>
      <c r="CQ24" s="175">
        <v>860.9</v>
      </c>
      <c r="CR24" s="175">
        <v>862.9</v>
      </c>
      <c r="CS24" s="170">
        <f t="shared" si="50"/>
        <v>862.9</v>
      </c>
      <c r="CT24" s="175">
        <v>862.6</v>
      </c>
      <c r="CU24" s="175">
        <v>860.8</v>
      </c>
      <c r="CV24" s="602">
        <v>861.7</v>
      </c>
      <c r="CW24" s="678">
        <v>856.2</v>
      </c>
      <c r="CX24" s="742">
        <f t="shared" ref="CX24" si="58">CW24</f>
        <v>856.2</v>
      </c>
      <c r="CY24" s="175">
        <v>1584.9</v>
      </c>
      <c r="CZ24" s="175">
        <v>1592.2</v>
      </c>
      <c r="DA24" s="175">
        <v>1560.6</v>
      </c>
      <c r="DB24" s="861">
        <v>1575.4</v>
      </c>
      <c r="DC24" s="170">
        <f t="shared" si="42"/>
        <v>1575.4</v>
      </c>
      <c r="DD24" s="175">
        <v>1572.3</v>
      </c>
      <c r="DE24" s="175">
        <v>1625</v>
      </c>
      <c r="DF24" s="175">
        <v>1705.1</v>
      </c>
      <c r="DG24" s="175">
        <v>1719.6</v>
      </c>
      <c r="DH24" s="170">
        <f t="shared" si="51"/>
        <v>1719.6</v>
      </c>
      <c r="DI24" s="175">
        <v>1599</v>
      </c>
      <c r="DJ24" s="175">
        <v>1635.8</v>
      </c>
      <c r="DK24" s="175">
        <v>1549.1</v>
      </c>
      <c r="DL24" s="175">
        <v>1539.2</v>
      </c>
      <c r="DM24" s="170">
        <f t="shared" si="52"/>
        <v>1539.2</v>
      </c>
      <c r="DN24" s="171">
        <f t="shared" si="54"/>
        <v>1539.2</v>
      </c>
      <c r="DO24" s="171">
        <f t="shared" si="54"/>
        <v>1539.2</v>
      </c>
      <c r="DP24" s="171">
        <f t="shared" si="54"/>
        <v>1539.2</v>
      </c>
      <c r="DQ24" s="171">
        <f t="shared" si="54"/>
        <v>1539.2</v>
      </c>
      <c r="DR24" s="170">
        <f t="shared" si="53"/>
        <v>1539.2</v>
      </c>
      <c r="DS24" s="171">
        <f t="shared" si="55"/>
        <v>1539.2</v>
      </c>
      <c r="DT24" s="171">
        <f t="shared" si="55"/>
        <v>1539.2</v>
      </c>
      <c r="DU24" s="171">
        <f t="shared" si="55"/>
        <v>1539.2</v>
      </c>
      <c r="DV24" s="171">
        <f t="shared" si="55"/>
        <v>1539.2</v>
      </c>
      <c r="DW24" s="170">
        <f t="shared" si="44"/>
        <v>1539.2</v>
      </c>
      <c r="DX24" s="171">
        <f t="shared" si="56"/>
        <v>1539.2</v>
      </c>
      <c r="DY24" s="171">
        <f t="shared" si="56"/>
        <v>1539.2</v>
      </c>
      <c r="DZ24" s="171">
        <f t="shared" si="56"/>
        <v>1539.2</v>
      </c>
      <c r="EA24" s="171">
        <f t="shared" si="56"/>
        <v>1539.2</v>
      </c>
      <c r="EB24" s="170">
        <f t="shared" si="45"/>
        <v>1539.2</v>
      </c>
      <c r="ED24" s="418"/>
      <c r="EK24" s="418"/>
    </row>
    <row r="25" spans="1:141" x14ac:dyDescent="0.2">
      <c r="A25" s="155"/>
      <c r="B25" s="179"/>
      <c r="C25" s="175"/>
      <c r="D25" s="175"/>
      <c r="E25" s="175"/>
      <c r="F25" s="175"/>
      <c r="G25" s="170"/>
      <c r="H25" s="175"/>
      <c r="I25" s="175"/>
      <c r="J25" s="175"/>
      <c r="K25" s="175"/>
      <c r="L25" s="170"/>
      <c r="M25" s="175"/>
      <c r="N25" s="175"/>
      <c r="O25" s="175"/>
      <c r="P25" s="175"/>
      <c r="Q25" s="170"/>
      <c r="R25" s="175"/>
      <c r="S25" s="175"/>
      <c r="T25" s="175"/>
      <c r="U25" s="175"/>
      <c r="V25" s="170"/>
      <c r="W25" s="175"/>
      <c r="X25" s="175"/>
      <c r="Y25" s="175"/>
      <c r="Z25" s="175"/>
      <c r="AA25" s="170"/>
      <c r="AB25" s="175"/>
      <c r="AC25" s="175"/>
      <c r="AD25" s="175"/>
      <c r="AE25" s="175"/>
      <c r="AF25" s="170"/>
      <c r="AG25" s="175"/>
      <c r="AH25" s="175"/>
      <c r="AI25" s="175"/>
      <c r="AJ25" s="175"/>
      <c r="AK25" s="170"/>
      <c r="AL25" s="175"/>
      <c r="AM25" s="175"/>
      <c r="AN25" s="175"/>
      <c r="AO25" s="175"/>
      <c r="AP25" s="170"/>
      <c r="AQ25" s="175"/>
      <c r="AR25" s="175"/>
      <c r="AS25" s="175"/>
      <c r="AT25" s="175"/>
      <c r="AU25" s="170">
        <f t="shared" si="35"/>
        <v>0</v>
      </c>
      <c r="AV25" s="175"/>
      <c r="AW25" s="175"/>
      <c r="AX25" s="175"/>
      <c r="AY25" s="175"/>
      <c r="AZ25" s="170"/>
      <c r="BA25" s="175"/>
      <c r="BB25" s="175"/>
      <c r="BC25" s="175"/>
      <c r="BD25" s="175"/>
      <c r="BE25" s="170"/>
      <c r="BF25" s="175"/>
      <c r="BG25" s="175"/>
      <c r="BH25" s="175"/>
      <c r="BI25" s="175"/>
      <c r="BJ25" s="170"/>
      <c r="BK25" s="175"/>
      <c r="BL25" s="175"/>
      <c r="BM25" s="175"/>
      <c r="BN25" s="175"/>
      <c r="BO25" s="170">
        <f t="shared" si="36"/>
        <v>0</v>
      </c>
      <c r="BP25" s="175"/>
      <c r="BQ25" s="175"/>
      <c r="BR25" s="175"/>
      <c r="BS25" s="175"/>
      <c r="BT25" s="170">
        <f t="shared" si="37"/>
        <v>0</v>
      </c>
      <c r="BU25" s="175"/>
      <c r="BV25" s="175"/>
      <c r="BW25" s="175"/>
      <c r="BX25" s="175"/>
      <c r="BY25" s="170"/>
      <c r="BZ25" s="175"/>
      <c r="CA25" s="175"/>
      <c r="CB25" s="175"/>
      <c r="CC25" s="175"/>
      <c r="CD25" s="170">
        <f t="shared" si="38"/>
        <v>0</v>
      </c>
      <c r="CE25" s="175"/>
      <c r="CF25" s="175"/>
      <c r="CG25" s="175"/>
      <c r="CH25" s="175"/>
      <c r="CI25" s="170"/>
      <c r="CJ25" s="175"/>
      <c r="CK25" s="175"/>
      <c r="CL25" s="175"/>
      <c r="CM25" s="175"/>
      <c r="CN25" s="170"/>
      <c r="CO25" s="175"/>
      <c r="CP25" s="175"/>
      <c r="CQ25" s="175"/>
      <c r="CR25" s="175"/>
      <c r="CS25" s="170"/>
      <c r="CT25" s="175"/>
      <c r="CU25" s="175"/>
      <c r="CV25" s="602"/>
      <c r="CW25" s="678"/>
      <c r="CX25" s="742"/>
      <c r="CY25" s="175"/>
      <c r="CZ25" s="175"/>
      <c r="DA25" s="175"/>
      <c r="DB25" s="861"/>
      <c r="DC25" s="170"/>
      <c r="DD25" s="175"/>
      <c r="DE25" s="175"/>
      <c r="DF25" s="175"/>
      <c r="DG25" s="175"/>
      <c r="DH25" s="170"/>
      <c r="DI25" s="175"/>
      <c r="DJ25" s="175"/>
      <c r="DK25" s="175"/>
      <c r="DL25" s="175"/>
      <c r="DM25" s="170"/>
      <c r="DN25" s="175"/>
      <c r="DO25" s="175"/>
      <c r="DP25" s="175"/>
      <c r="DQ25" s="175"/>
      <c r="DR25" s="170"/>
      <c r="DS25" s="175"/>
      <c r="DT25" s="175"/>
      <c r="DU25" s="175"/>
      <c r="DV25" s="175"/>
      <c r="DW25" s="170"/>
      <c r="DX25" s="175"/>
      <c r="DY25" s="175"/>
      <c r="DZ25" s="175"/>
      <c r="EA25" s="175"/>
      <c r="EB25" s="170"/>
      <c r="ED25" s="418"/>
      <c r="EK25" s="418"/>
    </row>
    <row r="26" spans="1:141" x14ac:dyDescent="0.2">
      <c r="A26" s="193" t="s">
        <v>5</v>
      </c>
      <c r="B26" s="194">
        <v>231.42099999999999</v>
      </c>
      <c r="C26" s="195">
        <v>0</v>
      </c>
      <c r="D26" s="195">
        <v>0</v>
      </c>
      <c r="E26" s="195">
        <v>0</v>
      </c>
      <c r="F26" s="195">
        <v>0</v>
      </c>
      <c r="G26" s="194">
        <v>468.1</v>
      </c>
      <c r="H26" s="195">
        <v>0</v>
      </c>
      <c r="I26" s="195">
        <v>0</v>
      </c>
      <c r="J26" s="195">
        <v>0</v>
      </c>
      <c r="K26" s="195">
        <v>0</v>
      </c>
      <c r="L26" s="194">
        <v>726.7</v>
      </c>
      <c r="M26" s="195">
        <v>0</v>
      </c>
      <c r="N26" s="195">
        <v>0</v>
      </c>
      <c r="O26" s="195">
        <v>0</v>
      </c>
      <c r="P26" s="195">
        <v>0</v>
      </c>
      <c r="Q26" s="194">
        <f>Q16+Q19+Q20+Q22+Q24</f>
        <v>852.16099999999994</v>
      </c>
      <c r="R26" s="195">
        <v>0</v>
      </c>
      <c r="S26" s="195">
        <v>0</v>
      </c>
      <c r="T26" s="195">
        <v>0</v>
      </c>
      <c r="U26" s="195">
        <f>U16+U19+U20+U22+U24</f>
        <v>992.74299999999994</v>
      </c>
      <c r="V26" s="194">
        <f>U26</f>
        <v>992.74299999999994</v>
      </c>
      <c r="W26" s="195">
        <f>W16+W19+W20+W22+W24</f>
        <v>1056.453</v>
      </c>
      <c r="X26" s="195">
        <f>X16+X19+X20+X22+X24</f>
        <v>1094.3389999999999</v>
      </c>
      <c r="Y26" s="195">
        <f>Y16+Y19+Y20+Y22+Y24</f>
        <v>1168.5060000000001</v>
      </c>
      <c r="Z26" s="195">
        <f>Z16+Z19+Z20+Z22+Z24</f>
        <v>1252.5139999999999</v>
      </c>
      <c r="AA26" s="194">
        <f>Z26</f>
        <v>1252.5139999999999</v>
      </c>
      <c r="AB26" s="195">
        <f>AB16+AB19+AB20+AB22+AB24</f>
        <v>1324.557</v>
      </c>
      <c r="AC26" s="195">
        <f>AC16+AC19+AC20+AC22+AC24</f>
        <v>1383.9509999999998</v>
      </c>
      <c r="AD26" s="195">
        <f>AD16+AD19+AD20+AD22+AD24</f>
        <v>1455.03</v>
      </c>
      <c r="AE26" s="195">
        <f>AE16+AE19+AE20+AE22+AE24</f>
        <v>1493.1309999999999</v>
      </c>
      <c r="AF26" s="194">
        <f>AE26</f>
        <v>1493.1309999999999</v>
      </c>
      <c r="AG26" s="195">
        <f>AG16+AG19+AG20+AG22+AG24</f>
        <v>1601.848</v>
      </c>
      <c r="AH26" s="195">
        <f>AH16+AH19+AH20+AH22+AH24</f>
        <v>1668.269</v>
      </c>
      <c r="AI26" s="195">
        <f>AI16+AI19+AI20+AI22+AI24</f>
        <v>1782.8419999999999</v>
      </c>
      <c r="AJ26" s="195">
        <f>AJ16+AJ19+AJ20+AJ22+AJ24</f>
        <v>1851.039</v>
      </c>
      <c r="AK26" s="194">
        <f>AJ26</f>
        <v>1851.039</v>
      </c>
      <c r="AL26" s="195">
        <f>AL16+AL19+AL20+AL22+AL24</f>
        <v>1964.4459999999999</v>
      </c>
      <c r="AM26" s="195">
        <f>AM16+AM19+AM20+AM22+AM24</f>
        <v>2019.6020000000001</v>
      </c>
      <c r="AN26" s="195">
        <f>AN16+AN19+AN20+AN22+AN24</f>
        <v>2215.7539999999999</v>
      </c>
      <c r="AO26" s="195">
        <f>AO16+AO19+AO20+AO22+AO24+AO23</f>
        <v>2214.7829999999999</v>
      </c>
      <c r="AP26" s="194">
        <f>AO26</f>
        <v>2214.7829999999999</v>
      </c>
      <c r="AQ26" s="195">
        <f>AQ16+AQ19+AQ20+AQ22+AQ24+AQ23+AQ21</f>
        <v>2353.9519999999998</v>
      </c>
      <c r="AR26" s="195">
        <f>AR16+AR19+AR20+AR22+AR24+AR23+AR21</f>
        <v>2420.9269999999997</v>
      </c>
      <c r="AS26" s="195">
        <f>AS16+AS19+AS20+AS22+AS24+AS23+AS21</f>
        <v>2604.1250000000005</v>
      </c>
      <c r="AT26" s="195">
        <f>AT16+AT19+AT20+AT22+AT24+AT23+AT21+AT18</f>
        <v>2729.7460000000001</v>
      </c>
      <c r="AU26" s="194">
        <f t="shared" si="35"/>
        <v>2729.7460000000001</v>
      </c>
      <c r="AV26" s="195">
        <f t="shared" ref="AV26:BJ26" si="59">AV16+AV19+AV20+AV22+AV24+AV23+AV21+AV18</f>
        <v>3073.107</v>
      </c>
      <c r="AW26" s="195">
        <f t="shared" si="59"/>
        <v>3095.6549999999997</v>
      </c>
      <c r="AX26" s="195">
        <f t="shared" si="59"/>
        <v>3224.2920000000004</v>
      </c>
      <c r="AY26" s="195">
        <f t="shared" si="59"/>
        <v>3386.9780000000005</v>
      </c>
      <c r="AZ26" s="194">
        <f t="shared" si="59"/>
        <v>3386.5410000000006</v>
      </c>
      <c r="BA26" s="195">
        <f t="shared" si="59"/>
        <v>3819.8339999999998</v>
      </c>
      <c r="BB26" s="195">
        <f t="shared" si="59"/>
        <v>3603.4169999999999</v>
      </c>
      <c r="BC26" s="195">
        <f t="shared" si="59"/>
        <v>3327.9809999999998</v>
      </c>
      <c r="BD26" s="195">
        <f t="shared" si="59"/>
        <v>3513.6930000000002</v>
      </c>
      <c r="BE26" s="194">
        <f t="shared" si="59"/>
        <v>3513.6930000000002</v>
      </c>
      <c r="BF26" s="195">
        <f t="shared" si="59"/>
        <v>3713.085</v>
      </c>
      <c r="BG26" s="195">
        <f t="shared" si="59"/>
        <v>3817.04</v>
      </c>
      <c r="BH26" s="195">
        <f t="shared" si="59"/>
        <v>4052.442</v>
      </c>
      <c r="BI26" s="195">
        <f t="shared" si="59"/>
        <v>4428.9409999999998</v>
      </c>
      <c r="BJ26" s="194">
        <f t="shared" si="59"/>
        <v>4428.9409999999998</v>
      </c>
      <c r="BK26" s="195">
        <f>BK16+BK19+BK20+BK22+BK24+BK23+BK18</f>
        <v>4527.634</v>
      </c>
      <c r="BL26" s="195">
        <f>BL16+BL19+BL20+BL22+BL24+BL23+BL18</f>
        <v>4636.8749999999991</v>
      </c>
      <c r="BM26" s="195">
        <f>BM16+BM19+BM20+BM22+BM24+BM23+BM18</f>
        <v>4903.9229999999998</v>
      </c>
      <c r="BN26" s="195">
        <f>BN16+BN19+BN20+BN22+BN24+BN23+BN18</f>
        <v>5343.8779999999988</v>
      </c>
      <c r="BO26" s="194">
        <f t="shared" si="36"/>
        <v>5343.8779999999988</v>
      </c>
      <c r="BP26" s="195">
        <f>BP16+BP19+BP20+BP22+BP24+BP23+BP18</f>
        <v>5506.4</v>
      </c>
      <c r="BQ26" s="195">
        <f>BQ16+BQ19+BQ20+BQ22+BQ24+BQ23+BQ18</f>
        <v>5534.1</v>
      </c>
      <c r="BR26" s="195">
        <f>BR16+BR19+BR20+BR22+BR24+BR23+BR18</f>
        <v>5552.3000000000011</v>
      </c>
      <c r="BS26" s="195">
        <f>BS16+BS19+BS20+BS22+BS24+BS23+BS18</f>
        <v>5672.6</v>
      </c>
      <c r="BT26" s="194">
        <f t="shared" si="37"/>
        <v>5672.6</v>
      </c>
      <c r="BU26" s="195">
        <f>BU16+BU19+BU20+BU22+BU24+BU23+BU18</f>
        <v>5530.4</v>
      </c>
      <c r="BV26" s="195">
        <f>BV16+BV19+BV20+BV22+BV24+BV23+BV18</f>
        <v>5281.3</v>
      </c>
      <c r="BW26" s="195">
        <f>BW16+BW19+BW20+BW22+BW24+BW23+BW18</f>
        <v>5333.0999999999995</v>
      </c>
      <c r="BX26" s="195">
        <f>BX16+BX19+BX20+BX22+BX24+BX23+BX18</f>
        <v>5576.8</v>
      </c>
      <c r="BY26" s="194">
        <f>BY16+BY19+BY20+BY22+BY24+BY23+BY21+BY18</f>
        <v>5576.8</v>
      </c>
      <c r="BZ26" s="195">
        <f>BZ16+BZ19+BZ20+BZ22+BZ24+BZ23+BZ18</f>
        <v>6101.6</v>
      </c>
      <c r="CA26" s="195">
        <f>CA16+CA19+CA20+CA22+CA24+CA23+CA18</f>
        <v>6144.7</v>
      </c>
      <c r="CB26" s="195">
        <f>CB16+CB19+CB20+CB22+CB24+CB23+CB18</f>
        <v>6206.9</v>
      </c>
      <c r="CC26" s="195">
        <f>CC16+CC19+CC20+CC22+CC24+CC23+CC18</f>
        <v>6385.9</v>
      </c>
      <c r="CD26" s="194">
        <f t="shared" si="38"/>
        <v>6385.9</v>
      </c>
      <c r="CE26" s="195">
        <f>CE16+CE19+CE20+CE22+CE24+CE23+CE18</f>
        <v>6931.0999999999995</v>
      </c>
      <c r="CF26" s="195">
        <f>CF16+CF19+CF20+CF22+CF24+CF23+CF18</f>
        <v>7027.5999999999995</v>
      </c>
      <c r="CG26" s="195">
        <f>CG16+CG19+CG20+CG22+CG24+CG23+CG18</f>
        <v>7097.8</v>
      </c>
      <c r="CH26" s="195">
        <f>CH16+CH19+CH20+CH22+CH24+CH23+CH18</f>
        <v>7360.4</v>
      </c>
      <c r="CI26" s="194">
        <f>CH26</f>
        <v>7360.4</v>
      </c>
      <c r="CJ26" s="195">
        <f>CJ16+CJ19+CJ20+CJ22+CJ24+CJ23+CJ18</f>
        <v>7835.6</v>
      </c>
      <c r="CK26" s="195">
        <f>CK16+CK19+CK20+CK22+CK24+CK23+CK18</f>
        <v>8006.5</v>
      </c>
      <c r="CL26" s="195">
        <f>CL16+CL19+CL20+CL22+CL24+CL23+CL18</f>
        <v>8308.9</v>
      </c>
      <c r="CM26" s="195">
        <f>CM16+CM19+CM20+CM22+CM24+CM23+CM18</f>
        <v>8219.2000000000007</v>
      </c>
      <c r="CN26" s="194">
        <f>CM26</f>
        <v>8219.2000000000007</v>
      </c>
      <c r="CO26" s="195">
        <f>CO16+CO19+CO20+CO22+CO24+CO23+CO18</f>
        <v>8490.1</v>
      </c>
      <c r="CP26" s="195">
        <f>CP16+CP19+CP20+CP22+CP24+CP23+CP18</f>
        <v>8502.7999999999993</v>
      </c>
      <c r="CQ26" s="195">
        <f>CQ16+CQ19+CQ20+CQ22+CQ24+CQ23+CQ18</f>
        <v>9062.2999999999993</v>
      </c>
      <c r="CR26" s="195">
        <f>CR16+SUM(CR18:CR24)</f>
        <v>11516.7</v>
      </c>
      <c r="CS26" s="194">
        <f>CR26</f>
        <v>11516.7</v>
      </c>
      <c r="CT26" s="195">
        <f t="shared" ref="CT26:DR26" si="60">CT16+SUM(CT18:CT24)</f>
        <v>10255.200000000001</v>
      </c>
      <c r="CU26" s="195">
        <f t="shared" si="60"/>
        <v>10096.999999999998</v>
      </c>
      <c r="CV26" s="635">
        <f t="shared" si="60"/>
        <v>10385.299999999999</v>
      </c>
      <c r="CW26" s="685">
        <f t="shared" si="60"/>
        <v>10752.9</v>
      </c>
      <c r="CX26" s="746">
        <f t="shared" si="60"/>
        <v>10752.9</v>
      </c>
      <c r="CY26" s="195">
        <f t="shared" si="60"/>
        <v>12351.1</v>
      </c>
      <c r="CZ26" s="195">
        <f t="shared" si="60"/>
        <v>12190.7</v>
      </c>
      <c r="DA26" s="195">
        <f t="shared" si="60"/>
        <v>12868.8</v>
      </c>
      <c r="DB26" s="867">
        <f t="shared" si="60"/>
        <v>12416.3</v>
      </c>
      <c r="DC26" s="194">
        <f t="shared" si="60"/>
        <v>12416.3</v>
      </c>
      <c r="DD26" s="195">
        <f>DD16+SUM(DD18:DD24)</f>
        <v>12943.5</v>
      </c>
      <c r="DE26" s="195">
        <f t="shared" si="60"/>
        <v>12519.399999999998</v>
      </c>
      <c r="DF26" s="904">
        <f t="shared" si="60"/>
        <v>13833.2</v>
      </c>
      <c r="DG26" s="195">
        <f t="shared" si="60"/>
        <v>14329.5</v>
      </c>
      <c r="DH26" s="194">
        <f t="shared" si="60"/>
        <v>14329.5</v>
      </c>
      <c r="DI26" s="195">
        <f t="shared" si="60"/>
        <v>14017.3</v>
      </c>
      <c r="DJ26" s="195">
        <f t="shared" si="60"/>
        <v>14227.9</v>
      </c>
      <c r="DK26" s="195">
        <f t="shared" si="60"/>
        <v>14522.7</v>
      </c>
      <c r="DL26" s="195">
        <f t="shared" si="60"/>
        <v>14365.599999999999</v>
      </c>
      <c r="DM26" s="194">
        <f t="shared" si="60"/>
        <v>14365.599999999999</v>
      </c>
      <c r="DN26" s="195">
        <f t="shared" si="60"/>
        <v>16970.578507310442</v>
      </c>
      <c r="DO26" s="195">
        <f t="shared" si="60"/>
        <v>16496.285263589401</v>
      </c>
      <c r="DP26" s="195">
        <f t="shared" si="60"/>
        <v>16322.891537736396</v>
      </c>
      <c r="DQ26" s="195">
        <f t="shared" si="60"/>
        <v>16224.501594075138</v>
      </c>
      <c r="DR26" s="194">
        <f t="shared" si="60"/>
        <v>16224.501594075138</v>
      </c>
      <c r="DS26" s="195">
        <f t="shared" ref="DS26:EB26" si="61">DS16+SUM(DS18:DS24)</f>
        <v>17753.5022109114</v>
      </c>
      <c r="DT26" s="195">
        <f t="shared" si="61"/>
        <v>17366.106538312037</v>
      </c>
      <c r="DU26" s="195">
        <f t="shared" si="61"/>
        <v>17293.084235413386</v>
      </c>
      <c r="DV26" s="195">
        <f t="shared" si="61"/>
        <v>17302.960282970795</v>
      </c>
      <c r="DW26" s="194">
        <f t="shared" si="61"/>
        <v>17302.960282970795</v>
      </c>
      <c r="DX26" s="195">
        <f t="shared" si="61"/>
        <v>18552.435974716209</v>
      </c>
      <c r="DY26" s="195">
        <f t="shared" si="61"/>
        <v>18391.691746649609</v>
      </c>
      <c r="DZ26" s="195">
        <f t="shared" si="61"/>
        <v>18158.372032976193</v>
      </c>
      <c r="EA26" s="195">
        <f t="shared" si="61"/>
        <v>18014.008872680111</v>
      </c>
      <c r="EB26" s="194">
        <f t="shared" si="61"/>
        <v>18014.008872680111</v>
      </c>
      <c r="ED26" s="418"/>
      <c r="EK26" s="418"/>
    </row>
    <row r="27" spans="1:141" x14ac:dyDescent="0.2">
      <c r="A27" s="1"/>
      <c r="B27" s="179"/>
      <c r="C27" s="175"/>
      <c r="D27" s="175"/>
      <c r="E27" s="175"/>
      <c r="F27" s="175"/>
      <c r="G27" s="170"/>
      <c r="H27" s="175"/>
      <c r="I27" s="175"/>
      <c r="J27" s="175"/>
      <c r="K27" s="175"/>
      <c r="L27" s="170"/>
      <c r="M27" s="175"/>
      <c r="N27" s="175"/>
      <c r="O27" s="175"/>
      <c r="P27" s="175"/>
      <c r="Q27" s="170"/>
      <c r="R27" s="175"/>
      <c r="S27" s="175"/>
      <c r="T27" s="175"/>
      <c r="U27" s="175"/>
      <c r="V27" s="170"/>
      <c r="W27" s="175"/>
      <c r="X27" s="175"/>
      <c r="Y27" s="175"/>
      <c r="Z27" s="175"/>
      <c r="AA27" s="170"/>
      <c r="AB27" s="175"/>
      <c r="AC27" s="175"/>
      <c r="AD27" s="175"/>
      <c r="AE27" s="175"/>
      <c r="AF27" s="170"/>
      <c r="AG27" s="175"/>
      <c r="AH27" s="175"/>
      <c r="AI27" s="175"/>
      <c r="AJ27" s="175"/>
      <c r="AK27" s="170"/>
      <c r="AL27" s="175"/>
      <c r="AM27" s="175"/>
      <c r="AN27" s="175"/>
      <c r="AO27" s="175"/>
      <c r="AP27" s="170"/>
      <c r="AQ27" s="175"/>
      <c r="AR27" s="175"/>
      <c r="AS27" s="175"/>
      <c r="AT27" s="175"/>
      <c r="AU27" s="170"/>
      <c r="AV27" s="175"/>
      <c r="AW27" s="175"/>
      <c r="AX27" s="175"/>
      <c r="AY27" s="175"/>
      <c r="AZ27" s="170"/>
      <c r="BA27" s="175"/>
      <c r="BB27" s="175"/>
      <c r="BC27" s="175"/>
      <c r="BD27" s="175"/>
      <c r="BE27" s="170"/>
      <c r="BF27" s="175"/>
      <c r="BG27" s="175"/>
      <c r="BH27" s="175"/>
      <c r="BI27" s="175"/>
      <c r="BJ27" s="170"/>
      <c r="BK27" s="175"/>
      <c r="BL27" s="175"/>
      <c r="BM27" s="175"/>
      <c r="BN27" s="175"/>
      <c r="BO27" s="170"/>
      <c r="BP27" s="175"/>
      <c r="BQ27" s="175"/>
      <c r="BR27" s="175"/>
      <c r="BS27" s="175"/>
      <c r="BT27" s="170"/>
      <c r="BU27" s="175"/>
      <c r="BV27" s="175"/>
      <c r="BW27" s="175"/>
      <c r="BX27" s="175"/>
      <c r="BY27" s="170"/>
      <c r="BZ27" s="175"/>
      <c r="CA27" s="175"/>
      <c r="CB27" s="175"/>
      <c r="CC27" s="175"/>
      <c r="CD27" s="170"/>
      <c r="CE27" s="175"/>
      <c r="CF27" s="175"/>
      <c r="CG27" s="175"/>
      <c r="CH27" s="175"/>
      <c r="CI27" s="170"/>
      <c r="CJ27" s="175"/>
      <c r="CK27" s="175"/>
      <c r="CL27" s="175"/>
      <c r="CM27" s="175"/>
      <c r="CN27" s="170"/>
      <c r="CO27" s="175"/>
      <c r="CP27" s="175"/>
      <c r="CQ27" s="175"/>
      <c r="CR27" s="175"/>
      <c r="CS27" s="170"/>
      <c r="CT27" s="175"/>
      <c r="CU27" s="175"/>
      <c r="CV27" s="175"/>
      <c r="CW27" s="678"/>
      <c r="CX27" s="742"/>
      <c r="CY27" s="175"/>
      <c r="CZ27" s="175"/>
      <c r="DA27" s="175"/>
      <c r="DB27" s="861"/>
      <c r="DC27" s="170"/>
      <c r="DD27" s="175"/>
      <c r="DE27" s="175"/>
      <c r="DF27" s="175"/>
      <c r="DG27" s="175"/>
      <c r="DH27" s="170"/>
      <c r="DI27" s="157"/>
      <c r="DJ27" s="157"/>
      <c r="DK27" s="157"/>
      <c r="DL27" s="157"/>
      <c r="DM27" s="170"/>
      <c r="DN27" s="157"/>
      <c r="DO27" s="157"/>
      <c r="DP27" s="157"/>
      <c r="DQ27" s="157"/>
      <c r="DR27" s="170"/>
      <c r="DS27" s="157"/>
      <c r="DT27" s="157"/>
      <c r="DU27" s="157"/>
      <c r="DV27" s="157"/>
      <c r="DW27" s="170"/>
      <c r="DX27" s="157"/>
      <c r="DY27" s="157"/>
      <c r="DZ27" s="157"/>
      <c r="EA27" s="157"/>
      <c r="EB27" s="170"/>
      <c r="ED27" s="418"/>
      <c r="EK27" s="418"/>
    </row>
    <row r="28" spans="1:141" x14ac:dyDescent="0.2">
      <c r="A28" s="83" t="s">
        <v>4</v>
      </c>
      <c r="B28" s="179"/>
      <c r="C28" s="175"/>
      <c r="D28" s="175"/>
      <c r="E28" s="175"/>
      <c r="F28" s="175"/>
      <c r="G28" s="170"/>
      <c r="H28" s="175"/>
      <c r="I28" s="175"/>
      <c r="J28" s="175"/>
      <c r="K28" s="175"/>
      <c r="L28" s="170"/>
      <c r="M28" s="175"/>
      <c r="N28" s="175"/>
      <c r="O28" s="175"/>
      <c r="P28" s="175"/>
      <c r="Q28" s="170"/>
      <c r="R28" s="175"/>
      <c r="S28" s="175"/>
      <c r="T28" s="175"/>
      <c r="U28" s="175"/>
      <c r="V28" s="170"/>
      <c r="W28" s="175"/>
      <c r="X28" s="175"/>
      <c r="Y28" s="175"/>
      <c r="Z28" s="175"/>
      <c r="AA28" s="170"/>
      <c r="AB28" s="175"/>
      <c r="AC28" s="175"/>
      <c r="AD28" s="175"/>
      <c r="AE28" s="175"/>
      <c r="AF28" s="170"/>
      <c r="AG28" s="175"/>
      <c r="AH28" s="175"/>
      <c r="AI28" s="175"/>
      <c r="AJ28" s="175"/>
      <c r="AK28" s="170"/>
      <c r="AL28" s="175"/>
      <c r="AM28" s="175"/>
      <c r="AN28" s="175"/>
      <c r="AO28" s="175"/>
      <c r="AP28" s="170"/>
      <c r="AQ28" s="175"/>
      <c r="AR28" s="175"/>
      <c r="AS28" s="175"/>
      <c r="AT28" s="175"/>
      <c r="AU28" s="170"/>
      <c r="AV28" s="175"/>
      <c r="AW28" s="175"/>
      <c r="AX28" s="175"/>
      <c r="AY28" s="175"/>
      <c r="AZ28" s="170"/>
      <c r="BA28" s="175"/>
      <c r="BB28" s="175"/>
      <c r="BC28" s="175"/>
      <c r="BD28" s="175"/>
      <c r="BE28" s="170"/>
      <c r="BF28" s="175"/>
      <c r="BG28" s="175"/>
      <c r="BH28" s="175"/>
      <c r="BI28" s="175"/>
      <c r="BJ28" s="170"/>
      <c r="BK28" s="175"/>
      <c r="BL28" s="175"/>
      <c r="BM28" s="175"/>
      <c r="BN28" s="175"/>
      <c r="BO28" s="170"/>
      <c r="BP28" s="175"/>
      <c r="BQ28" s="175"/>
      <c r="BR28" s="175"/>
      <c r="BS28" s="175"/>
      <c r="BT28" s="170"/>
      <c r="BU28" s="175"/>
      <c r="BV28" s="175"/>
      <c r="BW28" s="175"/>
      <c r="BX28" s="175"/>
      <c r="BY28" s="170"/>
      <c r="BZ28" s="175"/>
      <c r="CA28" s="175"/>
      <c r="CB28" s="175"/>
      <c r="CC28" s="175"/>
      <c r="CD28" s="170"/>
      <c r="CE28" s="175"/>
      <c r="CF28" s="175"/>
      <c r="CG28" s="175"/>
      <c r="CH28" s="175"/>
      <c r="CI28" s="170"/>
      <c r="CJ28" s="175"/>
      <c r="CK28" s="175"/>
      <c r="CL28" s="175"/>
      <c r="CM28" s="175"/>
      <c r="CN28" s="170"/>
      <c r="CO28" s="175"/>
      <c r="CP28" s="175"/>
      <c r="CQ28" s="175"/>
      <c r="CR28" s="175"/>
      <c r="CS28" s="170"/>
      <c r="CT28" s="175"/>
      <c r="CU28" s="175"/>
      <c r="CV28" s="175"/>
      <c r="CW28" s="678"/>
      <c r="CX28" s="742"/>
      <c r="CY28" s="175"/>
      <c r="CZ28" s="175"/>
      <c r="DA28" s="175"/>
      <c r="DB28" s="861"/>
      <c r="DC28" s="170"/>
      <c r="DD28" s="175"/>
      <c r="DE28" s="175"/>
      <c r="DF28" s="175"/>
      <c r="DG28" s="175"/>
      <c r="DH28" s="170"/>
      <c r="DI28" s="157"/>
      <c r="DJ28" s="157"/>
      <c r="DK28" s="157"/>
      <c r="DL28" s="157"/>
      <c r="DM28" s="170"/>
      <c r="DN28" s="157"/>
      <c r="DO28" s="157"/>
      <c r="DP28" s="157"/>
      <c r="DQ28" s="157"/>
      <c r="DR28" s="170"/>
      <c r="DS28" s="157"/>
      <c r="DT28" s="157"/>
      <c r="DU28" s="157"/>
      <c r="DV28" s="157"/>
      <c r="DW28" s="170"/>
      <c r="DX28" s="157"/>
      <c r="DY28" s="157"/>
      <c r="DZ28" s="157"/>
      <c r="EA28" s="157"/>
      <c r="EB28" s="170"/>
      <c r="ED28" s="418"/>
      <c r="EK28" s="418"/>
    </row>
    <row r="29" spans="1:141" x14ac:dyDescent="0.2">
      <c r="A29" s="83" t="s">
        <v>3</v>
      </c>
      <c r="B29" s="179"/>
      <c r="C29" s="175"/>
      <c r="D29" s="175"/>
      <c r="E29" s="175"/>
      <c r="F29" s="175"/>
      <c r="G29" s="170"/>
      <c r="H29" s="175"/>
      <c r="I29" s="175"/>
      <c r="J29" s="175"/>
      <c r="K29" s="175"/>
      <c r="L29" s="170"/>
      <c r="M29" s="175"/>
      <c r="N29" s="175"/>
      <c r="O29" s="175"/>
      <c r="P29" s="175"/>
      <c r="Q29" s="170"/>
      <c r="R29" s="175"/>
      <c r="S29" s="175"/>
      <c r="T29" s="175"/>
      <c r="U29" s="175"/>
      <c r="V29" s="170"/>
      <c r="W29" s="175"/>
      <c r="X29" s="175"/>
      <c r="Y29" s="175"/>
      <c r="Z29" s="175"/>
      <c r="AA29" s="170"/>
      <c r="AB29" s="175"/>
      <c r="AC29" s="175"/>
      <c r="AD29" s="175"/>
      <c r="AE29" s="175"/>
      <c r="AF29" s="170"/>
      <c r="AG29" s="175"/>
      <c r="AH29" s="175"/>
      <c r="AI29" s="175"/>
      <c r="AJ29" s="175"/>
      <c r="AK29" s="170"/>
      <c r="AL29" s="175"/>
      <c r="AM29" s="175"/>
      <c r="AN29" s="175"/>
      <c r="AO29" s="175"/>
      <c r="AP29" s="170"/>
      <c r="AQ29" s="175"/>
      <c r="AR29" s="175"/>
      <c r="AS29" s="175"/>
      <c r="AT29" s="175"/>
      <c r="AU29" s="170"/>
      <c r="AV29" s="175"/>
      <c r="AW29" s="175"/>
      <c r="AX29" s="175"/>
      <c r="AY29" s="175"/>
      <c r="AZ29" s="170"/>
      <c r="BA29" s="175"/>
      <c r="BB29" s="175"/>
      <c r="BC29" s="175"/>
      <c r="BD29" s="175"/>
      <c r="BE29" s="170"/>
      <c r="BF29" s="175"/>
      <c r="BG29" s="175"/>
      <c r="BH29" s="175"/>
      <c r="BI29" s="175"/>
      <c r="BJ29" s="170"/>
      <c r="BK29" s="175"/>
      <c r="BL29" s="175"/>
      <c r="BM29" s="175"/>
      <c r="BN29" s="175"/>
      <c r="BO29" s="170"/>
      <c r="BP29" s="175"/>
      <c r="BQ29" s="175"/>
      <c r="BR29" s="175"/>
      <c r="BS29" s="175"/>
      <c r="BT29" s="170"/>
      <c r="BU29" s="175"/>
      <c r="BV29" s="175"/>
      <c r="BW29" s="175"/>
      <c r="BX29" s="175"/>
      <c r="BY29" s="170"/>
      <c r="BZ29" s="175"/>
      <c r="CA29" s="175"/>
      <c r="CB29" s="175"/>
      <c r="CC29" s="175"/>
      <c r="CD29" s="170"/>
      <c r="CE29" s="175"/>
      <c r="CF29" s="175"/>
      <c r="CG29" s="175"/>
      <c r="CH29" s="175"/>
      <c r="CI29" s="170"/>
      <c r="CJ29" s="175"/>
      <c r="CK29" s="175"/>
      <c r="CL29" s="175"/>
      <c r="CM29" s="175"/>
      <c r="CN29" s="170"/>
      <c r="CO29" s="175"/>
      <c r="CP29" s="175"/>
      <c r="CQ29" s="175"/>
      <c r="CR29" s="175"/>
      <c r="CS29" s="170"/>
      <c r="CT29" s="175"/>
      <c r="CU29" s="175"/>
      <c r="CV29" s="175"/>
      <c r="CW29" s="678"/>
      <c r="CX29" s="742"/>
      <c r="CY29" s="175"/>
      <c r="CZ29" s="175"/>
      <c r="DA29" s="175"/>
      <c r="DB29" s="861"/>
      <c r="DC29" s="170"/>
      <c r="DD29" s="175"/>
      <c r="DE29" s="175"/>
      <c r="DF29" s="175"/>
      <c r="DG29" s="175"/>
      <c r="DH29" s="170"/>
      <c r="DI29" s="157"/>
      <c r="DJ29" s="157"/>
      <c r="DK29" s="157"/>
      <c r="DL29" s="157"/>
      <c r="DM29" s="170"/>
      <c r="DN29" s="157"/>
      <c r="DO29" s="157"/>
      <c r="DP29" s="157"/>
      <c r="DQ29" s="157"/>
      <c r="DR29" s="170"/>
      <c r="DS29" s="157"/>
      <c r="DT29" s="157"/>
      <c r="DU29" s="157"/>
      <c r="DV29" s="157"/>
      <c r="DW29" s="170"/>
      <c r="DX29" s="157"/>
      <c r="DY29" s="157"/>
      <c r="DZ29" s="157"/>
      <c r="EA29" s="157"/>
      <c r="EB29" s="170"/>
      <c r="ED29" s="418"/>
      <c r="EK29" s="418"/>
    </row>
    <row r="30" spans="1:141" x14ac:dyDescent="0.2">
      <c r="A30" s="1" t="s">
        <v>239</v>
      </c>
      <c r="B30" s="179"/>
      <c r="C30" s="175"/>
      <c r="D30" s="175"/>
      <c r="E30" s="175"/>
      <c r="F30" s="175"/>
      <c r="G30" s="170"/>
      <c r="H30" s="175"/>
      <c r="I30" s="175"/>
      <c r="J30" s="175"/>
      <c r="K30" s="175"/>
      <c r="L30" s="170"/>
      <c r="M30" s="175"/>
      <c r="N30" s="175"/>
      <c r="O30" s="175"/>
      <c r="P30" s="175"/>
      <c r="Q30" s="170">
        <v>46.3</v>
      </c>
      <c r="R30" s="175"/>
      <c r="S30" s="175"/>
      <c r="T30" s="175"/>
      <c r="U30" s="175">
        <v>54.445999999999998</v>
      </c>
      <c r="V30" s="170">
        <f>U30</f>
        <v>54.445999999999998</v>
      </c>
      <c r="W30" s="175">
        <v>53</v>
      </c>
      <c r="X30" s="175">
        <v>54.47</v>
      </c>
      <c r="Y30" s="175">
        <v>65.790000000000006</v>
      </c>
      <c r="Z30" s="175">
        <v>56.107999999999997</v>
      </c>
      <c r="AA30" s="170">
        <f>Z30</f>
        <v>56.107999999999997</v>
      </c>
      <c r="AB30" s="175">
        <v>63.802999999999997</v>
      </c>
      <c r="AC30" s="175">
        <v>65.13</v>
      </c>
      <c r="AD30" s="175">
        <v>75.224999999999994</v>
      </c>
      <c r="AE30" s="175">
        <v>73.653000000000006</v>
      </c>
      <c r="AF30" s="170">
        <f t="shared" ref="AF30:AF55" si="62">AE30</f>
        <v>73.653000000000006</v>
      </c>
      <c r="AG30" s="175">
        <v>84.281000000000006</v>
      </c>
      <c r="AH30" s="175">
        <v>86.233000000000004</v>
      </c>
      <c r="AI30" s="175">
        <v>95.272000000000006</v>
      </c>
      <c r="AJ30" s="175">
        <v>127.905</v>
      </c>
      <c r="AK30" s="170">
        <f>AJ30</f>
        <v>127.905</v>
      </c>
      <c r="AL30" s="175">
        <v>84.525000000000006</v>
      </c>
      <c r="AM30" s="175">
        <v>99.6</v>
      </c>
      <c r="AN30" s="175">
        <v>121.99299999999999</v>
      </c>
      <c r="AO30" s="175">
        <v>135.994</v>
      </c>
      <c r="AP30" s="170">
        <f>AO30</f>
        <v>135.994</v>
      </c>
      <c r="AQ30" s="175">
        <v>124.616</v>
      </c>
      <c r="AR30" s="175">
        <v>144.83099999999999</v>
      </c>
      <c r="AS30" s="175">
        <v>180.499</v>
      </c>
      <c r="AT30" s="175">
        <v>168.98400000000001</v>
      </c>
      <c r="AU30" s="170">
        <f t="shared" ref="AU30:AU47" si="63">AT30</f>
        <v>168.98400000000001</v>
      </c>
      <c r="AV30" s="175">
        <v>144.74799999999999</v>
      </c>
      <c r="AW30" s="175">
        <v>157.87299999999999</v>
      </c>
      <c r="AX30" s="175">
        <v>142.149</v>
      </c>
      <c r="AY30" s="175">
        <v>199.346</v>
      </c>
      <c r="AZ30" s="170">
        <f t="shared" ref="AZ30:AZ47" si="64">AY30</f>
        <v>199.346</v>
      </c>
      <c r="BA30" s="175">
        <v>161.23599999999999</v>
      </c>
      <c r="BB30" s="175">
        <v>181.75399999999999</v>
      </c>
      <c r="BC30" s="175">
        <v>185.084</v>
      </c>
      <c r="BD30" s="175">
        <v>220.97499999999999</v>
      </c>
      <c r="BE30" s="170">
        <v>220.97499999999999</v>
      </c>
      <c r="BF30" s="175">
        <v>208.59100000000001</v>
      </c>
      <c r="BG30" s="175">
        <v>230.06</v>
      </c>
      <c r="BH30" s="175">
        <v>255.15799999999999</v>
      </c>
      <c r="BI30" s="175">
        <v>340.93700000000001</v>
      </c>
      <c r="BJ30" s="170">
        <v>340.93700000000001</v>
      </c>
      <c r="BK30" s="175">
        <v>275.69099999999997</v>
      </c>
      <c r="BL30" s="175">
        <v>279.95999999999998</v>
      </c>
      <c r="BM30" s="175">
        <v>314.58300000000003</v>
      </c>
      <c r="BN30" s="175">
        <v>390.83600000000001</v>
      </c>
      <c r="BO30" s="170">
        <f t="shared" ref="BO30:BO40" si="65">BN30</f>
        <v>390.83600000000001</v>
      </c>
      <c r="BP30" s="175">
        <v>340.8</v>
      </c>
      <c r="BQ30" s="175">
        <v>313.39999999999998</v>
      </c>
      <c r="BR30" s="175">
        <v>329.4</v>
      </c>
      <c r="BS30" s="175">
        <v>324.89999999999998</v>
      </c>
      <c r="BT30" s="170">
        <f t="shared" ref="BT30:BT40" si="66">BS30</f>
        <v>324.89999999999998</v>
      </c>
      <c r="BU30" s="175">
        <v>268.60000000000002</v>
      </c>
      <c r="BV30" s="175">
        <v>266.5</v>
      </c>
      <c r="BW30" s="175">
        <v>258.89999999999998</v>
      </c>
      <c r="BX30" s="175">
        <f t="shared" ref="BX30:BX40" si="67">BY30</f>
        <v>267.10000000000002</v>
      </c>
      <c r="BY30" s="170">
        <v>267.10000000000002</v>
      </c>
      <c r="BZ30" s="175">
        <v>241.9</v>
      </c>
      <c r="CA30" s="175">
        <v>286.8</v>
      </c>
      <c r="CB30" s="175">
        <v>288.2</v>
      </c>
      <c r="CC30" s="175">
        <v>282.60000000000002</v>
      </c>
      <c r="CD30" s="170">
        <f t="shared" ref="CD30:CD40" si="68">CC30</f>
        <v>282.60000000000002</v>
      </c>
      <c r="CE30" s="175">
        <v>296.8</v>
      </c>
      <c r="CF30" s="175">
        <v>330.2</v>
      </c>
      <c r="CG30" s="175">
        <v>339.9</v>
      </c>
      <c r="CH30" s="175">
        <v>540</v>
      </c>
      <c r="CI30" s="170">
        <f t="shared" ref="CI30:CI40" si="69">CH30</f>
        <v>540</v>
      </c>
      <c r="CJ30" s="175">
        <v>365.9</v>
      </c>
      <c r="CK30" s="175">
        <v>388.3</v>
      </c>
      <c r="CL30" s="175">
        <v>402.2</v>
      </c>
      <c r="CM30" s="175">
        <v>398.1</v>
      </c>
      <c r="CN30" s="170">
        <f t="shared" ref="CN30:CN40" si="70">CM30</f>
        <v>398.1</v>
      </c>
      <c r="CO30" s="175">
        <v>380.8</v>
      </c>
      <c r="CP30" s="175">
        <v>355.7</v>
      </c>
      <c r="CQ30" s="175">
        <v>415.2</v>
      </c>
      <c r="CR30" s="175">
        <v>491.7</v>
      </c>
      <c r="CS30" s="170">
        <f t="shared" ref="CS30:CS40" si="71">CR30</f>
        <v>491.7</v>
      </c>
      <c r="CT30" s="175">
        <v>444.2</v>
      </c>
      <c r="CU30" s="175">
        <v>472.6</v>
      </c>
      <c r="CV30" s="602">
        <v>474.5</v>
      </c>
      <c r="CW30" s="678">
        <v>533.70000000000005</v>
      </c>
      <c r="CX30" s="742">
        <f t="shared" ref="CX30:CX41" si="72">CW30</f>
        <v>533.70000000000005</v>
      </c>
      <c r="CY30" s="175">
        <v>547.70000000000005</v>
      </c>
      <c r="CZ30" s="175">
        <v>601.29999999999995</v>
      </c>
      <c r="DA30" s="175">
        <v>603.20000000000005</v>
      </c>
      <c r="DB30" s="861">
        <v>684.2</v>
      </c>
      <c r="DC30" s="170">
        <f t="shared" ref="DC30:DD41" si="73">DB30</f>
        <v>684.2</v>
      </c>
      <c r="DD30" s="175">
        <v>648</v>
      </c>
      <c r="DE30" s="175">
        <v>662.7</v>
      </c>
      <c r="DF30" s="175">
        <v>675.7</v>
      </c>
      <c r="DG30" s="175">
        <v>730.6</v>
      </c>
      <c r="DH30" s="170">
        <f t="shared" ref="DH30:DL41" si="74">DG30</f>
        <v>730.6</v>
      </c>
      <c r="DI30" s="175">
        <v>662.5</v>
      </c>
      <c r="DJ30" s="175">
        <v>686.9</v>
      </c>
      <c r="DK30" s="175">
        <v>702.2</v>
      </c>
      <c r="DL30" s="175">
        <v>782.5</v>
      </c>
      <c r="DM30" s="170">
        <f t="shared" ref="DM30:DQ41" si="75">DL30</f>
        <v>782.5</v>
      </c>
      <c r="DN30" s="175">
        <f>DN81*DN87/365</f>
        <v>722.51470588235304</v>
      </c>
      <c r="DO30" s="175">
        <f>DO81*DO87/365</f>
        <v>787.34737118350449</v>
      </c>
      <c r="DP30" s="175">
        <f>DP81*DP87/365</f>
        <v>799.82592143040904</v>
      </c>
      <c r="DQ30" s="175">
        <f>DQ81*DQ87/365</f>
        <v>845.1544870421834</v>
      </c>
      <c r="DR30" s="170">
        <f t="shared" ref="DR30:DR41" si="76">DQ30</f>
        <v>845.1544870421834</v>
      </c>
      <c r="DS30" s="175">
        <f>DS81*DS87/365</f>
        <v>793.02795742348053</v>
      </c>
      <c r="DT30" s="175">
        <f>DT81*DT87/365</f>
        <v>850.05957776444427</v>
      </c>
      <c r="DU30" s="175">
        <f>DU81*DU87/365</f>
        <v>865.42094921106502</v>
      </c>
      <c r="DV30" s="175">
        <f>DV81*DV87/365</f>
        <v>915.93701514440897</v>
      </c>
      <c r="DW30" s="170">
        <f t="shared" ref="DW30:DW41" si="77">DV30</f>
        <v>915.93701514440897</v>
      </c>
      <c r="DX30" s="175">
        <f>DX81*DX87/365</f>
        <v>860.6662655870208</v>
      </c>
      <c r="DY30" s="175">
        <f>DY81*DY87/365</f>
        <v>923.29067642142252</v>
      </c>
      <c r="DZ30" s="175">
        <f>DZ81*DZ87/365</f>
        <v>939.25835219907287</v>
      </c>
      <c r="EA30" s="175">
        <f>EA81*EA87/365</f>
        <v>993.34512932219263</v>
      </c>
      <c r="EB30" s="170">
        <f t="shared" ref="EB30:EB41" si="78">EA30</f>
        <v>993.34512932219263</v>
      </c>
      <c r="ED30" s="418"/>
      <c r="EK30" s="418"/>
    </row>
    <row r="31" spans="1:141" x14ac:dyDescent="0.2">
      <c r="A31" s="1" t="s">
        <v>238</v>
      </c>
      <c r="B31" s="179"/>
      <c r="C31" s="175"/>
      <c r="D31" s="175"/>
      <c r="E31" s="175"/>
      <c r="F31" s="175"/>
      <c r="G31" s="170"/>
      <c r="H31" s="175"/>
      <c r="I31" s="175"/>
      <c r="J31" s="175"/>
      <c r="K31" s="175"/>
      <c r="L31" s="170"/>
      <c r="M31" s="175"/>
      <c r="N31" s="175"/>
      <c r="O31" s="175"/>
      <c r="P31" s="175"/>
      <c r="Q31" s="170">
        <v>28.582000000000001</v>
      </c>
      <c r="R31" s="175"/>
      <c r="S31" s="175"/>
      <c r="T31" s="175"/>
      <c r="U31" s="175">
        <v>33.634</v>
      </c>
      <c r="V31" s="170">
        <f>U31</f>
        <v>33.634</v>
      </c>
      <c r="W31" s="175">
        <v>36.840000000000003</v>
      </c>
      <c r="X31" s="175">
        <v>34.387999999999998</v>
      </c>
      <c r="Y31" s="175">
        <v>39.363999999999997</v>
      </c>
      <c r="Z31" s="175">
        <v>63.811</v>
      </c>
      <c r="AA31" s="170">
        <f>Z31</f>
        <v>63.811</v>
      </c>
      <c r="AB31" s="175">
        <v>47.122</v>
      </c>
      <c r="AC31" s="175">
        <v>50.463000000000001</v>
      </c>
      <c r="AD31" s="175">
        <v>52.481000000000002</v>
      </c>
      <c r="AE31" s="175">
        <v>56.332000000000001</v>
      </c>
      <c r="AF31" s="170">
        <f t="shared" si="62"/>
        <v>56.332000000000001</v>
      </c>
      <c r="AG31" s="175">
        <v>58.301000000000002</v>
      </c>
      <c r="AH31" s="175">
        <v>52.637</v>
      </c>
      <c r="AI31" s="175">
        <v>65.992000000000004</v>
      </c>
      <c r="AJ31" s="175">
        <v>61.987000000000002</v>
      </c>
      <c r="AK31" s="170">
        <f>AJ31</f>
        <v>61.987000000000002</v>
      </c>
      <c r="AL31" s="175">
        <v>58.241999999999997</v>
      </c>
      <c r="AM31" s="175">
        <v>48.85</v>
      </c>
      <c r="AN31" s="175">
        <v>58.963999999999999</v>
      </c>
      <c r="AO31" s="305">
        <v>0</v>
      </c>
      <c r="AP31" s="436">
        <f>AO31</f>
        <v>0</v>
      </c>
      <c r="AQ31" s="305">
        <v>0</v>
      </c>
      <c r="AR31" s="305">
        <v>0</v>
      </c>
      <c r="AS31" s="305">
        <v>0</v>
      </c>
      <c r="AT31" s="305">
        <v>0</v>
      </c>
      <c r="AU31" s="436">
        <f t="shared" si="63"/>
        <v>0</v>
      </c>
      <c r="AV31" s="305">
        <v>0</v>
      </c>
      <c r="AW31" s="305">
        <v>0</v>
      </c>
      <c r="AX31" s="305">
        <v>0</v>
      </c>
      <c r="AY31" s="305">
        <v>0</v>
      </c>
      <c r="AZ31" s="436">
        <f t="shared" si="64"/>
        <v>0</v>
      </c>
      <c r="BA31" s="305" t="s">
        <v>210</v>
      </c>
      <c r="BB31" s="305">
        <v>0</v>
      </c>
      <c r="BC31" s="305">
        <v>0</v>
      </c>
      <c r="BD31" s="305">
        <v>0</v>
      </c>
      <c r="BE31" s="436">
        <v>0</v>
      </c>
      <c r="BF31" s="305">
        <f>BE31</f>
        <v>0</v>
      </c>
      <c r="BG31" s="305">
        <f>BF31</f>
        <v>0</v>
      </c>
      <c r="BH31" s="305">
        <f>BG31</f>
        <v>0</v>
      </c>
      <c r="BI31" s="305">
        <f>BH31</f>
        <v>0</v>
      </c>
      <c r="BJ31" s="436">
        <f>BI31</f>
        <v>0</v>
      </c>
      <c r="BK31" s="305">
        <v>0</v>
      </c>
      <c r="BL31" s="305">
        <f>BK31</f>
        <v>0</v>
      </c>
      <c r="BM31" s="305">
        <f>BL31</f>
        <v>0</v>
      </c>
      <c r="BN31" s="305">
        <f>BM31</f>
        <v>0</v>
      </c>
      <c r="BO31" s="436">
        <f t="shared" si="65"/>
        <v>0</v>
      </c>
      <c r="BP31" s="305">
        <v>0</v>
      </c>
      <c r="BQ31" s="305">
        <v>0</v>
      </c>
      <c r="BR31" s="305">
        <v>0</v>
      </c>
      <c r="BS31" s="305">
        <v>0</v>
      </c>
      <c r="BT31" s="436">
        <f t="shared" si="66"/>
        <v>0</v>
      </c>
      <c r="BU31" s="305">
        <v>0</v>
      </c>
      <c r="BV31" s="305">
        <v>0</v>
      </c>
      <c r="BW31" s="305">
        <v>0</v>
      </c>
      <c r="BX31" s="305">
        <f t="shared" si="67"/>
        <v>0</v>
      </c>
      <c r="BY31" s="436">
        <v>0</v>
      </c>
      <c r="BZ31" s="305">
        <v>0</v>
      </c>
      <c r="CA31" s="305">
        <v>0</v>
      </c>
      <c r="CB31" s="305">
        <v>0</v>
      </c>
      <c r="CC31" s="305">
        <v>0</v>
      </c>
      <c r="CD31" s="436">
        <f t="shared" si="68"/>
        <v>0</v>
      </c>
      <c r="CE31" s="305">
        <v>0</v>
      </c>
      <c r="CF31" s="305">
        <v>0</v>
      </c>
      <c r="CG31" s="305">
        <v>0</v>
      </c>
      <c r="CH31" s="305">
        <v>0</v>
      </c>
      <c r="CI31" s="436">
        <f t="shared" si="69"/>
        <v>0</v>
      </c>
      <c r="CJ31" s="305">
        <v>0</v>
      </c>
      <c r="CK31" s="305">
        <v>0</v>
      </c>
      <c r="CL31" s="305">
        <v>0</v>
      </c>
      <c r="CM31" s="305">
        <v>0</v>
      </c>
      <c r="CN31" s="436">
        <f t="shared" si="70"/>
        <v>0</v>
      </c>
      <c r="CO31" s="305">
        <v>0</v>
      </c>
      <c r="CP31" s="305">
        <v>0</v>
      </c>
      <c r="CQ31" s="305">
        <v>0</v>
      </c>
      <c r="CR31" s="305">
        <f>CQ31</f>
        <v>0</v>
      </c>
      <c r="CS31" s="436">
        <f t="shared" si="71"/>
        <v>0</v>
      </c>
      <c r="CT31" s="305">
        <v>0</v>
      </c>
      <c r="CU31" s="305">
        <v>0</v>
      </c>
      <c r="CV31" s="632">
        <v>0</v>
      </c>
      <c r="CW31" s="686">
        <f>CV31</f>
        <v>0</v>
      </c>
      <c r="CX31" s="725">
        <f t="shared" si="72"/>
        <v>0</v>
      </c>
      <c r="CY31" s="305">
        <f t="shared" ref="CY31:DB34" si="79">CX31</f>
        <v>0</v>
      </c>
      <c r="CZ31" s="305">
        <f t="shared" si="79"/>
        <v>0</v>
      </c>
      <c r="DA31" s="305">
        <f t="shared" si="79"/>
        <v>0</v>
      </c>
      <c r="DB31" s="863">
        <f t="shared" si="79"/>
        <v>0</v>
      </c>
      <c r="DC31" s="436">
        <f t="shared" si="73"/>
        <v>0</v>
      </c>
      <c r="DD31" s="305">
        <f t="shared" si="73"/>
        <v>0</v>
      </c>
      <c r="DE31" s="305">
        <v>0</v>
      </c>
      <c r="DF31" s="305">
        <v>0</v>
      </c>
      <c r="DG31" s="305">
        <v>0</v>
      </c>
      <c r="DH31" s="436">
        <f t="shared" si="74"/>
        <v>0</v>
      </c>
      <c r="DI31" s="305">
        <v>0</v>
      </c>
      <c r="DJ31" s="305">
        <v>0</v>
      </c>
      <c r="DK31" s="305">
        <v>0</v>
      </c>
      <c r="DL31" s="305">
        <f t="shared" si="74"/>
        <v>0</v>
      </c>
      <c r="DM31" s="436">
        <f t="shared" si="75"/>
        <v>0</v>
      </c>
      <c r="DN31" s="305">
        <f t="shared" si="75"/>
        <v>0</v>
      </c>
      <c r="DO31" s="305">
        <f t="shared" si="75"/>
        <v>0</v>
      </c>
      <c r="DP31" s="305">
        <f t="shared" si="75"/>
        <v>0</v>
      </c>
      <c r="DQ31" s="305">
        <f t="shared" si="75"/>
        <v>0</v>
      </c>
      <c r="DR31" s="436">
        <f t="shared" si="76"/>
        <v>0</v>
      </c>
      <c r="DS31" s="305">
        <f t="shared" ref="DS31:DV34" si="80">DR31</f>
        <v>0</v>
      </c>
      <c r="DT31" s="305">
        <f t="shared" si="80"/>
        <v>0</v>
      </c>
      <c r="DU31" s="305">
        <f t="shared" si="80"/>
        <v>0</v>
      </c>
      <c r="DV31" s="305">
        <f t="shared" si="80"/>
        <v>0</v>
      </c>
      <c r="DW31" s="436">
        <f t="shared" si="77"/>
        <v>0</v>
      </c>
      <c r="DX31" s="305">
        <f t="shared" ref="DX31:EA34" si="81">DW31</f>
        <v>0</v>
      </c>
      <c r="DY31" s="305">
        <f t="shared" si="81"/>
        <v>0</v>
      </c>
      <c r="DZ31" s="305">
        <f t="shared" si="81"/>
        <v>0</v>
      </c>
      <c r="EA31" s="305">
        <f t="shared" si="81"/>
        <v>0</v>
      </c>
      <c r="EB31" s="436">
        <f t="shared" si="78"/>
        <v>0</v>
      </c>
      <c r="ED31" s="418"/>
      <c r="EK31" s="418"/>
    </row>
    <row r="32" spans="1:141" x14ac:dyDescent="0.2">
      <c r="A32" s="1" t="s">
        <v>138</v>
      </c>
      <c r="B32" s="179"/>
      <c r="C32" s="175"/>
      <c r="D32" s="175"/>
      <c r="E32" s="175"/>
      <c r="F32" s="175"/>
      <c r="G32" s="170"/>
      <c r="H32" s="175"/>
      <c r="I32" s="175"/>
      <c r="J32" s="175"/>
      <c r="K32" s="175"/>
      <c r="L32" s="170"/>
      <c r="M32" s="175"/>
      <c r="N32" s="175"/>
      <c r="O32" s="175"/>
      <c r="P32" s="175"/>
      <c r="Q32" s="170">
        <v>25.893999999999998</v>
      </c>
      <c r="R32" s="175"/>
      <c r="S32" s="175"/>
      <c r="T32" s="175"/>
      <c r="U32" s="175">
        <v>35.941000000000003</v>
      </c>
      <c r="V32" s="170">
        <f>U32</f>
        <v>35.941000000000003</v>
      </c>
      <c r="W32" s="175">
        <v>36.177</v>
      </c>
      <c r="X32" s="175">
        <v>41.177</v>
      </c>
      <c r="Y32" s="175">
        <v>45.573</v>
      </c>
      <c r="Z32" s="175">
        <v>43.872</v>
      </c>
      <c r="AA32" s="170">
        <f>Z32</f>
        <v>43.872</v>
      </c>
      <c r="AB32" s="175">
        <v>51.192999999999998</v>
      </c>
      <c r="AC32" s="175">
        <v>62.185000000000002</v>
      </c>
      <c r="AD32" s="175">
        <v>71.295000000000002</v>
      </c>
      <c r="AE32" s="175">
        <v>75.25</v>
      </c>
      <c r="AF32" s="170">
        <f t="shared" si="62"/>
        <v>75.25</v>
      </c>
      <c r="AG32" s="175">
        <v>82.036000000000001</v>
      </c>
      <c r="AH32" s="175">
        <v>83.347999999999999</v>
      </c>
      <c r="AI32" s="175">
        <v>89.34</v>
      </c>
      <c r="AJ32" s="175">
        <v>81.457999999999998</v>
      </c>
      <c r="AK32" s="170">
        <f>AJ32</f>
        <v>81.457999999999998</v>
      </c>
      <c r="AL32" s="175">
        <v>85.885999999999996</v>
      </c>
      <c r="AM32" s="175">
        <v>91.408000000000001</v>
      </c>
      <c r="AN32" s="175">
        <v>107.59399999999999</v>
      </c>
      <c r="AO32" s="175">
        <v>105.899</v>
      </c>
      <c r="AP32" s="170">
        <f>AO32</f>
        <v>105.899</v>
      </c>
      <c r="AQ32" s="175">
        <v>109.556</v>
      </c>
      <c r="AR32" s="175">
        <v>117.601</v>
      </c>
      <c r="AS32" s="175">
        <v>136.09399999999999</v>
      </c>
      <c r="AT32" s="175">
        <v>152.608</v>
      </c>
      <c r="AU32" s="170">
        <f t="shared" si="63"/>
        <v>152.608</v>
      </c>
      <c r="AV32" s="175">
        <v>154.96199999999999</v>
      </c>
      <c r="AW32" s="175">
        <v>185.65799999999999</v>
      </c>
      <c r="AX32" s="175">
        <v>198.50399999999999</v>
      </c>
      <c r="AY32" s="175">
        <v>208.92699999999999</v>
      </c>
      <c r="AZ32" s="170">
        <f t="shared" si="64"/>
        <v>208.92699999999999</v>
      </c>
      <c r="BA32" s="175">
        <v>197.80799999999999</v>
      </c>
      <c r="BB32" s="175">
        <v>204.32400000000001</v>
      </c>
      <c r="BC32" s="175">
        <v>216.39</v>
      </c>
      <c r="BD32" s="175">
        <v>232.35400000000001</v>
      </c>
      <c r="BE32" s="170">
        <v>232.35400000000001</v>
      </c>
      <c r="BF32" s="175">
        <v>229.06299999999999</v>
      </c>
      <c r="BG32" s="175">
        <v>283.34199999999998</v>
      </c>
      <c r="BH32" s="175">
        <v>293.18599999999998</v>
      </c>
      <c r="BI32" s="175">
        <v>288.96300000000002</v>
      </c>
      <c r="BJ32" s="170">
        <v>288.96300000000002</v>
      </c>
      <c r="BK32" s="175">
        <v>289.005</v>
      </c>
      <c r="BL32" s="175">
        <v>301.05</v>
      </c>
      <c r="BM32" s="175">
        <v>324.91500000000002</v>
      </c>
      <c r="BN32" s="175">
        <v>332.33100000000002</v>
      </c>
      <c r="BO32" s="170">
        <f t="shared" si="65"/>
        <v>332.33100000000002</v>
      </c>
      <c r="BP32" s="175">
        <v>341.9</v>
      </c>
      <c r="BQ32" s="175">
        <v>329.2</v>
      </c>
      <c r="BR32" s="175">
        <v>325.3</v>
      </c>
      <c r="BS32" s="175">
        <v>253.6</v>
      </c>
      <c r="BT32" s="170">
        <f t="shared" si="66"/>
        <v>253.6</v>
      </c>
      <c r="BU32" s="175">
        <v>251.5</v>
      </c>
      <c r="BV32" s="175">
        <v>236.6</v>
      </c>
      <c r="BW32" s="175">
        <v>255.2</v>
      </c>
      <c r="BX32" s="175">
        <f t="shared" si="67"/>
        <v>307.5</v>
      </c>
      <c r="BY32" s="170">
        <v>307.5</v>
      </c>
      <c r="BZ32" s="175">
        <v>290.5</v>
      </c>
      <c r="CA32" s="175">
        <v>308.3</v>
      </c>
      <c r="CB32" s="175">
        <v>344.3</v>
      </c>
      <c r="CC32" s="175">
        <v>400</v>
      </c>
      <c r="CD32" s="170">
        <f t="shared" si="68"/>
        <v>400</v>
      </c>
      <c r="CE32" s="175">
        <v>306.60000000000002</v>
      </c>
      <c r="CF32" s="175">
        <v>328.2</v>
      </c>
      <c r="CG32" s="175">
        <v>351.9</v>
      </c>
      <c r="CH32" s="175">
        <v>364.4</v>
      </c>
      <c r="CI32" s="170">
        <f t="shared" si="69"/>
        <v>364.4</v>
      </c>
      <c r="CJ32" s="305">
        <v>0</v>
      </c>
      <c r="CK32" s="305">
        <v>0</v>
      </c>
      <c r="CL32" s="305">
        <v>0</v>
      </c>
      <c r="CM32" s="305">
        <v>0</v>
      </c>
      <c r="CN32" s="436">
        <f t="shared" si="70"/>
        <v>0</v>
      </c>
      <c r="CO32" s="305">
        <v>0</v>
      </c>
      <c r="CP32" s="305">
        <v>0</v>
      </c>
      <c r="CQ32" s="305">
        <v>0</v>
      </c>
      <c r="CR32" s="305">
        <f>CQ32</f>
        <v>0</v>
      </c>
      <c r="CS32" s="436">
        <f t="shared" si="71"/>
        <v>0</v>
      </c>
      <c r="CT32" s="305">
        <v>0</v>
      </c>
      <c r="CU32" s="305">
        <v>0</v>
      </c>
      <c r="CV32" s="632">
        <v>0</v>
      </c>
      <c r="CW32" s="686">
        <f>CV32</f>
        <v>0</v>
      </c>
      <c r="CX32" s="725">
        <f t="shared" si="72"/>
        <v>0</v>
      </c>
      <c r="CY32" s="305">
        <f t="shared" si="79"/>
        <v>0</v>
      </c>
      <c r="CZ32" s="305">
        <f t="shared" si="79"/>
        <v>0</v>
      </c>
      <c r="DA32" s="305">
        <f t="shared" si="79"/>
        <v>0</v>
      </c>
      <c r="DB32" s="863">
        <f t="shared" si="79"/>
        <v>0</v>
      </c>
      <c r="DC32" s="436">
        <f t="shared" si="73"/>
        <v>0</v>
      </c>
      <c r="DD32" s="305">
        <f t="shared" si="73"/>
        <v>0</v>
      </c>
      <c r="DE32" s="305">
        <v>0</v>
      </c>
      <c r="DF32" s="305">
        <v>0</v>
      </c>
      <c r="DG32" s="305">
        <v>0</v>
      </c>
      <c r="DH32" s="436">
        <f t="shared" si="74"/>
        <v>0</v>
      </c>
      <c r="DI32" s="305">
        <v>0</v>
      </c>
      <c r="DJ32" s="305">
        <v>0</v>
      </c>
      <c r="DK32" s="305">
        <v>0</v>
      </c>
      <c r="DL32" s="305">
        <f t="shared" si="74"/>
        <v>0</v>
      </c>
      <c r="DM32" s="436">
        <f t="shared" si="75"/>
        <v>0</v>
      </c>
      <c r="DN32" s="305">
        <f t="shared" si="75"/>
        <v>0</v>
      </c>
      <c r="DO32" s="305">
        <f t="shared" si="75"/>
        <v>0</v>
      </c>
      <c r="DP32" s="305">
        <f t="shared" si="75"/>
        <v>0</v>
      </c>
      <c r="DQ32" s="305">
        <f t="shared" si="75"/>
        <v>0</v>
      </c>
      <c r="DR32" s="436">
        <f t="shared" si="76"/>
        <v>0</v>
      </c>
      <c r="DS32" s="305">
        <f t="shared" si="80"/>
        <v>0</v>
      </c>
      <c r="DT32" s="305">
        <f t="shared" si="80"/>
        <v>0</v>
      </c>
      <c r="DU32" s="305">
        <f t="shared" si="80"/>
        <v>0</v>
      </c>
      <c r="DV32" s="305">
        <f t="shared" si="80"/>
        <v>0</v>
      </c>
      <c r="DW32" s="436">
        <f t="shared" si="77"/>
        <v>0</v>
      </c>
      <c r="DX32" s="305">
        <f t="shared" si="81"/>
        <v>0</v>
      </c>
      <c r="DY32" s="305">
        <f t="shared" si="81"/>
        <v>0</v>
      </c>
      <c r="DZ32" s="305">
        <f t="shared" si="81"/>
        <v>0</v>
      </c>
      <c r="EA32" s="305">
        <f t="shared" si="81"/>
        <v>0</v>
      </c>
      <c r="EB32" s="436">
        <f t="shared" si="78"/>
        <v>0</v>
      </c>
      <c r="ED32" s="418"/>
      <c r="EK32" s="418"/>
    </row>
    <row r="33" spans="1:141" x14ac:dyDescent="0.2">
      <c r="A33" s="1" t="s">
        <v>137</v>
      </c>
      <c r="B33" s="179"/>
      <c r="C33" s="175"/>
      <c r="D33" s="175"/>
      <c r="E33" s="175"/>
      <c r="F33" s="175"/>
      <c r="G33" s="170"/>
      <c r="H33" s="175"/>
      <c r="I33" s="175"/>
      <c r="J33" s="175"/>
      <c r="K33" s="175"/>
      <c r="L33" s="170"/>
      <c r="M33" s="175"/>
      <c r="N33" s="175"/>
      <c r="O33" s="175"/>
      <c r="P33" s="175"/>
      <c r="Q33" s="170">
        <v>12.183999999999999</v>
      </c>
      <c r="R33" s="175"/>
      <c r="S33" s="175"/>
      <c r="T33" s="175"/>
      <c r="U33" s="175">
        <v>17.526</v>
      </c>
      <c r="V33" s="170">
        <f>U33</f>
        <v>17.526</v>
      </c>
      <c r="W33" s="175">
        <v>19.356000000000002</v>
      </c>
      <c r="X33" s="175">
        <v>19.867999999999999</v>
      </c>
      <c r="Y33" s="175">
        <v>21.399000000000001</v>
      </c>
      <c r="Z33" s="175">
        <v>23.016999999999999</v>
      </c>
      <c r="AA33" s="170">
        <f>Z33</f>
        <v>23.016999999999999</v>
      </c>
      <c r="AB33" s="175">
        <v>25.608000000000001</v>
      </c>
      <c r="AC33" s="175">
        <v>26.004999999999999</v>
      </c>
      <c r="AD33" s="175">
        <v>27.47</v>
      </c>
      <c r="AE33" s="175">
        <v>29.117000000000001</v>
      </c>
      <c r="AF33" s="170">
        <f t="shared" si="62"/>
        <v>29.117000000000001</v>
      </c>
      <c r="AG33" s="175">
        <v>31.012</v>
      </c>
      <c r="AH33" s="175">
        <v>32.640999999999998</v>
      </c>
      <c r="AI33" s="175">
        <v>34.238999999999997</v>
      </c>
      <c r="AJ33" s="175">
        <v>35.835000000000001</v>
      </c>
      <c r="AK33" s="170">
        <f>AJ33</f>
        <v>35.835000000000001</v>
      </c>
      <c r="AL33" s="175">
        <v>36.966000000000001</v>
      </c>
      <c r="AM33" s="175">
        <v>42.036999999999999</v>
      </c>
      <c r="AN33" s="175">
        <v>42.524999999999999</v>
      </c>
      <c r="AO33" s="175">
        <v>51.195</v>
      </c>
      <c r="AP33" s="170">
        <f>AO33</f>
        <v>51.195</v>
      </c>
      <c r="AQ33" s="175">
        <v>45.582999999999998</v>
      </c>
      <c r="AR33" s="175">
        <v>46.064</v>
      </c>
      <c r="AS33" s="175">
        <v>53.942999999999998</v>
      </c>
      <c r="AT33" s="175">
        <v>56.179000000000002</v>
      </c>
      <c r="AU33" s="170">
        <f t="shared" si="63"/>
        <v>56.179000000000002</v>
      </c>
      <c r="AV33" s="175">
        <v>58.377000000000002</v>
      </c>
      <c r="AW33" s="175">
        <v>59.259</v>
      </c>
      <c r="AX33" s="175">
        <v>65.558000000000007</v>
      </c>
      <c r="AY33" s="175">
        <v>29.231000000000002</v>
      </c>
      <c r="AZ33" s="170">
        <f t="shared" si="64"/>
        <v>29.231000000000002</v>
      </c>
      <c r="BA33" s="175">
        <v>32.866</v>
      </c>
      <c r="BB33" s="175">
        <v>44.137999999999998</v>
      </c>
      <c r="BC33" s="175">
        <v>41.656999999999996</v>
      </c>
      <c r="BD33" s="175">
        <v>44.496000000000002</v>
      </c>
      <c r="BE33" s="170">
        <v>44.496000000000002</v>
      </c>
      <c r="BF33" s="175">
        <v>49.048999999999999</v>
      </c>
      <c r="BG33" s="175">
        <v>49.35</v>
      </c>
      <c r="BH33" s="175">
        <v>51.796999999999997</v>
      </c>
      <c r="BI33" s="175">
        <v>54.868000000000002</v>
      </c>
      <c r="BJ33" s="170">
        <v>54.868000000000002</v>
      </c>
      <c r="BK33" s="175">
        <v>68.033000000000001</v>
      </c>
      <c r="BL33" s="175">
        <v>68.006</v>
      </c>
      <c r="BM33" s="175">
        <v>75.915999999999997</v>
      </c>
      <c r="BN33" s="175">
        <v>74.590999999999994</v>
      </c>
      <c r="BO33" s="170">
        <f t="shared" si="65"/>
        <v>74.590999999999994</v>
      </c>
      <c r="BP33" s="175">
        <v>78.099999999999994</v>
      </c>
      <c r="BQ33" s="175">
        <v>82.4</v>
      </c>
      <c r="BR33" s="175">
        <v>88.4</v>
      </c>
      <c r="BS33" s="175">
        <v>136.1</v>
      </c>
      <c r="BT33" s="170">
        <f t="shared" si="66"/>
        <v>136.1</v>
      </c>
      <c r="BU33" s="175">
        <v>124.9</v>
      </c>
      <c r="BV33" s="175">
        <v>135.9</v>
      </c>
      <c r="BW33" s="175">
        <v>164.5</v>
      </c>
      <c r="BX33" s="175">
        <f t="shared" si="67"/>
        <v>188.1</v>
      </c>
      <c r="BY33" s="170">
        <v>188.1</v>
      </c>
      <c r="BZ33" s="175">
        <v>182</v>
      </c>
      <c r="CA33" s="175">
        <v>164.4</v>
      </c>
      <c r="CB33" s="175">
        <v>175.1</v>
      </c>
      <c r="CC33" s="175">
        <v>173.2</v>
      </c>
      <c r="CD33" s="170">
        <f t="shared" si="68"/>
        <v>173.2</v>
      </c>
      <c r="CE33" s="175">
        <v>163.69999999999999</v>
      </c>
      <c r="CF33" s="175">
        <v>153.30000000000001</v>
      </c>
      <c r="CG33" s="175">
        <v>150.5</v>
      </c>
      <c r="CH33" s="175">
        <v>148.30000000000001</v>
      </c>
      <c r="CI33" s="170">
        <f t="shared" si="69"/>
        <v>148.30000000000001</v>
      </c>
      <c r="CJ33" s="305">
        <v>0</v>
      </c>
      <c r="CK33" s="305">
        <v>0</v>
      </c>
      <c r="CL33" s="305">
        <v>0</v>
      </c>
      <c r="CM33" s="305">
        <v>0</v>
      </c>
      <c r="CN33" s="436">
        <f t="shared" si="70"/>
        <v>0</v>
      </c>
      <c r="CO33" s="305">
        <v>0</v>
      </c>
      <c r="CP33" s="305">
        <v>0</v>
      </c>
      <c r="CQ33" s="305">
        <v>0</v>
      </c>
      <c r="CR33" s="305">
        <f>CQ33</f>
        <v>0</v>
      </c>
      <c r="CS33" s="436">
        <f t="shared" si="71"/>
        <v>0</v>
      </c>
      <c r="CT33" s="305">
        <v>0</v>
      </c>
      <c r="CU33" s="305">
        <v>0</v>
      </c>
      <c r="CV33" s="632">
        <v>0</v>
      </c>
      <c r="CW33" s="686">
        <f>CV33</f>
        <v>0</v>
      </c>
      <c r="CX33" s="725">
        <f t="shared" si="72"/>
        <v>0</v>
      </c>
      <c r="CY33" s="305">
        <f t="shared" si="79"/>
        <v>0</v>
      </c>
      <c r="CZ33" s="305">
        <f t="shared" si="79"/>
        <v>0</v>
      </c>
      <c r="DA33" s="305">
        <f t="shared" si="79"/>
        <v>0</v>
      </c>
      <c r="DB33" s="863">
        <f t="shared" si="79"/>
        <v>0</v>
      </c>
      <c r="DC33" s="436">
        <f t="shared" si="73"/>
        <v>0</v>
      </c>
      <c r="DD33" s="305">
        <f t="shared" si="73"/>
        <v>0</v>
      </c>
      <c r="DE33" s="305">
        <v>0</v>
      </c>
      <c r="DF33" s="305">
        <v>0</v>
      </c>
      <c r="DG33" s="305">
        <v>0</v>
      </c>
      <c r="DH33" s="436">
        <f t="shared" si="74"/>
        <v>0</v>
      </c>
      <c r="DI33" s="305">
        <v>0</v>
      </c>
      <c r="DJ33" s="305">
        <v>0</v>
      </c>
      <c r="DK33" s="305">
        <v>0</v>
      </c>
      <c r="DL33" s="305">
        <f t="shared" si="74"/>
        <v>0</v>
      </c>
      <c r="DM33" s="436">
        <f t="shared" si="75"/>
        <v>0</v>
      </c>
      <c r="DN33" s="305">
        <f t="shared" si="75"/>
        <v>0</v>
      </c>
      <c r="DO33" s="305">
        <f t="shared" si="75"/>
        <v>0</v>
      </c>
      <c r="DP33" s="305">
        <f t="shared" si="75"/>
        <v>0</v>
      </c>
      <c r="DQ33" s="305">
        <f t="shared" si="75"/>
        <v>0</v>
      </c>
      <c r="DR33" s="436">
        <f t="shared" si="76"/>
        <v>0</v>
      </c>
      <c r="DS33" s="305">
        <f t="shared" si="80"/>
        <v>0</v>
      </c>
      <c r="DT33" s="305">
        <f t="shared" si="80"/>
        <v>0</v>
      </c>
      <c r="DU33" s="305">
        <f t="shared" si="80"/>
        <v>0</v>
      </c>
      <c r="DV33" s="305">
        <f t="shared" si="80"/>
        <v>0</v>
      </c>
      <c r="DW33" s="436">
        <f t="shared" si="77"/>
        <v>0</v>
      </c>
      <c r="DX33" s="305">
        <f t="shared" si="81"/>
        <v>0</v>
      </c>
      <c r="DY33" s="305">
        <f t="shared" si="81"/>
        <v>0</v>
      </c>
      <c r="DZ33" s="305">
        <f t="shared" si="81"/>
        <v>0</v>
      </c>
      <c r="EA33" s="305">
        <f t="shared" si="81"/>
        <v>0</v>
      </c>
      <c r="EB33" s="436">
        <f t="shared" si="78"/>
        <v>0</v>
      </c>
      <c r="ED33" s="418"/>
      <c r="EK33" s="418"/>
    </row>
    <row r="34" spans="1:141" x14ac:dyDescent="0.2">
      <c r="A34" s="1" t="s">
        <v>455</v>
      </c>
      <c r="B34" s="179"/>
      <c r="C34" s="175"/>
      <c r="D34" s="175"/>
      <c r="E34" s="175"/>
      <c r="F34" s="175"/>
      <c r="G34" s="170"/>
      <c r="H34" s="175"/>
      <c r="I34" s="175"/>
      <c r="J34" s="175"/>
      <c r="K34" s="175"/>
      <c r="L34" s="170"/>
      <c r="M34" s="175"/>
      <c r="N34" s="175"/>
      <c r="O34" s="175"/>
      <c r="P34" s="175"/>
      <c r="Q34" s="170">
        <v>0</v>
      </c>
      <c r="R34" s="175"/>
      <c r="S34" s="175"/>
      <c r="T34" s="175"/>
      <c r="U34" s="175">
        <v>0</v>
      </c>
      <c r="V34" s="170">
        <f>U34</f>
        <v>0</v>
      </c>
      <c r="W34" s="175">
        <v>0</v>
      </c>
      <c r="X34" s="175">
        <v>0</v>
      </c>
      <c r="Y34" s="175">
        <v>24.579000000000001</v>
      </c>
      <c r="Z34" s="175">
        <v>30.751999999999999</v>
      </c>
      <c r="AA34" s="170">
        <f>Z34</f>
        <v>30.751999999999999</v>
      </c>
      <c r="AB34" s="175">
        <v>40.366</v>
      </c>
      <c r="AC34" s="175">
        <v>18.838000000000001</v>
      </c>
      <c r="AD34" s="175">
        <v>21.846</v>
      </c>
      <c r="AE34" s="175">
        <v>35.841000000000001</v>
      </c>
      <c r="AF34" s="170">
        <f t="shared" si="62"/>
        <v>35.841000000000001</v>
      </c>
      <c r="AG34" s="175">
        <v>46.738</v>
      </c>
      <c r="AH34" s="175">
        <v>28.186</v>
      </c>
      <c r="AI34" s="175">
        <v>47.518000000000001</v>
      </c>
      <c r="AJ34" s="175">
        <v>70.346000000000004</v>
      </c>
      <c r="AK34" s="170">
        <f>AJ34</f>
        <v>70.346000000000004</v>
      </c>
      <c r="AL34" s="175">
        <v>71.917000000000002</v>
      </c>
      <c r="AM34" s="175">
        <v>30.678999999999998</v>
      </c>
      <c r="AN34" s="175">
        <v>19.103999999999999</v>
      </c>
      <c r="AO34" s="175">
        <v>54.244</v>
      </c>
      <c r="AP34" s="170">
        <f>AO34</f>
        <v>54.244</v>
      </c>
      <c r="AQ34" s="175">
        <v>79.248999999999995</v>
      </c>
      <c r="AR34" s="175">
        <v>29.195</v>
      </c>
      <c r="AS34" s="175">
        <v>48.212000000000003</v>
      </c>
      <c r="AT34" s="175">
        <v>54.933999999999997</v>
      </c>
      <c r="AU34" s="170">
        <f t="shared" si="63"/>
        <v>54.933999999999997</v>
      </c>
      <c r="AV34" s="175">
        <v>113.89100000000001</v>
      </c>
      <c r="AW34" s="175">
        <v>49.662999999999997</v>
      </c>
      <c r="AX34" s="175">
        <v>49.99</v>
      </c>
      <c r="AY34" s="175">
        <v>62.959000000000003</v>
      </c>
      <c r="AZ34" s="170">
        <f t="shared" si="64"/>
        <v>62.959000000000003</v>
      </c>
      <c r="BA34" s="175">
        <v>87.856999999999999</v>
      </c>
      <c r="BB34" s="175">
        <v>76.123999999999995</v>
      </c>
      <c r="BC34" s="175">
        <v>96.513999999999996</v>
      </c>
      <c r="BD34" s="175">
        <v>78.293000000000006</v>
      </c>
      <c r="BE34" s="170">
        <v>78.293000000000006</v>
      </c>
      <c r="BF34" s="175">
        <v>181.58500000000001</v>
      </c>
      <c r="BG34" s="175">
        <v>100.108</v>
      </c>
      <c r="BH34" s="175">
        <v>70.543000000000006</v>
      </c>
      <c r="BI34" s="175">
        <v>94.01</v>
      </c>
      <c r="BJ34" s="170">
        <v>94.01</v>
      </c>
      <c r="BK34" s="175">
        <v>173.94900000000001</v>
      </c>
      <c r="BL34" s="175">
        <v>77.91</v>
      </c>
      <c r="BM34" s="175">
        <v>84.233000000000004</v>
      </c>
      <c r="BN34" s="175">
        <v>92.516000000000005</v>
      </c>
      <c r="BO34" s="170">
        <f t="shared" si="65"/>
        <v>92.516000000000005</v>
      </c>
      <c r="BP34" s="175">
        <v>187.6</v>
      </c>
      <c r="BQ34" s="175">
        <v>8.9</v>
      </c>
      <c r="BR34" s="175">
        <v>48.9</v>
      </c>
      <c r="BS34" s="175">
        <v>76.099999999999994</v>
      </c>
      <c r="BT34" s="170">
        <f t="shared" si="66"/>
        <v>76.099999999999994</v>
      </c>
      <c r="BU34" s="175">
        <v>112.3</v>
      </c>
      <c r="BV34" s="175">
        <v>101.6</v>
      </c>
      <c r="BW34" s="175">
        <v>131.9</v>
      </c>
      <c r="BX34" s="175">
        <f t="shared" si="67"/>
        <v>127.8</v>
      </c>
      <c r="BY34" s="170">
        <v>127.8</v>
      </c>
      <c r="BZ34" s="175">
        <v>188.8</v>
      </c>
      <c r="CA34" s="175">
        <v>66.099999999999994</v>
      </c>
      <c r="CB34" s="175">
        <v>69.099999999999994</v>
      </c>
      <c r="CC34" s="175">
        <v>100.2</v>
      </c>
      <c r="CD34" s="170">
        <f t="shared" si="68"/>
        <v>100.2</v>
      </c>
      <c r="CE34" s="175">
        <v>115.8</v>
      </c>
      <c r="CF34" s="175">
        <v>63.9</v>
      </c>
      <c r="CG34" s="175">
        <v>82.1</v>
      </c>
      <c r="CH34" s="175">
        <v>109.2</v>
      </c>
      <c r="CI34" s="170">
        <f t="shared" si="69"/>
        <v>109.2</v>
      </c>
      <c r="CJ34" s="305">
        <v>0</v>
      </c>
      <c r="CK34" s="305">
        <v>0</v>
      </c>
      <c r="CL34" s="305">
        <v>0</v>
      </c>
      <c r="CM34" s="305">
        <v>0</v>
      </c>
      <c r="CN34" s="436">
        <f t="shared" si="70"/>
        <v>0</v>
      </c>
      <c r="CO34" s="305">
        <v>0</v>
      </c>
      <c r="CP34" s="305">
        <v>0</v>
      </c>
      <c r="CQ34" s="305">
        <v>0</v>
      </c>
      <c r="CR34" s="305">
        <f>CQ34</f>
        <v>0</v>
      </c>
      <c r="CS34" s="436">
        <f t="shared" si="71"/>
        <v>0</v>
      </c>
      <c r="CT34" s="305">
        <v>0</v>
      </c>
      <c r="CU34" s="305">
        <v>0</v>
      </c>
      <c r="CV34" s="632">
        <v>0</v>
      </c>
      <c r="CW34" s="686">
        <f>CV34</f>
        <v>0</v>
      </c>
      <c r="CX34" s="725">
        <f t="shared" si="72"/>
        <v>0</v>
      </c>
      <c r="CY34" s="305">
        <f t="shared" si="79"/>
        <v>0</v>
      </c>
      <c r="CZ34" s="305">
        <f t="shared" si="79"/>
        <v>0</v>
      </c>
      <c r="DA34" s="305">
        <f t="shared" si="79"/>
        <v>0</v>
      </c>
      <c r="DB34" s="863">
        <f t="shared" si="79"/>
        <v>0</v>
      </c>
      <c r="DC34" s="436">
        <f t="shared" si="73"/>
        <v>0</v>
      </c>
      <c r="DD34" s="305">
        <f t="shared" si="73"/>
        <v>0</v>
      </c>
      <c r="DE34" s="305">
        <v>0</v>
      </c>
      <c r="DF34" s="305">
        <v>0</v>
      </c>
      <c r="DG34" s="305">
        <v>0</v>
      </c>
      <c r="DH34" s="436">
        <f t="shared" si="74"/>
        <v>0</v>
      </c>
      <c r="DI34" s="305">
        <v>0</v>
      </c>
      <c r="DJ34" s="305">
        <v>0</v>
      </c>
      <c r="DK34" s="305">
        <v>0</v>
      </c>
      <c r="DL34" s="305">
        <f t="shared" si="74"/>
        <v>0</v>
      </c>
      <c r="DM34" s="436">
        <f t="shared" si="75"/>
        <v>0</v>
      </c>
      <c r="DN34" s="305">
        <f t="shared" si="75"/>
        <v>0</v>
      </c>
      <c r="DO34" s="305">
        <f t="shared" si="75"/>
        <v>0</v>
      </c>
      <c r="DP34" s="305">
        <f t="shared" si="75"/>
        <v>0</v>
      </c>
      <c r="DQ34" s="305">
        <f t="shared" si="75"/>
        <v>0</v>
      </c>
      <c r="DR34" s="436">
        <f t="shared" si="76"/>
        <v>0</v>
      </c>
      <c r="DS34" s="305">
        <f t="shared" si="80"/>
        <v>0</v>
      </c>
      <c r="DT34" s="305">
        <f t="shared" si="80"/>
        <v>0</v>
      </c>
      <c r="DU34" s="305">
        <f t="shared" si="80"/>
        <v>0</v>
      </c>
      <c r="DV34" s="305">
        <f t="shared" si="80"/>
        <v>0</v>
      </c>
      <c r="DW34" s="436">
        <f t="shared" si="77"/>
        <v>0</v>
      </c>
      <c r="DX34" s="305">
        <f t="shared" si="81"/>
        <v>0</v>
      </c>
      <c r="DY34" s="305">
        <f t="shared" si="81"/>
        <v>0</v>
      </c>
      <c r="DZ34" s="305">
        <f t="shared" si="81"/>
        <v>0</v>
      </c>
      <c r="EA34" s="305">
        <f t="shared" si="81"/>
        <v>0</v>
      </c>
      <c r="EB34" s="436">
        <f t="shared" si="78"/>
        <v>0</v>
      </c>
      <c r="ED34" s="418"/>
      <c r="EK34" s="418"/>
    </row>
    <row r="35" spans="1:141" x14ac:dyDescent="0.2">
      <c r="A35" s="1" t="s">
        <v>510</v>
      </c>
      <c r="B35" s="179"/>
      <c r="C35" s="175"/>
      <c r="D35" s="175"/>
      <c r="E35" s="175"/>
      <c r="F35" s="175"/>
      <c r="G35" s="170"/>
      <c r="H35" s="175"/>
      <c r="I35" s="175"/>
      <c r="J35" s="175"/>
      <c r="K35" s="175"/>
      <c r="L35" s="170"/>
      <c r="M35" s="175"/>
      <c r="N35" s="175"/>
      <c r="O35" s="175"/>
      <c r="P35" s="175"/>
      <c r="Q35" s="170"/>
      <c r="R35" s="175"/>
      <c r="S35" s="175"/>
      <c r="T35" s="175"/>
      <c r="U35" s="175"/>
      <c r="V35" s="170"/>
      <c r="W35" s="175"/>
      <c r="X35" s="175"/>
      <c r="Y35" s="175"/>
      <c r="Z35" s="175"/>
      <c r="AA35" s="170"/>
      <c r="AB35" s="175" t="s">
        <v>210</v>
      </c>
      <c r="AC35" s="175" t="s">
        <v>210</v>
      </c>
      <c r="AD35" s="175" t="s">
        <v>210</v>
      </c>
      <c r="AE35" s="175" t="s">
        <v>210</v>
      </c>
      <c r="AF35" s="170" t="str">
        <f t="shared" si="62"/>
        <v xml:space="preserve"> </v>
      </c>
      <c r="AG35" s="175" t="s">
        <v>210</v>
      </c>
      <c r="AH35" s="175" t="s">
        <v>210</v>
      </c>
      <c r="AI35" s="175" t="s">
        <v>210</v>
      </c>
      <c r="AJ35" s="175" t="s">
        <v>210</v>
      </c>
      <c r="AK35" s="170"/>
      <c r="AL35" s="175" t="s">
        <v>210</v>
      </c>
      <c r="AM35" s="175" t="s">
        <v>210</v>
      </c>
      <c r="AN35" s="175" t="s">
        <v>210</v>
      </c>
      <c r="AO35" s="175" t="s">
        <v>210</v>
      </c>
      <c r="AP35" s="170"/>
      <c r="AQ35" s="175" t="s">
        <v>210</v>
      </c>
      <c r="AR35" s="175" t="s">
        <v>210</v>
      </c>
      <c r="AS35" s="175" t="s">
        <v>210</v>
      </c>
      <c r="AT35" s="175" t="s">
        <v>210</v>
      </c>
      <c r="AU35" s="170" t="str">
        <f t="shared" si="63"/>
        <v xml:space="preserve"> </v>
      </c>
      <c r="AV35" s="175" t="s">
        <v>210</v>
      </c>
      <c r="AW35" s="175" t="s">
        <v>210</v>
      </c>
      <c r="AX35" s="175" t="s">
        <v>210</v>
      </c>
      <c r="AY35" s="175" t="s">
        <v>210</v>
      </c>
      <c r="AZ35" s="170" t="str">
        <f t="shared" si="64"/>
        <v xml:space="preserve"> </v>
      </c>
      <c r="BA35" s="175" t="s">
        <v>210</v>
      </c>
      <c r="BB35" s="175" t="s">
        <v>210</v>
      </c>
      <c r="BC35" s="175" t="s">
        <v>210</v>
      </c>
      <c r="BD35" s="175">
        <v>277</v>
      </c>
      <c r="BE35" s="170">
        <v>277</v>
      </c>
      <c r="BF35" s="175">
        <v>105</v>
      </c>
      <c r="BG35" s="175">
        <v>95</v>
      </c>
      <c r="BH35" s="175">
        <v>200</v>
      </c>
      <c r="BI35" s="175">
        <v>700</v>
      </c>
      <c r="BJ35" s="170">
        <v>700</v>
      </c>
      <c r="BK35" s="175">
        <v>365</v>
      </c>
      <c r="BL35" s="175">
        <v>847</v>
      </c>
      <c r="BM35" s="175">
        <v>879.97199999999998</v>
      </c>
      <c r="BN35" s="175">
        <v>710.24800000000005</v>
      </c>
      <c r="BO35" s="170">
        <f t="shared" si="65"/>
        <v>710.24800000000005</v>
      </c>
      <c r="BP35" s="175">
        <v>529.5</v>
      </c>
      <c r="BQ35" s="175">
        <v>701.8</v>
      </c>
      <c r="BR35" s="175">
        <v>615.9</v>
      </c>
      <c r="BS35" s="175">
        <v>713</v>
      </c>
      <c r="BT35" s="170">
        <f t="shared" si="66"/>
        <v>713</v>
      </c>
      <c r="BU35" s="175">
        <v>290.2</v>
      </c>
      <c r="BV35" s="175">
        <v>226</v>
      </c>
      <c r="BW35" s="305">
        <v>0</v>
      </c>
      <c r="BX35" s="305">
        <f t="shared" si="67"/>
        <v>0</v>
      </c>
      <c r="BY35" s="436">
        <v>0</v>
      </c>
      <c r="BZ35" s="305">
        <v>0</v>
      </c>
      <c r="CA35" s="305">
        <v>0</v>
      </c>
      <c r="CB35" s="305">
        <v>0</v>
      </c>
      <c r="CC35" s="305">
        <v>0</v>
      </c>
      <c r="CD35" s="436">
        <f t="shared" si="68"/>
        <v>0</v>
      </c>
      <c r="CE35" s="305">
        <v>0</v>
      </c>
      <c r="CF35" s="305">
        <v>0</v>
      </c>
      <c r="CG35" s="305">
        <v>0</v>
      </c>
      <c r="CH35" s="305">
        <v>0</v>
      </c>
      <c r="CI35" s="436">
        <f t="shared" si="69"/>
        <v>0</v>
      </c>
      <c r="CJ35" s="305">
        <v>0</v>
      </c>
      <c r="CK35" s="305">
        <v>0</v>
      </c>
      <c r="CL35" s="305">
        <v>0</v>
      </c>
      <c r="CM35" s="305">
        <v>0</v>
      </c>
      <c r="CN35" s="436">
        <f t="shared" si="70"/>
        <v>0</v>
      </c>
      <c r="CO35" s="305">
        <v>0</v>
      </c>
      <c r="CP35" s="305">
        <v>0</v>
      </c>
      <c r="CQ35" s="305">
        <v>0</v>
      </c>
      <c r="CR35" s="305">
        <f>CQ35+CF!CR56+CF!CR57+CF!CR59+CF!CR62</f>
        <v>0</v>
      </c>
      <c r="CS35" s="436">
        <f t="shared" si="71"/>
        <v>0</v>
      </c>
      <c r="CT35" s="305">
        <v>0</v>
      </c>
      <c r="CU35" s="305">
        <v>0</v>
      </c>
      <c r="CV35" s="632">
        <v>0</v>
      </c>
      <c r="CW35" s="686">
        <f>CV35+CF!CW56+CF!CW57+CF!CW59+CF!CW62</f>
        <v>0</v>
      </c>
      <c r="CX35" s="725">
        <f t="shared" si="72"/>
        <v>0</v>
      </c>
      <c r="CY35" s="305">
        <f>CX35+CF!CY56+CF!CY57+CF!CY59+CF!CY62</f>
        <v>0</v>
      </c>
      <c r="CZ35" s="305">
        <f>CY35+CF!CZ56+CF!CZ57+CF!CZ59+CF!CZ62</f>
        <v>0</v>
      </c>
      <c r="DA35" s="305">
        <f>CZ35+CF!DA56+CF!DA57+CF!DA59+CF!DA62</f>
        <v>0</v>
      </c>
      <c r="DB35" s="863">
        <f>DA35+CF!DB56+CF!DB57+CF!DB59+CF!DB62</f>
        <v>0</v>
      </c>
      <c r="DC35" s="436">
        <f t="shared" si="73"/>
        <v>0</v>
      </c>
      <c r="DD35" s="305">
        <v>0</v>
      </c>
      <c r="DE35" s="305">
        <v>0</v>
      </c>
      <c r="DF35" s="305">
        <v>0</v>
      </c>
      <c r="DG35" s="305">
        <v>0</v>
      </c>
      <c r="DH35" s="436">
        <f t="shared" si="74"/>
        <v>0</v>
      </c>
      <c r="DI35" s="305">
        <v>0</v>
      </c>
      <c r="DJ35" s="305">
        <v>25</v>
      </c>
      <c r="DK35" s="305">
        <v>0</v>
      </c>
      <c r="DL35" s="305">
        <f>DK35+CF!DL56+CF!DL57+CF!DL59+CF!DL62</f>
        <v>0</v>
      </c>
      <c r="DM35" s="436">
        <f t="shared" si="75"/>
        <v>0</v>
      </c>
      <c r="DN35" s="305">
        <f>DM35+CF!DN56+CF!DN57+CF!DN59+CF!DN62</f>
        <v>0</v>
      </c>
      <c r="DO35" s="305">
        <f>DN35+CF!DO56+CF!DO57+CF!DO59+CF!DO62</f>
        <v>0</v>
      </c>
      <c r="DP35" s="305">
        <f>DO35+CF!DP56+CF!DP57+CF!DP59+CF!DP62</f>
        <v>0</v>
      </c>
      <c r="DQ35" s="305">
        <f>DP35+CF!DQ56+CF!DQ57+CF!DQ59+CF!DQ62</f>
        <v>0</v>
      </c>
      <c r="DR35" s="436">
        <f t="shared" si="76"/>
        <v>0</v>
      </c>
      <c r="DS35" s="305">
        <f>DR35+CF!DS56+CF!DS57+CF!DS59+CF!DS62</f>
        <v>0</v>
      </c>
      <c r="DT35" s="305">
        <f>DS35+CF!DT56+CF!DT57+CF!DT59+CF!DT62</f>
        <v>0</v>
      </c>
      <c r="DU35" s="305">
        <f>DT35+CF!DU56+CF!DU57+CF!DU59+CF!DU62</f>
        <v>0</v>
      </c>
      <c r="DV35" s="305">
        <f>DU35+CF!DV56+CF!DV57+CF!DV59+CF!DV62</f>
        <v>0</v>
      </c>
      <c r="DW35" s="436">
        <f t="shared" si="77"/>
        <v>0</v>
      </c>
      <c r="DX35" s="305">
        <f>DW35+CF!DX56+CF!DX57+CF!DX59+CF!DX62</f>
        <v>0</v>
      </c>
      <c r="DY35" s="305">
        <f>DX35+CF!DY56+CF!DY57+CF!DY59+CF!DY62</f>
        <v>0</v>
      </c>
      <c r="DZ35" s="305">
        <f>DY35+CF!DZ56+CF!DZ57+CF!DZ59+CF!DZ62</f>
        <v>0</v>
      </c>
      <c r="EA35" s="305">
        <f>DZ35+CF!EA56+CF!EA57+CF!EA59+CF!EA62</f>
        <v>0</v>
      </c>
      <c r="EB35" s="436">
        <f t="shared" si="78"/>
        <v>0</v>
      </c>
      <c r="ED35" s="418"/>
      <c r="EK35" s="418"/>
    </row>
    <row r="36" spans="1:141" x14ac:dyDescent="0.2">
      <c r="A36" s="1" t="s">
        <v>452</v>
      </c>
      <c r="B36" s="179"/>
      <c r="C36" s="175"/>
      <c r="D36" s="175"/>
      <c r="E36" s="175"/>
      <c r="F36" s="175"/>
      <c r="G36" s="170"/>
      <c r="H36" s="175"/>
      <c r="I36" s="175"/>
      <c r="J36" s="175"/>
      <c r="K36" s="175"/>
      <c r="L36" s="170"/>
      <c r="M36" s="175"/>
      <c r="N36" s="175"/>
      <c r="O36" s="175"/>
      <c r="P36" s="175"/>
      <c r="Q36" s="170">
        <v>30.829000000000001</v>
      </c>
      <c r="R36" s="175"/>
      <c r="S36" s="175"/>
      <c r="T36" s="175"/>
      <c r="U36" s="175">
        <v>37.927999999999997</v>
      </c>
      <c r="V36" s="170">
        <f>U36</f>
        <v>37.927999999999997</v>
      </c>
      <c r="W36" s="175">
        <v>50.872999999999998</v>
      </c>
      <c r="X36" s="175">
        <v>33.491999999999997</v>
      </c>
      <c r="Y36" s="175">
        <v>27.689</v>
      </c>
      <c r="Z36" s="175">
        <v>33.152999999999999</v>
      </c>
      <c r="AA36" s="170">
        <f>Z36</f>
        <v>33.152999999999999</v>
      </c>
      <c r="AB36" s="175">
        <v>31.103000000000002</v>
      </c>
      <c r="AC36" s="175">
        <v>50.552</v>
      </c>
      <c r="AD36" s="175">
        <v>40.340000000000003</v>
      </c>
      <c r="AE36" s="175">
        <v>35.052999999999997</v>
      </c>
      <c r="AF36" s="170">
        <f t="shared" si="62"/>
        <v>35.052999999999997</v>
      </c>
      <c r="AG36" s="175">
        <v>34.692</v>
      </c>
      <c r="AH36" s="175">
        <v>54.371000000000002</v>
      </c>
      <c r="AI36" s="175">
        <v>47.021999999999998</v>
      </c>
      <c r="AJ36" s="175">
        <v>40.116999999999997</v>
      </c>
      <c r="AK36" s="170">
        <f t="shared" ref="AK36:AK41" si="82">AJ36</f>
        <v>40.116999999999997</v>
      </c>
      <c r="AL36" s="175">
        <v>51.49</v>
      </c>
      <c r="AM36" s="175">
        <v>59.298000000000002</v>
      </c>
      <c r="AN36" s="175">
        <v>65.608999999999995</v>
      </c>
      <c r="AO36" s="175">
        <v>72.289000000000001</v>
      </c>
      <c r="AP36" s="170">
        <f>AO36</f>
        <v>72.289000000000001</v>
      </c>
      <c r="AQ36" s="175">
        <v>79.863</v>
      </c>
      <c r="AR36" s="175">
        <v>87.584999999999994</v>
      </c>
      <c r="AS36" s="175">
        <v>104.40300000000001</v>
      </c>
      <c r="AT36" s="175">
        <v>101.8</v>
      </c>
      <c r="AU36" s="170">
        <f t="shared" si="63"/>
        <v>101.8</v>
      </c>
      <c r="AV36" s="175">
        <v>167.239</v>
      </c>
      <c r="AW36" s="175">
        <v>135.77500000000001</v>
      </c>
      <c r="AX36" s="175">
        <v>137.68</v>
      </c>
      <c r="AY36" s="175">
        <v>123.684</v>
      </c>
      <c r="AZ36" s="170">
        <f t="shared" si="64"/>
        <v>123.684</v>
      </c>
      <c r="BA36" s="175">
        <v>143.548</v>
      </c>
      <c r="BB36" s="175">
        <v>156.965</v>
      </c>
      <c r="BC36" s="175">
        <v>167.929</v>
      </c>
      <c r="BD36" s="175">
        <v>198.08199999999999</v>
      </c>
      <c r="BE36" s="170">
        <v>198.08199999999999</v>
      </c>
      <c r="BF36" s="175">
        <v>187.38</v>
      </c>
      <c r="BG36" s="175">
        <v>194.58</v>
      </c>
      <c r="BH36" s="175">
        <v>215.81</v>
      </c>
      <c r="BI36" s="175">
        <v>224.154</v>
      </c>
      <c r="BJ36" s="170">
        <v>224.154</v>
      </c>
      <c r="BK36" s="175">
        <v>209.14599999999999</v>
      </c>
      <c r="BL36" s="175">
        <v>244.55799999999999</v>
      </c>
      <c r="BM36" s="175">
        <v>233.31299999999999</v>
      </c>
      <c r="BN36" s="175">
        <v>257.36900000000003</v>
      </c>
      <c r="BO36" s="170">
        <f t="shared" si="65"/>
        <v>257.36900000000003</v>
      </c>
      <c r="BP36" s="175">
        <v>261.8</v>
      </c>
      <c r="BQ36" s="175">
        <v>266.7</v>
      </c>
      <c r="BR36" s="175">
        <v>279.8</v>
      </c>
      <c r="BS36" s="175">
        <v>164.4</v>
      </c>
      <c r="BT36" s="170">
        <f t="shared" si="66"/>
        <v>164.4</v>
      </c>
      <c r="BU36" s="175">
        <v>161.30000000000001</v>
      </c>
      <c r="BV36" s="175">
        <v>139.1</v>
      </c>
      <c r="BW36" s="175">
        <v>174.3</v>
      </c>
      <c r="BX36" s="175">
        <f t="shared" si="67"/>
        <v>147.30000000000001</v>
      </c>
      <c r="BY36" s="170">
        <v>147.30000000000001</v>
      </c>
      <c r="BZ36" s="175">
        <v>149.6</v>
      </c>
      <c r="CA36" s="175">
        <v>234.6</v>
      </c>
      <c r="CB36" s="175">
        <v>270.10000000000002</v>
      </c>
      <c r="CC36" s="175">
        <v>262.8</v>
      </c>
      <c r="CD36" s="170">
        <f t="shared" si="68"/>
        <v>262.8</v>
      </c>
      <c r="CE36" s="175">
        <v>151.30000000000001</v>
      </c>
      <c r="CF36" s="175">
        <v>286.10000000000002</v>
      </c>
      <c r="CG36" s="175">
        <v>298.7</v>
      </c>
      <c r="CH36" s="175">
        <v>319</v>
      </c>
      <c r="CI36" s="170">
        <f t="shared" si="69"/>
        <v>319</v>
      </c>
      <c r="CJ36" s="305">
        <v>0</v>
      </c>
      <c r="CK36" s="305">
        <v>0</v>
      </c>
      <c r="CL36" s="305">
        <v>0</v>
      </c>
      <c r="CM36" s="305">
        <v>0</v>
      </c>
      <c r="CN36" s="436">
        <f t="shared" si="70"/>
        <v>0</v>
      </c>
      <c r="CO36" s="305">
        <v>0</v>
      </c>
      <c r="CP36" s="305">
        <v>0</v>
      </c>
      <c r="CQ36" s="305">
        <v>0</v>
      </c>
      <c r="CR36" s="305">
        <f t="shared" ref="CQ36:CR39" si="83">CQ36</f>
        <v>0</v>
      </c>
      <c r="CS36" s="436">
        <f t="shared" si="71"/>
        <v>0</v>
      </c>
      <c r="CT36" s="305">
        <v>0</v>
      </c>
      <c r="CU36" s="305">
        <v>0</v>
      </c>
      <c r="CV36" s="632">
        <v>0</v>
      </c>
      <c r="CW36" s="686">
        <f>CV36</f>
        <v>0</v>
      </c>
      <c r="CX36" s="725">
        <f t="shared" si="72"/>
        <v>0</v>
      </c>
      <c r="CY36" s="305">
        <f>CX36</f>
        <v>0</v>
      </c>
      <c r="CZ36" s="305">
        <f>CY36</f>
        <v>0</v>
      </c>
      <c r="DA36" s="305">
        <f>CZ36</f>
        <v>0</v>
      </c>
      <c r="DB36" s="863">
        <f>DA36</f>
        <v>0</v>
      </c>
      <c r="DC36" s="436">
        <f t="shared" si="73"/>
        <v>0</v>
      </c>
      <c r="DD36" s="305">
        <f>DC36</f>
        <v>0</v>
      </c>
      <c r="DE36" s="305">
        <v>0</v>
      </c>
      <c r="DF36" s="305">
        <v>0</v>
      </c>
      <c r="DG36" s="305">
        <v>0</v>
      </c>
      <c r="DH36" s="436">
        <f t="shared" si="74"/>
        <v>0</v>
      </c>
      <c r="DI36" s="305">
        <v>0</v>
      </c>
      <c r="DJ36" s="305">
        <v>0</v>
      </c>
      <c r="DK36" s="305">
        <v>0</v>
      </c>
      <c r="DL36" s="305">
        <f>DK36</f>
        <v>0</v>
      </c>
      <c r="DM36" s="436">
        <f t="shared" si="75"/>
        <v>0</v>
      </c>
      <c r="DN36" s="305">
        <f>DM36</f>
        <v>0</v>
      </c>
      <c r="DO36" s="305">
        <f>DN36</f>
        <v>0</v>
      </c>
      <c r="DP36" s="305">
        <f>DO36</f>
        <v>0</v>
      </c>
      <c r="DQ36" s="305">
        <f>DP36</f>
        <v>0</v>
      </c>
      <c r="DR36" s="436">
        <f t="shared" si="76"/>
        <v>0</v>
      </c>
      <c r="DS36" s="305">
        <f>DR36</f>
        <v>0</v>
      </c>
      <c r="DT36" s="305">
        <f>DS36</f>
        <v>0</v>
      </c>
      <c r="DU36" s="305">
        <f>DT36</f>
        <v>0</v>
      </c>
      <c r="DV36" s="305">
        <f>DU36</f>
        <v>0</v>
      </c>
      <c r="DW36" s="436">
        <f t="shared" si="77"/>
        <v>0</v>
      </c>
      <c r="DX36" s="305">
        <f>DW36</f>
        <v>0</v>
      </c>
      <c r="DY36" s="305">
        <f>DX36</f>
        <v>0</v>
      </c>
      <c r="DZ36" s="305">
        <f>DY36</f>
        <v>0</v>
      </c>
      <c r="EA36" s="305">
        <f>DZ36</f>
        <v>0</v>
      </c>
      <c r="EB36" s="436">
        <f t="shared" si="78"/>
        <v>0</v>
      </c>
      <c r="ED36" s="418"/>
      <c r="EK36" s="418"/>
    </row>
    <row r="37" spans="1:141" x14ac:dyDescent="0.2">
      <c r="A37" s="1" t="s">
        <v>453</v>
      </c>
      <c r="B37" s="179"/>
      <c r="C37" s="175"/>
      <c r="D37" s="175"/>
      <c r="E37" s="175"/>
      <c r="F37" s="175"/>
      <c r="G37" s="170"/>
      <c r="H37" s="175"/>
      <c r="I37" s="175"/>
      <c r="J37" s="175"/>
      <c r="K37" s="175"/>
      <c r="L37" s="170"/>
      <c r="M37" s="175"/>
      <c r="N37" s="175"/>
      <c r="O37" s="175"/>
      <c r="P37" s="175"/>
      <c r="Q37" s="170">
        <v>0</v>
      </c>
      <c r="R37" s="175"/>
      <c r="S37" s="175"/>
      <c r="T37" s="175"/>
      <c r="U37" s="175">
        <v>0</v>
      </c>
      <c r="V37" s="170">
        <f>U37</f>
        <v>0</v>
      </c>
      <c r="W37" s="175">
        <v>0</v>
      </c>
      <c r="X37" s="175">
        <v>0</v>
      </c>
      <c r="Y37" s="175">
        <v>0</v>
      </c>
      <c r="Z37" s="175">
        <v>0.48399999999999999</v>
      </c>
      <c r="AA37" s="170">
        <f>Z37</f>
        <v>0.48399999999999999</v>
      </c>
      <c r="AB37" s="175">
        <v>0</v>
      </c>
      <c r="AC37" s="175">
        <v>0</v>
      </c>
      <c r="AD37" s="175">
        <v>11.28</v>
      </c>
      <c r="AE37" s="175">
        <v>7.32</v>
      </c>
      <c r="AF37" s="170">
        <f t="shared" si="62"/>
        <v>7.32</v>
      </c>
      <c r="AG37" s="175">
        <v>3.4489999999999998</v>
      </c>
      <c r="AH37" s="175">
        <v>1.766</v>
      </c>
      <c r="AI37" s="175">
        <v>13.547000000000001</v>
      </c>
      <c r="AJ37" s="175">
        <v>26.919</v>
      </c>
      <c r="AK37" s="170">
        <f t="shared" si="82"/>
        <v>26.919</v>
      </c>
      <c r="AL37" s="175">
        <v>49.341999999999999</v>
      </c>
      <c r="AM37" s="175">
        <v>39.231000000000002</v>
      </c>
      <c r="AN37" s="175">
        <v>44.511000000000003</v>
      </c>
      <c r="AO37" s="175">
        <v>42.264000000000003</v>
      </c>
      <c r="AP37" s="170">
        <f>AO37</f>
        <v>42.264000000000003</v>
      </c>
      <c r="AQ37" s="175">
        <v>91.730999999999995</v>
      </c>
      <c r="AR37" s="175">
        <v>67.524000000000001</v>
      </c>
      <c r="AS37" s="175">
        <v>74.647999999999996</v>
      </c>
      <c r="AT37" s="175">
        <v>73.475999999999999</v>
      </c>
      <c r="AU37" s="170">
        <f t="shared" si="63"/>
        <v>73.475999999999999</v>
      </c>
      <c r="AV37" s="175">
        <v>146.15100000000001</v>
      </c>
      <c r="AW37" s="175">
        <v>105.315</v>
      </c>
      <c r="AX37" s="175">
        <v>124.374</v>
      </c>
      <c r="AY37" s="175">
        <v>121.377</v>
      </c>
      <c r="AZ37" s="170">
        <f t="shared" si="64"/>
        <v>121.377</v>
      </c>
      <c r="BA37" s="175">
        <v>222.34399999999999</v>
      </c>
      <c r="BB37" s="175">
        <v>168.61</v>
      </c>
      <c r="BC37" s="175">
        <v>172.976</v>
      </c>
      <c r="BD37" s="175">
        <v>175.048</v>
      </c>
      <c r="BE37" s="170">
        <v>175.048</v>
      </c>
      <c r="BF37" s="175">
        <v>310.86799999999999</v>
      </c>
      <c r="BG37" s="175">
        <v>233.26900000000001</v>
      </c>
      <c r="BH37" s="175">
        <v>235.52799999999999</v>
      </c>
      <c r="BI37" s="175">
        <v>231.92599999999999</v>
      </c>
      <c r="BJ37" s="170">
        <v>231.92599999999999</v>
      </c>
      <c r="BK37" s="175">
        <v>422.64800000000002</v>
      </c>
      <c r="BL37" s="175">
        <v>300.57900000000001</v>
      </c>
      <c r="BM37" s="175">
        <v>309.714</v>
      </c>
      <c r="BN37" s="175">
        <v>296.89999999999998</v>
      </c>
      <c r="BO37" s="170">
        <f t="shared" si="65"/>
        <v>296.89999999999998</v>
      </c>
      <c r="BP37" s="175">
        <v>512.70000000000005</v>
      </c>
      <c r="BQ37" s="175">
        <v>376.3</v>
      </c>
      <c r="BR37" s="175">
        <v>373.5</v>
      </c>
      <c r="BS37" s="175">
        <v>368.4</v>
      </c>
      <c r="BT37" s="170">
        <f t="shared" si="66"/>
        <v>368.4</v>
      </c>
      <c r="BU37" s="175">
        <v>598.29999999999995</v>
      </c>
      <c r="BV37" s="175">
        <v>431.4</v>
      </c>
      <c r="BW37" s="175">
        <v>419.7</v>
      </c>
      <c r="BX37" s="175">
        <f t="shared" si="67"/>
        <v>388.7</v>
      </c>
      <c r="BY37" s="170">
        <v>388.7</v>
      </c>
      <c r="BZ37" s="175">
        <v>569.9</v>
      </c>
      <c r="CA37" s="175">
        <v>433.9</v>
      </c>
      <c r="CB37" s="175">
        <v>434.3</v>
      </c>
      <c r="CC37" s="175">
        <v>414.1</v>
      </c>
      <c r="CD37" s="170">
        <f t="shared" si="68"/>
        <v>414.1</v>
      </c>
      <c r="CE37" s="175">
        <v>608.20000000000005</v>
      </c>
      <c r="CF37" s="175">
        <v>487</v>
      </c>
      <c r="CG37" s="175">
        <v>489.9</v>
      </c>
      <c r="CH37" s="175">
        <v>449.3</v>
      </c>
      <c r="CI37" s="170">
        <f t="shared" si="69"/>
        <v>449.3</v>
      </c>
      <c r="CJ37" s="175">
        <v>673.8</v>
      </c>
      <c r="CK37" s="175">
        <v>530.9</v>
      </c>
      <c r="CL37" s="175">
        <v>520.79999999999995</v>
      </c>
      <c r="CM37" s="175">
        <v>510.2</v>
      </c>
      <c r="CN37" s="170">
        <f t="shared" si="70"/>
        <v>510.2</v>
      </c>
      <c r="CO37" s="175">
        <v>785.5</v>
      </c>
      <c r="CP37" s="175">
        <v>667.9</v>
      </c>
      <c r="CQ37" s="175">
        <v>682</v>
      </c>
      <c r="CR37" s="175">
        <v>653.70000000000005</v>
      </c>
      <c r="CS37" s="170">
        <f t="shared" si="71"/>
        <v>653.70000000000005</v>
      </c>
      <c r="CT37" s="178">
        <v>1013.4</v>
      </c>
      <c r="CU37" s="178">
        <v>816.3</v>
      </c>
      <c r="CV37" s="636">
        <v>830.8</v>
      </c>
      <c r="CW37" s="678">
        <v>794.5</v>
      </c>
      <c r="CX37" s="742">
        <f t="shared" si="72"/>
        <v>794.5</v>
      </c>
      <c r="CY37" s="178">
        <v>1230.9000000000001</v>
      </c>
      <c r="CZ37" s="178">
        <v>1018.5</v>
      </c>
      <c r="DA37" s="178">
        <v>1024.5999999999999</v>
      </c>
      <c r="DB37" s="861">
        <v>983.8</v>
      </c>
      <c r="DC37" s="170">
        <f t="shared" si="73"/>
        <v>983.8</v>
      </c>
      <c r="DD37" s="178">
        <v>1448.8</v>
      </c>
      <c r="DE37" s="178">
        <v>1203.5</v>
      </c>
      <c r="DF37" s="178">
        <v>1216.5999999999999</v>
      </c>
      <c r="DG37" s="178">
        <v>1171.2</v>
      </c>
      <c r="DH37" s="170">
        <f t="shared" si="74"/>
        <v>1171.2</v>
      </c>
      <c r="DI37" s="178">
        <v>1578.3</v>
      </c>
      <c r="DJ37" s="178">
        <v>1339.7</v>
      </c>
      <c r="DK37" s="178">
        <v>1342.2</v>
      </c>
      <c r="DL37" s="175">
        <v>1288.5</v>
      </c>
      <c r="DM37" s="170">
        <f t="shared" si="75"/>
        <v>1288.5</v>
      </c>
      <c r="DN37" s="172">
        <f>DM37+225</f>
        <v>1513.5</v>
      </c>
      <c r="DO37" s="172">
        <f>DN37-200</f>
        <v>1313.5</v>
      </c>
      <c r="DP37" s="172">
        <f>DO37</f>
        <v>1313.5</v>
      </c>
      <c r="DQ37" s="171">
        <f>DP37</f>
        <v>1313.5</v>
      </c>
      <c r="DR37" s="173">
        <f t="shared" si="76"/>
        <v>1313.5</v>
      </c>
      <c r="DS37" s="172">
        <f>DR37+225</f>
        <v>1538.5</v>
      </c>
      <c r="DT37" s="172">
        <f>DS37-200</f>
        <v>1338.5</v>
      </c>
      <c r="DU37" s="172">
        <f t="shared" ref="DU37:DV40" si="84">DT37</f>
        <v>1338.5</v>
      </c>
      <c r="DV37" s="171">
        <f t="shared" si="84"/>
        <v>1338.5</v>
      </c>
      <c r="DW37" s="173">
        <f t="shared" si="77"/>
        <v>1338.5</v>
      </c>
      <c r="DX37" s="172">
        <f>DW37+225</f>
        <v>1563.5</v>
      </c>
      <c r="DY37" s="172">
        <f>DX37-200</f>
        <v>1363.5</v>
      </c>
      <c r="DZ37" s="172">
        <f t="shared" ref="DZ37:EA40" si="85">DY37</f>
        <v>1363.5</v>
      </c>
      <c r="EA37" s="171">
        <f t="shared" si="85"/>
        <v>1363.5</v>
      </c>
      <c r="EB37" s="173">
        <f t="shared" si="78"/>
        <v>1363.5</v>
      </c>
      <c r="ED37" s="418"/>
      <c r="EK37" s="418"/>
    </row>
    <row r="38" spans="1:141" x14ac:dyDescent="0.2">
      <c r="A38" s="1" t="s">
        <v>509</v>
      </c>
      <c r="B38" s="179"/>
      <c r="C38" s="175"/>
      <c r="D38" s="175"/>
      <c r="E38" s="175"/>
      <c r="F38" s="175"/>
      <c r="G38" s="170"/>
      <c r="H38" s="175"/>
      <c r="I38" s="175"/>
      <c r="J38" s="175"/>
      <c r="K38" s="175"/>
      <c r="L38" s="170"/>
      <c r="M38" s="175"/>
      <c r="N38" s="175"/>
      <c r="O38" s="175"/>
      <c r="P38" s="175"/>
      <c r="Q38" s="170">
        <v>0</v>
      </c>
      <c r="R38" s="175"/>
      <c r="S38" s="175"/>
      <c r="T38" s="175"/>
      <c r="U38" s="175">
        <v>0</v>
      </c>
      <c r="V38" s="170">
        <f>U38</f>
        <v>0</v>
      </c>
      <c r="W38" s="175">
        <v>0</v>
      </c>
      <c r="X38" s="175">
        <v>0</v>
      </c>
      <c r="Y38" s="175">
        <v>0</v>
      </c>
      <c r="Z38" s="175">
        <v>0</v>
      </c>
      <c r="AA38" s="170">
        <f>Z38</f>
        <v>0</v>
      </c>
      <c r="AB38" s="175">
        <v>0</v>
      </c>
      <c r="AC38" s="175">
        <v>0</v>
      </c>
      <c r="AD38" s="175">
        <v>0</v>
      </c>
      <c r="AE38" s="175">
        <v>0.69399999999999995</v>
      </c>
      <c r="AF38" s="170">
        <f t="shared" si="62"/>
        <v>0.69399999999999995</v>
      </c>
      <c r="AG38" s="175">
        <v>0.68799999999999994</v>
      </c>
      <c r="AH38" s="175">
        <v>0.69099999999999995</v>
      </c>
      <c r="AI38" s="175">
        <v>0.69399999999999995</v>
      </c>
      <c r="AJ38" s="175">
        <v>0.69699999999999995</v>
      </c>
      <c r="AK38" s="170">
        <f t="shared" si="82"/>
        <v>0.69699999999999995</v>
      </c>
      <c r="AL38" s="175">
        <v>0.7</v>
      </c>
      <c r="AM38" s="175">
        <v>0.70299999999999996</v>
      </c>
      <c r="AN38" s="175">
        <v>0.70599999999999996</v>
      </c>
      <c r="AO38" s="175">
        <v>0.71</v>
      </c>
      <c r="AP38" s="170">
        <f>AO38</f>
        <v>0.71</v>
      </c>
      <c r="AQ38" s="175">
        <v>0.71299999999999997</v>
      </c>
      <c r="AR38" s="175">
        <v>0.71599999999999997</v>
      </c>
      <c r="AS38" s="175">
        <v>0.71899999999999997</v>
      </c>
      <c r="AT38" s="175">
        <v>0.72199999999999998</v>
      </c>
      <c r="AU38" s="170">
        <f t="shared" si="63"/>
        <v>0.72199999999999998</v>
      </c>
      <c r="AV38" s="175">
        <v>0.72499999999999998</v>
      </c>
      <c r="AW38" s="175">
        <v>0.72899999999999998</v>
      </c>
      <c r="AX38" s="175">
        <v>0.73199999999999998</v>
      </c>
      <c r="AY38" s="175">
        <v>0.73499999999999999</v>
      </c>
      <c r="AZ38" s="170">
        <f t="shared" si="64"/>
        <v>0.73499999999999999</v>
      </c>
      <c r="BA38" s="175">
        <v>0.73799999999999999</v>
      </c>
      <c r="BB38" s="175">
        <v>0.74199999999999999</v>
      </c>
      <c r="BC38" s="175">
        <v>0.745</v>
      </c>
      <c r="BD38" s="175">
        <v>0.748</v>
      </c>
      <c r="BE38" s="170">
        <v>0.748</v>
      </c>
      <c r="BF38" s="175">
        <v>0.752</v>
      </c>
      <c r="BG38" s="175">
        <v>0.755</v>
      </c>
      <c r="BH38" s="175">
        <v>0.75800000000000001</v>
      </c>
      <c r="BI38" s="175">
        <v>0.76200000000000001</v>
      </c>
      <c r="BJ38" s="170">
        <v>0.76200000000000001</v>
      </c>
      <c r="BK38" s="175">
        <v>0.76500000000000001</v>
      </c>
      <c r="BL38" s="175">
        <v>0.76900000000000002</v>
      </c>
      <c r="BM38" s="175">
        <v>0.77200000000000002</v>
      </c>
      <c r="BN38" s="175">
        <v>0.77500000000000002</v>
      </c>
      <c r="BO38" s="170">
        <f t="shared" si="65"/>
        <v>0.77500000000000002</v>
      </c>
      <c r="BP38" s="175">
        <v>0.8</v>
      </c>
      <c r="BQ38" s="175">
        <v>0.7</v>
      </c>
      <c r="BR38" s="175">
        <v>0.7</v>
      </c>
      <c r="BS38" s="175">
        <v>0.7</v>
      </c>
      <c r="BT38" s="170">
        <f t="shared" si="66"/>
        <v>0.7</v>
      </c>
      <c r="BU38" s="175">
        <v>0.6</v>
      </c>
      <c r="BV38" s="175">
        <v>0.5</v>
      </c>
      <c r="BW38" s="175">
        <v>0.4</v>
      </c>
      <c r="BX38" s="175">
        <f t="shared" si="67"/>
        <v>0.2</v>
      </c>
      <c r="BY38" s="170">
        <v>0.2</v>
      </c>
      <c r="BZ38" s="175">
        <v>0.2</v>
      </c>
      <c r="CA38" s="305">
        <v>0</v>
      </c>
      <c r="CB38" s="305">
        <v>0</v>
      </c>
      <c r="CC38" s="305">
        <v>0</v>
      </c>
      <c r="CD38" s="436">
        <f t="shared" si="68"/>
        <v>0</v>
      </c>
      <c r="CE38" s="305">
        <v>0</v>
      </c>
      <c r="CF38" s="305">
        <f>CE38</f>
        <v>0</v>
      </c>
      <c r="CG38" s="305">
        <v>0</v>
      </c>
      <c r="CH38" s="305">
        <v>0</v>
      </c>
      <c r="CI38" s="436">
        <f t="shared" si="69"/>
        <v>0</v>
      </c>
      <c r="CJ38" s="305">
        <f>CI38</f>
        <v>0</v>
      </c>
      <c r="CK38" s="305">
        <f>CJ38</f>
        <v>0</v>
      </c>
      <c r="CL38" s="305">
        <v>0</v>
      </c>
      <c r="CM38" s="305">
        <v>0</v>
      </c>
      <c r="CN38" s="436">
        <f t="shared" si="70"/>
        <v>0</v>
      </c>
      <c r="CO38" s="305">
        <v>0</v>
      </c>
      <c r="CP38" s="305">
        <v>0</v>
      </c>
      <c r="CQ38" s="305">
        <f t="shared" si="83"/>
        <v>0</v>
      </c>
      <c r="CR38" s="305">
        <f t="shared" si="83"/>
        <v>0</v>
      </c>
      <c r="CS38" s="436">
        <f t="shared" si="71"/>
        <v>0</v>
      </c>
      <c r="CT38" s="305">
        <v>0</v>
      </c>
      <c r="CU38" s="305">
        <v>0</v>
      </c>
      <c r="CV38" s="632">
        <v>0</v>
      </c>
      <c r="CW38" s="686">
        <f>CV38</f>
        <v>0</v>
      </c>
      <c r="CX38" s="725">
        <f t="shared" si="72"/>
        <v>0</v>
      </c>
      <c r="CY38" s="305">
        <f t="shared" ref="CY38:CZ39" si="86">CX38</f>
        <v>0</v>
      </c>
      <c r="CZ38" s="305">
        <f t="shared" si="86"/>
        <v>0</v>
      </c>
      <c r="DA38" s="521">
        <v>549.79999999999995</v>
      </c>
      <c r="DB38" s="863">
        <v>0</v>
      </c>
      <c r="DC38" s="436">
        <f t="shared" si="73"/>
        <v>0</v>
      </c>
      <c r="DD38" s="305">
        <v>399.8</v>
      </c>
      <c r="DE38" s="305">
        <v>399.8</v>
      </c>
      <c r="DF38" s="305">
        <v>399.8</v>
      </c>
      <c r="DG38" s="305">
        <v>400</v>
      </c>
      <c r="DH38" s="436">
        <f t="shared" si="74"/>
        <v>400</v>
      </c>
      <c r="DI38" s="305">
        <v>0</v>
      </c>
      <c r="DJ38" s="305">
        <v>0</v>
      </c>
      <c r="DK38" s="305">
        <v>0</v>
      </c>
      <c r="DL38" s="305">
        <f t="shared" si="74"/>
        <v>0</v>
      </c>
      <c r="DM38" s="436">
        <f t="shared" si="75"/>
        <v>0</v>
      </c>
      <c r="DN38" s="305">
        <f t="shared" si="75"/>
        <v>0</v>
      </c>
      <c r="DO38" s="305">
        <f t="shared" si="75"/>
        <v>0</v>
      </c>
      <c r="DP38" s="305">
        <f t="shared" si="75"/>
        <v>0</v>
      </c>
      <c r="DQ38" s="305">
        <f t="shared" si="75"/>
        <v>0</v>
      </c>
      <c r="DR38" s="436">
        <f t="shared" si="76"/>
        <v>0</v>
      </c>
      <c r="DS38" s="305">
        <f t="shared" ref="DS38:DT40" si="87">DR38</f>
        <v>0</v>
      </c>
      <c r="DT38" s="305">
        <f t="shared" si="87"/>
        <v>0</v>
      </c>
      <c r="DU38" s="305">
        <f t="shared" si="84"/>
        <v>0</v>
      </c>
      <c r="DV38" s="305">
        <f t="shared" si="84"/>
        <v>0</v>
      </c>
      <c r="DW38" s="436">
        <f t="shared" si="77"/>
        <v>0</v>
      </c>
      <c r="DX38" s="305">
        <f t="shared" ref="DX38:DY40" si="88">DW38</f>
        <v>0</v>
      </c>
      <c r="DY38" s="305">
        <f t="shared" si="88"/>
        <v>0</v>
      </c>
      <c r="DZ38" s="305">
        <f t="shared" si="85"/>
        <v>0</v>
      </c>
      <c r="EA38" s="305">
        <f t="shared" si="85"/>
        <v>0</v>
      </c>
      <c r="EB38" s="436">
        <f t="shared" si="78"/>
        <v>0</v>
      </c>
      <c r="ED38" s="418"/>
      <c r="EK38" s="418"/>
    </row>
    <row r="39" spans="1:141" x14ac:dyDescent="0.2">
      <c r="A39" s="29" t="s">
        <v>508</v>
      </c>
      <c r="B39" s="179"/>
      <c r="C39" s="175"/>
      <c r="D39" s="175"/>
      <c r="E39" s="175"/>
      <c r="F39" s="175"/>
      <c r="G39" s="170"/>
      <c r="H39" s="175"/>
      <c r="I39" s="175"/>
      <c r="J39" s="175"/>
      <c r="K39" s="175"/>
      <c r="L39" s="170"/>
      <c r="M39" s="175"/>
      <c r="N39" s="175"/>
      <c r="O39" s="175"/>
      <c r="P39" s="175"/>
      <c r="Q39" s="392">
        <v>0</v>
      </c>
      <c r="R39" s="521"/>
      <c r="S39" s="521"/>
      <c r="T39" s="521"/>
      <c r="U39" s="523">
        <v>0</v>
      </c>
      <c r="V39" s="392">
        <f>U39</f>
        <v>0</v>
      </c>
      <c r="W39" s="521">
        <v>0</v>
      </c>
      <c r="X39" s="521">
        <v>0</v>
      </c>
      <c r="Y39" s="521">
        <v>0</v>
      </c>
      <c r="Z39" s="521">
        <v>0</v>
      </c>
      <c r="AA39" s="392">
        <f>Z39</f>
        <v>0</v>
      </c>
      <c r="AB39" s="521">
        <v>0</v>
      </c>
      <c r="AC39" s="521">
        <v>0</v>
      </c>
      <c r="AD39" s="521">
        <v>0</v>
      </c>
      <c r="AE39" s="521">
        <v>0</v>
      </c>
      <c r="AF39" s="392">
        <f t="shared" si="62"/>
        <v>0</v>
      </c>
      <c r="AG39" s="521">
        <v>0</v>
      </c>
      <c r="AH39" s="521">
        <v>0</v>
      </c>
      <c r="AI39" s="521">
        <v>0</v>
      </c>
      <c r="AJ39" s="521">
        <v>0</v>
      </c>
      <c r="AK39" s="392">
        <f t="shared" si="82"/>
        <v>0</v>
      </c>
      <c r="AL39" s="521">
        <v>0</v>
      </c>
      <c r="AM39" s="521">
        <v>0</v>
      </c>
      <c r="AN39" s="521">
        <v>0</v>
      </c>
      <c r="AO39" s="521">
        <v>0</v>
      </c>
      <c r="AP39" s="392">
        <f>AO39</f>
        <v>0</v>
      </c>
      <c r="AQ39" s="521">
        <v>0</v>
      </c>
      <c r="AR39" s="521">
        <v>0</v>
      </c>
      <c r="AS39" s="521">
        <v>0</v>
      </c>
      <c r="AT39" s="521">
        <v>0</v>
      </c>
      <c r="AU39" s="392">
        <f t="shared" si="63"/>
        <v>0</v>
      </c>
      <c r="AV39" s="521">
        <v>0</v>
      </c>
      <c r="AW39" s="521">
        <v>0</v>
      </c>
      <c r="AX39" s="521">
        <v>0</v>
      </c>
      <c r="AY39" s="521">
        <v>0</v>
      </c>
      <c r="AZ39" s="392">
        <f t="shared" si="64"/>
        <v>0</v>
      </c>
      <c r="BA39" s="521">
        <v>0</v>
      </c>
      <c r="BB39" s="521">
        <v>0</v>
      </c>
      <c r="BC39" s="521">
        <v>0</v>
      </c>
      <c r="BD39" s="521">
        <v>0</v>
      </c>
      <c r="BE39" s="392">
        <v>0</v>
      </c>
      <c r="BF39" s="521">
        <v>0</v>
      </c>
      <c r="BG39" s="521">
        <f t="shared" ref="BG39:BJ40" si="89">BF39</f>
        <v>0</v>
      </c>
      <c r="BH39" s="521">
        <f t="shared" si="89"/>
        <v>0</v>
      </c>
      <c r="BI39" s="521">
        <f t="shared" si="89"/>
        <v>0</v>
      </c>
      <c r="BJ39" s="392">
        <f t="shared" si="89"/>
        <v>0</v>
      </c>
      <c r="BK39" s="521">
        <v>0</v>
      </c>
      <c r="BL39" s="521">
        <f t="shared" ref="BL39:BN40" si="90">BK39</f>
        <v>0</v>
      </c>
      <c r="BM39" s="521">
        <f t="shared" si="90"/>
        <v>0</v>
      </c>
      <c r="BN39" s="521">
        <f t="shared" si="90"/>
        <v>0</v>
      </c>
      <c r="BO39" s="392">
        <f t="shared" si="65"/>
        <v>0</v>
      </c>
      <c r="BP39" s="521">
        <v>0</v>
      </c>
      <c r="BQ39" s="521">
        <v>0</v>
      </c>
      <c r="BR39" s="521">
        <v>0</v>
      </c>
      <c r="BS39" s="521">
        <f>BR39</f>
        <v>0</v>
      </c>
      <c r="BT39" s="392">
        <f t="shared" si="66"/>
        <v>0</v>
      </c>
      <c r="BU39" s="521">
        <v>0</v>
      </c>
      <c r="BV39" s="521">
        <v>0</v>
      </c>
      <c r="BW39" s="521">
        <v>0</v>
      </c>
      <c r="BX39" s="521">
        <f t="shared" si="67"/>
        <v>0</v>
      </c>
      <c r="BY39" s="392">
        <v>0</v>
      </c>
      <c r="BZ39" s="521">
        <v>0</v>
      </c>
      <c r="CA39" s="521">
        <f>BZ39</f>
        <v>0</v>
      </c>
      <c r="CB39" s="521">
        <v>0</v>
      </c>
      <c r="CC39" s="521">
        <v>0</v>
      </c>
      <c r="CD39" s="392">
        <f t="shared" si="68"/>
        <v>0</v>
      </c>
      <c r="CE39" s="521">
        <v>0</v>
      </c>
      <c r="CF39" s="521">
        <f>CE39</f>
        <v>0</v>
      </c>
      <c r="CG39" s="521">
        <v>0</v>
      </c>
      <c r="CH39" s="521">
        <v>0</v>
      </c>
      <c r="CI39" s="392">
        <f t="shared" si="69"/>
        <v>0</v>
      </c>
      <c r="CJ39" s="521">
        <f>CH39</f>
        <v>0</v>
      </c>
      <c r="CK39" s="521">
        <f>CJ39</f>
        <v>0</v>
      </c>
      <c r="CL39" s="521">
        <v>0</v>
      </c>
      <c r="CM39" s="521">
        <v>0</v>
      </c>
      <c r="CN39" s="392">
        <f t="shared" si="70"/>
        <v>0</v>
      </c>
      <c r="CO39" s="521">
        <v>0</v>
      </c>
      <c r="CP39" s="521">
        <v>0</v>
      </c>
      <c r="CQ39" s="521">
        <f t="shared" si="83"/>
        <v>0</v>
      </c>
      <c r="CR39" s="521">
        <f t="shared" si="83"/>
        <v>0</v>
      </c>
      <c r="CS39" s="392">
        <f t="shared" si="71"/>
        <v>0</v>
      </c>
      <c r="CT39" s="521">
        <v>0</v>
      </c>
      <c r="CU39" s="521">
        <v>0</v>
      </c>
      <c r="CV39" s="605">
        <v>0</v>
      </c>
      <c r="CW39" s="687"/>
      <c r="CX39" s="726">
        <f t="shared" si="72"/>
        <v>0</v>
      </c>
      <c r="CY39" s="521">
        <v>0</v>
      </c>
      <c r="CZ39" s="521">
        <f t="shared" si="86"/>
        <v>0</v>
      </c>
      <c r="DA39" s="521">
        <f t="shared" ref="DA39" si="91">CZ39</f>
        <v>0</v>
      </c>
      <c r="DB39" s="866">
        <v>0</v>
      </c>
      <c r="DC39" s="392">
        <f t="shared" si="73"/>
        <v>0</v>
      </c>
      <c r="DD39" s="523">
        <v>0</v>
      </c>
      <c r="DE39" s="521">
        <v>0</v>
      </c>
      <c r="DF39" s="521">
        <v>0</v>
      </c>
      <c r="DG39" s="521">
        <v>0</v>
      </c>
      <c r="DH39" s="392">
        <f t="shared" si="74"/>
        <v>0</v>
      </c>
      <c r="DI39" s="521">
        <f t="shared" si="74"/>
        <v>0</v>
      </c>
      <c r="DJ39" s="521">
        <v>0</v>
      </c>
      <c r="DK39" s="305">
        <v>0</v>
      </c>
      <c r="DL39" s="521">
        <f t="shared" si="74"/>
        <v>0</v>
      </c>
      <c r="DM39" s="392">
        <f t="shared" si="75"/>
        <v>0</v>
      </c>
      <c r="DN39" s="521">
        <f t="shared" si="75"/>
        <v>0</v>
      </c>
      <c r="DO39" s="521">
        <f t="shared" si="75"/>
        <v>0</v>
      </c>
      <c r="DP39" s="521">
        <f t="shared" si="75"/>
        <v>0</v>
      </c>
      <c r="DQ39" s="521">
        <f t="shared" si="75"/>
        <v>0</v>
      </c>
      <c r="DR39" s="392">
        <f t="shared" si="76"/>
        <v>0</v>
      </c>
      <c r="DS39" s="521">
        <f t="shared" si="87"/>
        <v>0</v>
      </c>
      <c r="DT39" s="521">
        <f t="shared" si="87"/>
        <v>0</v>
      </c>
      <c r="DU39" s="521">
        <f t="shared" si="84"/>
        <v>0</v>
      </c>
      <c r="DV39" s="521">
        <f t="shared" si="84"/>
        <v>0</v>
      </c>
      <c r="DW39" s="392">
        <f t="shared" si="77"/>
        <v>0</v>
      </c>
      <c r="DX39" s="521">
        <f t="shared" si="88"/>
        <v>0</v>
      </c>
      <c r="DY39" s="521">
        <f t="shared" si="88"/>
        <v>0</v>
      </c>
      <c r="DZ39" s="521">
        <f t="shared" si="85"/>
        <v>0</v>
      </c>
      <c r="EA39" s="521">
        <f t="shared" si="85"/>
        <v>0</v>
      </c>
      <c r="EB39" s="392">
        <f t="shared" si="78"/>
        <v>0</v>
      </c>
      <c r="ED39" s="418"/>
      <c r="EK39" s="418"/>
    </row>
    <row r="40" spans="1:141" x14ac:dyDescent="0.2">
      <c r="A40" s="1" t="s">
        <v>507</v>
      </c>
      <c r="B40" s="481"/>
      <c r="C40" s="477"/>
      <c r="D40" s="477"/>
      <c r="E40" s="477"/>
      <c r="F40" s="477"/>
      <c r="G40" s="476"/>
      <c r="H40" s="477"/>
      <c r="I40" s="477"/>
      <c r="J40" s="477"/>
      <c r="K40" s="477"/>
      <c r="L40" s="476"/>
      <c r="M40" s="477"/>
      <c r="N40" s="477"/>
      <c r="O40" s="477"/>
      <c r="P40" s="477"/>
      <c r="Q40" s="524">
        <v>0</v>
      </c>
      <c r="R40" s="521"/>
      <c r="S40" s="521"/>
      <c r="T40" s="521"/>
      <c r="U40" s="525">
        <v>0</v>
      </c>
      <c r="V40" s="524">
        <f>U40</f>
        <v>0</v>
      </c>
      <c r="W40" s="525">
        <v>0</v>
      </c>
      <c r="X40" s="525">
        <v>0</v>
      </c>
      <c r="Y40" s="525">
        <v>0</v>
      </c>
      <c r="Z40" s="525">
        <v>0</v>
      </c>
      <c r="AA40" s="524">
        <f>Z40</f>
        <v>0</v>
      </c>
      <c r="AB40" s="525">
        <v>0</v>
      </c>
      <c r="AC40" s="525">
        <v>0</v>
      </c>
      <c r="AD40" s="525">
        <v>0</v>
      </c>
      <c r="AE40" s="525">
        <v>0</v>
      </c>
      <c r="AF40" s="524">
        <f t="shared" si="62"/>
        <v>0</v>
      </c>
      <c r="AG40" s="525">
        <v>0</v>
      </c>
      <c r="AH40" s="525">
        <v>0</v>
      </c>
      <c r="AI40" s="525">
        <v>0</v>
      </c>
      <c r="AJ40" s="525">
        <v>0</v>
      </c>
      <c r="AK40" s="524">
        <f t="shared" si="82"/>
        <v>0</v>
      </c>
      <c r="AL40" s="525">
        <v>0</v>
      </c>
      <c r="AM40" s="525">
        <v>0</v>
      </c>
      <c r="AN40" s="525">
        <v>0</v>
      </c>
      <c r="AO40" s="525">
        <v>0</v>
      </c>
      <c r="AP40" s="524">
        <f>AO40</f>
        <v>0</v>
      </c>
      <c r="AQ40" s="525">
        <v>0</v>
      </c>
      <c r="AR40" s="525">
        <v>0</v>
      </c>
      <c r="AS40" s="525">
        <v>0</v>
      </c>
      <c r="AT40" s="525">
        <v>0</v>
      </c>
      <c r="AU40" s="524">
        <f t="shared" si="63"/>
        <v>0</v>
      </c>
      <c r="AV40" s="525">
        <v>0</v>
      </c>
      <c r="AW40" s="525">
        <v>0</v>
      </c>
      <c r="AX40" s="525">
        <v>0</v>
      </c>
      <c r="AY40" s="525">
        <v>0</v>
      </c>
      <c r="AZ40" s="524">
        <f t="shared" si="64"/>
        <v>0</v>
      </c>
      <c r="BA40" s="525">
        <v>0</v>
      </c>
      <c r="BB40" s="525">
        <v>0</v>
      </c>
      <c r="BC40" s="525">
        <v>0</v>
      </c>
      <c r="BD40" s="525">
        <v>0</v>
      </c>
      <c r="BE40" s="524">
        <v>0</v>
      </c>
      <c r="BF40" s="525">
        <v>0</v>
      </c>
      <c r="BG40" s="525">
        <f t="shared" si="89"/>
        <v>0</v>
      </c>
      <c r="BH40" s="525">
        <f t="shared" si="89"/>
        <v>0</v>
      </c>
      <c r="BI40" s="525">
        <f t="shared" si="89"/>
        <v>0</v>
      </c>
      <c r="BJ40" s="524">
        <f t="shared" si="89"/>
        <v>0</v>
      </c>
      <c r="BK40" s="525">
        <v>0</v>
      </c>
      <c r="BL40" s="525">
        <f t="shared" si="90"/>
        <v>0</v>
      </c>
      <c r="BM40" s="525">
        <f t="shared" si="90"/>
        <v>0</v>
      </c>
      <c r="BN40" s="525">
        <f t="shared" si="90"/>
        <v>0</v>
      </c>
      <c r="BO40" s="524">
        <f t="shared" si="65"/>
        <v>0</v>
      </c>
      <c r="BP40" s="525">
        <v>0</v>
      </c>
      <c r="BQ40" s="525">
        <v>0</v>
      </c>
      <c r="BR40" s="525">
        <v>0</v>
      </c>
      <c r="BS40" s="525">
        <v>152.5</v>
      </c>
      <c r="BT40" s="524">
        <f t="shared" si="66"/>
        <v>152.5</v>
      </c>
      <c r="BU40" s="525">
        <v>145.30000000000001</v>
      </c>
      <c r="BV40" s="525">
        <v>148.30000000000001</v>
      </c>
      <c r="BW40" s="525">
        <v>153</v>
      </c>
      <c r="BX40" s="525">
        <f t="shared" si="67"/>
        <v>154.30000000000001</v>
      </c>
      <c r="BY40" s="524">
        <v>154.30000000000001</v>
      </c>
      <c r="BZ40" s="525">
        <v>156.30000000000001</v>
      </c>
      <c r="CA40" s="525">
        <v>152.5</v>
      </c>
      <c r="CB40" s="525">
        <v>145.5</v>
      </c>
      <c r="CC40" s="525">
        <v>146.19999999999999</v>
      </c>
      <c r="CD40" s="524">
        <f t="shared" si="68"/>
        <v>146.19999999999999</v>
      </c>
      <c r="CE40" s="525">
        <v>314</v>
      </c>
      <c r="CF40" s="525">
        <v>145.5</v>
      </c>
      <c r="CG40" s="525">
        <v>146.4</v>
      </c>
      <c r="CH40" s="525">
        <v>145.6</v>
      </c>
      <c r="CI40" s="524">
        <f t="shared" si="69"/>
        <v>145.6</v>
      </c>
      <c r="CJ40" s="525">
        <f>963.1+156</f>
        <v>1119.0999999999999</v>
      </c>
      <c r="CK40" s="525">
        <f>896.3+155.9</f>
        <v>1052.2</v>
      </c>
      <c r="CL40" s="525">
        <f>935.6+159.6</f>
        <v>1095.2</v>
      </c>
      <c r="CM40" s="525">
        <f>1133.8+167.7</f>
        <v>1301.5</v>
      </c>
      <c r="CN40" s="524">
        <f t="shared" si="70"/>
        <v>1301.5</v>
      </c>
      <c r="CO40" s="525">
        <f>1055.5+169.1</f>
        <v>1224.5999999999999</v>
      </c>
      <c r="CP40" s="525">
        <f>1075.4+170.7</f>
        <v>1246.1000000000001</v>
      </c>
      <c r="CQ40" s="525">
        <f>1149.7+177.4</f>
        <v>1327.1000000000001</v>
      </c>
      <c r="CR40" s="525">
        <f>2784.1+1269.3+178.5</f>
        <v>4231.8999999999996</v>
      </c>
      <c r="CS40" s="524">
        <f t="shared" si="71"/>
        <v>4231.8999999999996</v>
      </c>
      <c r="CT40" s="608">
        <f>1309.2+186.2</f>
        <v>1495.4</v>
      </c>
      <c r="CU40" s="608">
        <f>1260.1+184.5</f>
        <v>1444.6</v>
      </c>
      <c r="CV40" s="637">
        <f>1376+202.6</f>
        <v>1578.6</v>
      </c>
      <c r="CW40" s="688">
        <f>1514.4+196.1</f>
        <v>1710.5</v>
      </c>
      <c r="CX40" s="747">
        <f t="shared" si="72"/>
        <v>1710.5</v>
      </c>
      <c r="CY40" s="608">
        <f>1561.7+217.2</f>
        <v>1778.9</v>
      </c>
      <c r="CZ40" s="608">
        <f>215.5+1685.9</f>
        <v>1901.4</v>
      </c>
      <c r="DA40" s="608">
        <f>1656.9+214.7</f>
        <v>1871.6000000000001</v>
      </c>
      <c r="DB40" s="868">
        <f>1755.3+224.8</f>
        <v>1980.1</v>
      </c>
      <c r="DC40" s="524">
        <f t="shared" si="73"/>
        <v>1980.1</v>
      </c>
      <c r="DD40" s="608">
        <f>1686+237.5</f>
        <v>1923.5</v>
      </c>
      <c r="DE40" s="608">
        <f>1695.7+240.4+149.1</f>
        <v>2085.2000000000003</v>
      </c>
      <c r="DF40" s="608">
        <f>1714.5+238.6</f>
        <v>1953.1</v>
      </c>
      <c r="DG40" s="608">
        <f>1999.1+246</f>
        <v>2245.1</v>
      </c>
      <c r="DH40" s="524">
        <f t="shared" si="74"/>
        <v>2245.1</v>
      </c>
      <c r="DI40" s="608">
        <f>1944.9+211.6</f>
        <v>2156.5</v>
      </c>
      <c r="DJ40" s="608">
        <f>1730.6+217.9</f>
        <v>1948.5</v>
      </c>
      <c r="DK40" s="608">
        <f>1770.6+211.5</f>
        <v>1982.1</v>
      </c>
      <c r="DL40" s="525">
        <f>1934.5+215.2</f>
        <v>2149.6999999999998</v>
      </c>
      <c r="DM40" s="524">
        <f t="shared" si="75"/>
        <v>2149.6999999999998</v>
      </c>
      <c r="DN40" s="528">
        <f t="shared" si="75"/>
        <v>2149.6999999999998</v>
      </c>
      <c r="DO40" s="528">
        <f t="shared" si="75"/>
        <v>2149.6999999999998</v>
      </c>
      <c r="DP40" s="528">
        <f t="shared" si="75"/>
        <v>2149.6999999999998</v>
      </c>
      <c r="DQ40" s="526">
        <f t="shared" si="75"/>
        <v>2149.6999999999998</v>
      </c>
      <c r="DR40" s="527">
        <f t="shared" si="76"/>
        <v>2149.6999999999998</v>
      </c>
      <c r="DS40" s="528">
        <f t="shared" si="87"/>
        <v>2149.6999999999998</v>
      </c>
      <c r="DT40" s="528">
        <f t="shared" si="87"/>
        <v>2149.6999999999998</v>
      </c>
      <c r="DU40" s="528">
        <f t="shared" si="84"/>
        <v>2149.6999999999998</v>
      </c>
      <c r="DV40" s="526">
        <f t="shared" si="84"/>
        <v>2149.6999999999998</v>
      </c>
      <c r="DW40" s="527">
        <f t="shared" si="77"/>
        <v>2149.6999999999998</v>
      </c>
      <c r="DX40" s="528">
        <f t="shared" si="88"/>
        <v>2149.6999999999998</v>
      </c>
      <c r="DY40" s="528">
        <f t="shared" si="88"/>
        <v>2149.6999999999998</v>
      </c>
      <c r="DZ40" s="528">
        <f t="shared" si="85"/>
        <v>2149.6999999999998</v>
      </c>
      <c r="EA40" s="526">
        <f t="shared" si="85"/>
        <v>2149.6999999999998</v>
      </c>
      <c r="EB40" s="527">
        <f t="shared" si="78"/>
        <v>2149.6999999999998</v>
      </c>
      <c r="ED40" s="418"/>
      <c r="EK40" s="418"/>
    </row>
    <row r="41" spans="1:141" x14ac:dyDescent="0.2">
      <c r="A41" s="196" t="s">
        <v>506</v>
      </c>
      <c r="B41" s="197">
        <v>40.4</v>
      </c>
      <c r="C41" s="322">
        <v>0</v>
      </c>
      <c r="D41" s="322">
        <v>0</v>
      </c>
      <c r="E41" s="322">
        <v>0</v>
      </c>
      <c r="F41" s="322">
        <v>0</v>
      </c>
      <c r="G41" s="323">
        <v>71</v>
      </c>
      <c r="H41" s="322">
        <v>0</v>
      </c>
      <c r="I41" s="322">
        <v>0</v>
      </c>
      <c r="J41" s="322">
        <v>0</v>
      </c>
      <c r="K41" s="322">
        <v>0</v>
      </c>
      <c r="L41" s="323">
        <v>101</v>
      </c>
      <c r="M41" s="324">
        <v>107.2</v>
      </c>
      <c r="N41" s="324">
        <v>111.8</v>
      </c>
      <c r="O41" s="324">
        <v>125.7</v>
      </c>
      <c r="P41" s="322">
        <f>SUM(P30:P40)</f>
        <v>0</v>
      </c>
      <c r="Q41" s="323">
        <f>SUM(Q30:Q40)</f>
        <v>143.78900000000002</v>
      </c>
      <c r="R41" s="156"/>
      <c r="S41" s="156"/>
      <c r="T41" s="156"/>
      <c r="U41" s="322">
        <f t="shared" ref="U41:AE41" si="92">SUM(U30:U40)</f>
        <v>179.47499999999999</v>
      </c>
      <c r="V41" s="323">
        <f t="shared" si="92"/>
        <v>179.47499999999999</v>
      </c>
      <c r="W41" s="322">
        <f>SUM(W30:W40)</f>
        <v>196.24599999999998</v>
      </c>
      <c r="X41" s="322">
        <f>SUM(X30:X40)</f>
        <v>183.39499999999998</v>
      </c>
      <c r="Y41" s="322">
        <f>SUM(Y30:Y40)</f>
        <v>224.39400000000001</v>
      </c>
      <c r="Z41" s="322">
        <f>SUM(Z30:Z40)</f>
        <v>251.197</v>
      </c>
      <c r="AA41" s="323">
        <f t="shared" si="92"/>
        <v>251.197</v>
      </c>
      <c r="AB41" s="322">
        <f t="shared" si="92"/>
        <v>259.19499999999999</v>
      </c>
      <c r="AC41" s="322">
        <f t="shared" si="92"/>
        <v>273.173</v>
      </c>
      <c r="AD41" s="322">
        <f t="shared" si="92"/>
        <v>299.93699999999995</v>
      </c>
      <c r="AE41" s="322">
        <f t="shared" si="92"/>
        <v>313.26</v>
      </c>
      <c r="AF41" s="323">
        <f t="shared" si="62"/>
        <v>313.26</v>
      </c>
      <c r="AG41" s="322">
        <f>SUM(AG30:AG40)</f>
        <v>341.197</v>
      </c>
      <c r="AH41" s="322">
        <f>SUM(AH30:AH40)</f>
        <v>339.87299999999999</v>
      </c>
      <c r="AI41" s="322">
        <f>SUM(AI30:AI40)</f>
        <v>393.62400000000002</v>
      </c>
      <c r="AJ41" s="322">
        <f>SUM(AJ30:AJ40)</f>
        <v>445.26400000000001</v>
      </c>
      <c r="AK41" s="323">
        <f t="shared" si="82"/>
        <v>445.26400000000001</v>
      </c>
      <c r="AL41" s="322">
        <f t="shared" ref="AL41:AT41" si="93">SUM(AL30:AL40)</f>
        <v>439.06799999999993</v>
      </c>
      <c r="AM41" s="322">
        <f t="shared" si="93"/>
        <v>411.80599999999993</v>
      </c>
      <c r="AN41" s="322">
        <f t="shared" si="93"/>
        <v>461.00599999999997</v>
      </c>
      <c r="AO41" s="322">
        <f t="shared" si="93"/>
        <v>462.59499999999997</v>
      </c>
      <c r="AP41" s="323">
        <f t="shared" si="93"/>
        <v>462.59499999999997</v>
      </c>
      <c r="AQ41" s="322">
        <f t="shared" si="93"/>
        <v>531.31099999999992</v>
      </c>
      <c r="AR41" s="322">
        <f t="shared" si="93"/>
        <v>493.51600000000002</v>
      </c>
      <c r="AS41" s="322">
        <f t="shared" si="93"/>
        <v>598.51800000000003</v>
      </c>
      <c r="AT41" s="322">
        <f t="shared" si="93"/>
        <v>608.70299999999986</v>
      </c>
      <c r="AU41" s="323">
        <f t="shared" si="63"/>
        <v>608.70299999999986</v>
      </c>
      <c r="AV41" s="322">
        <f>SUM(AV30:AV40)</f>
        <v>786.09299999999996</v>
      </c>
      <c r="AW41" s="322">
        <f>SUM(AW30:AW40)</f>
        <v>694.27199999999993</v>
      </c>
      <c r="AX41" s="322">
        <f>SUM(AX30:AX40)</f>
        <v>718.98700000000008</v>
      </c>
      <c r="AY41" s="322">
        <f>SUM(AY30:AY40)</f>
        <v>746.25900000000001</v>
      </c>
      <c r="AZ41" s="323">
        <f t="shared" si="64"/>
        <v>746.25900000000001</v>
      </c>
      <c r="BA41" s="322">
        <f t="shared" ref="BA41:CF41" si="94">SUM(BA30:BA40)</f>
        <v>846.39699999999993</v>
      </c>
      <c r="BB41" s="322">
        <f t="shared" si="94"/>
        <v>832.65699999999993</v>
      </c>
      <c r="BC41" s="322">
        <f t="shared" si="94"/>
        <v>881.29499999999996</v>
      </c>
      <c r="BD41" s="322">
        <f t="shared" si="94"/>
        <v>1226.9959999999999</v>
      </c>
      <c r="BE41" s="323">
        <f t="shared" si="94"/>
        <v>1226.9959999999999</v>
      </c>
      <c r="BF41" s="156">
        <f t="shared" si="94"/>
        <v>1272.288</v>
      </c>
      <c r="BG41" s="156">
        <f t="shared" si="94"/>
        <v>1186.4640000000004</v>
      </c>
      <c r="BH41" s="156">
        <f t="shared" si="94"/>
        <v>1322.78</v>
      </c>
      <c r="BI41" s="322">
        <f t="shared" si="94"/>
        <v>1935.6200000000001</v>
      </c>
      <c r="BJ41" s="323">
        <f t="shared" si="94"/>
        <v>1935.6200000000001</v>
      </c>
      <c r="BK41" s="156">
        <f t="shared" si="94"/>
        <v>1804.2369999999999</v>
      </c>
      <c r="BL41" s="156">
        <f t="shared" si="94"/>
        <v>2119.8319999999999</v>
      </c>
      <c r="BM41" s="156">
        <f t="shared" si="94"/>
        <v>2223.4179999999997</v>
      </c>
      <c r="BN41" s="322">
        <f t="shared" si="94"/>
        <v>2155.5660000000003</v>
      </c>
      <c r="BO41" s="323">
        <f t="shared" si="94"/>
        <v>2155.5660000000003</v>
      </c>
      <c r="BP41" s="156">
        <f>SUM(BP30:BP40)</f>
        <v>2253.2000000000003</v>
      </c>
      <c r="BQ41" s="156">
        <f>SUM(BQ30:BQ40)</f>
        <v>2079.3999999999996</v>
      </c>
      <c r="BR41" s="156">
        <f>SUM(BR30:BR40)</f>
        <v>2061.8999999999996</v>
      </c>
      <c r="BS41" s="322">
        <f>SUM(BS30:BS40)</f>
        <v>2189.6999999999998</v>
      </c>
      <c r="BT41" s="323">
        <f t="shared" si="94"/>
        <v>2189.6999999999998</v>
      </c>
      <c r="BU41" s="156">
        <f t="shared" si="94"/>
        <v>1952.9999999999998</v>
      </c>
      <c r="BV41" s="156">
        <f t="shared" si="94"/>
        <v>1685.8999999999999</v>
      </c>
      <c r="BW41" s="156">
        <f t="shared" si="94"/>
        <v>1557.9</v>
      </c>
      <c r="BX41" s="322">
        <f t="shared" si="94"/>
        <v>1581</v>
      </c>
      <c r="BY41" s="323">
        <f t="shared" si="94"/>
        <v>1581</v>
      </c>
      <c r="BZ41" s="156">
        <f t="shared" si="94"/>
        <v>1779.1999999999998</v>
      </c>
      <c r="CA41" s="156">
        <f t="shared" si="94"/>
        <v>1646.6</v>
      </c>
      <c r="CB41" s="156">
        <f t="shared" si="94"/>
        <v>1726.6000000000001</v>
      </c>
      <c r="CC41" s="322">
        <f t="shared" si="94"/>
        <v>1779.1000000000001</v>
      </c>
      <c r="CD41" s="323">
        <f t="shared" si="94"/>
        <v>1779.1000000000001</v>
      </c>
      <c r="CE41" s="156">
        <f t="shared" si="94"/>
        <v>1956.4</v>
      </c>
      <c r="CF41" s="156">
        <f t="shared" si="94"/>
        <v>1794.2</v>
      </c>
      <c r="CG41" s="156">
        <f t="shared" ref="CG41:DG41" si="95">SUM(CG30:CG40)</f>
        <v>1859.4</v>
      </c>
      <c r="CH41" s="322">
        <f t="shared" si="95"/>
        <v>2075.8000000000002</v>
      </c>
      <c r="CI41" s="323">
        <f t="shared" si="95"/>
        <v>2075.8000000000002</v>
      </c>
      <c r="CJ41" s="156">
        <f t="shared" si="95"/>
        <v>2158.7999999999997</v>
      </c>
      <c r="CK41" s="156">
        <f t="shared" si="95"/>
        <v>1971.4</v>
      </c>
      <c r="CL41" s="156">
        <f t="shared" si="95"/>
        <v>2018.2</v>
      </c>
      <c r="CM41" s="322">
        <f t="shared" si="95"/>
        <v>2209.8000000000002</v>
      </c>
      <c r="CN41" s="323">
        <f t="shared" si="95"/>
        <v>2209.8000000000002</v>
      </c>
      <c r="CO41" s="156">
        <f t="shared" si="95"/>
        <v>2390.8999999999996</v>
      </c>
      <c r="CP41" s="156">
        <f t="shared" si="95"/>
        <v>2269.6999999999998</v>
      </c>
      <c r="CQ41" s="156">
        <f t="shared" si="95"/>
        <v>2424.3000000000002</v>
      </c>
      <c r="CR41" s="577">
        <f t="shared" si="95"/>
        <v>5377.2999999999993</v>
      </c>
      <c r="CS41" s="578">
        <f t="shared" si="95"/>
        <v>5377.2999999999993</v>
      </c>
      <c r="CT41" s="577">
        <f t="shared" si="95"/>
        <v>2953</v>
      </c>
      <c r="CU41" s="577">
        <f t="shared" si="95"/>
        <v>2733.5</v>
      </c>
      <c r="CV41" s="322">
        <f t="shared" si="95"/>
        <v>2883.8999999999996</v>
      </c>
      <c r="CW41" s="689">
        <f t="shared" si="95"/>
        <v>3038.7</v>
      </c>
      <c r="CX41" s="748">
        <f t="shared" si="72"/>
        <v>3038.7</v>
      </c>
      <c r="CY41" s="577">
        <f t="shared" si="95"/>
        <v>3557.5</v>
      </c>
      <c r="CZ41" s="577">
        <f t="shared" si="95"/>
        <v>3521.2</v>
      </c>
      <c r="DA41" s="577">
        <f t="shared" si="95"/>
        <v>4049.2</v>
      </c>
      <c r="DB41" s="869">
        <f t="shared" si="95"/>
        <v>3648.1</v>
      </c>
      <c r="DC41" s="578">
        <f t="shared" si="73"/>
        <v>3648.1</v>
      </c>
      <c r="DD41" s="322">
        <f>SUM(DD30:DD40)</f>
        <v>4420.1000000000004</v>
      </c>
      <c r="DE41" s="322">
        <f t="shared" si="95"/>
        <v>4351.2000000000007</v>
      </c>
      <c r="DF41" s="905">
        <f t="shared" si="95"/>
        <v>4245.2</v>
      </c>
      <c r="DG41" s="905">
        <f t="shared" si="95"/>
        <v>4546.8999999999996</v>
      </c>
      <c r="DH41" s="578">
        <f t="shared" si="74"/>
        <v>4546.8999999999996</v>
      </c>
      <c r="DI41" s="322">
        <f>SUM(DI30:DI40)</f>
        <v>4397.3</v>
      </c>
      <c r="DJ41" s="577">
        <f>SUM(DJ30:DJ40)</f>
        <v>4000.1</v>
      </c>
      <c r="DK41" s="577">
        <f>SUM(DK30:DK40)</f>
        <v>4026.5</v>
      </c>
      <c r="DL41" s="577">
        <f>SUM(DL30:DL40)</f>
        <v>4220.7</v>
      </c>
      <c r="DM41" s="578">
        <f t="shared" si="75"/>
        <v>4220.7</v>
      </c>
      <c r="DN41" s="322">
        <f>SUM(DN30:DN40)</f>
        <v>4385.714705882353</v>
      </c>
      <c r="DO41" s="322">
        <f>SUM(DO30:DO40)</f>
        <v>4250.5473711835039</v>
      </c>
      <c r="DP41" s="322">
        <f>SUM(DP30:DP40)</f>
        <v>4263.0259214304087</v>
      </c>
      <c r="DQ41" s="322">
        <f>SUM(DQ30:DQ40)</f>
        <v>4308.3544870421829</v>
      </c>
      <c r="DR41" s="323">
        <f t="shared" si="76"/>
        <v>4308.3544870421829</v>
      </c>
      <c r="DS41" s="322">
        <f>SUM(DS30:DS40)</f>
        <v>4481.2279574234799</v>
      </c>
      <c r="DT41" s="322">
        <f>SUM(DT30:DT40)</f>
        <v>4338.2595777644437</v>
      </c>
      <c r="DU41" s="322">
        <f>SUM(DU30:DU40)</f>
        <v>4353.6209492110647</v>
      </c>
      <c r="DV41" s="322">
        <f>SUM(DV30:DV40)</f>
        <v>4404.1370151444089</v>
      </c>
      <c r="DW41" s="323">
        <f t="shared" si="77"/>
        <v>4404.1370151444089</v>
      </c>
      <c r="DX41" s="322">
        <f>SUM(DX30:DX40)</f>
        <v>4573.8662655870212</v>
      </c>
      <c r="DY41" s="322">
        <f>SUM(DY30:DY40)</f>
        <v>4436.4906764214229</v>
      </c>
      <c r="DZ41" s="322">
        <f>SUM(DZ30:DZ40)</f>
        <v>4452.4583521990726</v>
      </c>
      <c r="EA41" s="322">
        <f>SUM(EA30:EA40)</f>
        <v>4506.5451293221922</v>
      </c>
      <c r="EB41" s="323">
        <f t="shared" si="78"/>
        <v>4506.5451293221922</v>
      </c>
      <c r="ED41" s="418"/>
      <c r="EK41" s="418"/>
    </row>
    <row r="42" spans="1:141" ht="6.75" customHeight="1" x14ac:dyDescent="0.2">
      <c r="A42" s="1"/>
      <c r="B42" s="179"/>
      <c r="C42" s="175"/>
      <c r="D42" s="175"/>
      <c r="E42" s="175"/>
      <c r="F42" s="175"/>
      <c r="G42" s="170"/>
      <c r="H42" s="157"/>
      <c r="I42" s="157"/>
      <c r="J42" s="157"/>
      <c r="K42" s="175"/>
      <c r="L42" s="170"/>
      <c r="M42" s="157"/>
      <c r="N42" s="157"/>
      <c r="O42" s="157"/>
      <c r="P42" s="175"/>
      <c r="Q42" s="170"/>
      <c r="R42" s="157"/>
      <c r="S42" s="157"/>
      <c r="T42" s="157"/>
      <c r="U42" s="175"/>
      <c r="V42" s="170"/>
      <c r="W42" s="175"/>
      <c r="X42" s="175"/>
      <c r="Y42" s="175"/>
      <c r="Z42" s="175"/>
      <c r="AA42" s="170"/>
      <c r="AB42" s="157" t="s">
        <v>210</v>
      </c>
      <c r="AC42" s="157" t="s">
        <v>210</v>
      </c>
      <c r="AD42" s="157" t="s">
        <v>210</v>
      </c>
      <c r="AE42" s="175" t="s">
        <v>210</v>
      </c>
      <c r="AF42" s="170" t="str">
        <f t="shared" si="62"/>
        <v xml:space="preserve"> </v>
      </c>
      <c r="AG42" s="157" t="s">
        <v>210</v>
      </c>
      <c r="AH42" s="157" t="s">
        <v>210</v>
      </c>
      <c r="AI42" s="157" t="s">
        <v>210</v>
      </c>
      <c r="AJ42" s="175" t="s">
        <v>210</v>
      </c>
      <c r="AK42" s="170"/>
      <c r="AL42" s="157" t="s">
        <v>210</v>
      </c>
      <c r="AM42" s="157" t="s">
        <v>210</v>
      </c>
      <c r="AN42" s="157" t="s">
        <v>210</v>
      </c>
      <c r="AO42" s="175" t="s">
        <v>210</v>
      </c>
      <c r="AP42" s="170"/>
      <c r="AQ42" s="157" t="s">
        <v>210</v>
      </c>
      <c r="AR42" s="157" t="s">
        <v>210</v>
      </c>
      <c r="AS42" s="157" t="s">
        <v>210</v>
      </c>
      <c r="AT42" s="175" t="s">
        <v>210</v>
      </c>
      <c r="AU42" s="170" t="str">
        <f t="shared" si="63"/>
        <v xml:space="preserve"> </v>
      </c>
      <c r="AV42" s="157" t="s">
        <v>210</v>
      </c>
      <c r="AW42" s="157" t="s">
        <v>210</v>
      </c>
      <c r="AX42" s="157" t="s">
        <v>210</v>
      </c>
      <c r="AY42" s="175" t="s">
        <v>210</v>
      </c>
      <c r="AZ42" s="170" t="str">
        <f t="shared" si="64"/>
        <v xml:space="preserve"> </v>
      </c>
      <c r="BA42" s="157" t="s">
        <v>210</v>
      </c>
      <c r="BB42" s="157" t="s">
        <v>210</v>
      </c>
      <c r="BC42" s="157" t="s">
        <v>210</v>
      </c>
      <c r="BD42" s="175" t="s">
        <v>210</v>
      </c>
      <c r="BE42" s="170" t="s">
        <v>210</v>
      </c>
      <c r="BF42" s="157" t="s">
        <v>210</v>
      </c>
      <c r="BG42" s="157" t="s">
        <v>210</v>
      </c>
      <c r="BH42" s="157" t="s">
        <v>210</v>
      </c>
      <c r="BI42" s="175" t="s">
        <v>210</v>
      </c>
      <c r="BJ42" s="170" t="s">
        <v>210</v>
      </c>
      <c r="BK42" s="157" t="s">
        <v>210</v>
      </c>
      <c r="BL42" s="157" t="s">
        <v>210</v>
      </c>
      <c r="BM42" s="157" t="s">
        <v>210</v>
      </c>
      <c r="BN42" s="175" t="s">
        <v>210</v>
      </c>
      <c r="BO42" s="170"/>
      <c r="BP42" s="157"/>
      <c r="BQ42" s="157"/>
      <c r="BR42" s="157"/>
      <c r="BS42" s="175"/>
      <c r="BT42" s="170"/>
      <c r="BU42" s="157" t="s">
        <v>210</v>
      </c>
      <c r="BV42" s="157" t="s">
        <v>210</v>
      </c>
      <c r="BW42" s="157" t="s">
        <v>210</v>
      </c>
      <c r="BX42" s="175" t="s">
        <v>210</v>
      </c>
      <c r="BY42" s="170" t="s">
        <v>210</v>
      </c>
      <c r="BZ42" s="157" t="s">
        <v>210</v>
      </c>
      <c r="CA42" s="157" t="s">
        <v>210</v>
      </c>
      <c r="CB42" s="157" t="s">
        <v>210</v>
      </c>
      <c r="CC42" s="175" t="s">
        <v>210</v>
      </c>
      <c r="CD42" s="170" t="s">
        <v>210</v>
      </c>
      <c r="CE42" s="157" t="s">
        <v>210</v>
      </c>
      <c r="CF42" s="157" t="s">
        <v>210</v>
      </c>
      <c r="CG42" s="157" t="s">
        <v>210</v>
      </c>
      <c r="CH42" s="175" t="s">
        <v>210</v>
      </c>
      <c r="CI42" s="170" t="s">
        <v>210</v>
      </c>
      <c r="CJ42" s="157" t="s">
        <v>210</v>
      </c>
      <c r="CK42" s="157" t="s">
        <v>210</v>
      </c>
      <c r="CL42" s="157" t="s">
        <v>210</v>
      </c>
      <c r="CM42" s="175" t="s">
        <v>210</v>
      </c>
      <c r="CN42" s="170" t="s">
        <v>210</v>
      </c>
      <c r="CO42" s="157" t="s">
        <v>210</v>
      </c>
      <c r="CP42" s="157" t="s">
        <v>210</v>
      </c>
      <c r="CQ42" s="157" t="s">
        <v>210</v>
      </c>
      <c r="CR42" s="175" t="s">
        <v>210</v>
      </c>
      <c r="CS42" s="170" t="s">
        <v>210</v>
      </c>
      <c r="CT42" s="157"/>
      <c r="CU42" s="157"/>
      <c r="CV42" s="157"/>
      <c r="CW42" s="678"/>
      <c r="CX42" s="742"/>
      <c r="CY42" s="157"/>
      <c r="CZ42" s="157"/>
      <c r="DA42" s="157"/>
      <c r="DB42" s="861"/>
      <c r="DC42" s="170"/>
      <c r="DD42" s="157"/>
      <c r="DE42" s="157"/>
      <c r="DF42" s="157"/>
      <c r="DG42" s="175"/>
      <c r="DH42" s="170"/>
      <c r="DI42" s="157"/>
      <c r="DJ42" s="157"/>
      <c r="DK42" s="157"/>
      <c r="DL42" s="175"/>
      <c r="DM42" s="170"/>
      <c r="DN42" s="157"/>
      <c r="DO42" s="157"/>
      <c r="DP42" s="157"/>
      <c r="DQ42" s="175"/>
      <c r="DR42" s="170"/>
      <c r="DS42" s="157"/>
      <c r="DT42" s="157"/>
      <c r="DU42" s="157"/>
      <c r="DV42" s="175"/>
      <c r="DW42" s="170"/>
      <c r="DX42" s="157"/>
      <c r="DY42" s="157"/>
      <c r="DZ42" s="157"/>
      <c r="EA42" s="175"/>
      <c r="EB42" s="170"/>
      <c r="ED42" s="418"/>
      <c r="EK42" s="418"/>
    </row>
    <row r="43" spans="1:141" x14ac:dyDescent="0.2">
      <c r="A43" s="83" t="s">
        <v>505</v>
      </c>
      <c r="B43" s="179"/>
      <c r="C43" s="175"/>
      <c r="D43" s="175"/>
      <c r="E43" s="175"/>
      <c r="F43" s="175"/>
      <c r="G43" s="170"/>
      <c r="H43" s="157"/>
      <c r="I43" s="157"/>
      <c r="J43" s="157"/>
      <c r="K43" s="175"/>
      <c r="L43" s="170"/>
      <c r="M43" s="157"/>
      <c r="N43" s="157"/>
      <c r="O43" s="157"/>
      <c r="P43" s="175"/>
      <c r="Q43" s="170"/>
      <c r="R43" s="157"/>
      <c r="S43" s="157"/>
      <c r="T43" s="157"/>
      <c r="U43" s="175"/>
      <c r="V43" s="170"/>
      <c r="W43" s="175"/>
      <c r="X43" s="175"/>
      <c r="Y43" s="175"/>
      <c r="Z43" s="175"/>
      <c r="AA43" s="170"/>
      <c r="AB43" s="157" t="s">
        <v>210</v>
      </c>
      <c r="AC43" s="157" t="s">
        <v>210</v>
      </c>
      <c r="AD43" s="157" t="s">
        <v>210</v>
      </c>
      <c r="AE43" s="175" t="s">
        <v>210</v>
      </c>
      <c r="AF43" s="170" t="str">
        <f t="shared" si="62"/>
        <v xml:space="preserve"> </v>
      </c>
      <c r="AG43" s="157" t="s">
        <v>210</v>
      </c>
      <c r="AH43" s="157" t="s">
        <v>210</v>
      </c>
      <c r="AI43" s="157" t="s">
        <v>210</v>
      </c>
      <c r="AJ43" s="175" t="s">
        <v>210</v>
      </c>
      <c r="AK43" s="170"/>
      <c r="AL43" s="157" t="s">
        <v>210</v>
      </c>
      <c r="AM43" s="157" t="s">
        <v>210</v>
      </c>
      <c r="AN43" s="157" t="s">
        <v>210</v>
      </c>
      <c r="AO43" s="175" t="s">
        <v>210</v>
      </c>
      <c r="AP43" s="170"/>
      <c r="AQ43" s="157" t="s">
        <v>210</v>
      </c>
      <c r="AR43" s="157" t="s">
        <v>210</v>
      </c>
      <c r="AS43" s="157" t="s">
        <v>210</v>
      </c>
      <c r="AT43" s="175" t="s">
        <v>210</v>
      </c>
      <c r="AU43" s="170" t="str">
        <f t="shared" si="63"/>
        <v xml:space="preserve"> </v>
      </c>
      <c r="AV43" s="157" t="s">
        <v>210</v>
      </c>
      <c r="AW43" s="157" t="s">
        <v>210</v>
      </c>
      <c r="AX43" s="157" t="s">
        <v>210</v>
      </c>
      <c r="AY43" s="175" t="s">
        <v>210</v>
      </c>
      <c r="AZ43" s="170" t="str">
        <f t="shared" si="64"/>
        <v xml:space="preserve"> </v>
      </c>
      <c r="BA43" s="157" t="s">
        <v>210</v>
      </c>
      <c r="BB43" s="157" t="s">
        <v>210</v>
      </c>
      <c r="BC43" s="157" t="s">
        <v>210</v>
      </c>
      <c r="BD43" s="175" t="s">
        <v>210</v>
      </c>
      <c r="BE43" s="170" t="s">
        <v>210</v>
      </c>
      <c r="BF43" s="157" t="s">
        <v>210</v>
      </c>
      <c r="BG43" s="157" t="s">
        <v>210</v>
      </c>
      <c r="BH43" s="157" t="s">
        <v>210</v>
      </c>
      <c r="BI43" s="175" t="s">
        <v>210</v>
      </c>
      <c r="BJ43" s="170" t="s">
        <v>210</v>
      </c>
      <c r="BK43" s="157" t="s">
        <v>210</v>
      </c>
      <c r="BL43" s="157" t="s">
        <v>210</v>
      </c>
      <c r="BM43" s="157" t="s">
        <v>210</v>
      </c>
      <c r="BN43" s="175" t="s">
        <v>210</v>
      </c>
      <c r="BO43" s="170"/>
      <c r="BP43" s="157"/>
      <c r="BQ43" s="157"/>
      <c r="BR43" s="157"/>
      <c r="BS43" s="175"/>
      <c r="BT43" s="170"/>
      <c r="BU43" s="157" t="s">
        <v>210</v>
      </c>
      <c r="BV43" s="157" t="s">
        <v>210</v>
      </c>
      <c r="BW43" s="157" t="s">
        <v>210</v>
      </c>
      <c r="BX43" s="175" t="s">
        <v>210</v>
      </c>
      <c r="BY43" s="170" t="s">
        <v>210</v>
      </c>
      <c r="BZ43" s="157" t="s">
        <v>210</v>
      </c>
      <c r="CA43" s="157" t="s">
        <v>210</v>
      </c>
      <c r="CB43" s="157" t="s">
        <v>210</v>
      </c>
      <c r="CC43" s="175" t="s">
        <v>210</v>
      </c>
      <c r="CD43" s="170" t="s">
        <v>210</v>
      </c>
      <c r="CE43" s="157" t="s">
        <v>210</v>
      </c>
      <c r="CF43" s="157" t="s">
        <v>210</v>
      </c>
      <c r="CG43" s="157" t="s">
        <v>210</v>
      </c>
      <c r="CH43" s="175" t="s">
        <v>210</v>
      </c>
      <c r="CI43" s="170" t="s">
        <v>210</v>
      </c>
      <c r="CJ43" s="157" t="s">
        <v>210</v>
      </c>
      <c r="CK43" s="157" t="s">
        <v>210</v>
      </c>
      <c r="CL43" s="157" t="s">
        <v>210</v>
      </c>
      <c r="CM43" s="175" t="s">
        <v>210</v>
      </c>
      <c r="CN43" s="170" t="s">
        <v>210</v>
      </c>
      <c r="CO43" s="157" t="s">
        <v>210</v>
      </c>
      <c r="CP43" s="157" t="s">
        <v>210</v>
      </c>
      <c r="CQ43" s="157" t="s">
        <v>210</v>
      </c>
      <c r="CR43" s="175" t="s">
        <v>210</v>
      </c>
      <c r="CS43" s="170" t="s">
        <v>210</v>
      </c>
      <c r="CT43" s="157"/>
      <c r="CU43" s="157"/>
      <c r="CV43" s="157"/>
      <c r="CW43" s="678"/>
      <c r="CX43" s="742"/>
      <c r="CY43" s="157"/>
      <c r="CZ43" s="157"/>
      <c r="DA43" s="157"/>
      <c r="DB43" s="861"/>
      <c r="DC43" s="170"/>
      <c r="DD43" s="157"/>
      <c r="DE43" s="157"/>
      <c r="DF43" s="157"/>
      <c r="DG43" s="175"/>
      <c r="DH43" s="170"/>
      <c r="DI43" s="157"/>
      <c r="DJ43" s="157"/>
      <c r="DK43" s="157"/>
      <c r="DL43" s="175"/>
      <c r="DM43" s="170"/>
      <c r="DN43" s="157"/>
      <c r="DO43" s="157"/>
      <c r="DP43" s="157"/>
      <c r="DQ43" s="175"/>
      <c r="DR43" s="170"/>
      <c r="DS43" s="157"/>
      <c r="DT43" s="157"/>
      <c r="DU43" s="157"/>
      <c r="DV43" s="175"/>
      <c r="DW43" s="170"/>
      <c r="DX43" s="157"/>
      <c r="DY43" s="157"/>
      <c r="DZ43" s="157"/>
      <c r="EA43" s="175"/>
      <c r="EB43" s="170"/>
      <c r="ED43" s="418"/>
      <c r="EK43" s="418"/>
    </row>
    <row r="44" spans="1:141" x14ac:dyDescent="0.2">
      <c r="A44" s="1" t="s">
        <v>504</v>
      </c>
      <c r="B44" s="179"/>
      <c r="C44" s="175"/>
      <c r="D44" s="175"/>
      <c r="E44" s="175"/>
      <c r="F44" s="175"/>
      <c r="G44" s="170"/>
      <c r="H44" s="157"/>
      <c r="I44" s="157"/>
      <c r="J44" s="157"/>
      <c r="K44" s="175"/>
      <c r="L44" s="170"/>
      <c r="M44" s="157"/>
      <c r="N44" s="157"/>
      <c r="O44" s="157"/>
      <c r="P44" s="175"/>
      <c r="Q44" s="170">
        <v>12.8</v>
      </c>
      <c r="R44" s="157"/>
      <c r="S44" s="157"/>
      <c r="T44" s="157"/>
      <c r="U44" s="175">
        <v>18.983000000000001</v>
      </c>
      <c r="V44" s="170">
        <f>U44</f>
        <v>18.983000000000001</v>
      </c>
      <c r="W44" s="175">
        <v>20.164000000000001</v>
      </c>
      <c r="X44" s="175">
        <v>21.606999999999999</v>
      </c>
      <c r="Y44" s="178">
        <v>22.25</v>
      </c>
      <c r="Z44" s="178">
        <v>32.886000000000003</v>
      </c>
      <c r="AA44" s="170">
        <f>Z44</f>
        <v>32.886000000000003</v>
      </c>
      <c r="AB44" s="157">
        <v>40.152000000000001</v>
      </c>
      <c r="AC44" s="157">
        <v>35.920999999999999</v>
      </c>
      <c r="AD44" s="157">
        <v>35.627000000000002</v>
      </c>
      <c r="AE44" s="175">
        <v>21.41</v>
      </c>
      <c r="AF44" s="170">
        <f t="shared" si="62"/>
        <v>21.41</v>
      </c>
      <c r="AG44" s="157">
        <v>22.609000000000002</v>
      </c>
      <c r="AH44" s="157">
        <v>25.643000000000001</v>
      </c>
      <c r="AI44" s="157">
        <v>22.672999999999998</v>
      </c>
      <c r="AJ44" s="175">
        <v>19.132999999999999</v>
      </c>
      <c r="AK44" s="170">
        <f>AJ44</f>
        <v>19.132999999999999</v>
      </c>
      <c r="AL44" s="157">
        <v>18.989999999999998</v>
      </c>
      <c r="AM44" s="157">
        <v>17.207999999999998</v>
      </c>
      <c r="AN44" s="157">
        <v>36.381</v>
      </c>
      <c r="AO44" s="175">
        <v>22.495999999999999</v>
      </c>
      <c r="AP44" s="170">
        <f>AO44</f>
        <v>22.495999999999999</v>
      </c>
      <c r="AQ44" s="157">
        <v>25.611000000000001</v>
      </c>
      <c r="AR44" s="157">
        <v>27.420999999999999</v>
      </c>
      <c r="AS44" s="157">
        <v>23.297999999999998</v>
      </c>
      <c r="AT44" s="175">
        <v>33.216999999999999</v>
      </c>
      <c r="AU44" s="170">
        <f t="shared" si="63"/>
        <v>33.216999999999999</v>
      </c>
      <c r="AV44" s="157">
        <v>33.872999999999998</v>
      </c>
      <c r="AW44" s="157">
        <v>37.601999999999997</v>
      </c>
      <c r="AX44" s="157">
        <v>44.993000000000002</v>
      </c>
      <c r="AY44" s="175">
        <v>21.77</v>
      </c>
      <c r="AZ44" s="170">
        <f t="shared" si="64"/>
        <v>21.77</v>
      </c>
      <c r="BA44" s="157">
        <v>14.398</v>
      </c>
      <c r="BB44" s="157">
        <v>5.9290000000000003</v>
      </c>
      <c r="BC44" s="157">
        <v>0</v>
      </c>
      <c r="BD44" s="175">
        <v>0</v>
      </c>
      <c r="BE44" s="170">
        <v>0</v>
      </c>
      <c r="BF44" s="157">
        <v>0</v>
      </c>
      <c r="BG44" s="157">
        <f>BF44</f>
        <v>0</v>
      </c>
      <c r="BH44" s="157">
        <f>BG44</f>
        <v>0</v>
      </c>
      <c r="BI44" s="175">
        <f>BH44</f>
        <v>0</v>
      </c>
      <c r="BJ44" s="170">
        <f>BI44</f>
        <v>0</v>
      </c>
      <c r="BK44" s="157">
        <v>0</v>
      </c>
      <c r="BL44" s="157">
        <f>BK44</f>
        <v>0</v>
      </c>
      <c r="BM44" s="157">
        <v>0</v>
      </c>
      <c r="BN44" s="175">
        <v>0</v>
      </c>
      <c r="BO44" s="170">
        <f>BN44</f>
        <v>0</v>
      </c>
      <c r="BP44" s="157">
        <v>0</v>
      </c>
      <c r="BQ44" s="157">
        <v>0</v>
      </c>
      <c r="BR44" s="157">
        <v>0</v>
      </c>
      <c r="BS44" s="175">
        <v>0</v>
      </c>
      <c r="BT44" s="170">
        <f>BS44</f>
        <v>0</v>
      </c>
      <c r="BU44" s="157">
        <v>0</v>
      </c>
      <c r="BV44" s="157">
        <v>0</v>
      </c>
      <c r="BW44" s="157">
        <v>0</v>
      </c>
      <c r="BX44" s="175">
        <f>BY44</f>
        <v>0</v>
      </c>
      <c r="BY44" s="170">
        <v>0</v>
      </c>
      <c r="BZ44" s="157">
        <v>0</v>
      </c>
      <c r="CA44" s="157">
        <v>0</v>
      </c>
      <c r="CB44" s="157">
        <v>0</v>
      </c>
      <c r="CC44" s="175">
        <v>0</v>
      </c>
      <c r="CD44" s="170">
        <f>CC44</f>
        <v>0</v>
      </c>
      <c r="CE44" s="157">
        <v>0</v>
      </c>
      <c r="CF44" s="157">
        <v>0</v>
      </c>
      <c r="CG44" s="157">
        <v>0</v>
      </c>
      <c r="CH44" s="175">
        <v>0</v>
      </c>
      <c r="CI44" s="170">
        <f>CH44</f>
        <v>0</v>
      </c>
      <c r="CJ44" s="157">
        <v>0</v>
      </c>
      <c r="CK44" s="157">
        <v>0</v>
      </c>
      <c r="CL44" s="157">
        <v>0</v>
      </c>
      <c r="CM44" s="175">
        <v>0</v>
      </c>
      <c r="CN44" s="170">
        <f>CM44</f>
        <v>0</v>
      </c>
      <c r="CO44" s="157">
        <v>0</v>
      </c>
      <c r="CP44" s="157">
        <f t="shared" ref="CP44:DB44" si="96">CO44</f>
        <v>0</v>
      </c>
      <c r="CQ44" s="157">
        <v>0</v>
      </c>
      <c r="CR44" s="175">
        <v>0</v>
      </c>
      <c r="CS44" s="170">
        <f t="shared" si="96"/>
        <v>0</v>
      </c>
      <c r="CT44" s="175">
        <v>0</v>
      </c>
      <c r="CU44" s="175">
        <v>0</v>
      </c>
      <c r="CV44" s="175">
        <v>0</v>
      </c>
      <c r="CW44" s="678">
        <f t="shared" si="96"/>
        <v>0</v>
      </c>
      <c r="CX44" s="742">
        <f t="shared" si="96"/>
        <v>0</v>
      </c>
      <c r="CY44" s="175">
        <f t="shared" si="96"/>
        <v>0</v>
      </c>
      <c r="CZ44" s="175">
        <f t="shared" si="96"/>
        <v>0</v>
      </c>
      <c r="DA44" s="175">
        <f t="shared" si="96"/>
        <v>0</v>
      </c>
      <c r="DB44" s="861">
        <f t="shared" si="96"/>
        <v>0</v>
      </c>
      <c r="DC44" s="170">
        <f>DB44</f>
        <v>0</v>
      </c>
      <c r="DD44" s="175">
        <f t="shared" ref="DD44" si="97">DC44</f>
        <v>0</v>
      </c>
      <c r="DE44" s="175">
        <v>0</v>
      </c>
      <c r="DF44" s="175">
        <v>0</v>
      </c>
      <c r="DG44" s="175">
        <v>0</v>
      </c>
      <c r="DH44" s="170">
        <f t="shared" ref="DH44:DH45" si="98">DG44</f>
        <v>0</v>
      </c>
      <c r="DI44" s="175">
        <v>0</v>
      </c>
      <c r="DJ44" s="175">
        <v>0</v>
      </c>
      <c r="DK44" s="175">
        <v>0</v>
      </c>
      <c r="DL44" s="175">
        <v>0</v>
      </c>
      <c r="DM44" s="170">
        <f t="shared" ref="DM44:DQ45" si="99">DL44</f>
        <v>0</v>
      </c>
      <c r="DN44" s="175">
        <f t="shared" si="99"/>
        <v>0</v>
      </c>
      <c r="DO44" s="175">
        <f t="shared" si="99"/>
        <v>0</v>
      </c>
      <c r="DP44" s="175">
        <f t="shared" si="99"/>
        <v>0</v>
      </c>
      <c r="DQ44" s="175">
        <f t="shared" si="99"/>
        <v>0</v>
      </c>
      <c r="DR44" s="170">
        <f t="shared" ref="DR44:EB44" si="100">DQ44</f>
        <v>0</v>
      </c>
      <c r="DS44" s="175">
        <f t="shared" si="100"/>
        <v>0</v>
      </c>
      <c r="DT44" s="175">
        <f t="shared" si="100"/>
        <v>0</v>
      </c>
      <c r="DU44" s="175">
        <f t="shared" si="100"/>
        <v>0</v>
      </c>
      <c r="DV44" s="175">
        <f t="shared" si="100"/>
        <v>0</v>
      </c>
      <c r="DW44" s="170">
        <f t="shared" si="100"/>
        <v>0</v>
      </c>
      <c r="DX44" s="175">
        <f t="shared" si="100"/>
        <v>0</v>
      </c>
      <c r="DY44" s="175">
        <f t="shared" si="100"/>
        <v>0</v>
      </c>
      <c r="DZ44" s="175">
        <f t="shared" si="100"/>
        <v>0</v>
      </c>
      <c r="EA44" s="175">
        <f t="shared" si="100"/>
        <v>0</v>
      </c>
      <c r="EB44" s="170">
        <f t="shared" si="100"/>
        <v>0</v>
      </c>
      <c r="ED44" s="418"/>
      <c r="EK44" s="418"/>
    </row>
    <row r="45" spans="1:141" x14ac:dyDescent="0.2">
      <c r="A45" s="1" t="s">
        <v>546</v>
      </c>
      <c r="B45" s="179"/>
      <c r="C45" s="175"/>
      <c r="D45" s="175"/>
      <c r="E45" s="175"/>
      <c r="F45" s="175"/>
      <c r="G45" s="170"/>
      <c r="H45" s="157"/>
      <c r="I45" s="157"/>
      <c r="J45" s="157"/>
      <c r="K45" s="175"/>
      <c r="L45" s="170"/>
      <c r="M45" s="157"/>
      <c r="N45" s="157"/>
      <c r="O45" s="157"/>
      <c r="P45" s="175"/>
      <c r="Q45" s="170">
        <v>0</v>
      </c>
      <c r="R45" s="157"/>
      <c r="S45" s="157"/>
      <c r="T45" s="157"/>
      <c r="U45" s="175">
        <v>0</v>
      </c>
      <c r="V45" s="170">
        <f>U45</f>
        <v>0</v>
      </c>
      <c r="W45" s="175">
        <v>0</v>
      </c>
      <c r="X45" s="175">
        <v>0</v>
      </c>
      <c r="Y45" s="175">
        <v>0</v>
      </c>
      <c r="Z45" s="175">
        <v>7.0179999999999998</v>
      </c>
      <c r="AA45" s="170">
        <f>Z45</f>
        <v>7.0179999999999998</v>
      </c>
      <c r="AB45" s="157">
        <v>6.8479999999999999</v>
      </c>
      <c r="AC45" s="157">
        <v>6.6769999999999996</v>
      </c>
      <c r="AD45" s="157">
        <v>6.5049999999999999</v>
      </c>
      <c r="AE45" s="175">
        <v>6.4829999999999997</v>
      </c>
      <c r="AF45" s="170">
        <f t="shared" si="62"/>
        <v>6.4829999999999997</v>
      </c>
      <c r="AG45" s="157">
        <v>6.31</v>
      </c>
      <c r="AH45" s="157">
        <v>6.157</v>
      </c>
      <c r="AI45" s="157">
        <v>5.9610000000000003</v>
      </c>
      <c r="AJ45" s="175">
        <v>5.7859999999999996</v>
      </c>
      <c r="AK45" s="170">
        <f>AJ45</f>
        <v>5.7859999999999996</v>
      </c>
      <c r="AL45" s="157">
        <v>5.609</v>
      </c>
      <c r="AM45" s="157">
        <v>5.4240000000000004</v>
      </c>
      <c r="AN45" s="157">
        <v>5.2539999999999996</v>
      </c>
      <c r="AO45" s="175">
        <v>5.0759999999999996</v>
      </c>
      <c r="AP45" s="170">
        <f>AO45</f>
        <v>5.0759999999999996</v>
      </c>
      <c r="AQ45" s="157">
        <v>4.8970000000000002</v>
      </c>
      <c r="AR45" s="157">
        <v>4.7190000000000003</v>
      </c>
      <c r="AS45" s="157">
        <v>4.5419999999999998</v>
      </c>
      <c r="AT45" s="175">
        <v>4.3540000000000001</v>
      </c>
      <c r="AU45" s="170">
        <f t="shared" si="63"/>
        <v>4.3540000000000001</v>
      </c>
      <c r="AV45" s="157">
        <v>4.1710000000000003</v>
      </c>
      <c r="AW45" s="157">
        <v>3.988</v>
      </c>
      <c r="AX45" s="157">
        <v>3.8029999999999999</v>
      </c>
      <c r="AY45" s="175">
        <v>3.6179999999999999</v>
      </c>
      <c r="AZ45" s="170">
        <f t="shared" si="64"/>
        <v>3.6179999999999999</v>
      </c>
      <c r="BA45" s="157">
        <v>3.4329999999999998</v>
      </c>
      <c r="BB45" s="157">
        <v>3.246</v>
      </c>
      <c r="BC45" s="157">
        <v>3.0579999999999998</v>
      </c>
      <c r="BD45" s="175">
        <v>2.87</v>
      </c>
      <c r="BE45" s="170">
        <v>2.87</v>
      </c>
      <c r="BF45" s="157">
        <v>2.681</v>
      </c>
      <c r="BG45" s="157">
        <v>2.4910000000000001</v>
      </c>
      <c r="BH45" s="157">
        <v>2.2999999999999998</v>
      </c>
      <c r="BI45" s="175">
        <v>1.958</v>
      </c>
      <c r="BJ45" s="170">
        <v>1.958</v>
      </c>
      <c r="BK45" s="157">
        <v>1.746</v>
      </c>
      <c r="BL45" s="157">
        <v>1.5509999999999999</v>
      </c>
      <c r="BM45" s="157">
        <v>1.3560000000000001</v>
      </c>
      <c r="BN45" s="175">
        <v>550.12099999999998</v>
      </c>
      <c r="BO45" s="170">
        <f>BN45</f>
        <v>550.12099999999998</v>
      </c>
      <c r="BP45" s="157">
        <v>550</v>
      </c>
      <c r="BQ45" s="157">
        <v>549.9</v>
      </c>
      <c r="BR45" s="157">
        <v>549.79999999999995</v>
      </c>
      <c r="BS45" s="175">
        <v>549.6</v>
      </c>
      <c r="BT45" s="170">
        <f>BS45</f>
        <v>549.6</v>
      </c>
      <c r="BU45" s="157">
        <v>549.5</v>
      </c>
      <c r="BV45" s="157">
        <v>549.4</v>
      </c>
      <c r="BW45" s="157">
        <v>549.4</v>
      </c>
      <c r="BX45" s="175">
        <f>BY45</f>
        <v>549.29999999999995</v>
      </c>
      <c r="BY45" s="170">
        <v>549.29999999999995</v>
      </c>
      <c r="BZ45" s="157">
        <v>549.29999999999995</v>
      </c>
      <c r="CA45" s="157">
        <v>549.29999999999995</v>
      </c>
      <c r="CB45" s="157">
        <v>549.4</v>
      </c>
      <c r="CC45" s="175">
        <v>549.4</v>
      </c>
      <c r="CD45" s="170">
        <f>CC45</f>
        <v>549.4</v>
      </c>
      <c r="CE45" s="157">
        <v>549.4</v>
      </c>
      <c r="CF45" s="157">
        <v>549.4</v>
      </c>
      <c r="CG45" s="157">
        <v>549.4</v>
      </c>
      <c r="CH45" s="175">
        <v>549.5</v>
      </c>
      <c r="CI45" s="170">
        <f>CH45</f>
        <v>549.5</v>
      </c>
      <c r="CJ45" s="157">
        <v>549.5</v>
      </c>
      <c r="CK45" s="157">
        <v>549.6</v>
      </c>
      <c r="CL45" s="157">
        <v>549.6</v>
      </c>
      <c r="CM45" s="175">
        <v>549.6</v>
      </c>
      <c r="CN45" s="170">
        <f>CM45</f>
        <v>549.6</v>
      </c>
      <c r="CO45" s="157">
        <v>549.6</v>
      </c>
      <c r="CP45" s="157">
        <v>549.6</v>
      </c>
      <c r="CQ45" s="175">
        <v>549.70000000000005</v>
      </c>
      <c r="CR45" s="175">
        <v>1299.4000000000001</v>
      </c>
      <c r="CS45" s="170">
        <f>CR45</f>
        <v>1299.4000000000001</v>
      </c>
      <c r="CT45" s="175">
        <v>2047.9</v>
      </c>
      <c r="CU45" s="175">
        <v>2048</v>
      </c>
      <c r="CV45" s="175">
        <v>2048.1</v>
      </c>
      <c r="CW45" s="678">
        <v>2048.3000000000002</v>
      </c>
      <c r="CX45" s="742">
        <f>CW45</f>
        <v>2048.3000000000002</v>
      </c>
      <c r="CY45" s="175">
        <v>2048.4</v>
      </c>
      <c r="CZ45" s="175">
        <v>2048.5</v>
      </c>
      <c r="DA45" s="175">
        <v>2347.4</v>
      </c>
      <c r="DB45" s="861">
        <v>2347.5</v>
      </c>
      <c r="DC45" s="170">
        <f>DB45</f>
        <v>2347.5</v>
      </c>
      <c r="DD45" s="175">
        <v>1947.9</v>
      </c>
      <c r="DE45" s="175">
        <v>2447.6</v>
      </c>
      <c r="DF45" s="175">
        <v>3202.4</v>
      </c>
      <c r="DG45" s="175">
        <v>3202.2</v>
      </c>
      <c r="DH45" s="170">
        <f t="shared" si="98"/>
        <v>3202.2</v>
      </c>
      <c r="DI45" s="175">
        <v>3185.7</v>
      </c>
      <c r="DJ45" s="113">
        <v>3942.5</v>
      </c>
      <c r="DK45" s="113">
        <v>3935.5</v>
      </c>
      <c r="DL45" s="113">
        <v>3932.6</v>
      </c>
      <c r="DM45" s="125">
        <f t="shared" si="99"/>
        <v>3932.6</v>
      </c>
      <c r="DN45" s="113">
        <f>DM45+CF!DN64+CF!DN65</f>
        <v>5432.6</v>
      </c>
      <c r="DO45" s="113">
        <f>DN45+CF!DO64+CF!DO65</f>
        <v>5432.6</v>
      </c>
      <c r="DP45" s="113">
        <f>DO45+CF!DP64+CF!DP65</f>
        <v>5432.6</v>
      </c>
      <c r="DQ45" s="113">
        <f>DP45+CF!DQ64+CF!DQ65</f>
        <v>5432.6</v>
      </c>
      <c r="DR45" s="125">
        <f>DQ45</f>
        <v>5432.6</v>
      </c>
      <c r="DS45" s="113">
        <f>DR45+CF!DS64+CF!DS65</f>
        <v>6932.6</v>
      </c>
      <c r="DT45" s="113">
        <f>DS45+CF!DT64+CF!DT65</f>
        <v>6932.6</v>
      </c>
      <c r="DU45" s="113">
        <f>DT45+CF!DU64+CF!DU65</f>
        <v>6932.6</v>
      </c>
      <c r="DV45" s="113">
        <f>DU45+CF!DV64+CF!DV65</f>
        <v>6932.6</v>
      </c>
      <c r="DW45" s="125">
        <f>DV45</f>
        <v>6932.6</v>
      </c>
      <c r="DX45" s="113">
        <f>DW45+CF!DX64+CF!DX65</f>
        <v>7932.6</v>
      </c>
      <c r="DY45" s="113">
        <f>DX45+CF!DY64+CF!DY65</f>
        <v>7932.6</v>
      </c>
      <c r="DZ45" s="113">
        <f>DY45+CF!DZ64+CF!DZ65</f>
        <v>7932.6</v>
      </c>
      <c r="EA45" s="113">
        <f>DZ45+CF!EA64+CF!EA65</f>
        <v>7932.6</v>
      </c>
      <c r="EB45" s="125">
        <f>EA45</f>
        <v>7932.6</v>
      </c>
      <c r="ED45" s="418"/>
      <c r="EK45" s="418"/>
    </row>
    <row r="46" spans="1:141" x14ac:dyDescent="0.2">
      <c r="A46" s="1" t="s">
        <v>503</v>
      </c>
      <c r="B46" s="179"/>
      <c r="C46" s="175"/>
      <c r="D46" s="175"/>
      <c r="E46" s="175"/>
      <c r="F46" s="175"/>
      <c r="G46" s="170"/>
      <c r="H46" s="157"/>
      <c r="I46" s="157"/>
      <c r="J46" s="157"/>
      <c r="K46" s="175"/>
      <c r="L46" s="170"/>
      <c r="M46" s="157"/>
      <c r="N46" s="157"/>
      <c r="O46" s="157"/>
      <c r="P46" s="175"/>
      <c r="Q46" s="170">
        <v>167</v>
      </c>
      <c r="R46" s="157"/>
      <c r="S46" s="157"/>
      <c r="T46" s="157"/>
      <c r="U46" s="175">
        <v>0</v>
      </c>
      <c r="V46" s="170">
        <f>U46</f>
        <v>0</v>
      </c>
      <c r="W46" s="175">
        <v>0</v>
      </c>
      <c r="X46" s="175">
        <v>0</v>
      </c>
      <c r="Y46" s="175">
        <v>0</v>
      </c>
      <c r="Z46" s="175">
        <v>0.4</v>
      </c>
      <c r="AA46" s="170">
        <f>Z46</f>
        <v>0.4</v>
      </c>
      <c r="AB46" s="157">
        <v>0</v>
      </c>
      <c r="AC46" s="157">
        <v>0</v>
      </c>
      <c r="AD46" s="157">
        <v>2.5249999999999999</v>
      </c>
      <c r="AE46" s="175">
        <v>3.5880000000000001</v>
      </c>
      <c r="AF46" s="170">
        <f t="shared" si="62"/>
        <v>3.5880000000000001</v>
      </c>
      <c r="AG46" s="157">
        <v>4.03</v>
      </c>
      <c r="AH46" s="157">
        <v>4.3860000000000001</v>
      </c>
      <c r="AI46" s="157">
        <v>5.923</v>
      </c>
      <c r="AJ46" s="175">
        <v>4.9290000000000003</v>
      </c>
      <c r="AK46" s="170">
        <f>AJ46</f>
        <v>4.9290000000000003</v>
      </c>
      <c r="AL46" s="157">
        <v>0.44700000000000001</v>
      </c>
      <c r="AM46" s="157">
        <v>1.032</v>
      </c>
      <c r="AN46" s="157">
        <v>1.0309999999999999</v>
      </c>
      <c r="AO46" s="175">
        <v>1.036</v>
      </c>
      <c r="AP46" s="170">
        <f>AO46</f>
        <v>1.036</v>
      </c>
      <c r="AQ46" s="157">
        <v>1.014</v>
      </c>
      <c r="AR46" s="157">
        <v>0.72599999999999998</v>
      </c>
      <c r="AS46" s="157">
        <v>0.94799999999999995</v>
      </c>
      <c r="AT46" s="175">
        <v>1.0449999999999999</v>
      </c>
      <c r="AU46" s="170">
        <f t="shared" si="63"/>
        <v>1.0449999999999999</v>
      </c>
      <c r="AV46" s="157">
        <v>2.5329999999999999</v>
      </c>
      <c r="AW46" s="157">
        <v>6.4340000000000002</v>
      </c>
      <c r="AX46" s="157">
        <v>7.024</v>
      </c>
      <c r="AY46" s="175">
        <v>144.68299999999999</v>
      </c>
      <c r="AZ46" s="170">
        <f t="shared" si="64"/>
        <v>144.68299999999999</v>
      </c>
      <c r="BA46" s="157">
        <v>154.47200000000001</v>
      </c>
      <c r="BB46" s="157">
        <v>157.30099999999999</v>
      </c>
      <c r="BC46" s="157">
        <v>167.77099999999999</v>
      </c>
      <c r="BD46" s="175">
        <v>193.565</v>
      </c>
      <c r="BE46" s="170">
        <v>193.565</v>
      </c>
      <c r="BF46" s="157">
        <v>205.32400000000001</v>
      </c>
      <c r="BG46" s="157">
        <v>210.17599999999999</v>
      </c>
      <c r="BH46" s="157">
        <v>222.267</v>
      </c>
      <c r="BI46" s="175">
        <v>262.85700000000003</v>
      </c>
      <c r="BJ46" s="170">
        <v>262.85700000000003</v>
      </c>
      <c r="BK46" s="157">
        <v>282.79599999999999</v>
      </c>
      <c r="BL46" s="157">
        <v>303.19299999999998</v>
      </c>
      <c r="BM46" s="157">
        <v>323.36399999999998</v>
      </c>
      <c r="BN46" s="175">
        <v>354.07400000000001</v>
      </c>
      <c r="BO46" s="170">
        <f>BN46</f>
        <v>354.07400000000001</v>
      </c>
      <c r="BP46" s="157">
        <v>450</v>
      </c>
      <c r="BQ46" s="157">
        <v>464</v>
      </c>
      <c r="BR46" s="157">
        <v>463.3</v>
      </c>
      <c r="BS46" s="175">
        <v>442.4</v>
      </c>
      <c r="BT46" s="170">
        <f>BS46</f>
        <v>442.4</v>
      </c>
      <c r="BU46" s="157">
        <v>443.3</v>
      </c>
      <c r="BV46" s="157">
        <v>415.6</v>
      </c>
      <c r="BW46" s="157">
        <v>407.8</v>
      </c>
      <c r="BX46" s="175">
        <f>BY46</f>
        <v>389.6</v>
      </c>
      <c r="BY46" s="170">
        <v>389.6</v>
      </c>
      <c r="BZ46" s="157">
        <v>409</v>
      </c>
      <c r="CA46" s="157">
        <v>394.1</v>
      </c>
      <c r="CB46" s="157">
        <v>396.3</v>
      </c>
      <c r="CC46" s="175">
        <v>375.1</v>
      </c>
      <c r="CD46" s="170">
        <f>CC46</f>
        <v>375.1</v>
      </c>
      <c r="CE46" s="157">
        <v>365</v>
      </c>
      <c r="CF46" s="157">
        <v>356.8</v>
      </c>
      <c r="CG46" s="157">
        <v>347.5</v>
      </c>
      <c r="CH46" s="175">
        <v>347.8</v>
      </c>
      <c r="CI46" s="170">
        <f>CH46</f>
        <v>347.8</v>
      </c>
      <c r="CJ46" s="157">
        <v>352</v>
      </c>
      <c r="CK46" s="157">
        <v>348.8</v>
      </c>
      <c r="CL46" s="157">
        <v>353.1</v>
      </c>
      <c r="CM46" s="175">
        <v>345.3</v>
      </c>
      <c r="CN46" s="170">
        <f>CM46</f>
        <v>345.3</v>
      </c>
      <c r="CO46" s="157">
        <v>374.6</v>
      </c>
      <c r="CP46" s="157">
        <v>356</v>
      </c>
      <c r="CQ46" s="157">
        <v>340.7</v>
      </c>
      <c r="CR46" s="175">
        <v>357.7</v>
      </c>
      <c r="CS46" s="170">
        <f>CR46</f>
        <v>357.7</v>
      </c>
      <c r="CT46" s="175">
        <v>364.8</v>
      </c>
      <c r="CU46" s="175">
        <v>368.4</v>
      </c>
      <c r="CV46" s="175">
        <v>382.5</v>
      </c>
      <c r="CW46" s="678">
        <v>392.2</v>
      </c>
      <c r="CX46" s="742">
        <f t="shared" ref="CX46" si="101">CW46</f>
        <v>392.2</v>
      </c>
      <c r="CY46" s="175">
        <v>587.4</v>
      </c>
      <c r="CZ46" s="175">
        <v>610.29999999999995</v>
      </c>
      <c r="DA46" s="175">
        <v>613.9</v>
      </c>
      <c r="DB46" s="861">
        <v>600.9</v>
      </c>
      <c r="DC46" s="170">
        <f>DB46</f>
        <v>600.9</v>
      </c>
      <c r="DD46" s="175">
        <v>592.1</v>
      </c>
      <c r="DE46" s="175">
        <v>624.20000000000005</v>
      </c>
      <c r="DF46" s="175">
        <v>661.6</v>
      </c>
      <c r="DG46" s="175">
        <v>689.7</v>
      </c>
      <c r="DH46" s="170">
        <f t="shared" ref="DH46:DH47" si="102">DG46</f>
        <v>689.7</v>
      </c>
      <c r="DI46" s="175">
        <v>631.20000000000005</v>
      </c>
      <c r="DJ46" s="175">
        <v>673.9</v>
      </c>
      <c r="DK46" s="175">
        <v>711.2</v>
      </c>
      <c r="DL46" s="175">
        <v>755.3</v>
      </c>
      <c r="DM46" s="170">
        <f t="shared" ref="DM46:DQ47" si="103">DL46</f>
        <v>755.3</v>
      </c>
      <c r="DN46" s="175">
        <f t="shared" si="103"/>
        <v>755.3</v>
      </c>
      <c r="DO46" s="175">
        <f t="shared" si="103"/>
        <v>755.3</v>
      </c>
      <c r="DP46" s="175">
        <f t="shared" si="103"/>
        <v>755.3</v>
      </c>
      <c r="DQ46" s="175">
        <f t="shared" si="103"/>
        <v>755.3</v>
      </c>
      <c r="DR46" s="170">
        <f>DQ46</f>
        <v>755.3</v>
      </c>
      <c r="DS46" s="175">
        <f>DR46</f>
        <v>755.3</v>
      </c>
      <c r="DT46" s="175">
        <f>DS46</f>
        <v>755.3</v>
      </c>
      <c r="DU46" s="175">
        <f>DT46</f>
        <v>755.3</v>
      </c>
      <c r="DV46" s="175">
        <f>DU46</f>
        <v>755.3</v>
      </c>
      <c r="DW46" s="170">
        <f>DV46</f>
        <v>755.3</v>
      </c>
      <c r="DX46" s="175">
        <f>DW46</f>
        <v>755.3</v>
      </c>
      <c r="DY46" s="175">
        <f>DX46</f>
        <v>755.3</v>
      </c>
      <c r="DZ46" s="175">
        <f>DY46</f>
        <v>755.3</v>
      </c>
      <c r="EA46" s="175">
        <f>DZ46</f>
        <v>755.3</v>
      </c>
      <c r="EB46" s="170">
        <f>EA46</f>
        <v>755.3</v>
      </c>
      <c r="ED46" s="418"/>
      <c r="EK46" s="418"/>
    </row>
    <row r="47" spans="1:141" x14ac:dyDescent="0.2">
      <c r="A47" s="83" t="s">
        <v>502</v>
      </c>
      <c r="B47" s="179"/>
      <c r="C47" s="175"/>
      <c r="D47" s="175"/>
      <c r="E47" s="175"/>
      <c r="F47" s="175"/>
      <c r="G47" s="170"/>
      <c r="H47" s="157"/>
      <c r="I47" s="157"/>
      <c r="J47" s="157"/>
      <c r="K47" s="175"/>
      <c r="L47" s="170"/>
      <c r="M47" s="157"/>
      <c r="N47" s="157"/>
      <c r="O47" s="157"/>
      <c r="P47" s="175"/>
      <c r="Q47" s="433">
        <f>SUM(Q44:Q46)</f>
        <v>179.8</v>
      </c>
      <c r="R47" s="434"/>
      <c r="S47" s="434"/>
      <c r="T47" s="434"/>
      <c r="U47" s="435">
        <f>SUM(U44:U46)</f>
        <v>18.983000000000001</v>
      </c>
      <c r="V47" s="433">
        <f>U47</f>
        <v>18.983000000000001</v>
      </c>
      <c r="W47" s="435">
        <f>SUM(W44:W46)</f>
        <v>20.164000000000001</v>
      </c>
      <c r="X47" s="435">
        <f>SUM(X44:X46)</f>
        <v>21.606999999999999</v>
      </c>
      <c r="Y47" s="435">
        <f>SUM(Y44:Y46)</f>
        <v>22.25</v>
      </c>
      <c r="Z47" s="435">
        <f>SUM(Z44:Z46)</f>
        <v>40.304000000000002</v>
      </c>
      <c r="AA47" s="433">
        <f>Z47</f>
        <v>40.304000000000002</v>
      </c>
      <c r="AB47" s="435">
        <f>SUM(AB44:AB46)</f>
        <v>47</v>
      </c>
      <c r="AC47" s="435">
        <f>SUM(AC44:AC46)</f>
        <v>42.597999999999999</v>
      </c>
      <c r="AD47" s="435">
        <f>SUM(AD44:AD46)</f>
        <v>44.657000000000004</v>
      </c>
      <c r="AE47" s="435">
        <f>SUM(AE44:AE46)</f>
        <v>31.481000000000002</v>
      </c>
      <c r="AF47" s="433">
        <f t="shared" si="62"/>
        <v>31.481000000000002</v>
      </c>
      <c r="AG47" s="435">
        <f>SUM(AG44:AG46)</f>
        <v>32.948999999999998</v>
      </c>
      <c r="AH47" s="435">
        <f>SUM(AH44:AH46)</f>
        <v>36.186</v>
      </c>
      <c r="AI47" s="435">
        <f>SUM(AI44:AI46)</f>
        <v>34.557000000000002</v>
      </c>
      <c r="AJ47" s="435">
        <f>SUM(AJ44:AJ46)</f>
        <v>29.847999999999999</v>
      </c>
      <c r="AK47" s="433">
        <f>AJ47</f>
        <v>29.847999999999999</v>
      </c>
      <c r="AL47" s="435">
        <f t="shared" ref="AL47:AT47" si="104">SUM(AL44:AL46)</f>
        <v>25.045999999999996</v>
      </c>
      <c r="AM47" s="435">
        <f t="shared" si="104"/>
        <v>23.663999999999998</v>
      </c>
      <c r="AN47" s="435">
        <f t="shared" si="104"/>
        <v>42.665999999999997</v>
      </c>
      <c r="AO47" s="435">
        <f t="shared" si="104"/>
        <v>28.608000000000001</v>
      </c>
      <c r="AP47" s="433">
        <f t="shared" si="104"/>
        <v>28.608000000000001</v>
      </c>
      <c r="AQ47" s="435">
        <f t="shared" si="104"/>
        <v>31.522000000000002</v>
      </c>
      <c r="AR47" s="435">
        <f t="shared" si="104"/>
        <v>32.866</v>
      </c>
      <c r="AS47" s="435">
        <f t="shared" si="104"/>
        <v>28.787999999999997</v>
      </c>
      <c r="AT47" s="435">
        <f t="shared" si="104"/>
        <v>38.616</v>
      </c>
      <c r="AU47" s="433">
        <f t="shared" si="63"/>
        <v>38.616</v>
      </c>
      <c r="AV47" s="435">
        <f>SUM(AV44:AV46)</f>
        <v>40.576999999999998</v>
      </c>
      <c r="AW47" s="435">
        <f>SUM(AW44:AW46)</f>
        <v>48.023999999999994</v>
      </c>
      <c r="AX47" s="435">
        <f>SUM(AX44:AX46)</f>
        <v>55.82</v>
      </c>
      <c r="AY47" s="435">
        <f>SUM(AY44:AY46)</f>
        <v>170.071</v>
      </c>
      <c r="AZ47" s="433">
        <f t="shared" si="64"/>
        <v>170.071</v>
      </c>
      <c r="BA47" s="435">
        <f t="shared" ref="BA47:CF47" si="105">SUM(BA44:BA46)</f>
        <v>172.303</v>
      </c>
      <c r="BB47" s="435">
        <f t="shared" si="105"/>
        <v>166.476</v>
      </c>
      <c r="BC47" s="435">
        <f t="shared" si="105"/>
        <v>170.82899999999998</v>
      </c>
      <c r="BD47" s="435">
        <f t="shared" si="105"/>
        <v>196.435</v>
      </c>
      <c r="BE47" s="433">
        <f t="shared" si="105"/>
        <v>196.435</v>
      </c>
      <c r="BF47" s="434">
        <f t="shared" si="105"/>
        <v>208.00500000000002</v>
      </c>
      <c r="BG47" s="434">
        <f t="shared" si="105"/>
        <v>212.667</v>
      </c>
      <c r="BH47" s="434">
        <f t="shared" si="105"/>
        <v>224.56700000000001</v>
      </c>
      <c r="BI47" s="435">
        <f t="shared" si="105"/>
        <v>264.81500000000005</v>
      </c>
      <c r="BJ47" s="433">
        <f t="shared" si="105"/>
        <v>264.81500000000005</v>
      </c>
      <c r="BK47" s="434">
        <f t="shared" si="105"/>
        <v>284.54199999999997</v>
      </c>
      <c r="BL47" s="434">
        <f t="shared" si="105"/>
        <v>304.74399999999997</v>
      </c>
      <c r="BM47" s="434">
        <f t="shared" si="105"/>
        <v>324.71999999999997</v>
      </c>
      <c r="BN47" s="435">
        <f t="shared" si="105"/>
        <v>904.19499999999994</v>
      </c>
      <c r="BO47" s="433">
        <f t="shared" si="105"/>
        <v>904.19499999999994</v>
      </c>
      <c r="BP47" s="434">
        <f>SUM(BP44:BP46)</f>
        <v>1000</v>
      </c>
      <c r="BQ47" s="434">
        <f>SUM(BQ44:BQ46)</f>
        <v>1013.9</v>
      </c>
      <c r="BR47" s="434">
        <f>SUM(BR44:BR46)</f>
        <v>1013.0999999999999</v>
      </c>
      <c r="BS47" s="435">
        <f>SUM(BS44:BS46)</f>
        <v>992</v>
      </c>
      <c r="BT47" s="433">
        <f t="shared" si="105"/>
        <v>992</v>
      </c>
      <c r="BU47" s="434">
        <f t="shared" si="105"/>
        <v>992.8</v>
      </c>
      <c r="BV47" s="434">
        <f t="shared" si="105"/>
        <v>965</v>
      </c>
      <c r="BW47" s="434">
        <f t="shared" si="105"/>
        <v>957.2</v>
      </c>
      <c r="BX47" s="435">
        <f t="shared" si="105"/>
        <v>938.9</v>
      </c>
      <c r="BY47" s="433">
        <f t="shared" si="105"/>
        <v>938.9</v>
      </c>
      <c r="BZ47" s="434">
        <f t="shared" si="105"/>
        <v>958.3</v>
      </c>
      <c r="CA47" s="434">
        <f t="shared" si="105"/>
        <v>943.4</v>
      </c>
      <c r="CB47" s="434">
        <f t="shared" si="105"/>
        <v>945.7</v>
      </c>
      <c r="CC47" s="435">
        <f t="shared" si="105"/>
        <v>924.5</v>
      </c>
      <c r="CD47" s="433">
        <f t="shared" si="105"/>
        <v>924.5</v>
      </c>
      <c r="CE47" s="434">
        <f t="shared" si="105"/>
        <v>914.4</v>
      </c>
      <c r="CF47" s="434">
        <f t="shared" si="105"/>
        <v>906.2</v>
      </c>
      <c r="CG47" s="434">
        <f t="shared" ref="CG47:DG47" si="106">SUM(CG44:CG46)</f>
        <v>896.9</v>
      </c>
      <c r="CH47" s="435">
        <f t="shared" si="106"/>
        <v>897.3</v>
      </c>
      <c r="CI47" s="433">
        <f t="shared" si="106"/>
        <v>897.3</v>
      </c>
      <c r="CJ47" s="434">
        <f t="shared" si="106"/>
        <v>901.5</v>
      </c>
      <c r="CK47" s="434">
        <f t="shared" si="106"/>
        <v>898.40000000000009</v>
      </c>
      <c r="CL47" s="434">
        <f t="shared" si="106"/>
        <v>902.7</v>
      </c>
      <c r="CM47" s="435">
        <f t="shared" si="106"/>
        <v>894.90000000000009</v>
      </c>
      <c r="CN47" s="433">
        <f t="shared" si="106"/>
        <v>894.90000000000009</v>
      </c>
      <c r="CO47" s="434">
        <f t="shared" si="106"/>
        <v>924.2</v>
      </c>
      <c r="CP47" s="434">
        <f t="shared" si="106"/>
        <v>905.6</v>
      </c>
      <c r="CQ47" s="434">
        <f t="shared" si="106"/>
        <v>890.40000000000009</v>
      </c>
      <c r="CR47" s="435">
        <f t="shared" si="106"/>
        <v>1657.1000000000001</v>
      </c>
      <c r="CS47" s="433">
        <f t="shared" si="106"/>
        <v>1657.1000000000001</v>
      </c>
      <c r="CT47" s="435">
        <f t="shared" si="106"/>
        <v>2412.7000000000003</v>
      </c>
      <c r="CU47" s="182">
        <f t="shared" si="106"/>
        <v>2416.4</v>
      </c>
      <c r="CV47" s="435">
        <f t="shared" si="106"/>
        <v>2430.6</v>
      </c>
      <c r="CW47" s="690">
        <f t="shared" si="106"/>
        <v>2440.5</v>
      </c>
      <c r="CX47" s="749">
        <f>CW47</f>
        <v>2440.5</v>
      </c>
      <c r="CY47" s="182">
        <f t="shared" si="106"/>
        <v>2635.8</v>
      </c>
      <c r="CZ47" s="182">
        <f t="shared" si="106"/>
        <v>2658.8</v>
      </c>
      <c r="DA47" s="182">
        <f t="shared" si="106"/>
        <v>2961.3</v>
      </c>
      <c r="DB47" s="870">
        <f t="shared" si="106"/>
        <v>2948.4</v>
      </c>
      <c r="DC47" s="179">
        <f>DB47</f>
        <v>2948.4</v>
      </c>
      <c r="DD47" s="182">
        <f t="shared" ref="DD47" si="107">SUM(DD44:DD46)</f>
        <v>2540</v>
      </c>
      <c r="DE47" s="435">
        <f t="shared" si="106"/>
        <v>3071.8</v>
      </c>
      <c r="DF47" s="435">
        <f t="shared" si="106"/>
        <v>3864</v>
      </c>
      <c r="DG47" s="435">
        <f t="shared" si="106"/>
        <v>3891.8999999999996</v>
      </c>
      <c r="DH47" s="433">
        <f t="shared" si="102"/>
        <v>3891.8999999999996</v>
      </c>
      <c r="DI47" s="435">
        <f>SUM(DI44:DI46)</f>
        <v>3816.8999999999996</v>
      </c>
      <c r="DJ47" s="182">
        <f>SUM(DJ44:DJ46)</f>
        <v>4616.3999999999996</v>
      </c>
      <c r="DK47" s="182">
        <f>SUM(DK44:DK46)</f>
        <v>4646.7</v>
      </c>
      <c r="DL47" s="182">
        <f>SUM(DL44:DL46)</f>
        <v>4687.8999999999996</v>
      </c>
      <c r="DM47" s="179">
        <f t="shared" si="103"/>
        <v>4687.8999999999996</v>
      </c>
      <c r="DN47" s="435">
        <f>SUM(DN44:DN46)</f>
        <v>6187.9000000000005</v>
      </c>
      <c r="DO47" s="435">
        <f>SUM(DO44:DO46)</f>
        <v>6187.9000000000005</v>
      </c>
      <c r="DP47" s="435">
        <f>SUM(DP44:DP46)</f>
        <v>6187.9000000000005</v>
      </c>
      <c r="DQ47" s="435">
        <f>SUM(DQ44:DQ46)</f>
        <v>6187.9000000000005</v>
      </c>
      <c r="DR47" s="433">
        <f>DQ47</f>
        <v>6187.9000000000005</v>
      </c>
      <c r="DS47" s="435">
        <f>SUM(DS44:DS46)</f>
        <v>7687.9000000000005</v>
      </c>
      <c r="DT47" s="435">
        <f>SUM(DT44:DT46)</f>
        <v>7687.9000000000005</v>
      </c>
      <c r="DU47" s="435">
        <f>SUM(DU44:DU46)</f>
        <v>7687.9000000000005</v>
      </c>
      <c r="DV47" s="435">
        <f>SUM(DV44:DV46)</f>
        <v>7687.9000000000005</v>
      </c>
      <c r="DW47" s="433">
        <f>DV47</f>
        <v>7687.9000000000005</v>
      </c>
      <c r="DX47" s="435">
        <f>SUM(DX44:DX46)</f>
        <v>8687.9</v>
      </c>
      <c r="DY47" s="435">
        <f>SUM(DY44:DY46)</f>
        <v>8687.9</v>
      </c>
      <c r="DZ47" s="435">
        <f>SUM(DZ44:DZ46)</f>
        <v>8687.9</v>
      </c>
      <c r="EA47" s="435">
        <f>SUM(EA44:EA46)</f>
        <v>8687.9</v>
      </c>
      <c r="EB47" s="433">
        <f>EA47</f>
        <v>8687.9</v>
      </c>
      <c r="ED47" s="418"/>
      <c r="EK47" s="418"/>
    </row>
    <row r="48" spans="1:141" x14ac:dyDescent="0.2">
      <c r="A48" s="1" t="s">
        <v>501</v>
      </c>
      <c r="B48" s="179"/>
      <c r="C48" s="175"/>
      <c r="D48" s="175"/>
      <c r="E48" s="175"/>
      <c r="F48" s="175"/>
      <c r="G48" s="170"/>
      <c r="H48" s="157"/>
      <c r="I48" s="157"/>
      <c r="J48" s="157"/>
      <c r="K48" s="175"/>
      <c r="L48" s="170"/>
      <c r="M48" s="157"/>
      <c r="N48" s="157"/>
      <c r="O48" s="157"/>
      <c r="P48" s="175"/>
      <c r="Q48" s="170"/>
      <c r="R48" s="157"/>
      <c r="S48" s="157"/>
      <c r="T48" s="157"/>
      <c r="U48" s="175"/>
      <c r="V48" s="170"/>
      <c r="W48" s="175"/>
      <c r="X48" s="175"/>
      <c r="Y48" s="175"/>
      <c r="Z48" s="175"/>
      <c r="AA48" s="170"/>
      <c r="AB48" s="157" t="s">
        <v>210</v>
      </c>
      <c r="AC48" s="157" t="s">
        <v>210</v>
      </c>
      <c r="AD48" s="157" t="s">
        <v>210</v>
      </c>
      <c r="AE48" s="175" t="s">
        <v>210</v>
      </c>
      <c r="AF48" s="170" t="str">
        <f t="shared" si="62"/>
        <v xml:space="preserve"> </v>
      </c>
      <c r="AG48" s="157" t="s">
        <v>210</v>
      </c>
      <c r="AH48" s="157" t="s">
        <v>210</v>
      </c>
      <c r="AI48" s="157" t="s">
        <v>210</v>
      </c>
      <c r="AJ48" s="175" t="s">
        <v>210</v>
      </c>
      <c r="AK48" s="170"/>
      <c r="AL48" s="157" t="s">
        <v>210</v>
      </c>
      <c r="AM48" s="157" t="s">
        <v>210</v>
      </c>
      <c r="AN48" s="157" t="s">
        <v>210</v>
      </c>
      <c r="AO48" s="175" t="s">
        <v>210</v>
      </c>
      <c r="AP48" s="170">
        <f t="shared" ref="AP48:BW48" si="108">AP47+AP41</f>
        <v>491.20299999999997</v>
      </c>
      <c r="AQ48" s="175">
        <f t="shared" si="108"/>
        <v>562.83299999999997</v>
      </c>
      <c r="AR48" s="175">
        <f t="shared" si="108"/>
        <v>526.38200000000006</v>
      </c>
      <c r="AS48" s="175">
        <f t="shared" si="108"/>
        <v>627.30600000000004</v>
      </c>
      <c r="AT48" s="175">
        <f t="shared" si="108"/>
        <v>647.31899999999985</v>
      </c>
      <c r="AU48" s="170">
        <f t="shared" si="108"/>
        <v>647.31899999999985</v>
      </c>
      <c r="AV48" s="175">
        <f t="shared" si="108"/>
        <v>826.67</v>
      </c>
      <c r="AW48" s="175">
        <f t="shared" si="108"/>
        <v>742.29599999999994</v>
      </c>
      <c r="AX48" s="175">
        <f t="shared" si="108"/>
        <v>774.80700000000013</v>
      </c>
      <c r="AY48" s="175">
        <f t="shared" si="108"/>
        <v>916.33</v>
      </c>
      <c r="AZ48" s="170">
        <f t="shared" si="108"/>
        <v>916.33</v>
      </c>
      <c r="BA48" s="175">
        <f t="shared" si="108"/>
        <v>1018.6999999999999</v>
      </c>
      <c r="BB48" s="175">
        <f t="shared" si="108"/>
        <v>999.13299999999992</v>
      </c>
      <c r="BC48" s="175">
        <f t="shared" si="108"/>
        <v>1052.124</v>
      </c>
      <c r="BD48" s="175">
        <f t="shared" si="108"/>
        <v>1423.4309999999998</v>
      </c>
      <c r="BE48" s="170">
        <f t="shared" si="108"/>
        <v>1423.4309999999998</v>
      </c>
      <c r="BF48" s="157">
        <f t="shared" si="108"/>
        <v>1480.2930000000001</v>
      </c>
      <c r="BG48" s="157">
        <f t="shared" si="108"/>
        <v>1399.1310000000003</v>
      </c>
      <c r="BH48" s="157">
        <f t="shared" si="108"/>
        <v>1547.347</v>
      </c>
      <c r="BI48" s="175">
        <f t="shared" si="108"/>
        <v>2200.4350000000004</v>
      </c>
      <c r="BJ48" s="170">
        <f t="shared" si="108"/>
        <v>2200.4350000000004</v>
      </c>
      <c r="BK48" s="157">
        <f t="shared" si="108"/>
        <v>2088.779</v>
      </c>
      <c r="BL48" s="157">
        <f t="shared" si="108"/>
        <v>2424.576</v>
      </c>
      <c r="BM48" s="157">
        <f t="shared" si="108"/>
        <v>2548.1379999999995</v>
      </c>
      <c r="BN48" s="175">
        <f t="shared" si="108"/>
        <v>3059.7610000000004</v>
      </c>
      <c r="BO48" s="170">
        <f t="shared" si="108"/>
        <v>3059.7610000000004</v>
      </c>
      <c r="BP48" s="157">
        <f>BP47+BP41</f>
        <v>3253.2000000000003</v>
      </c>
      <c r="BQ48" s="157">
        <f>BQ47+BQ41</f>
        <v>3093.2999999999997</v>
      </c>
      <c r="BR48" s="157">
        <f>BR47+BR41</f>
        <v>3074.9999999999995</v>
      </c>
      <c r="BS48" s="175">
        <f>BS47+BS41</f>
        <v>3181.7</v>
      </c>
      <c r="BT48" s="170">
        <f t="shared" si="108"/>
        <v>3181.7</v>
      </c>
      <c r="BU48" s="157">
        <f t="shared" si="108"/>
        <v>2945.7999999999997</v>
      </c>
      <c r="BV48" s="157">
        <f t="shared" si="108"/>
        <v>2650.8999999999996</v>
      </c>
      <c r="BW48" s="157">
        <f t="shared" si="108"/>
        <v>2515.1000000000004</v>
      </c>
      <c r="BX48" s="175">
        <f>BY48</f>
        <v>2519.9</v>
      </c>
      <c r="BY48" s="170">
        <f t="shared" ref="BY48:DR48" si="109">BY47+BY41</f>
        <v>2519.9</v>
      </c>
      <c r="BZ48" s="157">
        <f t="shared" si="109"/>
        <v>2737.5</v>
      </c>
      <c r="CA48" s="157">
        <f t="shared" si="109"/>
        <v>2590</v>
      </c>
      <c r="CB48" s="157">
        <f t="shared" si="109"/>
        <v>2672.3</v>
      </c>
      <c r="CC48" s="175">
        <f t="shared" si="109"/>
        <v>2703.6000000000004</v>
      </c>
      <c r="CD48" s="170">
        <f t="shared" si="109"/>
        <v>2703.6000000000004</v>
      </c>
      <c r="CE48" s="157">
        <f t="shared" si="109"/>
        <v>2870.8</v>
      </c>
      <c r="CF48" s="157">
        <f t="shared" si="109"/>
        <v>2700.4</v>
      </c>
      <c r="CG48" s="157">
        <f t="shared" si="109"/>
        <v>2756.3</v>
      </c>
      <c r="CH48" s="175">
        <f t="shared" si="109"/>
        <v>2973.1000000000004</v>
      </c>
      <c r="CI48" s="170">
        <f t="shared" si="109"/>
        <v>2973.1000000000004</v>
      </c>
      <c r="CJ48" s="157">
        <f t="shared" si="109"/>
        <v>3060.2999999999997</v>
      </c>
      <c r="CK48" s="157">
        <f t="shared" si="109"/>
        <v>2869.8</v>
      </c>
      <c r="CL48" s="157">
        <f t="shared" si="109"/>
        <v>2920.9</v>
      </c>
      <c r="CM48" s="175">
        <f t="shared" si="109"/>
        <v>3104.7000000000003</v>
      </c>
      <c r="CN48" s="170">
        <f t="shared" si="109"/>
        <v>3104.7000000000003</v>
      </c>
      <c r="CO48" s="157">
        <f t="shared" si="109"/>
        <v>3315.0999999999995</v>
      </c>
      <c r="CP48" s="157">
        <f t="shared" si="109"/>
        <v>3175.2999999999997</v>
      </c>
      <c r="CQ48" s="157">
        <f t="shared" si="109"/>
        <v>3314.7000000000003</v>
      </c>
      <c r="CR48" s="175">
        <f t="shared" si="109"/>
        <v>7034.4</v>
      </c>
      <c r="CS48" s="170">
        <f t="shared" si="109"/>
        <v>7034.4</v>
      </c>
      <c r="CT48" s="175">
        <f t="shared" si="109"/>
        <v>5365.7000000000007</v>
      </c>
      <c r="CU48" s="175">
        <f t="shared" si="109"/>
        <v>5149.8999999999996</v>
      </c>
      <c r="CV48" s="175">
        <f t="shared" si="109"/>
        <v>5314.5</v>
      </c>
      <c r="CW48" s="678">
        <f t="shared" si="109"/>
        <v>5479.2</v>
      </c>
      <c r="CX48" s="742">
        <f t="shared" si="109"/>
        <v>5479.2</v>
      </c>
      <c r="CY48" s="175">
        <f t="shared" si="109"/>
        <v>6193.3</v>
      </c>
      <c r="CZ48" s="175">
        <f t="shared" si="109"/>
        <v>6180</v>
      </c>
      <c r="DA48" s="175">
        <f t="shared" si="109"/>
        <v>7010.5</v>
      </c>
      <c r="DB48" s="861">
        <f t="shared" si="109"/>
        <v>6596.5</v>
      </c>
      <c r="DC48" s="170">
        <f t="shared" si="109"/>
        <v>6596.5</v>
      </c>
      <c r="DD48" s="175">
        <f t="shared" si="109"/>
        <v>6960.1</v>
      </c>
      <c r="DE48" s="175">
        <f t="shared" si="109"/>
        <v>7423.0000000000009</v>
      </c>
      <c r="DF48" s="178">
        <f t="shared" si="109"/>
        <v>8109.2</v>
      </c>
      <c r="DG48" s="175">
        <f t="shared" si="109"/>
        <v>8438.7999999999993</v>
      </c>
      <c r="DH48" s="170">
        <f t="shared" si="109"/>
        <v>8438.7999999999993</v>
      </c>
      <c r="DI48" s="175">
        <f>DI47+DI41</f>
        <v>8214.2000000000007</v>
      </c>
      <c r="DJ48" s="175">
        <f>DJ47+DJ41</f>
        <v>8616.5</v>
      </c>
      <c r="DK48" s="175">
        <f>DK47+DK41</f>
        <v>8673.2000000000007</v>
      </c>
      <c r="DL48" s="175">
        <f>DL47+DL41</f>
        <v>8908.5999999999985</v>
      </c>
      <c r="DM48" s="170">
        <f t="shared" si="109"/>
        <v>8908.5999999999985</v>
      </c>
      <c r="DN48" s="175">
        <f>DN47+DN41</f>
        <v>10573.614705882354</v>
      </c>
      <c r="DO48" s="175">
        <f>DO47+DO41</f>
        <v>10438.447371183505</v>
      </c>
      <c r="DP48" s="175">
        <f>DP47+DP41</f>
        <v>10450.925921430409</v>
      </c>
      <c r="DQ48" s="175">
        <f>DQ47+DQ41</f>
        <v>10496.254487042184</v>
      </c>
      <c r="DR48" s="170">
        <f t="shared" si="109"/>
        <v>10496.254487042184</v>
      </c>
      <c r="DS48" s="175">
        <f t="shared" ref="DS48:EB48" si="110">DS47+DS41</f>
        <v>12169.12795742348</v>
      </c>
      <c r="DT48" s="175">
        <f t="shared" si="110"/>
        <v>12026.159577764443</v>
      </c>
      <c r="DU48" s="175">
        <f t="shared" si="110"/>
        <v>12041.520949211066</v>
      </c>
      <c r="DV48" s="175">
        <f t="shared" si="110"/>
        <v>12092.037015144409</v>
      </c>
      <c r="DW48" s="170">
        <f t="shared" si="110"/>
        <v>12092.037015144409</v>
      </c>
      <c r="DX48" s="175">
        <f t="shared" si="110"/>
        <v>13261.766265587021</v>
      </c>
      <c r="DY48" s="175">
        <f t="shared" si="110"/>
        <v>13124.390676421423</v>
      </c>
      <c r="DZ48" s="175">
        <f t="shared" si="110"/>
        <v>13140.358352199073</v>
      </c>
      <c r="EA48" s="175">
        <f t="shared" si="110"/>
        <v>13194.445129322192</v>
      </c>
      <c r="EB48" s="170">
        <f t="shared" si="110"/>
        <v>13194.445129322192</v>
      </c>
      <c r="ED48" s="418"/>
      <c r="EK48" s="418"/>
    </row>
    <row r="49" spans="1:141" x14ac:dyDescent="0.2">
      <c r="A49" s="1" t="s">
        <v>500</v>
      </c>
      <c r="B49" s="179"/>
      <c r="C49" s="175"/>
      <c r="D49" s="175"/>
      <c r="E49" s="175"/>
      <c r="F49" s="175"/>
      <c r="G49" s="170"/>
      <c r="H49" s="157"/>
      <c r="I49" s="157"/>
      <c r="J49" s="157"/>
      <c r="K49" s="175"/>
      <c r="L49" s="170"/>
      <c r="M49" s="157"/>
      <c r="N49" s="157"/>
      <c r="O49" s="157"/>
      <c r="P49" s="175"/>
      <c r="Q49" s="170"/>
      <c r="R49" s="157"/>
      <c r="S49" s="157"/>
      <c r="T49" s="157"/>
      <c r="U49" s="175"/>
      <c r="V49" s="170"/>
      <c r="W49" s="175"/>
      <c r="X49" s="175"/>
      <c r="Y49" s="175"/>
      <c r="Z49" s="175"/>
      <c r="AA49" s="170"/>
      <c r="AB49" s="157" t="s">
        <v>210</v>
      </c>
      <c r="AC49" s="157" t="s">
        <v>210</v>
      </c>
      <c r="AD49" s="157" t="s">
        <v>210</v>
      </c>
      <c r="AE49" s="175" t="s">
        <v>210</v>
      </c>
      <c r="AF49" s="170" t="str">
        <f t="shared" si="62"/>
        <v xml:space="preserve"> </v>
      </c>
      <c r="AG49" s="157" t="s">
        <v>210</v>
      </c>
      <c r="AH49" s="157" t="s">
        <v>210</v>
      </c>
      <c r="AI49" s="157" t="s">
        <v>210</v>
      </c>
      <c r="AJ49" s="175" t="s">
        <v>210</v>
      </c>
      <c r="AK49" s="170"/>
      <c r="AL49" s="157" t="s">
        <v>210</v>
      </c>
      <c r="AM49" s="157" t="s">
        <v>210</v>
      </c>
      <c r="AN49" s="157" t="s">
        <v>210</v>
      </c>
      <c r="AO49" s="175" t="s">
        <v>210</v>
      </c>
      <c r="AP49" s="170"/>
      <c r="AQ49" s="157" t="s">
        <v>210</v>
      </c>
      <c r="AR49" s="157" t="s">
        <v>210</v>
      </c>
      <c r="AS49" s="157" t="s">
        <v>210</v>
      </c>
      <c r="AT49" s="175" t="s">
        <v>210</v>
      </c>
      <c r="AU49" s="170" t="str">
        <f t="shared" ref="AU49:AU55" si="111">AT49</f>
        <v xml:space="preserve"> </v>
      </c>
      <c r="AV49" s="157" t="s">
        <v>210</v>
      </c>
      <c r="AW49" s="157" t="s">
        <v>210</v>
      </c>
      <c r="AX49" s="157" t="s">
        <v>210</v>
      </c>
      <c r="AY49" s="175" t="s">
        <v>210</v>
      </c>
      <c r="AZ49" s="170" t="str">
        <f t="shared" ref="AZ49:AZ54" si="112">AY49</f>
        <v xml:space="preserve"> </v>
      </c>
      <c r="BA49" s="157" t="s">
        <v>210</v>
      </c>
      <c r="BB49" s="157" t="s">
        <v>210</v>
      </c>
      <c r="BC49" s="157" t="s">
        <v>210</v>
      </c>
      <c r="BD49" s="175" t="s">
        <v>210</v>
      </c>
      <c r="BE49" s="170" t="s">
        <v>210</v>
      </c>
      <c r="BF49" s="157" t="s">
        <v>210</v>
      </c>
      <c r="BG49" s="157" t="s">
        <v>210</v>
      </c>
      <c r="BH49" s="157" t="s">
        <v>210</v>
      </c>
      <c r="BI49" s="175" t="s">
        <v>210</v>
      </c>
      <c r="BJ49" s="170" t="s">
        <v>210</v>
      </c>
      <c r="BK49" s="157" t="s">
        <v>210</v>
      </c>
      <c r="BL49" s="157" t="s">
        <v>210</v>
      </c>
      <c r="BM49" s="157" t="s">
        <v>210</v>
      </c>
      <c r="BN49" s="175" t="s">
        <v>210</v>
      </c>
      <c r="BO49" s="170"/>
      <c r="BP49" s="157"/>
      <c r="BQ49" s="157"/>
      <c r="BR49" s="157"/>
      <c r="BS49" s="175"/>
      <c r="BT49" s="170"/>
      <c r="BU49" s="157" t="s">
        <v>210</v>
      </c>
      <c r="BV49" s="157" t="s">
        <v>210</v>
      </c>
      <c r="BW49" s="157" t="s">
        <v>210</v>
      </c>
      <c r="BX49" s="175" t="s">
        <v>210</v>
      </c>
      <c r="BY49" s="170" t="s">
        <v>210</v>
      </c>
      <c r="BZ49" s="157" t="s">
        <v>210</v>
      </c>
      <c r="CA49" s="157" t="s">
        <v>210</v>
      </c>
      <c r="CB49" s="157" t="s">
        <v>210</v>
      </c>
      <c r="CC49" s="175" t="s">
        <v>210</v>
      </c>
      <c r="CD49" s="170" t="s">
        <v>210</v>
      </c>
      <c r="CE49" s="157" t="s">
        <v>210</v>
      </c>
      <c r="CF49" s="157" t="s">
        <v>210</v>
      </c>
      <c r="CG49" s="157" t="s">
        <v>210</v>
      </c>
      <c r="CH49" s="175" t="s">
        <v>210</v>
      </c>
      <c r="CI49" s="170" t="s">
        <v>210</v>
      </c>
      <c r="CJ49" s="157" t="s">
        <v>210</v>
      </c>
      <c r="CK49" s="157" t="s">
        <v>210</v>
      </c>
      <c r="CL49" s="157" t="s">
        <v>210</v>
      </c>
      <c r="CM49" s="175" t="s">
        <v>210</v>
      </c>
      <c r="CN49" s="170" t="s">
        <v>210</v>
      </c>
      <c r="CO49" s="157" t="s">
        <v>210</v>
      </c>
      <c r="CP49" s="157" t="s">
        <v>210</v>
      </c>
      <c r="CQ49" s="157" t="s">
        <v>210</v>
      </c>
      <c r="CR49" s="175" t="s">
        <v>210</v>
      </c>
      <c r="CS49" s="170" t="s">
        <v>210</v>
      </c>
      <c r="CT49" s="157"/>
      <c r="CU49" s="157"/>
      <c r="CV49" s="157"/>
      <c r="CW49" s="678"/>
      <c r="CX49" s="742"/>
      <c r="CY49" s="157"/>
      <c r="CZ49" s="157"/>
      <c r="DA49" s="157"/>
      <c r="DB49" s="861"/>
      <c r="DC49" s="170"/>
      <c r="DD49" s="157"/>
      <c r="DE49" s="157"/>
      <c r="DF49" s="157"/>
      <c r="DG49" s="175"/>
      <c r="DH49" s="170"/>
      <c r="DI49" s="157"/>
      <c r="DJ49" s="157"/>
      <c r="DK49" s="157"/>
      <c r="DL49" s="175"/>
      <c r="DM49" s="170"/>
      <c r="DN49" s="157"/>
      <c r="DO49" s="157"/>
      <c r="DP49" s="157"/>
      <c r="DQ49" s="175"/>
      <c r="DR49" s="170"/>
      <c r="DS49" s="157"/>
      <c r="DT49" s="157"/>
      <c r="DU49" s="157"/>
      <c r="DV49" s="175"/>
      <c r="DW49" s="170"/>
      <c r="DX49" s="157"/>
      <c r="DY49" s="157"/>
      <c r="DZ49" s="157"/>
      <c r="EA49" s="175"/>
      <c r="EB49" s="170"/>
      <c r="ED49" s="418"/>
      <c r="EK49" s="418"/>
    </row>
    <row r="50" spans="1:141" x14ac:dyDescent="0.2">
      <c r="A50" s="1" t="s">
        <v>499</v>
      </c>
      <c r="B50" s="179"/>
      <c r="C50" s="175"/>
      <c r="D50" s="175"/>
      <c r="E50" s="175"/>
      <c r="F50" s="175"/>
      <c r="G50" s="170"/>
      <c r="H50" s="157"/>
      <c r="I50" s="157"/>
      <c r="J50" s="157"/>
      <c r="K50" s="175"/>
      <c r="L50" s="170"/>
      <c r="M50" s="157"/>
      <c r="N50" s="157"/>
      <c r="O50" s="157"/>
      <c r="P50" s="175"/>
      <c r="Q50" s="170">
        <v>391.28399999999999</v>
      </c>
      <c r="R50" s="157"/>
      <c r="S50" s="157"/>
      <c r="T50" s="157"/>
      <c r="U50" s="175">
        <v>589.21400000000006</v>
      </c>
      <c r="V50" s="170">
        <f>U50</f>
        <v>589.21400000000006</v>
      </c>
      <c r="W50" s="175">
        <v>238.97900000000001</v>
      </c>
      <c r="X50" s="175">
        <v>256.93700000000001</v>
      </c>
      <c r="Y50" s="175">
        <v>281.572</v>
      </c>
      <c r="Z50" s="175">
        <v>313.93900000000002</v>
      </c>
      <c r="AA50" s="170">
        <f>Z50</f>
        <v>313.93900000000002</v>
      </c>
      <c r="AB50" s="157">
        <v>348.68799999999999</v>
      </c>
      <c r="AC50" s="157">
        <v>372.09399999999999</v>
      </c>
      <c r="AD50" s="157">
        <v>407.00700000000001</v>
      </c>
      <c r="AE50" s="175">
        <v>408.50299999999999</v>
      </c>
      <c r="AF50" s="170">
        <f t="shared" si="62"/>
        <v>408.50299999999999</v>
      </c>
      <c r="AG50" s="157">
        <v>457.50099999999998</v>
      </c>
      <c r="AH50" s="157">
        <v>489.70800000000003</v>
      </c>
      <c r="AI50" s="157">
        <v>536.46500000000003</v>
      </c>
      <c r="AJ50" s="175">
        <v>589.71299999999997</v>
      </c>
      <c r="AK50" s="170">
        <f>AJ50</f>
        <v>589.71299999999997</v>
      </c>
      <c r="AL50" s="157">
        <v>658.06799999999998</v>
      </c>
      <c r="AM50" s="157">
        <v>690.14400000000001</v>
      </c>
      <c r="AN50" s="157">
        <v>746.31899999999996</v>
      </c>
      <c r="AO50" s="175">
        <v>801.72799999999995</v>
      </c>
      <c r="AP50" s="170">
        <f>AO50</f>
        <v>801.72799999999995</v>
      </c>
      <c r="AQ50" s="157">
        <v>884.75900000000001</v>
      </c>
      <c r="AR50" s="157">
        <v>932.18600000000004</v>
      </c>
      <c r="AS50" s="157">
        <v>1000.599</v>
      </c>
      <c r="AT50" s="175">
        <v>1069.683</v>
      </c>
      <c r="AU50" s="170">
        <f t="shared" si="111"/>
        <v>1069.683</v>
      </c>
      <c r="AV50" s="157">
        <v>1180.4939999999999</v>
      </c>
      <c r="AW50" s="157">
        <v>1259.982</v>
      </c>
      <c r="AX50" s="157">
        <v>1358.086</v>
      </c>
      <c r="AY50" s="175">
        <v>1445.329</v>
      </c>
      <c r="AZ50" s="170">
        <v>1444.8920000000001</v>
      </c>
      <c r="BA50" s="157">
        <v>1590.0820000000001</v>
      </c>
      <c r="BB50" s="157">
        <v>1690.6179999999999</v>
      </c>
      <c r="BC50" s="157">
        <v>1816.193</v>
      </c>
      <c r="BD50" s="175">
        <v>1938.9870000000001</v>
      </c>
      <c r="BE50" s="170">
        <v>1938.9870000000001</v>
      </c>
      <c r="BF50" s="157">
        <v>2113.549</v>
      </c>
      <c r="BG50" s="157">
        <v>2240.4589999999998</v>
      </c>
      <c r="BH50" s="157">
        <v>2385.9569999999999</v>
      </c>
      <c r="BI50" s="175">
        <v>2151.0839999999998</v>
      </c>
      <c r="BJ50" s="170">
        <v>2151.0839999999998</v>
      </c>
      <c r="BK50" s="157">
        <v>2349.9180000000001</v>
      </c>
      <c r="BL50" s="157">
        <v>2121.7829999999999</v>
      </c>
      <c r="BM50" s="157">
        <v>2264.9920000000002</v>
      </c>
      <c r="BN50" s="175">
        <v>2189.366</v>
      </c>
      <c r="BO50" s="170">
        <f>BN50</f>
        <v>2189.366</v>
      </c>
      <c r="BP50" s="157">
        <v>2148.6</v>
      </c>
      <c r="BQ50" s="157">
        <v>2315.6</v>
      </c>
      <c r="BR50" s="157">
        <v>2357.6</v>
      </c>
      <c r="BS50" s="175">
        <v>2402.4</v>
      </c>
      <c r="BT50" s="170">
        <f>BS50</f>
        <v>2402.4</v>
      </c>
      <c r="BU50" s="157">
        <v>2466.6999999999998</v>
      </c>
      <c r="BV50" s="157">
        <v>2491.6999999999998</v>
      </c>
      <c r="BW50" s="157">
        <v>2643.2</v>
      </c>
      <c r="BX50" s="175">
        <f>BY50</f>
        <v>2793.2</v>
      </c>
      <c r="BY50" s="170">
        <v>2793.2</v>
      </c>
      <c r="BZ50" s="157">
        <v>3034.6</v>
      </c>
      <c r="CA50" s="157">
        <v>3177.1</v>
      </c>
      <c r="CB50" s="157">
        <v>3288.3</v>
      </c>
      <c r="CC50" s="175">
        <v>3471.2</v>
      </c>
      <c r="CD50" s="170">
        <f>CC50</f>
        <v>3471.2</v>
      </c>
      <c r="CE50" s="157">
        <v>3720.1</v>
      </c>
      <c r="CF50" s="157">
        <v>3883.7</v>
      </c>
      <c r="CG50" s="157">
        <v>4065.7</v>
      </c>
      <c r="CH50" s="175">
        <v>4297.3999999999996</v>
      </c>
      <c r="CI50" s="170">
        <f>CH50</f>
        <v>4297.3999999999996</v>
      </c>
      <c r="CJ50" s="157">
        <v>4551.2</v>
      </c>
      <c r="CK50" s="157">
        <v>4732.1000000000004</v>
      </c>
      <c r="CL50" s="157">
        <v>4935.8</v>
      </c>
      <c r="CM50" s="175">
        <v>5046.2</v>
      </c>
      <c r="CN50" s="170">
        <f>CM50</f>
        <v>5046.2</v>
      </c>
      <c r="CO50" s="157">
        <v>5117.3</v>
      </c>
      <c r="CP50" s="157">
        <v>5298.6</v>
      </c>
      <c r="CQ50" s="175">
        <v>5558.5</v>
      </c>
      <c r="CR50" s="175">
        <v>4130.3</v>
      </c>
      <c r="CS50" s="170">
        <f>CR50</f>
        <v>4130.3</v>
      </c>
      <c r="CT50" s="175">
        <v>4474.2</v>
      </c>
      <c r="CU50" s="175">
        <v>4705.3999999999996</v>
      </c>
      <c r="CV50" s="175">
        <v>4957.7</v>
      </c>
      <c r="CW50" s="678">
        <v>5206.6000000000004</v>
      </c>
      <c r="CX50" s="742">
        <f>CW50</f>
        <v>5206.6000000000004</v>
      </c>
      <c r="CY50" s="175">
        <v>5832.2</v>
      </c>
      <c r="CZ50" s="175">
        <v>6083</v>
      </c>
      <c r="DA50" s="175">
        <v>5945</v>
      </c>
      <c r="DB50" s="861">
        <v>5974.8</v>
      </c>
      <c r="DC50" s="170">
        <f>DB50</f>
        <v>5974.8</v>
      </c>
      <c r="DD50" s="175">
        <v>6164</v>
      </c>
      <c r="DE50" s="175">
        <v>5241.2</v>
      </c>
      <c r="DF50" s="175">
        <v>5702</v>
      </c>
      <c r="DG50" s="175">
        <v>5949.8</v>
      </c>
      <c r="DH50" s="170">
        <f>DG50</f>
        <v>5949.8</v>
      </c>
      <c r="DI50" s="175">
        <v>5996.3</v>
      </c>
      <c r="DJ50" s="175">
        <v>5768.9</v>
      </c>
      <c r="DK50" s="175">
        <v>5986</v>
      </c>
      <c r="DL50" s="175">
        <v>5563.2</v>
      </c>
      <c r="DM50" s="170">
        <f>DL50</f>
        <v>5563.2</v>
      </c>
      <c r="DN50" s="175">
        <f>DM50+IS!DN44+CF!DN67</f>
        <v>7387.2638014280874</v>
      </c>
      <c r="DO50" s="175">
        <f>DN50+IS!DO44+CF!DO67</f>
        <v>7702.1378924058972</v>
      </c>
      <c r="DP50" s="175">
        <f>DO50+IS!DP44+CF!DP67</f>
        <v>8180.2656163059846</v>
      </c>
      <c r="DQ50" s="175">
        <f>DP50+IS!DQ44+CF!DQ67</f>
        <v>8680.5471070329513</v>
      </c>
      <c r="DR50" s="170">
        <f>DQ50</f>
        <v>8680.5471070329513</v>
      </c>
      <c r="DS50" s="175">
        <f>DR50+IS!DS44+CF!DS67</f>
        <v>9110.6742534879158</v>
      </c>
      <c r="DT50" s="175">
        <f>DS50+IS!DT44+CF!DT67</f>
        <v>9460.246960547589</v>
      </c>
      <c r="DU50" s="175">
        <f>DT50+IS!DU44+CF!DU67</f>
        <v>9985.8632862023169</v>
      </c>
      <c r="DV50" s="175">
        <f>DU50+IS!DV44+CF!DV67</f>
        <v>10529.223267826384</v>
      </c>
      <c r="DW50" s="170">
        <f>DV50</f>
        <v>10529.223267826384</v>
      </c>
      <c r="DX50" s="175">
        <f>DW50+IS!DX44+CF!DX67</f>
        <v>10978.969709129186</v>
      </c>
      <c r="DY50" s="175">
        <f>DX50+IS!DY44+CF!DY67</f>
        <v>11345.601070228184</v>
      </c>
      <c r="DZ50" s="175">
        <f>DY50+IS!DZ44+CF!DZ67</f>
        <v>11906.313680777115</v>
      </c>
      <c r="EA50" s="175">
        <f>DZ50+IS!EA44+CF!EA67</f>
        <v>12485.863743357913</v>
      </c>
      <c r="EB50" s="170">
        <f>EA50</f>
        <v>12485.863743357913</v>
      </c>
      <c r="ED50" s="418"/>
      <c r="EK50" s="418"/>
    </row>
    <row r="51" spans="1:141" x14ac:dyDescent="0.2">
      <c r="A51" s="1" t="s">
        <v>498</v>
      </c>
      <c r="B51" s="179"/>
      <c r="C51" s="175"/>
      <c r="D51" s="175"/>
      <c r="E51" s="175"/>
      <c r="F51" s="175"/>
      <c r="G51" s="170"/>
      <c r="H51" s="157"/>
      <c r="I51" s="157"/>
      <c r="J51" s="157"/>
      <c r="K51" s="175"/>
      <c r="L51" s="170"/>
      <c r="M51" s="157"/>
      <c r="N51" s="157"/>
      <c r="O51" s="157"/>
      <c r="P51" s="175"/>
      <c r="Q51" s="170">
        <v>142.24600000000001</v>
      </c>
      <c r="R51" s="157"/>
      <c r="S51" s="157"/>
      <c r="T51" s="157"/>
      <c r="U51" s="175">
        <v>205.083</v>
      </c>
      <c r="V51" s="170">
        <f>U51</f>
        <v>205.083</v>
      </c>
      <c r="W51" s="175">
        <v>607.5</v>
      </c>
      <c r="X51" s="175">
        <v>638.51599999999996</v>
      </c>
      <c r="Y51" s="175">
        <v>644.42700000000002</v>
      </c>
      <c r="Z51" s="175">
        <v>651.02</v>
      </c>
      <c r="AA51" s="170">
        <f>Z51</f>
        <v>651.02</v>
      </c>
      <c r="AB51" s="157">
        <v>658.78899999999999</v>
      </c>
      <c r="AC51" s="157">
        <v>702.16899999999998</v>
      </c>
      <c r="AD51" s="157">
        <v>715.89599999999996</v>
      </c>
      <c r="AE51" s="175">
        <v>750.87199999999996</v>
      </c>
      <c r="AF51" s="170">
        <f t="shared" si="62"/>
        <v>750.87199999999996</v>
      </c>
      <c r="AG51" s="157">
        <v>779.33699999999999</v>
      </c>
      <c r="AH51" s="157">
        <v>819.20699999999999</v>
      </c>
      <c r="AI51" s="157">
        <v>833.95600000000002</v>
      </c>
      <c r="AJ51" s="175">
        <v>791.62199999999996</v>
      </c>
      <c r="AK51" s="170">
        <f>AJ51</f>
        <v>791.62199999999996</v>
      </c>
      <c r="AL51" s="157">
        <v>821.61500000000001</v>
      </c>
      <c r="AM51" s="157">
        <v>874.98400000000004</v>
      </c>
      <c r="AN51" s="157">
        <v>933.16399999999999</v>
      </c>
      <c r="AO51" s="175">
        <v>891.04</v>
      </c>
      <c r="AP51" s="170">
        <f>AO51</f>
        <v>891.04</v>
      </c>
      <c r="AQ51" s="157">
        <v>877.16700000000003</v>
      </c>
      <c r="AR51" s="157">
        <v>931.05399999999997</v>
      </c>
      <c r="AS51" s="157">
        <v>925.28300000000002</v>
      </c>
      <c r="AT51" s="175">
        <v>959.10299999999995</v>
      </c>
      <c r="AU51" s="170">
        <f t="shared" si="111"/>
        <v>959.10299999999995</v>
      </c>
      <c r="AV51" s="157">
        <v>999.21699999999998</v>
      </c>
      <c r="AW51" s="157">
        <v>1022.859</v>
      </c>
      <c r="AX51" s="157">
        <v>1025.289</v>
      </c>
      <c r="AY51" s="175">
        <v>956.68499999999995</v>
      </c>
      <c r="AZ51" s="170">
        <v>956.68499999999995</v>
      </c>
      <c r="BA51" s="157">
        <v>1119.1590000000001</v>
      </c>
      <c r="BB51" s="157">
        <v>832.25099999999998</v>
      </c>
      <c r="BC51" s="157">
        <v>395.33300000000003</v>
      </c>
      <c r="BD51" s="175">
        <v>0.76700000000000002</v>
      </c>
      <c r="BE51" s="170">
        <v>0.76700000000000002</v>
      </c>
      <c r="BF51" s="157">
        <v>0.76700000000000002</v>
      </c>
      <c r="BG51" s="157">
        <v>0.76900000000000002</v>
      </c>
      <c r="BH51" s="157">
        <v>0.76800000000000002</v>
      </c>
      <c r="BI51" s="175">
        <v>0.75600000000000001</v>
      </c>
      <c r="BJ51" s="170">
        <v>0.75600000000000001</v>
      </c>
      <c r="BK51" s="157">
        <v>0.75700000000000001</v>
      </c>
      <c r="BL51" s="157">
        <v>0.746</v>
      </c>
      <c r="BM51" s="157">
        <v>0.745</v>
      </c>
      <c r="BN51" s="175">
        <v>0.73799999999999999</v>
      </c>
      <c r="BO51" s="170">
        <f>BN51</f>
        <v>0.73799999999999999</v>
      </c>
      <c r="BP51" s="157">
        <v>0.7</v>
      </c>
      <c r="BQ51" s="157">
        <v>0.7</v>
      </c>
      <c r="BR51" s="157">
        <v>0.7</v>
      </c>
      <c r="BS51" s="175">
        <v>0.7</v>
      </c>
      <c r="BT51" s="170">
        <f>BS51</f>
        <v>0.7</v>
      </c>
      <c r="BU51" s="157">
        <v>0.7</v>
      </c>
      <c r="BV51" s="157">
        <v>0.7</v>
      </c>
      <c r="BW51" s="157">
        <v>0.7</v>
      </c>
      <c r="BX51" s="175">
        <f>BY51</f>
        <v>0.7</v>
      </c>
      <c r="BY51" s="170">
        <v>0.7</v>
      </c>
      <c r="BZ51" s="157">
        <v>0.7</v>
      </c>
      <c r="CA51" s="157">
        <v>0.7</v>
      </c>
      <c r="CB51" s="157">
        <v>0.7</v>
      </c>
      <c r="CC51" s="175">
        <v>0.7</v>
      </c>
      <c r="CD51" s="170">
        <f>CC51</f>
        <v>0.7</v>
      </c>
      <c r="CE51" s="157">
        <v>0.7</v>
      </c>
      <c r="CF51" s="157">
        <v>0.8</v>
      </c>
      <c r="CG51" s="157">
        <v>0.7</v>
      </c>
      <c r="CH51" s="175">
        <v>0.7</v>
      </c>
      <c r="CI51" s="170">
        <f>CH51</f>
        <v>0.7</v>
      </c>
      <c r="CJ51" s="157">
        <v>0.8</v>
      </c>
      <c r="CK51" s="157">
        <v>0.8</v>
      </c>
      <c r="CL51" s="157">
        <v>0.8</v>
      </c>
      <c r="CM51" s="175">
        <v>0.7</v>
      </c>
      <c r="CN51" s="170">
        <f>CM51</f>
        <v>0.7</v>
      </c>
      <c r="CO51" s="157">
        <v>0.7</v>
      </c>
      <c r="CP51" s="157">
        <v>0.7</v>
      </c>
      <c r="CQ51" s="175">
        <v>0.8</v>
      </c>
      <c r="CR51" s="175">
        <v>0.8</v>
      </c>
      <c r="CS51" s="170">
        <f>CR51</f>
        <v>0.8</v>
      </c>
      <c r="CT51" s="175">
        <v>0.8</v>
      </c>
      <c r="CU51" s="175">
        <v>0.8</v>
      </c>
      <c r="CV51" s="175">
        <v>0.8</v>
      </c>
      <c r="CW51" s="678">
        <v>39.4</v>
      </c>
      <c r="CX51" s="742">
        <f>CW51</f>
        <v>39.4</v>
      </c>
      <c r="CY51" s="175">
        <v>0.8</v>
      </c>
      <c r="CZ51" s="175">
        <v>1.5</v>
      </c>
      <c r="DA51" s="175">
        <v>1.5</v>
      </c>
      <c r="DB51" s="861">
        <v>1.5</v>
      </c>
      <c r="DC51" s="170">
        <f>DB51</f>
        <v>1.5</v>
      </c>
      <c r="DD51" s="175">
        <f>DC51</f>
        <v>1.5</v>
      </c>
      <c r="DE51" s="175">
        <v>1.5</v>
      </c>
      <c r="DF51" s="175">
        <v>1.5</v>
      </c>
      <c r="DG51" s="175">
        <v>1.5</v>
      </c>
      <c r="DH51" s="170">
        <f>DG51</f>
        <v>1.5</v>
      </c>
      <c r="DI51" s="175">
        <v>1.5</v>
      </c>
      <c r="DJ51" s="175">
        <v>1.4</v>
      </c>
      <c r="DK51" s="175">
        <v>1.4</v>
      </c>
      <c r="DL51" s="175">
        <v>1.4</v>
      </c>
      <c r="DM51" s="170">
        <f>DL51</f>
        <v>1.4</v>
      </c>
      <c r="DN51" s="175">
        <f>DM51</f>
        <v>1.4</v>
      </c>
      <c r="DO51" s="175">
        <f>DN51</f>
        <v>1.4</v>
      </c>
      <c r="DP51" s="175">
        <f>DO51</f>
        <v>1.4</v>
      </c>
      <c r="DQ51" s="175">
        <f>DP51</f>
        <v>1.4</v>
      </c>
      <c r="DR51" s="170">
        <f>DQ51</f>
        <v>1.4</v>
      </c>
      <c r="DS51" s="175">
        <f>DR51</f>
        <v>1.4</v>
      </c>
      <c r="DT51" s="175">
        <f>DS51</f>
        <v>1.4</v>
      </c>
      <c r="DU51" s="175">
        <f>DT51</f>
        <v>1.4</v>
      </c>
      <c r="DV51" s="175">
        <f>DU51</f>
        <v>1.4</v>
      </c>
      <c r="DW51" s="170">
        <f>DV51</f>
        <v>1.4</v>
      </c>
      <c r="DX51" s="175">
        <f>DW51</f>
        <v>1.4</v>
      </c>
      <c r="DY51" s="175">
        <f>DX51</f>
        <v>1.4</v>
      </c>
      <c r="DZ51" s="175">
        <f>DY51</f>
        <v>1.4</v>
      </c>
      <c r="EA51" s="175">
        <f>DZ51</f>
        <v>1.4</v>
      </c>
      <c r="EB51" s="170">
        <f>EA51</f>
        <v>1.4</v>
      </c>
      <c r="ED51" s="418"/>
      <c r="EK51" s="418"/>
    </row>
    <row r="52" spans="1:141" x14ac:dyDescent="0.2">
      <c r="A52" s="28" t="s">
        <v>497</v>
      </c>
      <c r="B52" s="198"/>
      <c r="C52" s="175"/>
      <c r="D52" s="175"/>
      <c r="E52" s="175"/>
      <c r="F52" s="175"/>
      <c r="G52" s="170"/>
      <c r="H52" s="175"/>
      <c r="I52" s="175"/>
      <c r="J52" s="175"/>
      <c r="K52" s="175"/>
      <c r="L52" s="170"/>
      <c r="M52" s="175"/>
      <c r="N52" s="175"/>
      <c r="O52" s="175"/>
      <c r="P52" s="175"/>
      <c r="Q52" s="170"/>
      <c r="R52" s="175"/>
      <c r="S52" s="175"/>
      <c r="T52" s="175"/>
      <c r="U52" s="175"/>
      <c r="V52" s="170"/>
      <c r="W52" s="175"/>
      <c r="X52" s="175"/>
      <c r="Y52" s="175"/>
      <c r="Z52" s="175"/>
      <c r="AA52" s="170" t="s">
        <v>210</v>
      </c>
      <c r="AB52" s="175" t="s">
        <v>210</v>
      </c>
      <c r="AC52" s="175" t="s">
        <v>210</v>
      </c>
      <c r="AD52" s="175" t="s">
        <v>210</v>
      </c>
      <c r="AE52" s="175" t="s">
        <v>210</v>
      </c>
      <c r="AF52" s="170" t="str">
        <f t="shared" si="62"/>
        <v xml:space="preserve"> </v>
      </c>
      <c r="AG52" s="175" t="s">
        <v>210</v>
      </c>
      <c r="AH52" s="175" t="s">
        <v>210</v>
      </c>
      <c r="AI52" s="175" t="s">
        <v>210</v>
      </c>
      <c r="AJ52" s="175" t="s">
        <v>210</v>
      </c>
      <c r="AK52" s="170"/>
      <c r="AL52" s="175" t="s">
        <v>210</v>
      </c>
      <c r="AM52" s="175" t="s">
        <v>210</v>
      </c>
      <c r="AN52" s="175" t="s">
        <v>210</v>
      </c>
      <c r="AO52" s="175" t="s">
        <v>210</v>
      </c>
      <c r="AP52" s="170"/>
      <c r="AQ52" s="175" t="s">
        <v>210</v>
      </c>
      <c r="AR52" s="175" t="s">
        <v>210</v>
      </c>
      <c r="AS52" s="175" t="s">
        <v>210</v>
      </c>
      <c r="AT52" s="175" t="s">
        <v>210</v>
      </c>
      <c r="AU52" s="170" t="str">
        <f t="shared" si="111"/>
        <v xml:space="preserve"> </v>
      </c>
      <c r="AV52" s="175" t="s">
        <v>210</v>
      </c>
      <c r="AW52" s="175" t="s">
        <v>210</v>
      </c>
      <c r="AX52" s="175" t="s">
        <v>210</v>
      </c>
      <c r="AY52" s="175" t="s">
        <v>210</v>
      </c>
      <c r="AZ52" s="170" t="str">
        <f t="shared" si="112"/>
        <v xml:space="preserve"> </v>
      </c>
      <c r="BA52" s="175" t="s">
        <v>210</v>
      </c>
      <c r="BB52" s="175" t="s">
        <v>210</v>
      </c>
      <c r="BC52" s="175" t="s">
        <v>210</v>
      </c>
      <c r="BD52" s="175">
        <v>90.200999999999993</v>
      </c>
      <c r="BE52" s="170">
        <v>90.200999999999993</v>
      </c>
      <c r="BF52" s="175">
        <v>60.664000000000001</v>
      </c>
      <c r="BG52" s="175">
        <v>111.10899999999999</v>
      </c>
      <c r="BH52" s="175">
        <v>42.064999999999998</v>
      </c>
      <c r="BI52" s="175">
        <v>0</v>
      </c>
      <c r="BJ52" s="170">
        <v>0</v>
      </c>
      <c r="BK52" s="175">
        <v>0</v>
      </c>
      <c r="BL52" s="175">
        <v>0</v>
      </c>
      <c r="BM52" s="175">
        <v>0</v>
      </c>
      <c r="BN52" s="175">
        <v>0</v>
      </c>
      <c r="BO52" s="170">
        <f>BN52</f>
        <v>0</v>
      </c>
      <c r="BP52" s="175">
        <v>0</v>
      </c>
      <c r="BQ52" s="175">
        <v>0</v>
      </c>
      <c r="BR52" s="175">
        <v>0</v>
      </c>
      <c r="BS52" s="175">
        <v>0</v>
      </c>
      <c r="BT52" s="170">
        <f>BS52</f>
        <v>0</v>
      </c>
      <c r="BU52" s="175">
        <v>32.9</v>
      </c>
      <c r="BV52" s="175">
        <v>61.2</v>
      </c>
      <c r="BW52" s="175">
        <v>86.9</v>
      </c>
      <c r="BX52" s="175">
        <f>BY52</f>
        <v>147</v>
      </c>
      <c r="BY52" s="170">
        <v>147</v>
      </c>
      <c r="BZ52" s="175">
        <v>218.4</v>
      </c>
      <c r="CA52" s="175">
        <v>275.89999999999998</v>
      </c>
      <c r="CB52" s="175">
        <v>162.1</v>
      </c>
      <c r="CC52" s="175">
        <v>106.2</v>
      </c>
      <c r="CD52" s="170">
        <f>CC52</f>
        <v>106.2</v>
      </c>
      <c r="CE52" s="175">
        <v>228.9</v>
      </c>
      <c r="CF52" s="175">
        <v>309.3</v>
      </c>
      <c r="CG52" s="175">
        <v>135.6</v>
      </c>
      <c r="CH52" s="175">
        <v>1.1000000000000001</v>
      </c>
      <c r="CI52" s="170">
        <f>CH52</f>
        <v>1.1000000000000001</v>
      </c>
      <c r="CJ52" s="175">
        <v>178.7</v>
      </c>
      <c r="CK52" s="175">
        <v>359.3</v>
      </c>
      <c r="CL52" s="175">
        <v>450.9</v>
      </c>
      <c r="CM52" s="175">
        <v>39.4</v>
      </c>
      <c r="CN52" s="170">
        <f>CM52</f>
        <v>39.4</v>
      </c>
      <c r="CO52" s="175">
        <v>39.4</v>
      </c>
      <c r="CP52" s="175">
        <v>39.4</v>
      </c>
      <c r="CQ52" s="113">
        <v>167.7</v>
      </c>
      <c r="CR52" s="113">
        <v>282.10000000000002</v>
      </c>
      <c r="CS52" s="125">
        <f>CR52</f>
        <v>282.10000000000002</v>
      </c>
      <c r="CT52" s="113">
        <v>343.7</v>
      </c>
      <c r="CU52" s="113">
        <v>174.6</v>
      </c>
      <c r="CV52" s="113">
        <v>39.4</v>
      </c>
      <c r="CW52" s="670">
        <v>0.7</v>
      </c>
      <c r="CX52" s="719">
        <f>CW52</f>
        <v>0.7</v>
      </c>
      <c r="CY52" s="113">
        <v>39.4</v>
      </c>
      <c r="CZ52" s="113">
        <v>41.1</v>
      </c>
      <c r="DA52" s="113">
        <v>41.1</v>
      </c>
      <c r="DB52" s="871">
        <v>41.1</v>
      </c>
      <c r="DC52" s="125">
        <f>DB52</f>
        <v>41.1</v>
      </c>
      <c r="DD52" s="113">
        <v>41.1</v>
      </c>
      <c r="DE52" s="113">
        <v>41.1</v>
      </c>
      <c r="DF52" s="113">
        <v>146.9</v>
      </c>
      <c r="DG52" s="113">
        <v>41.1</v>
      </c>
      <c r="DH52" s="125">
        <f>DG52</f>
        <v>41.1</v>
      </c>
      <c r="DI52" s="113">
        <v>41.1</v>
      </c>
      <c r="DJ52" s="113">
        <v>41.1</v>
      </c>
      <c r="DK52" s="113">
        <v>41.1</v>
      </c>
      <c r="DL52" s="113">
        <v>41.1</v>
      </c>
      <c r="DM52" s="125">
        <f>DL52</f>
        <v>41.1</v>
      </c>
      <c r="DN52" s="113">
        <f>DM52+CF!DN68+CF!DN60+CF!DN61+CF!DN63+CF!DN21+CF!DN22+CF!DN23</f>
        <v>-842.9</v>
      </c>
      <c r="DO52" s="113">
        <f>DN52+CF!DO68+CF!DO60+CF!DO61+CF!DO63+CF!DO21+CF!DO22+CF!DO23</f>
        <v>-1496.9</v>
      </c>
      <c r="DP52" s="113">
        <f>DO52+CF!DP68+CF!DP60+CF!DP61+CF!DP63+CF!DP21+CF!DP22+CF!DP23</f>
        <v>-2160.9</v>
      </c>
      <c r="DQ52" s="113">
        <f>DP52+CF!DQ68+CF!DQ60+CF!DQ61+CF!DQ63+CF!DQ21+CF!DQ22+CF!DQ23</f>
        <v>-2804.9</v>
      </c>
      <c r="DR52" s="125">
        <f>DQ52</f>
        <v>-2804.9</v>
      </c>
      <c r="DS52" s="113">
        <f>DR52+CF!DS68+CF!DS60+CF!DS61+CF!DS63+CF!DS21+CF!DS22+CF!DS23</f>
        <v>-3378.9</v>
      </c>
      <c r="DT52" s="113">
        <f>DS52+CF!DT68+CF!DT60+CF!DT61+CF!DT63+CF!DT21+CF!DT22+CF!DT23</f>
        <v>-3972.9</v>
      </c>
      <c r="DU52" s="113">
        <f>DT52+CF!DU68+CF!DU60+CF!DU61+CF!DU63+CF!DU21+CF!DU22+CF!DU23</f>
        <v>-4586.8999999999996</v>
      </c>
      <c r="DV52" s="113">
        <f>DU52+CF!DV68+CF!DV60+CF!DV61+CF!DV63+CF!DV21+CF!DV22+CF!DV23</f>
        <v>-5170.8999999999996</v>
      </c>
      <c r="DW52" s="125">
        <f>DV52</f>
        <v>-5170.8999999999996</v>
      </c>
      <c r="DX52" s="113">
        <f>DW52+CF!DX68+CF!DX60+CF!DX61+CF!DX63+CF!DX21+CF!DX22+CF!DX23</f>
        <v>-5540.9</v>
      </c>
      <c r="DY52" s="113">
        <f>DX52+CF!DY68+CF!DY60+CF!DY61+CF!DY63+CF!DY21+CF!DY22+CF!DY23</f>
        <v>-5930.9</v>
      </c>
      <c r="DZ52" s="113">
        <f>DY52+CF!DZ68+CF!DZ60+CF!DZ61+CF!DZ63+CF!DZ21+CF!DZ22+CF!DZ23</f>
        <v>-6740.9</v>
      </c>
      <c r="EA52" s="113">
        <f>DZ52+CF!EA68+CF!EA60+CF!EA61+CF!EA63+CF!EA21+CF!EA22+CF!EA23</f>
        <v>-7518.9</v>
      </c>
      <c r="EB52" s="125">
        <f>EA52</f>
        <v>-7518.9</v>
      </c>
      <c r="ED52" s="418"/>
      <c r="EK52" s="418"/>
    </row>
    <row r="53" spans="1:141" x14ac:dyDescent="0.2">
      <c r="A53" s="1" t="s">
        <v>496</v>
      </c>
      <c r="B53" s="179"/>
      <c r="C53" s="175"/>
      <c r="D53" s="175"/>
      <c r="E53" s="175"/>
      <c r="F53" s="175"/>
      <c r="G53" s="170"/>
      <c r="H53" s="157"/>
      <c r="I53" s="157"/>
      <c r="J53" s="157"/>
      <c r="K53" s="175"/>
      <c r="L53" s="170"/>
      <c r="M53" s="157"/>
      <c r="N53" s="157"/>
      <c r="O53" s="157"/>
      <c r="P53" s="175"/>
      <c r="Q53" s="170"/>
      <c r="R53" s="157"/>
      <c r="S53" s="157"/>
      <c r="T53" s="157"/>
      <c r="U53" s="175"/>
      <c r="V53" s="170"/>
      <c r="W53" s="175"/>
      <c r="X53" s="175"/>
      <c r="Y53" s="175"/>
      <c r="Z53" s="175"/>
      <c r="AA53" s="170" t="s">
        <v>210</v>
      </c>
      <c r="AB53" s="157" t="s">
        <v>210</v>
      </c>
      <c r="AC53" s="157" t="s">
        <v>210</v>
      </c>
      <c r="AD53" s="157" t="s">
        <v>210</v>
      </c>
      <c r="AE53" s="175" t="s">
        <v>210</v>
      </c>
      <c r="AF53" s="170" t="str">
        <f t="shared" si="62"/>
        <v xml:space="preserve"> </v>
      </c>
      <c r="AG53" s="157" t="s">
        <v>210</v>
      </c>
      <c r="AH53" s="157" t="s">
        <v>210</v>
      </c>
      <c r="AI53" s="157" t="s">
        <v>210</v>
      </c>
      <c r="AJ53" s="175" t="s">
        <v>210</v>
      </c>
      <c r="AK53" s="170"/>
      <c r="AL53" s="157" t="s">
        <v>210</v>
      </c>
      <c r="AM53" s="157" t="s">
        <v>210</v>
      </c>
      <c r="AN53" s="157" t="s">
        <v>210</v>
      </c>
      <c r="AO53" s="175" t="s">
        <v>210</v>
      </c>
      <c r="AP53" s="170"/>
      <c r="AQ53" s="157" t="s">
        <v>210</v>
      </c>
      <c r="AR53" s="157" t="s">
        <v>210</v>
      </c>
      <c r="AS53" s="157" t="s">
        <v>210</v>
      </c>
      <c r="AT53" s="175" t="s">
        <v>210</v>
      </c>
      <c r="AU53" s="170" t="str">
        <f t="shared" si="111"/>
        <v xml:space="preserve"> </v>
      </c>
      <c r="AV53" s="157" t="s">
        <v>210</v>
      </c>
      <c r="AW53" s="157" t="s">
        <v>210</v>
      </c>
      <c r="AX53" s="157" t="s">
        <v>210</v>
      </c>
      <c r="AY53" s="175">
        <v>39.393000000000001</v>
      </c>
      <c r="AZ53" s="170">
        <f t="shared" si="112"/>
        <v>39.393000000000001</v>
      </c>
      <c r="BA53" s="157">
        <v>39.393000000000001</v>
      </c>
      <c r="BB53" s="157">
        <v>39.393000000000001</v>
      </c>
      <c r="BC53" s="157">
        <v>39.393000000000001</v>
      </c>
      <c r="BD53" s="175">
        <v>39.393000000000001</v>
      </c>
      <c r="BE53" s="170">
        <v>39.393000000000001</v>
      </c>
      <c r="BF53" s="157">
        <v>39.393000000000001</v>
      </c>
      <c r="BG53" s="157">
        <v>39.393000000000001</v>
      </c>
      <c r="BH53" s="157">
        <v>39.393000000000001</v>
      </c>
      <c r="BI53" s="175">
        <v>39.393000000000001</v>
      </c>
      <c r="BJ53" s="170">
        <v>39.393000000000001</v>
      </c>
      <c r="BK53" s="157">
        <v>39.393000000000001</v>
      </c>
      <c r="BL53" s="157">
        <v>39.393000000000001</v>
      </c>
      <c r="BM53" s="157">
        <v>39.393000000000001</v>
      </c>
      <c r="BN53" s="175">
        <v>39.393000000000001</v>
      </c>
      <c r="BO53" s="170">
        <f>BN53</f>
        <v>39.393000000000001</v>
      </c>
      <c r="BP53" s="157">
        <v>39.4</v>
      </c>
      <c r="BQ53" s="157">
        <v>39.4</v>
      </c>
      <c r="BR53" s="157">
        <v>39.4</v>
      </c>
      <c r="BS53" s="175">
        <v>39.4</v>
      </c>
      <c r="BT53" s="170">
        <f>BS53</f>
        <v>39.4</v>
      </c>
      <c r="BU53" s="157">
        <v>39.4</v>
      </c>
      <c r="BV53" s="157">
        <v>39.4</v>
      </c>
      <c r="BW53" s="157">
        <v>39.4</v>
      </c>
      <c r="BX53" s="175">
        <f>BY53</f>
        <v>39.4</v>
      </c>
      <c r="BY53" s="170">
        <v>39.4</v>
      </c>
      <c r="BZ53" s="157">
        <v>39.4</v>
      </c>
      <c r="CA53" s="157">
        <v>39.4</v>
      </c>
      <c r="CB53" s="157">
        <v>39.4</v>
      </c>
      <c r="CC53" s="175">
        <v>39.4</v>
      </c>
      <c r="CD53" s="170">
        <f>CC53</f>
        <v>39.4</v>
      </c>
      <c r="CE53" s="157">
        <v>39.4</v>
      </c>
      <c r="CF53" s="157">
        <v>39.4</v>
      </c>
      <c r="CG53" s="157">
        <v>39.4</v>
      </c>
      <c r="CH53" s="175">
        <v>39.4</v>
      </c>
      <c r="CI53" s="170">
        <f>CH53</f>
        <v>39.4</v>
      </c>
      <c r="CJ53" s="157">
        <v>0</v>
      </c>
      <c r="CK53" s="157">
        <f>CJ53</f>
        <v>0</v>
      </c>
      <c r="CL53" s="157">
        <v>0</v>
      </c>
      <c r="CM53" s="175">
        <v>0</v>
      </c>
      <c r="CN53" s="170">
        <f>CM53</f>
        <v>0</v>
      </c>
      <c r="CO53" s="157">
        <v>0</v>
      </c>
      <c r="CP53" s="157">
        <v>0</v>
      </c>
      <c r="CQ53" s="113">
        <v>0</v>
      </c>
      <c r="CR53" s="113">
        <v>0</v>
      </c>
      <c r="CS53" s="125">
        <f>CR53</f>
        <v>0</v>
      </c>
      <c r="CT53" s="113">
        <v>0</v>
      </c>
      <c r="CU53" s="113">
        <v>0</v>
      </c>
      <c r="CV53" s="113">
        <v>0</v>
      </c>
      <c r="CW53" s="670">
        <f>CV53</f>
        <v>0</v>
      </c>
      <c r="CX53" s="719">
        <f>CW53</f>
        <v>0</v>
      </c>
      <c r="CY53" s="113">
        <v>0</v>
      </c>
      <c r="CZ53" s="113">
        <v>0</v>
      </c>
      <c r="DA53" s="113">
        <f t="shared" ref="DA53:DB53" si="113">CZ53</f>
        <v>0</v>
      </c>
      <c r="DB53" s="871">
        <f t="shared" si="113"/>
        <v>0</v>
      </c>
      <c r="DC53" s="125">
        <f>DB53</f>
        <v>0</v>
      </c>
      <c r="DD53" s="113">
        <f t="shared" ref="DD53" si="114">DC53</f>
        <v>0</v>
      </c>
      <c r="DE53" s="113">
        <v>0</v>
      </c>
      <c r="DF53" s="113">
        <v>0</v>
      </c>
      <c r="DG53" s="113">
        <v>0</v>
      </c>
      <c r="DH53" s="125">
        <f>DG53</f>
        <v>0</v>
      </c>
      <c r="DI53" s="113">
        <v>0</v>
      </c>
      <c r="DJ53" s="113">
        <v>0</v>
      </c>
      <c r="DK53" s="113">
        <v>0</v>
      </c>
      <c r="DL53" s="113">
        <v>0</v>
      </c>
      <c r="DM53" s="125">
        <f>DL53</f>
        <v>0</v>
      </c>
      <c r="DN53" s="113">
        <f t="shared" ref="DN53:DQ54" si="115">DM53</f>
        <v>0</v>
      </c>
      <c r="DO53" s="113">
        <f t="shared" si="115"/>
        <v>0</v>
      </c>
      <c r="DP53" s="113">
        <f t="shared" si="115"/>
        <v>0</v>
      </c>
      <c r="DQ53" s="113">
        <f t="shared" si="115"/>
        <v>0</v>
      </c>
      <c r="DR53" s="125">
        <f>DQ53</f>
        <v>0</v>
      </c>
      <c r="DS53" s="113">
        <f t="shared" ref="DS53:DV54" si="116">DR53</f>
        <v>0</v>
      </c>
      <c r="DT53" s="113">
        <f t="shared" si="116"/>
        <v>0</v>
      </c>
      <c r="DU53" s="113">
        <f t="shared" si="116"/>
        <v>0</v>
      </c>
      <c r="DV53" s="113">
        <f t="shared" si="116"/>
        <v>0</v>
      </c>
      <c r="DW53" s="125">
        <f>DV53</f>
        <v>0</v>
      </c>
      <c r="DX53" s="113">
        <f t="shared" ref="DX53:EA54" si="117">DW53</f>
        <v>0</v>
      </c>
      <c r="DY53" s="113">
        <f t="shared" si="117"/>
        <v>0</v>
      </c>
      <c r="DZ53" s="113">
        <f t="shared" si="117"/>
        <v>0</v>
      </c>
      <c r="EA53" s="113">
        <f t="shared" si="117"/>
        <v>0</v>
      </c>
      <c r="EB53" s="125">
        <f>EA53</f>
        <v>0</v>
      </c>
      <c r="ED53" s="418"/>
      <c r="EK53" s="418"/>
    </row>
    <row r="54" spans="1:141" x14ac:dyDescent="0.2">
      <c r="A54" s="1" t="s">
        <v>495</v>
      </c>
      <c r="B54" s="187"/>
      <c r="C54" s="175"/>
      <c r="D54" s="175"/>
      <c r="E54" s="175"/>
      <c r="F54" s="175"/>
      <c r="G54" s="170"/>
      <c r="H54" s="157"/>
      <c r="I54" s="157">
        <v>0</v>
      </c>
      <c r="J54" s="157"/>
      <c r="K54" s="175"/>
      <c r="L54" s="170"/>
      <c r="M54" s="157"/>
      <c r="N54" s="157"/>
      <c r="O54" s="157"/>
      <c r="P54" s="175"/>
      <c r="Q54" s="170">
        <v>0</v>
      </c>
      <c r="R54" s="157"/>
      <c r="S54" s="157"/>
      <c r="T54" s="157"/>
      <c r="U54" s="175">
        <v>0</v>
      </c>
      <c r="V54" s="170">
        <f>U54</f>
        <v>0</v>
      </c>
      <c r="W54" s="175">
        <v>-6.4429999999999996</v>
      </c>
      <c r="X54" s="175">
        <f>-6.116</f>
        <v>-6.1159999999999997</v>
      </c>
      <c r="Y54" s="175">
        <v>-4.1050000000000004</v>
      </c>
      <c r="Z54" s="175">
        <v>-3.9460000000000002</v>
      </c>
      <c r="AA54" s="170">
        <f>Z54</f>
        <v>-3.9460000000000002</v>
      </c>
      <c r="AB54" s="157">
        <v>10.885</v>
      </c>
      <c r="AC54" s="157">
        <v>-6.0830000000000002</v>
      </c>
      <c r="AD54" s="157">
        <v>-12.467000000000001</v>
      </c>
      <c r="AE54" s="175">
        <v>-10.976000000000001</v>
      </c>
      <c r="AF54" s="170">
        <f t="shared" si="62"/>
        <v>-10.976000000000001</v>
      </c>
      <c r="AG54" s="157">
        <v>-9.1359999999999992</v>
      </c>
      <c r="AH54" s="157">
        <v>-16.704999999999998</v>
      </c>
      <c r="AI54" s="157">
        <v>-15.76</v>
      </c>
      <c r="AJ54" s="175">
        <v>-5.4080000000000004</v>
      </c>
      <c r="AK54" s="170">
        <f>AJ54</f>
        <v>-5.4080000000000004</v>
      </c>
      <c r="AL54" s="157">
        <f>39.393-18.744</f>
        <v>20.649000000000001</v>
      </c>
      <c r="AM54" s="157">
        <f>39.39-20.359</f>
        <v>19.030999999999999</v>
      </c>
      <c r="AN54" s="157">
        <f>39.393-6.788</f>
        <v>32.605000000000004</v>
      </c>
      <c r="AO54" s="175">
        <f>39.393-8.581</f>
        <v>30.812000000000001</v>
      </c>
      <c r="AP54" s="170">
        <f>AO54</f>
        <v>30.812000000000001</v>
      </c>
      <c r="AQ54" s="157">
        <f>39.393-10.2</f>
        <v>29.193000000000001</v>
      </c>
      <c r="AR54" s="157">
        <f>39.393-8.088</f>
        <v>31.305</v>
      </c>
      <c r="AS54" s="157">
        <f>39.393+11.544</f>
        <v>50.936999999999998</v>
      </c>
      <c r="AT54" s="175">
        <f>39.393+14.248</f>
        <v>53.640999999999998</v>
      </c>
      <c r="AU54" s="170">
        <f t="shared" si="111"/>
        <v>53.640999999999998</v>
      </c>
      <c r="AV54" s="157">
        <f>39.393+27.333</f>
        <v>66.725999999999999</v>
      </c>
      <c r="AW54" s="157">
        <f>39.393+31.125</f>
        <v>70.518000000000001</v>
      </c>
      <c r="AX54" s="157">
        <f>39.393+26.717</f>
        <v>66.11</v>
      </c>
      <c r="AY54" s="175">
        <v>29.241</v>
      </c>
      <c r="AZ54" s="170">
        <f t="shared" si="112"/>
        <v>29.241</v>
      </c>
      <c r="BA54" s="157">
        <v>52.5</v>
      </c>
      <c r="BB54" s="157">
        <v>42.021999999999998</v>
      </c>
      <c r="BC54" s="157">
        <v>24.937999999999999</v>
      </c>
      <c r="BD54" s="175">
        <v>20.914000000000001</v>
      </c>
      <c r="BE54" s="170">
        <v>20.914000000000001</v>
      </c>
      <c r="BF54" s="157">
        <v>18.419</v>
      </c>
      <c r="BG54" s="157">
        <v>26.178999999999998</v>
      </c>
      <c r="BH54" s="157">
        <v>36.911999999999999</v>
      </c>
      <c r="BI54" s="175">
        <v>37.273000000000003</v>
      </c>
      <c r="BJ54" s="170">
        <v>37.273000000000003</v>
      </c>
      <c r="BK54" s="157">
        <v>48.786999999999999</v>
      </c>
      <c r="BL54" s="157">
        <v>50.377000000000002</v>
      </c>
      <c r="BM54" s="157">
        <v>50.655000000000001</v>
      </c>
      <c r="BN54" s="175">
        <v>54.62</v>
      </c>
      <c r="BO54" s="170">
        <f>BN54</f>
        <v>54.62</v>
      </c>
      <c r="BP54" s="157">
        <v>64.5</v>
      </c>
      <c r="BQ54" s="157">
        <v>85.1</v>
      </c>
      <c r="BR54" s="157">
        <v>79.599999999999994</v>
      </c>
      <c r="BS54" s="175">
        <v>48.4</v>
      </c>
      <c r="BT54" s="170">
        <f>BS54</f>
        <v>48.4</v>
      </c>
      <c r="BU54" s="157">
        <v>44.9</v>
      </c>
      <c r="BV54" s="157">
        <v>37.4</v>
      </c>
      <c r="BW54" s="157">
        <v>47.8</v>
      </c>
      <c r="BX54" s="175">
        <f>BY54</f>
        <v>65.400000000000006</v>
      </c>
      <c r="BY54" s="170">
        <v>65.400000000000006</v>
      </c>
      <c r="BZ54" s="157">
        <v>58.2</v>
      </c>
      <c r="CA54" s="157">
        <v>47.9</v>
      </c>
      <c r="CB54" s="157">
        <v>30.4</v>
      </c>
      <c r="CC54" s="175">
        <v>57.2</v>
      </c>
      <c r="CD54" s="170">
        <f>CC54</f>
        <v>57.2</v>
      </c>
      <c r="CE54" s="157">
        <v>62.6</v>
      </c>
      <c r="CF54" s="157">
        <v>84.6</v>
      </c>
      <c r="CG54" s="157">
        <v>97.5</v>
      </c>
      <c r="CH54" s="175">
        <v>46.3</v>
      </c>
      <c r="CI54" s="170">
        <f>CH54</f>
        <v>46.3</v>
      </c>
      <c r="CJ54" s="157">
        <v>42.1</v>
      </c>
      <c r="CK54" s="157">
        <v>41.7</v>
      </c>
      <c r="CL54" s="111">
        <v>-2.5</v>
      </c>
      <c r="CM54" s="175">
        <v>22.7</v>
      </c>
      <c r="CN54" s="170">
        <f>CM54</f>
        <v>22.7</v>
      </c>
      <c r="CO54" s="157">
        <v>11.9</v>
      </c>
      <c r="CP54" s="111">
        <v>-17.3</v>
      </c>
      <c r="CQ54" s="111">
        <v>14.5</v>
      </c>
      <c r="CR54" s="113">
        <v>67</v>
      </c>
      <c r="CS54" s="125">
        <f>CR54</f>
        <v>67</v>
      </c>
      <c r="CT54" s="113">
        <v>68.7</v>
      </c>
      <c r="CU54" s="113">
        <v>64.3</v>
      </c>
      <c r="CV54" s="113">
        <v>70.900000000000006</v>
      </c>
      <c r="CW54" s="670">
        <v>25.3</v>
      </c>
      <c r="CX54" s="719">
        <f>CW54</f>
        <v>25.3</v>
      </c>
      <c r="CY54" s="113">
        <v>-97</v>
      </c>
      <c r="CZ54" s="113">
        <v>-116.9</v>
      </c>
      <c r="DA54" s="113">
        <v>-131.1</v>
      </c>
      <c r="DB54" s="871">
        <v>-199.4</v>
      </c>
      <c r="DC54" s="125">
        <f>DB54</f>
        <v>-199.4</v>
      </c>
      <c r="DD54" s="113">
        <v>-225.1</v>
      </c>
      <c r="DE54" s="113">
        <v>-189.2</v>
      </c>
      <c r="DF54" s="113">
        <v>-128.6</v>
      </c>
      <c r="DG54" s="113">
        <v>-108.4</v>
      </c>
      <c r="DH54" s="125">
        <f>DG54</f>
        <v>-108.4</v>
      </c>
      <c r="DI54" s="113">
        <v>-242.3</v>
      </c>
      <c r="DJ54" s="113">
        <v>-206.4</v>
      </c>
      <c r="DK54" s="113">
        <v>-185.1</v>
      </c>
      <c r="DL54" s="113">
        <v>-155.6</v>
      </c>
      <c r="DM54" s="125">
        <f>DL54</f>
        <v>-155.6</v>
      </c>
      <c r="DN54" s="113">
        <f t="shared" si="115"/>
        <v>-155.6</v>
      </c>
      <c r="DO54" s="113">
        <f t="shared" si="115"/>
        <v>-155.6</v>
      </c>
      <c r="DP54" s="113">
        <f t="shared" si="115"/>
        <v>-155.6</v>
      </c>
      <c r="DQ54" s="113">
        <f t="shared" si="115"/>
        <v>-155.6</v>
      </c>
      <c r="DR54" s="125">
        <f>DQ54</f>
        <v>-155.6</v>
      </c>
      <c r="DS54" s="113">
        <f t="shared" si="116"/>
        <v>-155.6</v>
      </c>
      <c r="DT54" s="113">
        <f t="shared" si="116"/>
        <v>-155.6</v>
      </c>
      <c r="DU54" s="113">
        <f t="shared" si="116"/>
        <v>-155.6</v>
      </c>
      <c r="DV54" s="113">
        <f t="shared" si="116"/>
        <v>-155.6</v>
      </c>
      <c r="DW54" s="125">
        <f>DV54</f>
        <v>-155.6</v>
      </c>
      <c r="DX54" s="113">
        <f t="shared" si="117"/>
        <v>-155.6</v>
      </c>
      <c r="DY54" s="113">
        <f t="shared" si="117"/>
        <v>-155.6</v>
      </c>
      <c r="DZ54" s="113">
        <f t="shared" si="117"/>
        <v>-155.6</v>
      </c>
      <c r="EA54" s="113">
        <f t="shared" si="117"/>
        <v>-155.6</v>
      </c>
      <c r="EB54" s="125">
        <f>EA54</f>
        <v>-155.6</v>
      </c>
      <c r="ED54" s="418"/>
      <c r="EK54" s="418"/>
    </row>
    <row r="55" spans="1:141" x14ac:dyDescent="0.2">
      <c r="A55" s="199" t="s">
        <v>494</v>
      </c>
      <c r="B55" s="200">
        <v>109.9</v>
      </c>
      <c r="C55" s="201">
        <f>SUM(C50:C54)</f>
        <v>0</v>
      </c>
      <c r="D55" s="201">
        <f>SUM(D50:D54)</f>
        <v>0</v>
      </c>
      <c r="E55" s="201">
        <f>SUM(E50:E54)</f>
        <v>0</v>
      </c>
      <c r="F55" s="201">
        <f>SUM(F50:F54)</f>
        <v>0</v>
      </c>
      <c r="G55" s="200">
        <v>312.2</v>
      </c>
      <c r="H55" s="201">
        <f>SUM(H50:H54)</f>
        <v>0</v>
      </c>
      <c r="I55" s="201">
        <f>SUM(I50:I54)</f>
        <v>0</v>
      </c>
      <c r="J55" s="201">
        <f>SUM(J50:J54)</f>
        <v>0</v>
      </c>
      <c r="K55" s="201">
        <f>SUM(K50:K54)</f>
        <v>0</v>
      </c>
      <c r="L55" s="200">
        <v>451.7</v>
      </c>
      <c r="M55" s="201">
        <f t="shared" ref="M55:AE55" si="118">SUM(M50:M54)</f>
        <v>0</v>
      </c>
      <c r="N55" s="201">
        <f t="shared" si="118"/>
        <v>0</v>
      </c>
      <c r="O55" s="201">
        <f t="shared" si="118"/>
        <v>0</v>
      </c>
      <c r="P55" s="201">
        <f t="shared" si="118"/>
        <v>0</v>
      </c>
      <c r="Q55" s="200">
        <f t="shared" si="118"/>
        <v>533.53</v>
      </c>
      <c r="R55" s="201">
        <f t="shared" si="118"/>
        <v>0</v>
      </c>
      <c r="S55" s="201">
        <f t="shared" si="118"/>
        <v>0</v>
      </c>
      <c r="T55" s="201">
        <f t="shared" si="118"/>
        <v>0</v>
      </c>
      <c r="U55" s="201">
        <f t="shared" si="118"/>
        <v>794.29700000000003</v>
      </c>
      <c r="V55" s="200">
        <f t="shared" si="118"/>
        <v>794.29700000000003</v>
      </c>
      <c r="W55" s="201">
        <f>SUM(W50:W54)</f>
        <v>840.03600000000006</v>
      </c>
      <c r="X55" s="201">
        <f>SUM(X50:X54)</f>
        <v>889.33699999999999</v>
      </c>
      <c r="Y55" s="201">
        <f>SUM(Y50:Y54)</f>
        <v>921.89400000000001</v>
      </c>
      <c r="Z55" s="201">
        <f>SUM(Z50:Z54)</f>
        <v>961.01300000000003</v>
      </c>
      <c r="AA55" s="200">
        <f t="shared" si="118"/>
        <v>961.01300000000003</v>
      </c>
      <c r="AB55" s="199">
        <f t="shared" si="118"/>
        <v>1018.362</v>
      </c>
      <c r="AC55" s="199">
        <f t="shared" si="118"/>
        <v>1068.1799999999998</v>
      </c>
      <c r="AD55" s="199">
        <f t="shared" si="118"/>
        <v>1110.4359999999999</v>
      </c>
      <c r="AE55" s="199">
        <f t="shared" si="118"/>
        <v>1148.3989999999999</v>
      </c>
      <c r="AF55" s="200">
        <f t="shared" si="62"/>
        <v>1148.3989999999999</v>
      </c>
      <c r="AG55" s="199">
        <f>SUM(AG50:AG54)</f>
        <v>1227.702</v>
      </c>
      <c r="AH55" s="199">
        <f>SUM(AH50:AH54)</f>
        <v>1292.21</v>
      </c>
      <c r="AI55" s="199">
        <f>SUM(AI50:AI54)</f>
        <v>1354.6610000000001</v>
      </c>
      <c r="AJ55" s="199">
        <f>SUM(AJ50:AJ54)</f>
        <v>1375.9270000000001</v>
      </c>
      <c r="AK55" s="200">
        <f>AJ55</f>
        <v>1375.9270000000001</v>
      </c>
      <c r="AL55" s="199">
        <f>SUM(AL50:AL54)</f>
        <v>1500.3319999999999</v>
      </c>
      <c r="AM55" s="199">
        <f>SUM(AM50:AM54)</f>
        <v>1584.1590000000001</v>
      </c>
      <c r="AN55" s="199">
        <f>SUM(AN50:AN54)</f>
        <v>1712.088</v>
      </c>
      <c r="AO55" s="199">
        <f>SUM(AO50:AO54)</f>
        <v>1723.58</v>
      </c>
      <c r="AP55" s="200">
        <f>AO55</f>
        <v>1723.58</v>
      </c>
      <c r="AQ55" s="199">
        <f>SUM(AQ50:AQ54)</f>
        <v>1791.1189999999999</v>
      </c>
      <c r="AR55" s="199">
        <f>SUM(AR50:AR54)</f>
        <v>1894.5450000000001</v>
      </c>
      <c r="AS55" s="199">
        <f>SUM(AS50:AS54)</f>
        <v>1976.819</v>
      </c>
      <c r="AT55" s="199">
        <f>SUM(AT50:AT54)</f>
        <v>2082.4270000000001</v>
      </c>
      <c r="AU55" s="200">
        <f t="shared" si="111"/>
        <v>2082.4270000000001</v>
      </c>
      <c r="AV55" s="199">
        <f>SUM(AV50:AV54)</f>
        <v>2246.4369999999999</v>
      </c>
      <c r="AW55" s="199">
        <f>AW26-AW41-AW47</f>
        <v>2353.3589999999999</v>
      </c>
      <c r="AX55" s="199">
        <f>AX26-AX41-AX47</f>
        <v>2449.4850000000001</v>
      </c>
      <c r="AY55" s="199">
        <f>AY26-AY41-AY47</f>
        <v>2470.6480000000006</v>
      </c>
      <c r="AZ55" s="200">
        <f t="shared" ref="AZ55:CE55" si="119">SUM(AZ50:AZ54)</f>
        <v>2470.2110000000002</v>
      </c>
      <c r="BA55" s="199">
        <f t="shared" si="119"/>
        <v>2801.134</v>
      </c>
      <c r="BB55" s="199">
        <f t="shared" si="119"/>
        <v>2604.2839999999997</v>
      </c>
      <c r="BC55" s="199">
        <f t="shared" si="119"/>
        <v>2275.857</v>
      </c>
      <c r="BD55" s="199">
        <f t="shared" si="119"/>
        <v>2090.2620000000002</v>
      </c>
      <c r="BE55" s="200">
        <f t="shared" si="119"/>
        <v>2090.2620000000002</v>
      </c>
      <c r="BF55" s="199">
        <f t="shared" si="119"/>
        <v>2232.7919999999999</v>
      </c>
      <c r="BG55" s="199">
        <f t="shared" si="119"/>
        <v>2417.9089999999997</v>
      </c>
      <c r="BH55" s="199">
        <f t="shared" si="119"/>
        <v>2505.0949999999998</v>
      </c>
      <c r="BI55" s="201">
        <f t="shared" si="119"/>
        <v>2228.5059999999999</v>
      </c>
      <c r="BJ55" s="200">
        <f t="shared" si="119"/>
        <v>2228.5059999999999</v>
      </c>
      <c r="BK55" s="199">
        <f t="shared" si="119"/>
        <v>2438.855</v>
      </c>
      <c r="BL55" s="199">
        <f t="shared" si="119"/>
        <v>2212.299</v>
      </c>
      <c r="BM55" s="199">
        <f t="shared" si="119"/>
        <v>2355.7850000000003</v>
      </c>
      <c r="BN55" s="201">
        <f t="shared" si="119"/>
        <v>2284.1169999999997</v>
      </c>
      <c r="BO55" s="200">
        <f t="shared" si="119"/>
        <v>2284.1169999999997</v>
      </c>
      <c r="BP55" s="199">
        <f>SUM(BP50:BP54)</f>
        <v>2253.1999999999998</v>
      </c>
      <c r="BQ55" s="199">
        <f>SUM(BQ50:BQ54)</f>
        <v>2440.7999999999997</v>
      </c>
      <c r="BR55" s="199">
        <f>SUM(BR50:BR54)</f>
        <v>2477.2999999999997</v>
      </c>
      <c r="BS55" s="201">
        <f>SUM(BS50:BS54)</f>
        <v>2490.9</v>
      </c>
      <c r="BT55" s="200">
        <f t="shared" si="119"/>
        <v>2490.9</v>
      </c>
      <c r="BU55" s="199">
        <f t="shared" si="119"/>
        <v>2584.6</v>
      </c>
      <c r="BV55" s="199">
        <f t="shared" si="119"/>
        <v>2630.3999999999996</v>
      </c>
      <c r="BW55" s="199">
        <f t="shared" si="119"/>
        <v>2818</v>
      </c>
      <c r="BX55" s="201">
        <f t="shared" si="119"/>
        <v>3045.7</v>
      </c>
      <c r="BY55" s="200">
        <f t="shared" si="119"/>
        <v>3045.7</v>
      </c>
      <c r="BZ55" s="199">
        <f t="shared" si="119"/>
        <v>3351.2999999999997</v>
      </c>
      <c r="CA55" s="199">
        <f t="shared" si="119"/>
        <v>3541</v>
      </c>
      <c r="CB55" s="199">
        <f t="shared" si="119"/>
        <v>3520.9</v>
      </c>
      <c r="CC55" s="201">
        <f t="shared" si="119"/>
        <v>3674.6999999999994</v>
      </c>
      <c r="CD55" s="200">
        <f t="shared" si="119"/>
        <v>3674.6999999999994</v>
      </c>
      <c r="CE55" s="199">
        <f t="shared" si="119"/>
        <v>4051.7</v>
      </c>
      <c r="CF55" s="199">
        <f t="shared" ref="CF55:DM55" si="120">SUM(CF50:CF54)</f>
        <v>4317.8</v>
      </c>
      <c r="CG55" s="199">
        <f t="shared" si="120"/>
        <v>4338.8999999999996</v>
      </c>
      <c r="CH55" s="201">
        <f t="shared" si="120"/>
        <v>4384.8999999999996</v>
      </c>
      <c r="CI55" s="200">
        <f t="shared" si="120"/>
        <v>4384.8999999999996</v>
      </c>
      <c r="CJ55" s="199">
        <f t="shared" si="120"/>
        <v>4772.8</v>
      </c>
      <c r="CK55" s="199">
        <f t="shared" si="120"/>
        <v>5133.9000000000005</v>
      </c>
      <c r="CL55" s="199">
        <f t="shared" si="120"/>
        <v>5385</v>
      </c>
      <c r="CM55" s="201">
        <f t="shared" si="120"/>
        <v>5108.9999999999991</v>
      </c>
      <c r="CN55" s="200">
        <f t="shared" si="120"/>
        <v>5108.9999999999991</v>
      </c>
      <c r="CO55" s="199">
        <f t="shared" si="120"/>
        <v>5169.2999999999993</v>
      </c>
      <c r="CP55" s="199">
        <f t="shared" si="120"/>
        <v>5321.4</v>
      </c>
      <c r="CQ55" s="199">
        <f t="shared" si="120"/>
        <v>5741.5</v>
      </c>
      <c r="CR55" s="201">
        <f t="shared" si="120"/>
        <v>4480.2000000000007</v>
      </c>
      <c r="CS55" s="200">
        <f t="shared" si="120"/>
        <v>4480.2000000000007</v>
      </c>
      <c r="CT55" s="201">
        <f t="shared" si="120"/>
        <v>4887.3999999999996</v>
      </c>
      <c r="CU55" s="201">
        <f t="shared" si="120"/>
        <v>4945.1000000000004</v>
      </c>
      <c r="CV55" s="201">
        <f t="shared" si="120"/>
        <v>5068.7999999999993</v>
      </c>
      <c r="CW55" s="691">
        <f t="shared" si="120"/>
        <v>5272</v>
      </c>
      <c r="CX55" s="750">
        <f t="shared" si="120"/>
        <v>5272</v>
      </c>
      <c r="CY55" s="201">
        <f t="shared" si="120"/>
        <v>5775.4</v>
      </c>
      <c r="CZ55" s="201">
        <f t="shared" si="120"/>
        <v>6008.7000000000007</v>
      </c>
      <c r="DA55" s="201">
        <f t="shared" si="120"/>
        <v>5856.5</v>
      </c>
      <c r="DB55" s="872">
        <f t="shared" si="120"/>
        <v>5818.0000000000009</v>
      </c>
      <c r="DC55" s="200">
        <f t="shared" si="120"/>
        <v>5818.0000000000009</v>
      </c>
      <c r="DD55" s="201">
        <f t="shared" si="120"/>
        <v>5981.5</v>
      </c>
      <c r="DE55" s="201">
        <f t="shared" si="120"/>
        <v>5094.6000000000004</v>
      </c>
      <c r="DF55" s="201">
        <f t="shared" si="120"/>
        <v>5721.7999999999993</v>
      </c>
      <c r="DG55" s="201">
        <f t="shared" si="120"/>
        <v>5884.0000000000009</v>
      </c>
      <c r="DH55" s="200">
        <f t="shared" si="120"/>
        <v>5884.0000000000009</v>
      </c>
      <c r="DI55" s="201">
        <f t="shared" si="120"/>
        <v>5796.6</v>
      </c>
      <c r="DJ55" s="201">
        <f t="shared" si="120"/>
        <v>5605</v>
      </c>
      <c r="DK55" s="201">
        <f t="shared" si="120"/>
        <v>5843.4</v>
      </c>
      <c r="DL55" s="201">
        <f t="shared" ref="DL55:DR55" si="121">SUM(DL50:DL54)</f>
        <v>5450.0999999999995</v>
      </c>
      <c r="DM55" s="200">
        <f t="shared" si="120"/>
        <v>5450.0999999999995</v>
      </c>
      <c r="DN55" s="201">
        <f t="shared" si="121"/>
        <v>6390.163801428087</v>
      </c>
      <c r="DO55" s="201">
        <f t="shared" si="121"/>
        <v>6051.0378924058969</v>
      </c>
      <c r="DP55" s="201">
        <f t="shared" si="121"/>
        <v>5865.1656163059833</v>
      </c>
      <c r="DQ55" s="201">
        <f t="shared" si="121"/>
        <v>5721.447107032951</v>
      </c>
      <c r="DR55" s="200">
        <f t="shared" si="121"/>
        <v>5721.447107032951</v>
      </c>
      <c r="DS55" s="201">
        <f t="shared" ref="DS55:EB55" si="122">SUM(DS50:DS54)</f>
        <v>5577.5742534879155</v>
      </c>
      <c r="DT55" s="201">
        <f t="shared" si="122"/>
        <v>5333.1469605475886</v>
      </c>
      <c r="DU55" s="201">
        <f t="shared" si="122"/>
        <v>5244.7632862023165</v>
      </c>
      <c r="DV55" s="201">
        <f t="shared" si="122"/>
        <v>5204.1232678263841</v>
      </c>
      <c r="DW55" s="200">
        <f t="shared" si="122"/>
        <v>5204.1232678263841</v>
      </c>
      <c r="DX55" s="201">
        <f t="shared" si="122"/>
        <v>5283.8697091291851</v>
      </c>
      <c r="DY55" s="201">
        <f t="shared" si="122"/>
        <v>5260.5010702281834</v>
      </c>
      <c r="DZ55" s="201">
        <f t="shared" si="122"/>
        <v>5011.2136807771149</v>
      </c>
      <c r="EA55" s="201">
        <f t="shared" si="122"/>
        <v>4812.763743357913</v>
      </c>
      <c r="EB55" s="200">
        <f t="shared" si="122"/>
        <v>4812.763743357913</v>
      </c>
      <c r="ED55" s="418"/>
      <c r="EK55" s="418"/>
    </row>
    <row r="56" spans="1:141" x14ac:dyDescent="0.2">
      <c r="A56" s="1" t="s">
        <v>493</v>
      </c>
      <c r="B56" s="179"/>
      <c r="C56" s="175"/>
      <c r="D56" s="175"/>
      <c r="E56" s="175"/>
      <c r="F56" s="175"/>
      <c r="G56" s="170"/>
      <c r="H56" s="157"/>
      <c r="I56" s="157"/>
      <c r="J56" s="157"/>
      <c r="K56" s="175"/>
      <c r="L56" s="170"/>
      <c r="M56" s="157"/>
      <c r="N56" s="157"/>
      <c r="O56" s="157"/>
      <c r="P56" s="175"/>
      <c r="Q56" s="170"/>
      <c r="R56" s="157"/>
      <c r="S56" s="157"/>
      <c r="T56" s="157"/>
      <c r="U56" s="175"/>
      <c r="V56" s="170"/>
      <c r="W56" s="175"/>
      <c r="X56" s="175"/>
      <c r="Y56" s="175"/>
      <c r="Z56" s="175"/>
      <c r="AA56" s="170"/>
      <c r="AB56" s="157"/>
      <c r="AC56" s="157"/>
      <c r="AD56" s="157"/>
      <c r="AE56" s="175"/>
      <c r="AF56" s="170"/>
      <c r="AG56" s="157"/>
      <c r="AH56" s="157"/>
      <c r="AI56" s="157"/>
      <c r="AJ56" s="175"/>
      <c r="AK56" s="170"/>
      <c r="AL56" s="157"/>
      <c r="AM56" s="157"/>
      <c r="AN56" s="157"/>
      <c r="AO56" s="175"/>
      <c r="AP56" s="170"/>
      <c r="AQ56" s="157" t="s">
        <v>210</v>
      </c>
      <c r="AR56" s="157" t="s">
        <v>210</v>
      </c>
      <c r="AS56" s="157" t="s">
        <v>210</v>
      </c>
      <c r="AT56" s="175" t="s">
        <v>210</v>
      </c>
      <c r="AU56" s="170"/>
      <c r="AV56" s="157"/>
      <c r="AW56" s="157"/>
      <c r="AX56" s="157"/>
      <c r="AY56" s="175"/>
      <c r="AZ56" s="170"/>
      <c r="BA56" s="157"/>
      <c r="BB56" s="157"/>
      <c r="BC56" s="157"/>
      <c r="BD56" s="175"/>
      <c r="BE56" s="170"/>
      <c r="BF56" s="157"/>
      <c r="BG56" s="157"/>
      <c r="BH56" s="157"/>
      <c r="BI56" s="175"/>
      <c r="BJ56" s="170"/>
      <c r="BK56" s="157" t="s">
        <v>210</v>
      </c>
      <c r="BL56" s="157" t="s">
        <v>210</v>
      </c>
      <c r="BM56" s="157" t="s">
        <v>210</v>
      </c>
      <c r="BN56" s="175" t="s">
        <v>210</v>
      </c>
      <c r="BO56" s="170"/>
      <c r="BP56" s="157"/>
      <c r="BQ56" s="157"/>
      <c r="BR56" s="157"/>
      <c r="BS56" s="175"/>
      <c r="BT56" s="170"/>
      <c r="BU56" s="157" t="s">
        <v>210</v>
      </c>
      <c r="BV56" s="157" t="s">
        <v>210</v>
      </c>
      <c r="BW56" s="157" t="s">
        <v>210</v>
      </c>
      <c r="BX56" s="175">
        <f>BY56</f>
        <v>11.2</v>
      </c>
      <c r="BY56" s="170">
        <v>11.2</v>
      </c>
      <c r="BZ56" s="157">
        <v>12.8</v>
      </c>
      <c r="CA56" s="157">
        <v>13.7</v>
      </c>
      <c r="CB56" s="157">
        <v>13.7</v>
      </c>
      <c r="CC56" s="175">
        <v>7.6</v>
      </c>
      <c r="CD56" s="170">
        <f>CC56</f>
        <v>7.6</v>
      </c>
      <c r="CE56" s="157">
        <v>8.6</v>
      </c>
      <c r="CF56" s="157">
        <v>9.4</v>
      </c>
      <c r="CG56" s="157">
        <v>2.6</v>
      </c>
      <c r="CH56" s="175">
        <v>2.4</v>
      </c>
      <c r="CI56" s="170">
        <f>CH56</f>
        <v>2.4</v>
      </c>
      <c r="CJ56" s="157">
        <v>2.5</v>
      </c>
      <c r="CK56" s="157">
        <v>2.8</v>
      </c>
      <c r="CL56" s="157">
        <v>3</v>
      </c>
      <c r="CM56" s="175">
        <v>5.5</v>
      </c>
      <c r="CN56" s="170">
        <f>CM56</f>
        <v>5.5</v>
      </c>
      <c r="CO56" s="157">
        <v>5.7</v>
      </c>
      <c r="CP56" s="157">
        <v>6.1</v>
      </c>
      <c r="CQ56" s="175">
        <v>6.1</v>
      </c>
      <c r="CR56" s="175">
        <v>2.1</v>
      </c>
      <c r="CS56" s="170">
        <f>CR56</f>
        <v>2.1</v>
      </c>
      <c r="CT56" s="175">
        <f>CS56+IS!CT43</f>
        <v>2.1</v>
      </c>
      <c r="CU56" s="175">
        <v>2</v>
      </c>
      <c r="CV56" s="175">
        <v>2</v>
      </c>
      <c r="CW56" s="678">
        <v>1.7</v>
      </c>
      <c r="CX56" s="742">
        <f>CW56</f>
        <v>1.7</v>
      </c>
      <c r="CY56" s="175">
        <v>382.4</v>
      </c>
      <c r="CZ56" s="175">
        <v>2</v>
      </c>
      <c r="DA56" s="175">
        <v>1.8</v>
      </c>
      <c r="DB56" s="861">
        <v>1.8</v>
      </c>
      <c r="DC56" s="170">
        <f>DB56</f>
        <v>1.8</v>
      </c>
      <c r="DD56" s="175">
        <v>1.9000000000000001</v>
      </c>
      <c r="DE56" s="175">
        <v>1.8</v>
      </c>
      <c r="DF56" s="175">
        <v>2.2000000000000002</v>
      </c>
      <c r="DG56" s="175">
        <v>6.7</v>
      </c>
      <c r="DH56" s="170">
        <f>DG56</f>
        <v>6.7</v>
      </c>
      <c r="DI56" s="175">
        <v>6.5</v>
      </c>
      <c r="DJ56" s="175">
        <v>6.4</v>
      </c>
      <c r="DK56" s="175">
        <f>DJ56+IS!DK43</f>
        <v>6.1000000000000005</v>
      </c>
      <c r="DL56" s="175">
        <f>DK56+IS!DL43</f>
        <v>6.9</v>
      </c>
      <c r="DM56" s="170">
        <f>DL56</f>
        <v>6.9</v>
      </c>
      <c r="DN56" s="175">
        <f>DM56+IS!DN43</f>
        <v>6.8000000000000007</v>
      </c>
      <c r="DO56" s="175">
        <f>DN56+IS!DO43</f>
        <v>6.8000000000000007</v>
      </c>
      <c r="DP56" s="175">
        <f>DO56+IS!DP43</f>
        <v>6.8000000000000007</v>
      </c>
      <c r="DQ56" s="175">
        <f>DP56+IS!DQ43</f>
        <v>6.8000000000000007</v>
      </c>
      <c r="DR56" s="170">
        <f>DQ56</f>
        <v>6.8000000000000007</v>
      </c>
      <c r="DS56" s="175">
        <f>DR56+IS!DS43</f>
        <v>6.8000000000000007</v>
      </c>
      <c r="DT56" s="175">
        <f>DS56+IS!DT43</f>
        <v>6.8000000000000007</v>
      </c>
      <c r="DU56" s="175">
        <f>DT56+IS!DU43</f>
        <v>6.8000000000000007</v>
      </c>
      <c r="DV56" s="175">
        <f>DU56+IS!DV43</f>
        <v>6.8000000000000007</v>
      </c>
      <c r="DW56" s="170">
        <f>DV56</f>
        <v>6.8000000000000007</v>
      </c>
      <c r="DX56" s="175">
        <f>DW56+IS!DX43</f>
        <v>6.8000000000000007</v>
      </c>
      <c r="DY56" s="175">
        <f>DX56+IS!DY43</f>
        <v>6.8000000000000007</v>
      </c>
      <c r="DZ56" s="175">
        <f>DY56+IS!DZ43</f>
        <v>6.8000000000000007</v>
      </c>
      <c r="EA56" s="175">
        <f>DZ56+IS!EA43</f>
        <v>6.8000000000000007</v>
      </c>
      <c r="EB56" s="170">
        <f>EA56</f>
        <v>6.8000000000000007</v>
      </c>
      <c r="ED56" s="418"/>
      <c r="EK56" s="418"/>
    </row>
    <row r="57" spans="1:141" x14ac:dyDescent="0.2">
      <c r="A57" s="202" t="s">
        <v>492</v>
      </c>
      <c r="B57" s="120">
        <v>231.4</v>
      </c>
      <c r="C57" s="203">
        <f>SUM(C55,C41:C46)</f>
        <v>0</v>
      </c>
      <c r="D57" s="203">
        <f>SUM(D55,D41:D46)</f>
        <v>0</v>
      </c>
      <c r="E57" s="203">
        <f>SUM(E55,E41:E46)</f>
        <v>0</v>
      </c>
      <c r="F57" s="203">
        <f>SUM(F41,F45:F46,F55)</f>
        <v>0</v>
      </c>
      <c r="G57" s="120">
        <v>468.2</v>
      </c>
      <c r="H57" s="203">
        <f>SUM(H55,H41:H46)</f>
        <v>0</v>
      </c>
      <c r="I57" s="203">
        <f>SUM(I55,I41:I46)</f>
        <v>0</v>
      </c>
      <c r="J57" s="203">
        <f>SUM(J55,J41:J46)</f>
        <v>0</v>
      </c>
      <c r="K57" s="203">
        <f>SUM(K41,K45:K46,K55)</f>
        <v>0</v>
      </c>
      <c r="L57" s="120">
        <v>726.6</v>
      </c>
      <c r="M57" s="203">
        <f>SUM(M41,M45:M46,M55)</f>
        <v>107.2</v>
      </c>
      <c r="N57" s="203">
        <f>SUM(N41,N45:N46,N55)</f>
        <v>111.8</v>
      </c>
      <c r="O57" s="203">
        <f>SUM(O41,O45:O46,O55)</f>
        <v>125.7</v>
      </c>
      <c r="P57" s="203">
        <f>SUM(P41,P45:P46,P55)</f>
        <v>0</v>
      </c>
      <c r="Q57" s="120">
        <f>Q41+Q47+Q55</f>
        <v>857.11900000000003</v>
      </c>
      <c r="R57" s="203">
        <f>R41+R47+R55</f>
        <v>0</v>
      </c>
      <c r="S57" s="203">
        <f>S41+S47+S55</f>
        <v>0</v>
      </c>
      <c r="T57" s="203">
        <f>T41+T47+T55</f>
        <v>0</v>
      </c>
      <c r="U57" s="203">
        <f>U41+U47+U55</f>
        <v>992.755</v>
      </c>
      <c r="V57" s="120">
        <f>U57</f>
        <v>992.755</v>
      </c>
      <c r="W57" s="203">
        <f>W41+W47+W55</f>
        <v>1056.4459999999999</v>
      </c>
      <c r="X57" s="203">
        <f>X41+X47+X55</f>
        <v>1094.3389999999999</v>
      </c>
      <c r="Y57" s="203">
        <f>Y41+Y47+Y55</f>
        <v>1168.538</v>
      </c>
      <c r="Z57" s="203">
        <f>Z41+Z47+Z55</f>
        <v>1252.5140000000001</v>
      </c>
      <c r="AA57" s="120">
        <f>Z57</f>
        <v>1252.5140000000001</v>
      </c>
      <c r="AB57" s="203">
        <f>AB41+AB47+AB55</f>
        <v>1324.557</v>
      </c>
      <c r="AC57" s="203">
        <f>AC41+AC47+AC55</f>
        <v>1383.9509999999998</v>
      </c>
      <c r="AD57" s="203">
        <f>AD41+AD47+AD55</f>
        <v>1455.0299999999997</v>
      </c>
      <c r="AE57" s="203">
        <f>AE41+AE47+AE55</f>
        <v>1493.1399999999999</v>
      </c>
      <c r="AF57" s="120">
        <f>AE57</f>
        <v>1493.1399999999999</v>
      </c>
      <c r="AG57" s="203">
        <f>AG41+AG47+AG55</f>
        <v>1601.848</v>
      </c>
      <c r="AH57" s="203">
        <f>AH41+AH47+AH55</f>
        <v>1668.269</v>
      </c>
      <c r="AI57" s="203">
        <f>AI41+AI47+AI55</f>
        <v>1782.8420000000001</v>
      </c>
      <c r="AJ57" s="203">
        <f>AJ41+AJ47+AJ55</f>
        <v>1851.0390000000002</v>
      </c>
      <c r="AK57" s="120">
        <f>AJ57</f>
        <v>1851.0390000000002</v>
      </c>
      <c r="AL57" s="203">
        <f>AL41+AL47+AL55</f>
        <v>1964.4459999999999</v>
      </c>
      <c r="AM57" s="203">
        <f>AM41+AM47+AM55</f>
        <v>2019.6289999999999</v>
      </c>
      <c r="AN57" s="203">
        <f>AN41+AN47+AN55</f>
        <v>2215.7599999999998</v>
      </c>
      <c r="AO57" s="203">
        <f>AO41+AO47+AO55</f>
        <v>2214.7829999999999</v>
      </c>
      <c r="AP57" s="120">
        <f>AO57</f>
        <v>2214.7829999999999</v>
      </c>
      <c r="AQ57" s="203">
        <f>AQ41+AQ47+AQ55</f>
        <v>2353.9519999999998</v>
      </c>
      <c r="AR57" s="203">
        <f>AR41+AR47+AR55</f>
        <v>2420.9270000000001</v>
      </c>
      <c r="AS57" s="203">
        <f>AS41+AS47+AS55</f>
        <v>2604.125</v>
      </c>
      <c r="AT57" s="203">
        <f>AT41+AT47+AT55</f>
        <v>2729.7460000000001</v>
      </c>
      <c r="AU57" s="120">
        <f>AT57</f>
        <v>2729.7460000000001</v>
      </c>
      <c r="AV57" s="203">
        <f t="shared" ref="AV57:BN57" si="123">AV41+AV47+AV55</f>
        <v>3073.107</v>
      </c>
      <c r="AW57" s="203">
        <f t="shared" si="123"/>
        <v>3095.6549999999997</v>
      </c>
      <c r="AX57" s="203">
        <f t="shared" si="123"/>
        <v>3224.2920000000004</v>
      </c>
      <c r="AY57" s="203">
        <f t="shared" si="123"/>
        <v>3386.9780000000005</v>
      </c>
      <c r="AZ57" s="120">
        <f t="shared" si="123"/>
        <v>3386.5410000000002</v>
      </c>
      <c r="BA57" s="203">
        <f t="shared" si="123"/>
        <v>3819.8339999999998</v>
      </c>
      <c r="BB57" s="203">
        <f t="shared" si="123"/>
        <v>3603.4169999999995</v>
      </c>
      <c r="BC57" s="203">
        <f t="shared" si="123"/>
        <v>3327.9809999999998</v>
      </c>
      <c r="BD57" s="203">
        <f t="shared" si="123"/>
        <v>3513.6930000000002</v>
      </c>
      <c r="BE57" s="120">
        <f t="shared" si="123"/>
        <v>3513.6930000000002</v>
      </c>
      <c r="BF57" s="203">
        <f t="shared" si="123"/>
        <v>3713.085</v>
      </c>
      <c r="BG57" s="203">
        <f t="shared" si="123"/>
        <v>3817.04</v>
      </c>
      <c r="BH57" s="203">
        <f t="shared" si="123"/>
        <v>4052.442</v>
      </c>
      <c r="BI57" s="203">
        <f t="shared" si="123"/>
        <v>4428.9410000000007</v>
      </c>
      <c r="BJ57" s="120">
        <f t="shared" si="123"/>
        <v>4428.9410000000007</v>
      </c>
      <c r="BK57" s="203">
        <f t="shared" si="123"/>
        <v>4527.634</v>
      </c>
      <c r="BL57" s="203">
        <f t="shared" si="123"/>
        <v>4636.875</v>
      </c>
      <c r="BM57" s="203">
        <f t="shared" si="123"/>
        <v>4903.9229999999998</v>
      </c>
      <c r="BN57" s="203">
        <f t="shared" si="123"/>
        <v>5343.8780000000006</v>
      </c>
      <c r="BO57" s="120">
        <f>BN57</f>
        <v>5343.8780000000006</v>
      </c>
      <c r="BP57" s="203">
        <f>SUM(BP41,BP47,BP55)</f>
        <v>5506.4</v>
      </c>
      <c r="BQ57" s="203">
        <f>SUM(BQ41,BQ47,BQ55)</f>
        <v>5534.0999999999995</v>
      </c>
      <c r="BR57" s="203">
        <f>SUM(BR41,BR47,BR55)</f>
        <v>5552.2999999999993</v>
      </c>
      <c r="BS57" s="203">
        <f>SUM(BS41,BS47,BS55)</f>
        <v>5672.6</v>
      </c>
      <c r="BT57" s="120">
        <f>BS57</f>
        <v>5672.6</v>
      </c>
      <c r="BU57" s="203">
        <f>BU41+BU47+BU55</f>
        <v>5530.4</v>
      </c>
      <c r="BV57" s="203">
        <f>BV41+BV47+BV55</f>
        <v>5281.2999999999993</v>
      </c>
      <c r="BW57" s="203">
        <f>BW41+BW47+BW55</f>
        <v>5333.1</v>
      </c>
      <c r="BX57" s="203">
        <f t="shared" ref="BX57:DR57" si="124">BX41+BX47+BX55+BX56</f>
        <v>5576.8</v>
      </c>
      <c r="BY57" s="120">
        <f t="shared" si="124"/>
        <v>5576.8</v>
      </c>
      <c r="BZ57" s="203">
        <f t="shared" si="124"/>
        <v>6101.5999999999995</v>
      </c>
      <c r="CA57" s="203">
        <f t="shared" si="124"/>
        <v>6144.7</v>
      </c>
      <c r="CB57" s="203">
        <f t="shared" si="124"/>
        <v>6206.9000000000005</v>
      </c>
      <c r="CC57" s="203">
        <f t="shared" si="124"/>
        <v>6385.9</v>
      </c>
      <c r="CD57" s="120">
        <f t="shared" si="124"/>
        <v>6385.9</v>
      </c>
      <c r="CE57" s="203">
        <f t="shared" si="124"/>
        <v>6931.1</v>
      </c>
      <c r="CF57" s="203">
        <f t="shared" si="124"/>
        <v>7027.6</v>
      </c>
      <c r="CG57" s="203">
        <f t="shared" si="124"/>
        <v>7097.8</v>
      </c>
      <c r="CH57" s="203">
        <f t="shared" si="124"/>
        <v>7360.4</v>
      </c>
      <c r="CI57" s="120">
        <f t="shared" si="124"/>
        <v>7360.4</v>
      </c>
      <c r="CJ57" s="203">
        <f t="shared" si="124"/>
        <v>7835.6</v>
      </c>
      <c r="CK57" s="203">
        <f t="shared" si="124"/>
        <v>8006.5000000000009</v>
      </c>
      <c r="CL57" s="203">
        <f t="shared" si="124"/>
        <v>8308.9</v>
      </c>
      <c r="CM57" s="203">
        <f t="shared" si="124"/>
        <v>8219.1999999999989</v>
      </c>
      <c r="CN57" s="120">
        <f t="shared" si="124"/>
        <v>8219.1999999999989</v>
      </c>
      <c r="CO57" s="203">
        <f t="shared" si="124"/>
        <v>8490.0999999999985</v>
      </c>
      <c r="CP57" s="203">
        <f t="shared" si="124"/>
        <v>8502.7999999999993</v>
      </c>
      <c r="CQ57" s="203">
        <f t="shared" si="124"/>
        <v>9062.3000000000011</v>
      </c>
      <c r="CR57" s="203">
        <f t="shared" si="124"/>
        <v>11516.7</v>
      </c>
      <c r="CS57" s="120">
        <f t="shared" si="124"/>
        <v>11516.7</v>
      </c>
      <c r="CT57" s="203">
        <f t="shared" si="124"/>
        <v>10255.200000000001</v>
      </c>
      <c r="CU57" s="203">
        <f t="shared" si="124"/>
        <v>10097</v>
      </c>
      <c r="CV57" s="203">
        <f t="shared" si="124"/>
        <v>10385.299999999999</v>
      </c>
      <c r="CW57" s="692">
        <f t="shared" si="124"/>
        <v>10752.900000000001</v>
      </c>
      <c r="CX57" s="728">
        <f t="shared" si="124"/>
        <v>10752.900000000001</v>
      </c>
      <c r="CY57" s="203">
        <f t="shared" si="124"/>
        <v>12351.1</v>
      </c>
      <c r="CZ57" s="203">
        <f t="shared" si="124"/>
        <v>12190.7</v>
      </c>
      <c r="DA57" s="203">
        <f t="shared" si="124"/>
        <v>12868.8</v>
      </c>
      <c r="DB57" s="827">
        <f t="shared" si="124"/>
        <v>12416.3</v>
      </c>
      <c r="DC57" s="120">
        <f t="shared" si="124"/>
        <v>12416.3</v>
      </c>
      <c r="DD57" s="203">
        <f>DD41+DD47+DD55+DD56</f>
        <v>12943.5</v>
      </c>
      <c r="DE57" s="203">
        <f t="shared" si="124"/>
        <v>12519.400000000001</v>
      </c>
      <c r="DF57" s="906">
        <f t="shared" si="124"/>
        <v>13833.2</v>
      </c>
      <c r="DG57" s="203">
        <f t="shared" si="124"/>
        <v>14329.5</v>
      </c>
      <c r="DH57" s="120">
        <f t="shared" si="124"/>
        <v>14329.5</v>
      </c>
      <c r="DI57" s="203">
        <f t="shared" si="124"/>
        <v>14017.300000000001</v>
      </c>
      <c r="DJ57" s="203">
        <f t="shared" si="124"/>
        <v>14227.9</v>
      </c>
      <c r="DK57" s="203">
        <f t="shared" si="124"/>
        <v>14522.7</v>
      </c>
      <c r="DL57" s="203">
        <f t="shared" si="124"/>
        <v>14365.599999999997</v>
      </c>
      <c r="DM57" s="120">
        <f t="shared" si="124"/>
        <v>14365.599999999997</v>
      </c>
      <c r="DN57" s="203">
        <f t="shared" si="124"/>
        <v>16970.578507310438</v>
      </c>
      <c r="DO57" s="203">
        <f t="shared" si="124"/>
        <v>16496.285263589401</v>
      </c>
      <c r="DP57" s="203">
        <f t="shared" si="124"/>
        <v>16322.891537736392</v>
      </c>
      <c r="DQ57" s="203">
        <f t="shared" si="124"/>
        <v>16224.501594075135</v>
      </c>
      <c r="DR57" s="120">
        <f t="shared" si="124"/>
        <v>16224.501594075135</v>
      </c>
      <c r="DS57" s="203">
        <f t="shared" ref="DS57:EB57" si="125">DS41+DS47+DS55+DS56</f>
        <v>17753.502210911396</v>
      </c>
      <c r="DT57" s="203">
        <f t="shared" si="125"/>
        <v>17366.106538312033</v>
      </c>
      <c r="DU57" s="203">
        <f t="shared" si="125"/>
        <v>17293.084235413382</v>
      </c>
      <c r="DV57" s="203">
        <f t="shared" si="125"/>
        <v>17302.960282970791</v>
      </c>
      <c r="DW57" s="120">
        <f t="shared" si="125"/>
        <v>17302.960282970791</v>
      </c>
      <c r="DX57" s="203">
        <f t="shared" si="125"/>
        <v>18552.435974716205</v>
      </c>
      <c r="DY57" s="203">
        <f t="shared" si="125"/>
        <v>18391.691746649605</v>
      </c>
      <c r="DZ57" s="203">
        <f t="shared" si="125"/>
        <v>18158.372032976189</v>
      </c>
      <c r="EA57" s="203">
        <f t="shared" si="125"/>
        <v>18014.008872680104</v>
      </c>
      <c r="EB57" s="120">
        <f t="shared" si="125"/>
        <v>18014.008872680104</v>
      </c>
      <c r="ED57" s="418"/>
      <c r="EK57" s="418"/>
    </row>
    <row r="58" spans="1:141" x14ac:dyDescent="0.2">
      <c r="A58" s="204"/>
      <c r="B58" s="205">
        <f t="shared" ref="B58:AD58" si="126">B26-B57</f>
        <v>2.0999999999986585E-2</v>
      </c>
      <c r="C58" s="420">
        <f t="shared" si="126"/>
        <v>0</v>
      </c>
      <c r="D58" s="421">
        <f t="shared" si="126"/>
        <v>0</v>
      </c>
      <c r="E58" s="421">
        <f t="shared" si="126"/>
        <v>0</v>
      </c>
      <c r="F58" s="421">
        <f t="shared" si="126"/>
        <v>0</v>
      </c>
      <c r="G58" s="422">
        <f t="shared" si="126"/>
        <v>-9.9999999999965894E-2</v>
      </c>
      <c r="H58" s="420">
        <f t="shared" si="126"/>
        <v>0</v>
      </c>
      <c r="I58" s="421">
        <f t="shared" si="126"/>
        <v>0</v>
      </c>
      <c r="J58" s="421">
        <f t="shared" si="126"/>
        <v>0</v>
      </c>
      <c r="K58" s="421">
        <f t="shared" si="126"/>
        <v>0</v>
      </c>
      <c r="L58" s="422">
        <f t="shared" si="126"/>
        <v>0.10000000000002274</v>
      </c>
      <c r="M58" s="420">
        <f t="shared" si="126"/>
        <v>-107.2</v>
      </c>
      <c r="N58" s="421">
        <f t="shared" si="126"/>
        <v>-111.8</v>
      </c>
      <c r="O58" s="421">
        <f t="shared" si="126"/>
        <v>-125.7</v>
      </c>
      <c r="P58" s="421">
        <f t="shared" si="126"/>
        <v>0</v>
      </c>
      <c r="Q58" s="422">
        <f t="shared" si="126"/>
        <v>-4.9580000000000837</v>
      </c>
      <c r="R58" s="420">
        <f t="shared" si="126"/>
        <v>0</v>
      </c>
      <c r="S58" s="421">
        <f t="shared" si="126"/>
        <v>0</v>
      </c>
      <c r="T58" s="421">
        <f t="shared" si="126"/>
        <v>0</v>
      </c>
      <c r="U58" s="421">
        <f t="shared" si="126"/>
        <v>-1.2000000000057298E-2</v>
      </c>
      <c r="V58" s="422">
        <f t="shared" si="126"/>
        <v>-1.2000000000057298E-2</v>
      </c>
      <c r="W58" s="420">
        <f t="shared" si="126"/>
        <v>7.0000000000618456E-3</v>
      </c>
      <c r="X58" s="421">
        <f t="shared" si="126"/>
        <v>0</v>
      </c>
      <c r="Y58" s="421">
        <f t="shared" si="126"/>
        <v>-3.1999999999925421E-2</v>
      </c>
      <c r="Z58" s="421">
        <f t="shared" si="126"/>
        <v>0</v>
      </c>
      <c r="AA58" s="422">
        <f t="shared" si="126"/>
        <v>0</v>
      </c>
      <c r="AB58" s="413">
        <f t="shared" si="126"/>
        <v>0</v>
      </c>
      <c r="AC58" s="414">
        <f t="shared" si="126"/>
        <v>0</v>
      </c>
      <c r="AD58" s="415">
        <f t="shared" si="126"/>
        <v>0</v>
      </c>
      <c r="AE58" s="414">
        <v>0</v>
      </c>
      <c r="AF58" s="412">
        <v>0</v>
      </c>
      <c r="AG58" s="413">
        <f>AG26-AG57</f>
        <v>0</v>
      </c>
      <c r="AH58" s="414">
        <f>AH26-AH57</f>
        <v>0</v>
      </c>
      <c r="AI58" s="415">
        <f>AI26-AI57</f>
        <v>0</v>
      </c>
      <c r="AJ58" s="414">
        <f>AJ26-AJ57</f>
        <v>0</v>
      </c>
      <c r="AK58" s="412">
        <f>AK26-AK57</f>
        <v>0</v>
      </c>
      <c r="AL58" s="413">
        <v>0</v>
      </c>
      <c r="AM58" s="414">
        <v>0</v>
      </c>
      <c r="AN58" s="415">
        <v>0</v>
      </c>
      <c r="AO58" s="414">
        <f t="shared" ref="AO58:BJ58" si="127">AO26-AO57</f>
        <v>0</v>
      </c>
      <c r="AP58" s="412">
        <f t="shared" si="127"/>
        <v>0</v>
      </c>
      <c r="AQ58" s="413">
        <f t="shared" si="127"/>
        <v>0</v>
      </c>
      <c r="AR58" s="414">
        <f t="shared" si="127"/>
        <v>0</v>
      </c>
      <c r="AS58" s="415">
        <f t="shared" si="127"/>
        <v>0</v>
      </c>
      <c r="AT58" s="414">
        <f t="shared" si="127"/>
        <v>0</v>
      </c>
      <c r="AU58" s="412">
        <f t="shared" si="127"/>
        <v>0</v>
      </c>
      <c r="AV58" s="413">
        <f t="shared" si="127"/>
        <v>0</v>
      </c>
      <c r="AW58" s="414">
        <f t="shared" si="127"/>
        <v>0</v>
      </c>
      <c r="AX58" s="415">
        <f t="shared" si="127"/>
        <v>0</v>
      </c>
      <c r="AY58" s="414">
        <f t="shared" si="127"/>
        <v>0</v>
      </c>
      <c r="AZ58" s="412">
        <f t="shared" si="127"/>
        <v>0</v>
      </c>
      <c r="BA58" s="413">
        <f t="shared" si="127"/>
        <v>0</v>
      </c>
      <c r="BB58" s="414">
        <f t="shared" si="127"/>
        <v>0</v>
      </c>
      <c r="BC58" s="415">
        <f t="shared" si="127"/>
        <v>0</v>
      </c>
      <c r="BD58" s="414">
        <f t="shared" si="127"/>
        <v>0</v>
      </c>
      <c r="BE58" s="412">
        <f t="shared" si="127"/>
        <v>0</v>
      </c>
      <c r="BF58" s="413">
        <f t="shared" si="127"/>
        <v>0</v>
      </c>
      <c r="BG58" s="414">
        <f t="shared" si="127"/>
        <v>0</v>
      </c>
      <c r="BH58" s="415">
        <f t="shared" si="127"/>
        <v>0</v>
      </c>
      <c r="BI58" s="414">
        <f t="shared" si="127"/>
        <v>0</v>
      </c>
      <c r="BJ58" s="412">
        <f t="shared" si="127"/>
        <v>0</v>
      </c>
      <c r="BK58" s="413">
        <f t="shared" ref="BK58:BT58" si="128">BK26-BK57</f>
        <v>0</v>
      </c>
      <c r="BL58" s="414">
        <f t="shared" si="128"/>
        <v>0</v>
      </c>
      <c r="BM58" s="415">
        <f t="shared" si="128"/>
        <v>0</v>
      </c>
      <c r="BN58" s="414">
        <f t="shared" si="128"/>
        <v>0</v>
      </c>
      <c r="BO58" s="412">
        <f t="shared" si="128"/>
        <v>0</v>
      </c>
      <c r="BP58" s="413">
        <f t="shared" si="128"/>
        <v>0</v>
      </c>
      <c r="BQ58" s="414">
        <f t="shared" si="128"/>
        <v>0</v>
      </c>
      <c r="BR58" s="415">
        <f t="shared" si="128"/>
        <v>0</v>
      </c>
      <c r="BS58" s="414">
        <f t="shared" si="128"/>
        <v>0</v>
      </c>
      <c r="BT58" s="412">
        <f t="shared" si="128"/>
        <v>0</v>
      </c>
      <c r="BU58" s="413">
        <f t="shared" ref="BU58:CZ58" si="129">BU26-BU57</f>
        <v>0</v>
      </c>
      <c r="BV58" s="414">
        <f t="shared" si="129"/>
        <v>0</v>
      </c>
      <c r="BW58" s="415">
        <f t="shared" si="129"/>
        <v>0</v>
      </c>
      <c r="BX58" s="414">
        <f t="shared" si="129"/>
        <v>0</v>
      </c>
      <c r="BY58" s="412">
        <f t="shared" si="129"/>
        <v>0</v>
      </c>
      <c r="BZ58" s="413">
        <f t="shared" si="129"/>
        <v>0</v>
      </c>
      <c r="CA58" s="414">
        <f t="shared" si="129"/>
        <v>0</v>
      </c>
      <c r="CB58" s="415">
        <f t="shared" si="129"/>
        <v>0</v>
      </c>
      <c r="CC58" s="414">
        <f t="shared" si="129"/>
        <v>0</v>
      </c>
      <c r="CD58" s="412">
        <f t="shared" si="129"/>
        <v>0</v>
      </c>
      <c r="CE58" s="413">
        <f t="shared" si="129"/>
        <v>0</v>
      </c>
      <c r="CF58" s="414">
        <f t="shared" si="129"/>
        <v>0</v>
      </c>
      <c r="CG58" s="415">
        <f t="shared" si="129"/>
        <v>0</v>
      </c>
      <c r="CH58" s="414">
        <f t="shared" si="129"/>
        <v>0</v>
      </c>
      <c r="CI58" s="412">
        <f t="shared" si="129"/>
        <v>0</v>
      </c>
      <c r="CJ58" s="413">
        <f t="shared" si="129"/>
        <v>0</v>
      </c>
      <c r="CK58" s="414">
        <f t="shared" si="129"/>
        <v>0</v>
      </c>
      <c r="CL58" s="415">
        <f t="shared" si="129"/>
        <v>0</v>
      </c>
      <c r="CM58" s="414">
        <f t="shared" si="129"/>
        <v>0</v>
      </c>
      <c r="CN58" s="412">
        <f t="shared" si="129"/>
        <v>0</v>
      </c>
      <c r="CO58" s="413">
        <f t="shared" si="129"/>
        <v>0</v>
      </c>
      <c r="CP58" s="414">
        <f t="shared" si="129"/>
        <v>0</v>
      </c>
      <c r="CQ58" s="415">
        <f t="shared" si="129"/>
        <v>0</v>
      </c>
      <c r="CR58" s="414">
        <f t="shared" si="129"/>
        <v>0</v>
      </c>
      <c r="CS58" s="412">
        <f t="shared" si="129"/>
        <v>0</v>
      </c>
      <c r="CT58" s="413">
        <f>CT26-CT57</f>
        <v>0</v>
      </c>
      <c r="CU58" s="414">
        <f t="shared" si="129"/>
        <v>0</v>
      </c>
      <c r="CV58" s="415">
        <f t="shared" si="129"/>
        <v>0</v>
      </c>
      <c r="CW58" s="684">
        <f t="shared" si="129"/>
        <v>0</v>
      </c>
      <c r="CX58" s="751">
        <f t="shared" si="129"/>
        <v>0</v>
      </c>
      <c r="CY58" s="792">
        <f t="shared" si="129"/>
        <v>0</v>
      </c>
      <c r="CZ58" s="520">
        <f t="shared" si="129"/>
        <v>0</v>
      </c>
      <c r="DA58" s="520">
        <f t="shared" ref="DA58:DR58" si="130">DA26-DA57</f>
        <v>0</v>
      </c>
      <c r="DB58" s="866">
        <f t="shared" si="130"/>
        <v>0</v>
      </c>
      <c r="DC58" s="809">
        <f t="shared" si="130"/>
        <v>0</v>
      </c>
      <c r="DD58" s="413">
        <f t="shared" si="130"/>
        <v>0</v>
      </c>
      <c r="DE58" s="414">
        <f t="shared" si="130"/>
        <v>0</v>
      </c>
      <c r="DF58" s="415">
        <f t="shared" si="130"/>
        <v>0</v>
      </c>
      <c r="DG58" s="414">
        <f t="shared" si="130"/>
        <v>0</v>
      </c>
      <c r="DH58" s="412">
        <f t="shared" si="130"/>
        <v>0</v>
      </c>
      <c r="DI58" s="413">
        <f t="shared" si="130"/>
        <v>0</v>
      </c>
      <c r="DJ58" s="414">
        <f t="shared" si="130"/>
        <v>0</v>
      </c>
      <c r="DK58" s="520">
        <f t="shared" si="130"/>
        <v>0</v>
      </c>
      <c r="DL58" s="520">
        <f t="shared" si="130"/>
        <v>0</v>
      </c>
      <c r="DM58" s="809">
        <f t="shared" si="130"/>
        <v>0</v>
      </c>
      <c r="DN58" s="413">
        <f t="shared" si="130"/>
        <v>0</v>
      </c>
      <c r="DO58" s="414">
        <f t="shared" si="130"/>
        <v>0</v>
      </c>
      <c r="DP58" s="415">
        <f t="shared" si="130"/>
        <v>0</v>
      </c>
      <c r="DQ58" s="414">
        <f t="shared" si="130"/>
        <v>0</v>
      </c>
      <c r="DR58" s="412">
        <f t="shared" si="130"/>
        <v>0</v>
      </c>
      <c r="DS58" s="413">
        <f t="shared" ref="DS58:EB58" si="131">DS26-DS57</f>
        <v>0</v>
      </c>
      <c r="DT58" s="414">
        <f t="shared" si="131"/>
        <v>0</v>
      </c>
      <c r="DU58" s="415">
        <f t="shared" si="131"/>
        <v>0</v>
      </c>
      <c r="DV58" s="414">
        <f t="shared" si="131"/>
        <v>0</v>
      </c>
      <c r="DW58" s="412">
        <f t="shared" si="131"/>
        <v>0</v>
      </c>
      <c r="DX58" s="413">
        <f t="shared" si="131"/>
        <v>0</v>
      </c>
      <c r="DY58" s="414">
        <f t="shared" si="131"/>
        <v>0</v>
      </c>
      <c r="DZ58" s="415">
        <f t="shared" si="131"/>
        <v>0</v>
      </c>
      <c r="EA58" s="414">
        <f t="shared" si="131"/>
        <v>0</v>
      </c>
      <c r="EB58" s="412">
        <f t="shared" si="131"/>
        <v>0</v>
      </c>
      <c r="ED58" s="418"/>
      <c r="EK58" s="418"/>
    </row>
    <row r="59" spans="1:141" x14ac:dyDescent="0.2">
      <c r="A59" s="206" t="s">
        <v>491</v>
      </c>
      <c r="B59" s="207"/>
      <c r="C59" s="208"/>
      <c r="D59" s="208"/>
      <c r="E59" s="208"/>
      <c r="F59" s="208"/>
      <c r="G59" s="209"/>
      <c r="H59" s="208"/>
      <c r="I59" s="208"/>
      <c r="J59" s="208"/>
      <c r="K59" s="208"/>
      <c r="L59" s="209"/>
      <c r="M59" s="208"/>
      <c r="N59" s="208"/>
      <c r="O59" s="208"/>
      <c r="P59" s="208"/>
      <c r="Q59" s="209"/>
      <c r="R59" s="208"/>
      <c r="S59" s="208"/>
      <c r="T59" s="208"/>
      <c r="U59" s="208"/>
      <c r="V59" s="209"/>
      <c r="W59" s="208"/>
      <c r="X59" s="208"/>
      <c r="Y59" s="208"/>
      <c r="Z59" s="208"/>
      <c r="AA59" s="209"/>
      <c r="AB59" s="208"/>
      <c r="AC59" s="208"/>
      <c r="AD59" s="208"/>
      <c r="AE59" s="208"/>
      <c r="AF59" s="209"/>
      <c r="AG59" s="208"/>
      <c r="AH59" s="208"/>
      <c r="AI59" s="208"/>
      <c r="AJ59" s="208"/>
      <c r="AK59" s="209"/>
      <c r="AL59" s="208"/>
      <c r="AM59" s="208"/>
      <c r="AN59" s="208"/>
      <c r="AO59" s="208"/>
      <c r="AP59" s="209"/>
      <c r="AQ59" s="208"/>
      <c r="AR59" s="208"/>
      <c r="AS59" s="208"/>
      <c r="AT59" s="208"/>
      <c r="AU59" s="209"/>
      <c r="AV59" s="208"/>
      <c r="AW59" s="208"/>
      <c r="AX59" s="208"/>
      <c r="AY59" s="208"/>
      <c r="AZ59" s="209"/>
      <c r="BA59" s="208"/>
      <c r="BB59" s="208"/>
      <c r="BC59" s="208"/>
      <c r="BD59" s="208"/>
      <c r="BE59" s="209"/>
      <c r="BF59" s="208"/>
      <c r="BG59" s="208"/>
      <c r="BH59" s="208"/>
      <c r="BI59" s="208"/>
      <c r="BJ59" s="209"/>
      <c r="BK59" s="208"/>
      <c r="BL59" s="208"/>
      <c r="BM59" s="208"/>
      <c r="BN59" s="208"/>
      <c r="BO59" s="209"/>
      <c r="BP59" s="208"/>
      <c r="BQ59" s="208"/>
      <c r="BR59" s="208"/>
      <c r="BS59" s="208"/>
      <c r="BT59" s="209"/>
      <c r="BU59" s="208"/>
      <c r="BV59" s="208"/>
      <c r="BW59" s="208"/>
      <c r="BX59" s="208"/>
      <c r="BY59" s="209"/>
      <c r="BZ59" s="208"/>
      <c r="CA59" s="208"/>
      <c r="CB59" s="208"/>
      <c r="CC59" s="208"/>
      <c r="CD59" s="209"/>
      <c r="CE59" s="208"/>
      <c r="CF59" s="208"/>
      <c r="CG59" s="208"/>
      <c r="CH59" s="208"/>
      <c r="CI59" s="209"/>
      <c r="CJ59" s="208"/>
      <c r="CK59" s="208"/>
      <c r="CL59" s="208"/>
      <c r="CM59" s="208"/>
      <c r="CN59" s="209"/>
      <c r="CO59" s="208"/>
      <c r="CP59" s="208"/>
      <c r="CQ59" s="208"/>
      <c r="CR59" s="208"/>
      <c r="CS59" s="209"/>
      <c r="CT59" s="208"/>
      <c r="CU59" s="208"/>
      <c r="CV59" s="208"/>
      <c r="CW59" s="693"/>
      <c r="CX59" s="752"/>
      <c r="CY59" s="208"/>
      <c r="CZ59" s="208"/>
      <c r="DA59" s="208"/>
      <c r="DB59" s="899"/>
      <c r="DC59" s="209"/>
      <c r="DD59" s="208"/>
      <c r="DE59" s="208"/>
      <c r="DF59" s="208"/>
      <c r="DG59" s="208"/>
      <c r="DH59" s="209"/>
      <c r="DI59" s="208"/>
      <c r="DJ59" s="208"/>
      <c r="DK59" s="208"/>
      <c r="DL59" s="208"/>
      <c r="DM59" s="209"/>
      <c r="DN59" s="208"/>
      <c r="DO59" s="208"/>
      <c r="DP59" s="208"/>
      <c r="DQ59" s="208"/>
      <c r="DR59" s="209"/>
      <c r="DS59" s="208"/>
      <c r="DT59" s="208"/>
      <c r="DU59" s="208"/>
      <c r="DV59" s="208"/>
      <c r="DW59" s="209"/>
      <c r="DX59" s="208"/>
      <c r="DY59" s="208"/>
      <c r="DZ59" s="208"/>
      <c r="EA59" s="208"/>
      <c r="EB59" s="209"/>
      <c r="ED59" s="418"/>
      <c r="EK59" s="418"/>
    </row>
    <row r="60" spans="1:141" x14ac:dyDescent="0.2">
      <c r="A60" s="1" t="s">
        <v>490</v>
      </c>
      <c r="B60" s="179"/>
      <c r="C60" s="175"/>
      <c r="D60" s="175"/>
      <c r="E60" s="175"/>
      <c r="F60" s="175"/>
      <c r="G60" s="61">
        <f>IS!G29/IS!G17</f>
        <v>8.6229503968083376E-2</v>
      </c>
      <c r="H60" s="65">
        <f>(IS!H29+IS!F29+IS!E29+IS!D29)/(IS!H17+IS!F17+IS!E17+IS!D17)</f>
        <v>8.0363402439118339E-2</v>
      </c>
      <c r="I60" s="65">
        <f>(IS!I29+IS!H29+IS!F29+IS!E29)/(IS!I17+IS!H17+IS!F17+IS!E17)</f>
        <v>7.3849921287388445E-2</v>
      </c>
      <c r="J60" s="65">
        <f>(IS!J29+IS!I29+IS!H29+IS!F29)/(IS!J17+IS!I17+IS!H17+IS!F17)</f>
        <v>7.3869377069181313E-2</v>
      </c>
      <c r="K60" s="238">
        <f>IS!L29/IS!L17</f>
        <v>8.1802036687948526E-2</v>
      </c>
      <c r="L60" s="61">
        <f>IS!L29/IS!L17</f>
        <v>8.1802036687948526E-2</v>
      </c>
      <c r="M60" s="65">
        <f>(IS!M29+IS!K29+IS!J29+IS!I29)/(IS!M17+IS!K17+IS!J17+IS!I17)</f>
        <v>8.0723714571019567E-2</v>
      </c>
      <c r="N60" s="65">
        <f>(IS!N29+IS!M29+IS!K29+IS!J29)/(IS!N17+IS!M17+IS!K17+IS!J17)</f>
        <v>8.187196523327854E-2</v>
      </c>
      <c r="O60" s="65">
        <f>(IS!O29+IS!N29+IS!M29+IS!K29)/(IS!O17+IS!N17+IS!M17+IS!K17)</f>
        <v>8.4628504542667571E-2</v>
      </c>
      <c r="P60" s="238">
        <f>IS!Q29/IS!Q17</f>
        <v>8.8341349234584615E-2</v>
      </c>
      <c r="Q60" s="61">
        <f>IS!Q29/IS!Q17</f>
        <v>8.8341349234584615E-2</v>
      </c>
      <c r="R60" s="65">
        <f>(IS!R29+IS!P29+IS!O29+IS!N29)/(IS!R17+IS!P17+IS!O17+IS!N17)</f>
        <v>9.3624504406276565E-2</v>
      </c>
      <c r="S60" s="65">
        <f>(IS!S29+IS!R29+IS!P29+IS!O29)/(IS!S17+IS!R17+IS!P17+IS!O17)</f>
        <v>9.3945227531716344E-2</v>
      </c>
      <c r="T60" s="65">
        <f>(IS!T29+IS!S29+IS!R29+IS!P29)/(IS!T17+IS!S17+IS!R17+IS!P17)</f>
        <v>9.5143923336613062E-2</v>
      </c>
      <c r="U60" s="238">
        <f>IS!V29/IS!V17</f>
        <v>9.5344089028671225E-2</v>
      </c>
      <c r="V60" s="61">
        <f>IS!V29/IS!V17</f>
        <v>9.5344089028671225E-2</v>
      </c>
      <c r="W60" s="65">
        <f>(IS!W29+IS!U29+IS!T29+IS!S29)/(IS!W17+IS!U17+IS!T17+IS!S17)</f>
        <v>9.5098042734643978E-2</v>
      </c>
      <c r="X60" s="65">
        <f>(IS!X29+IS!W29+IS!U29+IS!T29)/(IS!X17+IS!W17+IS!U17+IS!T17)</f>
        <v>9.3580728477450442E-2</v>
      </c>
      <c r="Y60" s="65">
        <f>(IS!Y29+IS!X29+IS!W29+IS!U29)/(IS!Y17+IS!X17+IS!W17+IS!U17)</f>
        <v>9.1879687029137791E-2</v>
      </c>
      <c r="Z60" s="238">
        <f>IS!AA29/IS!AA17</f>
        <v>9.3289058770732014E-2</v>
      </c>
      <c r="AA60" s="61">
        <f>IS!AA29/IS!AA17</f>
        <v>9.3289058770732014E-2</v>
      </c>
      <c r="AB60" s="65">
        <f>(IS!AB29+IS!Z29+IS!Y29+IS!X29)/(IS!AB17+IS!Z17+IS!Y17+IS!X17)</f>
        <v>9.4351641187349483E-2</v>
      </c>
      <c r="AC60" s="65">
        <f>(IS!AC29+IS!AB29+IS!Z29+IS!Y29)/(IS!AC17+IS!AB17+IS!Z17+IS!Y17)</f>
        <v>9.2338093165627896E-2</v>
      </c>
      <c r="AD60" s="65">
        <f>(IS!AD29+IS!AC29+IS!AB29+IS!Z29)/(IS!AD17+IS!AC17+IS!AB17+IS!Z17)</f>
        <v>9.412814140808573E-2</v>
      </c>
      <c r="AE60" s="238">
        <f>IS!AF29/IS!AF17</f>
        <v>9.745551000014703E-2</v>
      </c>
      <c r="AF60" s="61">
        <f>IS!AF29/IS!AF17</f>
        <v>9.745551000014703E-2</v>
      </c>
      <c r="AG60" s="65">
        <f>(IS!AG29+IS!AE29+IS!AD29+IS!AC29)/(IS!AG17+IS!AE17+IS!AD17+IS!AC17)</f>
        <v>0.10089725313662889</v>
      </c>
      <c r="AH60" s="65">
        <f>(IS!AH29+IS!AG29+IS!AE29+IS!AD29)/(IS!AH17+IS!AG17+IS!AE17+IS!AD17)</f>
        <v>0.10223632345094397</v>
      </c>
      <c r="AI60" s="65">
        <f>(IS!AI29+IS!AH29+IS!AG29+IS!AE29)/(IS!AI17+IS!AH17+IS!AG17+IS!AE17)</f>
        <v>0.10470595728319014</v>
      </c>
      <c r="AJ60" s="238">
        <f>IS!AK29/IS!AK17</f>
        <v>0.10578373562654315</v>
      </c>
      <c r="AK60" s="61">
        <f>IS!AK29/IS!AK17</f>
        <v>0.10578373562654315</v>
      </c>
      <c r="AL60" s="65">
        <f>(IS!AL29+IS!AJ29+IS!AI29+IS!AH29)/(IS!AL17+IS!AJ17+IS!AI17+IS!AH17)</f>
        <v>0.10658617660736125</v>
      </c>
      <c r="AM60" s="65">
        <f>(IS!AM29+IS!AL29+IS!AJ29+IS!AI29)/(IS!AM17+IS!AL17+IS!AJ17+IS!AI17)</f>
        <v>0.10630234656088344</v>
      </c>
      <c r="AN60" s="65">
        <f>(IS!AN29+IS!AM29+IS!AL29+IS!AJ29)/(IS!AN17+IS!AM17+IS!AL17+IS!AJ17)</f>
        <v>0.10552201785531883</v>
      </c>
      <c r="AO60" s="238">
        <f>IS!AP29/IS!AP17</f>
        <v>9.618329244843575E-2</v>
      </c>
      <c r="AP60" s="61">
        <f>IS!AP29/IS!AP17</f>
        <v>9.618329244843575E-2</v>
      </c>
      <c r="AQ60" s="65">
        <f>(IS!AQ29+IS!AO29+IS!AN29+IS!AM29)/(IS!AQ17+IS!AO17+IS!AN17+IS!AM17)</f>
        <v>0.10417685302310026</v>
      </c>
      <c r="AR60" s="65">
        <f>(IS!AR29+IS!AQ29+IS!AO29+IS!AN29)/(IS!AR17+IS!AQ17+IS!AO17+IS!AN17)</f>
        <v>0.10451990220027509</v>
      </c>
      <c r="AS60" s="65">
        <f>(IS!AS29+IS!AR29+IS!AQ29+IS!AO29)/(IS!AS17+IS!AR17+IS!AQ17+IS!AO17)</f>
        <v>0.10393488519591906</v>
      </c>
      <c r="AT60" s="238">
        <f>IS!AU29/IS!AU17</f>
        <v>0.10421048008340524</v>
      </c>
      <c r="AU60" s="61">
        <f>IS!AU29/IS!AU17</f>
        <v>0.10421048008340524</v>
      </c>
      <c r="AV60" s="65">
        <f>(IS!AV29+IS!AT29+IS!AS29+IS!AR29)/(IS!AV17+IS!AT17+IS!AS17+IS!AR17)</f>
        <v>0.1099282456573185</v>
      </c>
      <c r="AW60" s="65">
        <f>(IS!AW29+IS!AV29+IS!AT29+IS!AS29)/(IS!AW17+IS!AV17+IS!AT17+IS!AS17)</f>
        <v>0.11137882625352144</v>
      </c>
      <c r="AX60" s="65">
        <f>(IS!AX29+IS!AW29+IS!AV29+IS!AT29)/(IS!AX17+IS!AW17+IS!AV17+IS!AT17)</f>
        <v>0.11457481496711776</v>
      </c>
      <c r="AY60" s="238">
        <f>IS!AZ29/IS!AZ17</f>
        <v>0.11461818838448602</v>
      </c>
      <c r="AZ60" s="61">
        <f>IS!AZ29/IS!AZ17</f>
        <v>0.11461818838448602</v>
      </c>
      <c r="BA60" s="65">
        <f>(IS!BA29+IS!AY29+IS!AX29+IS!AW29)/(IS!BA17+IS!AY17+IS!AX17+IS!AW17)</f>
        <v>0.11768589583407704</v>
      </c>
      <c r="BB60" s="65">
        <f>(IS!BB29+IS!BA29+IS!AY29+IS!AX29)/(IS!BB17+IS!BA17+IS!AY17+IS!AX17)</f>
        <v>0.11782938406679448</v>
      </c>
      <c r="BC60" s="65">
        <f>(IS!BC29+IS!BB29+IS!BA29+IS!AY29)/(IS!BC17+IS!BB17+IS!BA17+IS!AY17)</f>
        <v>0.11994893691034561</v>
      </c>
      <c r="BD60" s="238">
        <f>IS!BE29/IS!BE17</f>
        <v>0.12255899392397901</v>
      </c>
      <c r="BE60" s="61">
        <f>IS!BE29/IS!BE17</f>
        <v>0.12255899392397901</v>
      </c>
      <c r="BF60" s="65">
        <f>(IS!BF29+IS!BD29+IS!BC29+IS!BB29)/(IS!BF17+IS!BD17+IS!BC17+IS!BB17)</f>
        <v>0.12410826101514362</v>
      </c>
      <c r="BG60" s="65">
        <f>(IS!BG29+IS!BF29+IS!BD29+IS!BC29)/(IS!BG17+IS!BF17+IS!BD17+IS!BC17)</f>
        <v>0.12397482034200476</v>
      </c>
      <c r="BH60" s="65">
        <f>(IS!BH29+IS!BG29+IS!BF29+IS!BD29)/(IS!BH17+IS!BG17+IS!BF17+IS!BD17)</f>
        <v>0.11996286895250033</v>
      </c>
      <c r="BI60" s="238">
        <f>IS!BJ29/IS!BJ17</f>
        <v>0.11480578640498416</v>
      </c>
      <c r="BJ60" s="61">
        <f>IS!BJ29/IS!BJ17</f>
        <v>0.11480578640498416</v>
      </c>
      <c r="BK60" s="65">
        <f>(IS!BK29+IS!BI29+IS!BH29+IS!BG29)/(IS!BK17+IS!BI17+IS!BH17+IS!BG17)</f>
        <v>0.11376264790481855</v>
      </c>
      <c r="BL60" s="65">
        <f>(IS!BL29+IS!BK29+IS!BI29+IS!BH29)/(IS!BL17+IS!BK17+IS!BI17+IS!BH17)</f>
        <v>0.11341453392233583</v>
      </c>
      <c r="BM60" s="65">
        <f>(IS!BM29+IS!BL29+IS!BK29+IS!BI29)/(IS!BM17+IS!BL17+IS!BK17+IS!BI17)</f>
        <v>0.11182965030766388</v>
      </c>
      <c r="BN60" s="238">
        <f>IS!BO29/IS!BO17</f>
        <v>0.11198484151883595</v>
      </c>
      <c r="BO60" s="61">
        <f>IS!BO29/IS!BO17</f>
        <v>0.11198484151883595</v>
      </c>
      <c r="BP60" s="65">
        <f>(IS!BP29+IS!BN29+IS!BM29+IS!BL29)/(IS!BP17+IS!BN17+IS!BM17+IS!BL17)</f>
        <v>0.10865116201419187</v>
      </c>
      <c r="BQ60" s="65">
        <f>(IS!BQ29+IS!BP29+IS!BN29+IS!BM29)/(IS!BQ17+IS!BP17+IS!BN17+IS!BM17)</f>
        <v>9.9517425582883706E-2</v>
      </c>
      <c r="BR60" s="65">
        <f>(IS!BR29+IS!BQ29+IS!BP29+IS!BN29)/(IS!BR17+IS!BQ17+IS!BP17+IS!BN17)</f>
        <v>7.1552374341983013E-2</v>
      </c>
      <c r="BS60" s="238">
        <f>IS!BT29/IS!BT17</f>
        <v>4.8527400558605376E-2</v>
      </c>
      <c r="BT60" s="61">
        <f>IS!BT29/IS!BT17</f>
        <v>4.8527400558605376E-2</v>
      </c>
      <c r="BU60" s="65">
        <f>(IS!BU29+IS!BS29+IS!BR29+IS!BQ29)/(IS!BU17+IS!BS17+IS!BR17+IS!BQ17)</f>
        <v>2.8195804742634802E-2</v>
      </c>
      <c r="BV60" s="65">
        <f>(IS!BV29+IS!BU29+IS!BS29+IS!BR29)/(IS!BV17+IS!BU17+IS!BS17+IS!BR17)</f>
        <v>1.5062911565167987E-2</v>
      </c>
      <c r="BW60" s="65">
        <f>(IS!BW29+IS!BV29+IS!BU29+IS!BS29)/(IS!BW17+IS!BV17+IS!BU17+IS!BS17)</f>
        <v>3.8194550005573619E-2</v>
      </c>
      <c r="BX60" s="238">
        <f>IS!BY29/IS!BY17</f>
        <v>5.7495958913919752E-2</v>
      </c>
      <c r="BY60" s="61">
        <f>IS!BY29/IS!BY17</f>
        <v>5.7495958913919752E-2</v>
      </c>
      <c r="BZ60" s="65">
        <f>(IS!BZ29+IS!BX29+IS!BW29+IS!BV29)/(IS!BZ17+IS!BX17+IS!BW17+IS!BV17)</f>
        <v>8.0640754495502009E-2</v>
      </c>
      <c r="CA60" s="65">
        <f>(IS!CA29+IS!BZ29+IS!BX29+IS!BW29)/(IS!CA17+IS!BZ17+IS!BX17+IS!BW17)</f>
        <v>0.10867258392423275</v>
      </c>
      <c r="CB60" s="65">
        <f>(IS!CB29+IS!CA29+IS!BZ29+IS!BX29)/(IS!CB17+IS!CA17+IS!BZ17+IS!BX17)</f>
        <v>0.11849469470247587</v>
      </c>
      <c r="CC60" s="238">
        <f>IS!CD29/IS!CD17</f>
        <v>0.13256252685058925</v>
      </c>
      <c r="CD60" s="61">
        <f>IS!CD29/IS!CD17</f>
        <v>0.13256252685058925</v>
      </c>
      <c r="CE60" s="65">
        <f>(IS!CE29+IS!CC29+IS!CB29+IS!CA29)/(IS!CE17+IS!CC17+IS!CB17+IS!CA17)</f>
        <v>0.14345023089936454</v>
      </c>
      <c r="CF60" s="65">
        <f>(IS!CF29+IS!CE29+IS!CC29+IS!CB29)/(IS!CF17+IS!CE17+IS!CC17+IS!CB17)</f>
        <v>0.14347651186698254</v>
      </c>
      <c r="CG60" s="65">
        <f>(IS!CG29+IS!CF29+IS!CE29+IS!CC29)/(IS!CG17+IS!CF17+IS!CE17+IS!CC17)</f>
        <v>0.14595844160358751</v>
      </c>
      <c r="CH60" s="238">
        <f>IS!CI29/IS!CI17</f>
        <v>0.14772746696750597</v>
      </c>
      <c r="CI60" s="61">
        <f>IS!CI29/IS!CI17</f>
        <v>0.14772746696750597</v>
      </c>
      <c r="CJ60" s="65">
        <f>(IS!CJ29+IS!CH29+IS!CG29+IS!CF29)/(IS!CJ17+IS!CH17+IS!CG17+IS!CF17)</f>
        <v>0.14635708303913039</v>
      </c>
      <c r="CK60" s="65">
        <f>(IS!CK29+IS!CJ29+IS!CH29+IS!CG29)/(IS!CK17+IS!CJ17+IS!CH17+IS!CG17)</f>
        <v>0.14596759454240602</v>
      </c>
      <c r="CL60" s="65">
        <f>(IS!CL29+IS!CK29+IS!CJ29+IS!CH29)/(IS!CL17+IS!CK17+IS!CJ17+IS!CH17)</f>
        <v>0.14874558890527628</v>
      </c>
      <c r="CM60" s="238">
        <f>IS!CN29/IS!CN17</f>
        <v>0.15045680844172959</v>
      </c>
      <c r="CN60" s="61">
        <f>IS!CN29/IS!CN17</f>
        <v>0.15045680844172959</v>
      </c>
      <c r="CO60" s="65">
        <f>(IS!CO29+IS!CM29+IS!CL29+IS!CK29)/(IS!CO17+IS!CM17+IS!CL17+IS!CK17)</f>
        <v>0.15191970733352395</v>
      </c>
      <c r="CP60" s="65">
        <f>(IS!CP29+IS!CO29+IS!CM29+IS!CL29)/(IS!CP17+IS!CO17+IS!CM17+IS!CL17)</f>
        <v>0.15614129076038427</v>
      </c>
      <c r="CQ60" s="65">
        <f>(IS!CQ29+IS!CP29+IS!CO29+IS!CM29)/(IS!CQ17+IS!CP17+IS!CO17+IS!CM17)</f>
        <v>0.15997534045412357</v>
      </c>
      <c r="CR60" s="238">
        <f>IS!CS29/IS!CS17</f>
        <v>-2.1880822498301825E-2</v>
      </c>
      <c r="CS60" s="61">
        <f>IS!CS29/IS!CS17</f>
        <v>-2.1880822498301825E-2</v>
      </c>
      <c r="CT60" s="65">
        <f>(IS!CT29+IS!CR29+IS!CQ29+IS!CP29)/(IS!CT17+IS!CR17+IS!CQ17+IS!CP17)</f>
        <v>-9.2991060058902654E-3</v>
      </c>
      <c r="CU60" s="65">
        <f>(IS!CU29+IS!CT29+IS!CR29+IS!CQ29)/(IS!CU17+IS!CT17+IS!CR17+IS!CQ17)</f>
        <v>-2.7114308553156659E-3</v>
      </c>
      <c r="CV60" s="65">
        <f>(IS!CV29+IS!CU29+IS!CT29+IS!CR29)/(IS!CV17+IS!CU17+IS!CT17+IS!CR17)</f>
        <v>6.9071182555945788E-3</v>
      </c>
      <c r="CW60" s="673">
        <f>IS!CX29/IS!CX17</f>
        <v>0.18731874585813399</v>
      </c>
      <c r="CX60" s="753">
        <f>IS!CX29/IS!CX17</f>
        <v>0.18731874585813399</v>
      </c>
      <c r="CY60" s="65">
        <f>(IS!CY29+IS!CW29+IS!CV29+IS!CU29)/(IS!CY17+IS!CW17+IS!CV17+IS!CU17)</f>
        <v>0.18710872057137826</v>
      </c>
      <c r="CZ60" s="65">
        <f>(IS!CZ29+IS!CY29+IS!CW29+IS!CV29)/(IS!CZ17+IS!CY17+IS!CW17+IS!CV17)</f>
        <v>0.18735452963640892</v>
      </c>
      <c r="DA60" s="65">
        <f>(IS!DA29+IS!CZ29+IS!CY29+IS!CW29)/(IS!DA17+IS!CZ17+IS!CY17+IS!CW17)</f>
        <v>0.18918860256013723</v>
      </c>
      <c r="DB60" s="673">
        <f>IS!DC29/IS!DC17</f>
        <v>0.18791715154962513</v>
      </c>
      <c r="DC60" s="61">
        <f>IS!DC29/IS!DC17</f>
        <v>0.18791715154962513</v>
      </c>
      <c r="DD60" s="65">
        <f>(IS!DD29+IS!DB29+IS!DA29+IS!CZ29)/(IS!DD17+IS!DB17+IS!DA17+IS!CZ17)</f>
        <v>0.1897075964121015</v>
      </c>
      <c r="DE60" s="65">
        <f>(IS!DE29+IS!DD29+IS!DB29+IS!DA29)/(IS!DE17+IS!DD17+IS!DB17+IS!DA17)</f>
        <v>0.18996463767253388</v>
      </c>
      <c r="DF60" s="65">
        <f>(IS!DF29+IS!DE29+IS!DD29+IS!DB29)/(IS!DF17+IS!DE17+IS!DD17+IS!DB17)</f>
        <v>0.19074051511976406</v>
      </c>
      <c r="DG60" s="673">
        <f>IS!DH29/IS!DH17</f>
        <v>0.19572244193301722</v>
      </c>
      <c r="DH60" s="61">
        <f>IS!DH29/IS!DH17</f>
        <v>0.19572244193301722</v>
      </c>
      <c r="DI60" s="65">
        <f>(IS!DI29+IS!DG29+IS!DF29+IS!DE29)/(IS!DI17+IS!DG17+IS!DF17+IS!DE17)</f>
        <v>0.19591885694777003</v>
      </c>
      <c r="DJ60" s="65">
        <f>(IS!DJ29+IS!DI29+IS!DG29+IS!DF29)/(IS!DJ17+IS!DI17+IS!DG17+IS!DF17)</f>
        <v>0.19647708192081401</v>
      </c>
      <c r="DK60" s="65">
        <f>(IS!DK29+IS!DJ29+IS!DI29+IS!DG29)/(IS!DK17+IS!DJ17+IS!DI17+IS!DG17)</f>
        <v>0.19374006678690692</v>
      </c>
      <c r="DL60" s="238">
        <f>IS!DM29/IS!DM17</f>
        <v>0.18469448377831488</v>
      </c>
      <c r="DM60" s="61">
        <f>IS!DM29/IS!DM17</f>
        <v>0.18469448377831488</v>
      </c>
      <c r="DN60" s="65">
        <f>(IS!DN29+IS!DL29+IS!DK29+IS!DJ29)/(IS!DN17+IS!DL17+IS!DK17+IS!DJ17)</f>
        <v>0.18119898801011997</v>
      </c>
      <c r="DO60" s="65">
        <f>(IS!DO29+IS!DN29+IS!DL29+IS!DK29)/(IS!DO17+IS!DN17+IS!DL17+IS!DK17)</f>
        <v>0.17912298688639172</v>
      </c>
      <c r="DP60" s="65">
        <f>(IS!DP29+IS!DO29+IS!DN29+IS!DL29)/(IS!DP17+IS!DO17+IS!DN17+IS!DL17)</f>
        <v>0.1814299760799003</v>
      </c>
      <c r="DQ60" s="238">
        <f>IS!DR29/IS!DR17</f>
        <v>0.18537085238048184</v>
      </c>
      <c r="DR60" s="61">
        <f>IS!DR29/IS!DR17</f>
        <v>0.18537085238048184</v>
      </c>
      <c r="DS60" s="65">
        <f>(IS!DS29+IS!DQ29+IS!DP29+IS!DO29)/(IS!DS17+IS!DQ17+IS!DP17+IS!DO17)</f>
        <v>0.18635535682106932</v>
      </c>
      <c r="DT60" s="65">
        <f>(IS!DT29+IS!DS29+IS!DQ29+IS!DP29)/(IS!DT17+IS!DS17+IS!DQ17+IS!DP17)</f>
        <v>0.18817604286041087</v>
      </c>
      <c r="DU60" s="65">
        <f>(IS!DU29+IS!DT29+IS!DS29+IS!DQ29)/(IS!DU17+IS!DT17+IS!DS17+IS!DQ17)</f>
        <v>0.19021611905868338</v>
      </c>
      <c r="DV60" s="238">
        <f>IS!DW29/IS!DW17</f>
        <v>0.1919060134389145</v>
      </c>
      <c r="DW60" s="61">
        <f>IS!DW29/IS!DW17</f>
        <v>0.1919060134389145</v>
      </c>
      <c r="DX60" s="65">
        <f>(IS!DX29+IS!DV29+IS!DU29+IS!DT29)/(IS!DX17+IS!DV17+IS!DU17+IS!DT17)</f>
        <v>0.19297204961031703</v>
      </c>
      <c r="DY60" s="65">
        <f>(IS!DY29+IS!DX29+IS!DV29+IS!DU29)/(IS!DY17+IS!DX17+IS!DV17+IS!DU17)</f>
        <v>0.19398486520651056</v>
      </c>
      <c r="DZ60" s="65">
        <f>(IS!DZ29+IS!DY29+IS!DX29+IS!DV29)/(IS!DZ17+IS!DY17+IS!DX17+IS!DV17)</f>
        <v>0.19552594083023808</v>
      </c>
      <c r="EA60" s="238">
        <f>IS!EB29/IS!EB17</f>
        <v>0.19699921068337498</v>
      </c>
      <c r="EB60" s="61">
        <f>IS!EB29/IS!EB17</f>
        <v>0.19699921068337498</v>
      </c>
      <c r="ED60" s="418"/>
      <c r="EK60" s="418"/>
    </row>
    <row r="61" spans="1:141" x14ac:dyDescent="0.2">
      <c r="A61" s="1" t="s">
        <v>489</v>
      </c>
      <c r="B61" s="179"/>
      <c r="C61" s="175"/>
      <c r="D61" s="175"/>
      <c r="E61" s="175"/>
      <c r="F61" s="175"/>
      <c r="G61" s="170"/>
      <c r="H61" s="157"/>
      <c r="I61" s="157"/>
      <c r="J61" s="157"/>
      <c r="K61" s="175"/>
      <c r="L61" s="170"/>
      <c r="M61" s="157"/>
      <c r="N61" s="157"/>
      <c r="O61" s="157"/>
      <c r="P61" s="175"/>
      <c r="Q61" s="170"/>
      <c r="R61" s="157"/>
      <c r="S61" s="157"/>
      <c r="T61" s="157"/>
      <c r="U61" s="175">
        <f>(IS!U17+IS!T17+IS!S17+IS!R17)/(AVERAGE(U26,T26,S26,R26))</f>
        <v>5.273074703120546</v>
      </c>
      <c r="V61" s="170">
        <f>U61</f>
        <v>5.273074703120546</v>
      </c>
      <c r="W61" s="175">
        <f>(IS!W17+IS!U17+IS!U17+IS!S17)/(AVERAGE(W26,U26,T26,S26))</f>
        <v>2.7645788885006612</v>
      </c>
      <c r="X61" s="175">
        <f>(IS!X17+IS!W17+IS!U17+IS!T17)/(AVERAGE(X26,W26,U26,T26))</f>
        <v>1.8750788523111721</v>
      </c>
      <c r="Y61" s="175">
        <f>(IS!Y17+IS!X17+IS!W17+IS!U17)/(AVERAGE(Y26,X26,W26,U26))</f>
        <v>1.4498535612254149</v>
      </c>
      <c r="Z61" s="175">
        <f>(IS!Z17+IS!Y17+IS!X17+IS!W17)/(AVERAGE(Z26,Y26,X26,W26))</f>
        <v>1.4699834551377002</v>
      </c>
      <c r="AA61" s="170">
        <f>Z61</f>
        <v>1.4699834551377002</v>
      </c>
      <c r="AB61" s="157">
        <f>(IS!AB17+IS!Z17+IS!Z17+IS!X17)/(AVERAGE(AB26,Z26,Y26,X26))</f>
        <v>1.5329968536644025</v>
      </c>
      <c r="AC61" s="175">
        <f>(IS!AC17+IS!AB17+IS!Z17+IS!Y17)/(AVERAGE(AC26,AB26,Z26,Y26))</f>
        <v>1.5086471893710296</v>
      </c>
      <c r="AD61" s="175">
        <f>(IS!AD17+IS!AC17+IS!AB17+IS!Z17)/(AVERAGE(AD26,AC26,AB26,Z26))</f>
        <v>1.5275628815971485</v>
      </c>
      <c r="AE61" s="175">
        <f>(IS!AE17+IS!AD17+IS!AC17+IS!AB17)/(AVERAGE(AE26,AD26,AC26,AB26))</f>
        <v>1.5398235251169901</v>
      </c>
      <c r="AF61" s="170">
        <f>AE61</f>
        <v>1.5398235251169901</v>
      </c>
      <c r="AG61" s="157">
        <f>(IS!AG17+IS!AE17+IS!AE17+IS!AC17)/(AVERAGE(AG26,AE26,AD26,AC26))</f>
        <v>1.5788788599855748</v>
      </c>
      <c r="AH61" s="175">
        <f>(IS!AH17+IS!AG17+IS!AE17+IS!AD17)/(AVERAGE(AH26,AG26,AE26,AD26))</f>
        <v>1.5684361490431922</v>
      </c>
      <c r="AI61" s="175">
        <f>(IS!AI17+IS!AH17+IS!AG17+IS!AE17)/(AVERAGE(AI26,AH26,AG26,AE26))</f>
        <v>1.5542358873770448</v>
      </c>
      <c r="AJ61" s="175">
        <f>(IS!AJ17+IS!AI17+IS!AH17+IS!AG17)/(AVERAGE(AJ26,AI26,AH26,AG26))</f>
        <v>1.5347513136591293</v>
      </c>
      <c r="AK61" s="170">
        <f>AJ61</f>
        <v>1.5347513136591293</v>
      </c>
      <c r="AL61" s="157">
        <f>(IS!AL17+IS!AJ17+IS!AJ17+IS!AH17)/(AVERAGE(AL26,AJ26,AI26,AH26))</f>
        <v>1.548837997874108</v>
      </c>
      <c r="AM61" s="175">
        <f>(IS!AM17+IS!AL17+IS!AJ17+IS!AI17)/(AVERAGE(AM26,AL26,AJ26,AI26))</f>
        <v>1.5441766390839295</v>
      </c>
      <c r="AN61" s="175">
        <f>(IS!AN17+IS!AM17+IS!AL17+IS!AJ17)/(AVERAGE(AN26,AM26,AL26,AJ26))</f>
        <v>1.5467929375328617</v>
      </c>
      <c r="AO61" s="175">
        <f>(IS!AO17+IS!AN17+IS!AM17+IS!AL17)/(AVERAGE(AO26,AN26,AM26,AL26))</f>
        <v>1.5634320646829285</v>
      </c>
      <c r="AP61" s="170">
        <f>AO61</f>
        <v>1.5634320646829285</v>
      </c>
      <c r="AQ61" s="157">
        <f>(IS!AQ17+IS!AO17+IS!AO17+IS!AM17)/(AVERAGE(AQ26,AO26,AN26,AM26))</f>
        <v>1.5979566771856402</v>
      </c>
      <c r="AR61" s="175">
        <f>(IS!AR17+IS!AQ17+IS!AO17+IS!AN17)/(AVERAGE(AR26,AQ26,AO26,AN26))</f>
        <v>1.5895372897867954</v>
      </c>
      <c r="AS61" s="175">
        <f>(IS!AS17+IS!AR17+IS!AQ17+IS!AO17)/(AVERAGE(AS26,AR26,AQ26,AO26))</f>
        <v>1.6092523213200378</v>
      </c>
      <c r="AT61" s="175">
        <f>(IS!AT17+IS!AS17+IS!AR17+IS!AQ17)/(AVERAGE(AT26,AS26,AR26,AQ26))</f>
        <v>1.6126706071472734</v>
      </c>
      <c r="AU61" s="170">
        <f>AT61</f>
        <v>1.6126706071472734</v>
      </c>
      <c r="AV61" s="157">
        <f>(IS!AV17+IS!AT17+IS!AT17+IS!AR17)/(AVERAGE(AV26,AT26,AS26,AR26))</f>
        <v>1.6244778652934246</v>
      </c>
      <c r="AW61" s="175">
        <f>(IS!AW17+IS!AV17+IS!AT17+IS!AS17)/(AVERAGE(AW26,AV26,AT26,AS26))</f>
        <v>1.6135603039756201</v>
      </c>
      <c r="AX61" s="175">
        <f>(IS!AX17+IS!AW17+IS!AV17+IS!AT17)/(AVERAGE(AX26,AW26,AV26,AT26))</f>
        <v>1.6240350414095754</v>
      </c>
      <c r="AY61" s="175">
        <f>(IS!AY17+IS!AX17+IS!AW17+IS!AV17)/(AVERAGE(AY26,AX26,AW26,AV26))</f>
        <v>1.6570371654781462</v>
      </c>
      <c r="AZ61" s="170">
        <f>AY61</f>
        <v>1.6570371654781462</v>
      </c>
      <c r="BA61" s="157">
        <f>(IS!BA17+IS!AY17+IS!AY17+IS!AW17)/(AVERAGE(BA26,AY26,AX26,AW26))</f>
        <v>1.6965500752988951</v>
      </c>
      <c r="BB61" s="175">
        <f>(IS!BB17+IS!BA17+IS!AY17+IS!AX17)/(AVERAGE(BB26,BA26,AY26,AX26))</f>
        <v>1.6759383522957427</v>
      </c>
      <c r="BC61" s="175">
        <f>(IS!BC17+IS!BB17+IS!BA17+IS!AY17)/(AVERAGE(BC26,BB26,BA26,AY26))</f>
        <v>1.7437443636782872</v>
      </c>
      <c r="BD61" s="175">
        <f>(IS!BD17+IS!BC17+IS!BB17+IS!BA17)/(AVERAGE(BD26,BC26,BB26,BA26))</f>
        <v>1.7860030809836012</v>
      </c>
      <c r="BE61" s="170">
        <f>BD61</f>
        <v>1.7860030809836012</v>
      </c>
      <c r="BF61" s="157">
        <f>(IS!BF17+IS!BD17+IS!BD17+IS!BB17)/(AVERAGE(BF26,BD26,BC26,BB26))</f>
        <v>1.913040210829418</v>
      </c>
      <c r="BG61" s="175">
        <f>(IS!BG17+IS!BF17+IS!BD17+IS!BC17)/(AVERAGE(BG26,BF26,BD26,BC26))</f>
        <v>1.9707912697637926</v>
      </c>
      <c r="BH61" s="175">
        <f>(IS!BH17+IS!BG17+IS!BF17+IS!BD17)/(AVERAGE(BH26,BG26,BF26,BD26))</f>
        <v>1.9720985197658232</v>
      </c>
      <c r="BI61" s="175">
        <f>(IS!BI17+IS!BH17+IS!BG17+IS!BF17)/(AVERAGE(BI26,BH26,BG26,BF26))</f>
        <v>1.9453363168541031</v>
      </c>
      <c r="BJ61" s="170">
        <f>BI61</f>
        <v>1.9453363168541031</v>
      </c>
      <c r="BK61" s="157">
        <f>(IS!BK17+IS!BI17+IS!BI17+IS!BG17)/(AVERAGE(BK26,BI26,BH26,BG26))</f>
        <v>1.9608289690210841</v>
      </c>
      <c r="BL61" s="175">
        <f>(IS!BL17+IS!BK17+IS!BI17+IS!BH17)/(AVERAGE(BL26,BK26,BI26,BH26))</f>
        <v>1.9445534405401559</v>
      </c>
      <c r="BM61" s="175">
        <f>(IS!BM17+IS!BL17+IS!BK17+IS!BI17)/(AVERAGE(BM26,BL26,BK26,BI26))</f>
        <v>1.9405819410140024</v>
      </c>
      <c r="BN61" s="175">
        <f>(IS!BN17+IS!BM17+IS!BL17+IS!BK17)/(AVERAGE(BN26,BM26,BL26,BK26))</f>
        <v>1.9392842994986172</v>
      </c>
      <c r="BO61" s="170">
        <f>BN61</f>
        <v>1.9392842994986172</v>
      </c>
      <c r="BP61" s="157">
        <f>(IS!BP17+IS!BN17+IS!BN17+IS!BL17)/(AVERAGE(BP26,BN26,BM26,BL26))</f>
        <v>1.9430193875006889</v>
      </c>
      <c r="BQ61" s="175">
        <f>(IS!BQ17+IS!BP17+IS!BN17+IS!BM17)/(AVERAGE(BQ26,BP26,BN26,BM26))</f>
        <v>1.8965872382206548</v>
      </c>
      <c r="BR61" s="175">
        <f>(IS!BR17+IS!BQ17+IS!BP17+IS!BN17)/(AVERAGE(BR26,BQ26,BP26,BN26))</f>
        <v>1.8796711151980259</v>
      </c>
      <c r="BS61" s="175">
        <f>(IS!BS17+IS!BR17+IS!BQ17+IS!BP17)/(AVERAGE(BS26,BR26,BQ26,BP26))</f>
        <v>1.8653156916111993</v>
      </c>
      <c r="BT61" s="170">
        <f>BS61</f>
        <v>1.8653156916111993</v>
      </c>
      <c r="BU61" s="157">
        <f>(IS!BU17+IS!BS17+IS!BS17+IS!BQ17)/(AVERAGE(BU26,BS26,BR26,BQ26))</f>
        <v>1.8254775812718154</v>
      </c>
      <c r="BV61" s="175">
        <f>(IS!BV17+IS!BU17+IS!BS17+IS!BR17)/(AVERAGE(BV26,BU26,BS26,BR26))</f>
        <v>1.8220415127560508</v>
      </c>
      <c r="BW61" s="175">
        <f>(IS!BW17+IS!BV17+IS!BU17+IS!BS17)/(AVERAGE(BW26,BV26,BU26,BS26))</f>
        <v>1.8091798289438705</v>
      </c>
      <c r="BX61" s="175">
        <f>(IS!BX17+IS!BW17+IS!BV17+IS!BU17)/(AVERAGE(BX26,BW26,BV26,BU26))</f>
        <v>1.7999779021803184</v>
      </c>
      <c r="BY61" s="170">
        <f>BX61</f>
        <v>1.7999779021803184</v>
      </c>
      <c r="BZ61" s="157">
        <f>(IS!BZ17+IS!BX17+IS!BX17+IS!BV17)/(AVERAGE(BZ26,BX26,BW26,BV26))</f>
        <v>1.7764300581353625</v>
      </c>
      <c r="CA61" s="175">
        <f>(IS!CA17+IS!BZ17+IS!BX17+IS!BW17)/(AVERAGE(CA26,BZ26,BX26,BW26))</f>
        <v>1.7418229243140069</v>
      </c>
      <c r="CB61" s="175">
        <f>(IS!CB17+IS!CA17+IS!BZ17+IS!BX17)/(AVERAGE(CB26,CA26,BZ26,BX26))</f>
        <v>1.7131252600915527</v>
      </c>
      <c r="CC61" s="175">
        <f>(IS!CC17+IS!CB17+IS!CA17+IS!BZ17)/(AVERAGE(CC26,CB26,CA26,BZ26))</f>
        <v>1.7242814755768128</v>
      </c>
      <c r="CD61" s="483">
        <f>CC61</f>
        <v>1.7242814755768128</v>
      </c>
      <c r="CE61" s="484">
        <f>(IS!CE17+IS!CC17+IS!CC17+IS!CA17)/(AVERAGE(CE26,CC26,CB26,CA26))</f>
        <v>1.7393235314742523</v>
      </c>
      <c r="CF61" s="485">
        <f>(IS!CF17+IS!CE17+IS!CC17+IS!CB17)/(AVERAGE(CF26,CE26,CC26,CB26))</f>
        <v>1.6852531872022296</v>
      </c>
      <c r="CG61" s="485">
        <f>(IS!CG17+IS!CF17+IS!CE17+IS!CC17)/(AVERAGE(CG26,CF26,CE26,CC26))</f>
        <v>1.6772148208611493</v>
      </c>
      <c r="CH61" s="485">
        <f>(IS!CH17+IS!CG17+IS!CF17+IS!CE17)/(AVERAGE(CH26,CG26,CF26,CE26))</f>
        <v>1.6469917549064113</v>
      </c>
      <c r="CI61" s="483">
        <f>CH61</f>
        <v>1.6469917549064113</v>
      </c>
      <c r="CJ61" s="484">
        <f>(IS!CJ17+IS!CH17+IS!CH17+IS!CF17)/(AVERAGE(CJ26,CH26,CG26,CF26))</f>
        <v>1.6751587577673646</v>
      </c>
      <c r="CK61" s="485">
        <f>(IS!CK17+IS!CJ17+IS!CH17+IS!CG17)/(AVERAGE(CK26,CJ26,CH26,CG26))</f>
        <v>1.6612772810830259</v>
      </c>
      <c r="CL61" s="485">
        <f>(IS!CL17+IS!CK17+IS!CJ17+IS!CH17)/(AVERAGE(CL26,CK26,CJ26,CH26))</f>
        <v>1.6438876089288319</v>
      </c>
      <c r="CM61" s="485">
        <f>(IS!CM17+IS!CL17+IS!CK17+IS!CJ17)/(AVERAGE(CM26,CL26,CK26,CJ26))</f>
        <v>1.6406324335345472</v>
      </c>
      <c r="CN61" s="483">
        <f>CM61</f>
        <v>1.6406324335345472</v>
      </c>
      <c r="CO61" s="484">
        <f>(IS!CO17+IS!CM17+IS!CM17+IS!CK17)/(AVERAGE(CO26,CM26,CL26,CK26))</f>
        <v>1.6594125003406541</v>
      </c>
      <c r="CP61" s="485">
        <f>(IS!CP17+IS!CO17+IS!CM17+IS!CL17)/(AVERAGE(CP26,CO26,CM26,CL26))</f>
        <v>1.6705348885773097</v>
      </c>
      <c r="CQ61" s="485">
        <f>(IS!CQ17+IS!CP17+IS!CO17+IS!CM17)/(AVERAGE(CQ26,CP26,CO26,CM26))</f>
        <v>1.6848259925775506</v>
      </c>
      <c r="CR61" s="485">
        <f>(IS!CR17+IS!CQ17+IS!CP17+IS!CO17)/(AVERAGE(CR26,CQ26,CP26,CO26))</f>
        <v>1.5827679728733444</v>
      </c>
      <c r="CS61" s="483">
        <f>CR61</f>
        <v>1.5827679728733444</v>
      </c>
      <c r="CT61" s="484">
        <f>(IS!CT17+IS!CR17+IS!CR17+IS!CP17)/(AVERAGE(CT26,CR26,CQ26,CP26))</f>
        <v>1.5625797595139437</v>
      </c>
      <c r="CU61" s="485">
        <f>(IS!CU17+IS!CT17+IS!CR17+IS!CQ17)/(AVERAGE(CU26,CT26,CR26,CQ26))</f>
        <v>1.5281741067938395</v>
      </c>
      <c r="CV61" s="485">
        <f>(IS!CV17+IS!CU17+IS!CT17+IS!CR17)/(AVERAGE(CV26,CU26,CT26,CR26))</f>
        <v>1.5199341130585837</v>
      </c>
      <c r="CW61" s="694">
        <f>(IS!CW17+IS!CV17+IS!CU17+IS!CT17)/(AVERAGE(CW26,CV26,CU26,CT26))</f>
        <v>1.5857065730867868</v>
      </c>
      <c r="CX61" s="754">
        <f>CW61</f>
        <v>1.5857065730867868</v>
      </c>
      <c r="CY61" s="484">
        <f>(IS!CY17+IS!CW17+IS!CW17+IS!CU17)/(AVERAGE(CY26,CW26,CV26,CU26))</f>
        <v>1.56366564723319</v>
      </c>
      <c r="CZ61" s="485">
        <f>(IS!CZ17+IS!CY17+IS!CW17+IS!CV17)/(AVERAGE(CZ26,CY26,CW26,CV26))</f>
        <v>1.5500175131348513</v>
      </c>
      <c r="DA61" s="485">
        <f>(IS!DA17+IS!CZ17+IS!CY17+IS!CW17)/(AVERAGE(DA26,CZ26,CY26,CW26))</f>
        <v>1.5305116945404715</v>
      </c>
      <c r="DB61" s="875">
        <f>(IS!DB17+IS!DA17+IS!CZ17+IS!CY17)/(AVERAGE(DB26,DA26,CZ26,CY26))</f>
        <v>1.5383417391007668</v>
      </c>
      <c r="DC61" s="483">
        <f>DB61</f>
        <v>1.5383417391007668</v>
      </c>
      <c r="DD61" s="157">
        <f>(IS!DD17+IS!DB17+IS!DB17+IS!CZ17)/(AVERAGE(DD26,DB26,DA26,CZ26))</f>
        <v>1.5681772654519199</v>
      </c>
      <c r="DE61" s="485">
        <f>(IS!DE17+IS!DD17+IS!DB17+IS!DA17)/(AVERAGE(DE26,DD26,DB26,DA26))</f>
        <v>1.5892409553085836</v>
      </c>
      <c r="DF61" s="175">
        <f>(IS!DF17+IS!DE17+IS!DD17+IS!DB17)/(AVERAGE(DF26,DE26,DD26,DB26))</f>
        <v>1.587201522265453</v>
      </c>
      <c r="DG61" s="861">
        <f>(IS!DG17+IS!DF17+IS!DE17+IS!DD17)/(AVERAGE(DG26,DF26,DE26,DD26))</f>
        <v>1.5899794128177589</v>
      </c>
      <c r="DH61" s="170">
        <f>DG61</f>
        <v>1.5899794128177589</v>
      </c>
      <c r="DI61" s="157">
        <f>(IS!DI17+IS!DG17+IS!DG17+IS!DE17)/(AVERAGE(DI26,DG26,DF26,DE26))</f>
        <v>1.619652135123969</v>
      </c>
      <c r="DJ61" s="175">
        <f>(IS!DJ17+IS!DI17+IS!DG17+IS!DF17)/(AVERAGE(DJ26,DI26,DG26,DF26))</f>
        <v>1.5583703701077332</v>
      </c>
      <c r="DK61" s="175">
        <f>(IS!DK17+IS!DJ17+IS!DI17+IS!DG17)/(AVERAGE(DK26,DJ26,DI26,DG26))</f>
        <v>1.5692203147603923</v>
      </c>
      <c r="DL61" s="175">
        <f>(IS!DL17+IS!DK17+IS!DJ17+IS!DI17)/(AVERAGE(DL26,DK26,DJ26,DI26))</f>
        <v>1.5673256495751178</v>
      </c>
      <c r="DM61" s="170">
        <f>DL61</f>
        <v>1.5673256495751178</v>
      </c>
      <c r="DN61" s="157">
        <f>(IS!DN17+IS!DL17+IS!DL17+IS!DJ17)/(AVERAGE(DN26,DL26,DK26,DJ26))</f>
        <v>1.5154282233473635</v>
      </c>
      <c r="DO61" s="175">
        <f>(IS!DO17+IS!DN17+IS!DL17+IS!DK17)/(AVERAGE(DO26,DN26,DL26,DK26))</f>
        <v>1.5000738697033056</v>
      </c>
      <c r="DP61" s="175">
        <f>(IS!DP17+IS!DO17+IS!DN17+IS!DL17)/(AVERAGE(DP26,DO26,DN26,DL26))</f>
        <v>1.4998916142540453</v>
      </c>
      <c r="DQ61" s="175">
        <f>(IS!DQ17+IS!DP17+IS!DO17+IS!DN17)/(AVERAGE(DQ26,DP26,DO26,DN26))</f>
        <v>1.5006277913270063</v>
      </c>
      <c r="DR61" s="170">
        <f>DQ61</f>
        <v>1.5006277913270063</v>
      </c>
      <c r="DS61" s="157">
        <f>(IS!DS17+IS!DQ17+IS!DQ17+IS!DO17)/(AVERAGE(DS26,DQ26,DP26,DO26))</f>
        <v>1.5271266136366635</v>
      </c>
      <c r="DT61" s="175">
        <f>(IS!DT17+IS!DS17+IS!DQ17+IS!DP17)/(AVERAGE(DT26,DS26,DQ26,DP26))</f>
        <v>1.5365100798023388</v>
      </c>
      <c r="DU61" s="175">
        <f>(IS!DU17+IS!DT17+IS!DS17+IS!DQ17)/(AVERAGE(DU26,DT26,DS26,DQ26))</f>
        <v>1.5504180091584974</v>
      </c>
      <c r="DV61" s="175">
        <f>(IS!DV17+IS!DU17+IS!DT17+IS!DS17)/(AVERAGE(DV26,DU26,DT26,DS26))</f>
        <v>1.5620375684888537</v>
      </c>
      <c r="DW61" s="170">
        <f>DV61</f>
        <v>1.5620375684888537</v>
      </c>
      <c r="DX61" s="157">
        <f>(IS!DX17+IS!DV17+IS!DV17+IS!DT17)/(AVERAGE(DX26,DV26,DU26,DT26))</f>
        <v>1.5851923489424951</v>
      </c>
      <c r="DY61" s="175">
        <f>(IS!DY17+IS!DX17+IS!DV17+IS!DU17)/(AVERAGE(DY26,DX26,DV26,DU26))</f>
        <v>1.5926054407939731</v>
      </c>
      <c r="DZ61" s="175">
        <f>(IS!DZ17+IS!DY17+IS!DX17+IS!DV17)/(AVERAGE(DZ26,DY26,DX26,DV26))</f>
        <v>1.6099158760306007</v>
      </c>
      <c r="EA61" s="175">
        <f>(IS!EA17+IS!DZ17+IS!DY17+IS!DX17)/(AVERAGE(EA26,DZ26,DY26,DX26))</f>
        <v>1.6302540569160457</v>
      </c>
      <c r="EB61" s="170">
        <f>EA61</f>
        <v>1.6302540569160457</v>
      </c>
      <c r="ED61" s="418"/>
      <c r="EK61" s="418"/>
    </row>
    <row r="62" spans="1:141" x14ac:dyDescent="0.2">
      <c r="A62" s="28" t="s">
        <v>488</v>
      </c>
      <c r="B62" s="179"/>
      <c r="C62" s="175"/>
      <c r="D62" s="175"/>
      <c r="E62" s="175"/>
      <c r="F62" s="175"/>
      <c r="G62" s="170"/>
      <c r="H62" s="175"/>
      <c r="I62" s="175"/>
      <c r="J62" s="175"/>
      <c r="K62" s="175"/>
      <c r="L62" s="170"/>
      <c r="M62" s="175"/>
      <c r="N62" s="175"/>
      <c r="O62" s="175"/>
      <c r="P62" s="175"/>
      <c r="Q62" s="170"/>
      <c r="R62" s="175"/>
      <c r="S62" s="175"/>
      <c r="T62" s="175"/>
      <c r="U62" s="175">
        <f t="shared" ref="U62:V62" si="132">((P26+U26)/2)/((P55+U55)/2)</f>
        <v>1.2498385364668378</v>
      </c>
      <c r="V62" s="170">
        <f t="shared" si="132"/>
        <v>1.389415940480198</v>
      </c>
      <c r="W62" s="175">
        <f>AVERAGE(W26,S26:U26)/AVERAGE(W55,S55:U55)</f>
        <v>1.2538423931964904</v>
      </c>
      <c r="X62" s="175">
        <f>AVERAGE(W26:X26,T26:U26)/AVERAGE(W55:X55,T55:U55)</f>
        <v>1.2456204654332776</v>
      </c>
      <c r="Y62" s="175">
        <f>AVERAGE(W26:Y26,U26)/AVERAGE(W55:Y55,U55)</f>
        <v>1.2514761008647639</v>
      </c>
      <c r="Z62" s="175">
        <f>AVERAGE(W26:Z26)/AVERAGE(W55:Z55)</f>
        <v>1.2656305712735447</v>
      </c>
      <c r="AA62" s="170">
        <f>AVERAGE(W26:Z26)/AVERAGE(W55:Z55)</f>
        <v>1.2656305712735447</v>
      </c>
      <c r="AB62" s="175">
        <f>AVERAGE(AB26,X26:Z26)/AVERAGE(AB55,X55:Z55)</f>
        <v>1.2768185350838364</v>
      </c>
      <c r="AC62" s="175">
        <f>AVERAGE(AB26:AC26,Y26:Z26)/AVERAGE(AB55:AC55,Y55:Z55)</f>
        <v>1.2922518969257448</v>
      </c>
      <c r="AD62" s="175">
        <f>AVERAGE(AB26:AD26,Z26)/AVERAGE(AB55:AD55,Z55)</f>
        <v>1.3025646279657652</v>
      </c>
      <c r="AE62" s="175">
        <f>AVERAGE(AB26:AE26)/AVERAGE(AB55:AE55)</f>
        <v>1.3017671424136501</v>
      </c>
      <c r="AF62" s="170">
        <f>AVERAGE(AB26:AE26)/AVERAGE(AB55:AE55)</f>
        <v>1.3017671424136501</v>
      </c>
      <c r="AG62" s="175">
        <f>AVERAGE(AG26,AC26:AE26)/AVERAGE(AG55,AC55:AE55)</f>
        <v>1.3028163989112826</v>
      </c>
      <c r="AH62" s="175">
        <f>AVERAGE(AG26:AH26,AD26:AE26)/AVERAGE(AG55:AH55,AD55:AE55)</f>
        <v>1.3012360771557903</v>
      </c>
      <c r="AI62" s="175">
        <f>AVERAGE(AG26:AI26,AE26)/AVERAGE(AG55:AI55,AE55)</f>
        <v>1.3032304380753068</v>
      </c>
      <c r="AJ62" s="175">
        <f>AVERAGE(AG26:AJ26)/AVERAGE(AG55:AJ55)</f>
        <v>1.314922007427864</v>
      </c>
      <c r="AK62" s="170">
        <f>AVERAGE(AG26:AJ26)/AVERAGE(AG55:AJ55)</f>
        <v>1.314922007427864</v>
      </c>
      <c r="AL62" s="175">
        <f>AVERAGE(AL26,AH26:AJ26)/AVERAGE(AL55,AH55:AJ55)</f>
        <v>1.3156662979144074</v>
      </c>
      <c r="AM62" s="175">
        <f>AVERAGE(AL26:AM26,AI26:AJ26)/AVERAGE(AL55:AM55,AI55:AJ55)</f>
        <v>1.3100301818771507</v>
      </c>
      <c r="AN62" s="175">
        <f>AVERAGE(AL26:AN26,AJ26)/AVERAGE(AL55:AN55,AJ55)</f>
        <v>1.3043067110829865</v>
      </c>
      <c r="AO62" s="175">
        <f>AVERAGE(AL26:AO26)/AVERAGE(AL55:AO55)</f>
        <v>1.2905490494940384</v>
      </c>
      <c r="AP62" s="170">
        <f>AVERAGE(AL26:AO26)/AVERAGE(AL55:AO55)</f>
        <v>1.2905490494940384</v>
      </c>
      <c r="AQ62" s="175">
        <f>AVERAGE(AQ26,AM26:AO26)/AVERAGE(AQ55,AM55:AO55)</f>
        <v>1.2926384969136446</v>
      </c>
      <c r="AR62" s="175">
        <f>AVERAGE(AQ26:AR26,AN26:AO26)/AVERAGE(AQ55:AR55,AN55:AO55)</f>
        <v>1.2926536777108553</v>
      </c>
      <c r="AS62" s="175">
        <f>AVERAGE(AQ26:AS26,AO26)/AVERAGE(AQ55:AS55,AO55)</f>
        <v>1.2989040304692769</v>
      </c>
      <c r="AT62" s="175">
        <f>AVERAGE(AQ26:AT26)/AVERAGE(AQ55:AT55)</f>
        <v>1.3052120683132535</v>
      </c>
      <c r="AU62" s="170">
        <f>AVERAGE(AQ26:AT26)/AVERAGE(AQ55:AT55)</f>
        <v>1.3052120683132535</v>
      </c>
      <c r="AV62" s="175">
        <f>AVERAGE(AV26,AR26:AT26)/AVERAGE(AV55,AR55:AT55)</f>
        <v>1.3204395048527919</v>
      </c>
      <c r="AW62" s="175">
        <f>AVERAGE(AV26:AW26,AS26:AT26)/AVERAGE(AV55:AW55,AS55:AT55)</f>
        <v>1.3283955661607834</v>
      </c>
      <c r="AX62" s="175">
        <f>AVERAGE(AV26:AX26,AT26)/AVERAGE(AV55:AX55,AT55)</f>
        <v>1.3275501143926194</v>
      </c>
      <c r="AY62" s="175">
        <f>AVERAGE(AV26:AY26)/AVERAGE(AV55:AY55)</f>
        <v>1.3424503481065877</v>
      </c>
      <c r="AZ62" s="170">
        <f>AVERAGE(AV26:AY26)/AVERAGE(AV55:AY55)</f>
        <v>1.3424503481065877</v>
      </c>
      <c r="BA62" s="175">
        <f>AVERAGE(BA26,AW26:AY26)/AVERAGE(BA55,AW55:AY55)</f>
        <v>1.342656193887495</v>
      </c>
      <c r="BB62" s="175">
        <f>AVERAGE(BA26:BB26,AX26:AY26)/AVERAGE(BA55:BB55,AX55:AY55)</f>
        <v>1.3592031069334702</v>
      </c>
      <c r="BC62" s="175">
        <f>AVERAGE(BA26:BC26,AY26)/AVERAGE(BA55:BC55,AY55)</f>
        <v>1.392663242225143</v>
      </c>
      <c r="BD62" s="175">
        <f>AVERAGE(BA26:BD26)/AVERAGE(BA55:BD55)</f>
        <v>1.4598445464618308</v>
      </c>
      <c r="BE62" s="170">
        <f>AVERAGE(BA26:BD26)/AVERAGE(BA55:BD55)</f>
        <v>1.4598445464618308</v>
      </c>
      <c r="BF62" s="175">
        <f>AVERAGE(BF26,BB26:BD26)/AVERAGE(BF55,BB55:BD55)</f>
        <v>1.5383979150718854</v>
      </c>
      <c r="BG62" s="175">
        <f>AVERAGE(BF26:BG26,BC26:BD26)/AVERAGE(BF55:BG55,BC55:BD55)</f>
        <v>1.5938877564374136</v>
      </c>
      <c r="BH62" s="175">
        <f>AVERAGE(BF26:BH26,BD26)/AVERAGE(BF55:BH55,BD55)</f>
        <v>1.6327239132611973</v>
      </c>
      <c r="BI62" s="175">
        <f>AVERAGE(BF26:BI26)/AVERAGE(BF55:BI55)</f>
        <v>1.7062012710162142</v>
      </c>
      <c r="BJ62" s="170">
        <f>AVERAGE(BF26:BI26)/AVERAGE(BF55:BI55)</f>
        <v>1.7062012710162142</v>
      </c>
      <c r="BK62" s="175">
        <f>AVERAGE(BK26,BG26:BI26)/AVERAGE(BK55,BG55:BI55)</f>
        <v>1.7544751424997902</v>
      </c>
      <c r="BL62" s="175">
        <f>AVERAGE(BK26:BL26,BH26:BI26)/AVERAGE(BK55:BL55,BH55:BI55)</f>
        <v>1.8802719943141828</v>
      </c>
      <c r="BM62" s="175">
        <f>AVERAGE(BK26:BM26,BI26)/AVERAGE(BK55:BM55,BI55)</f>
        <v>2.0028675391386117</v>
      </c>
      <c r="BN62" s="175">
        <f>AVERAGE(BK26:BN26)/AVERAGE(BK55:BN55)</f>
        <v>2.0893545362335559</v>
      </c>
      <c r="BO62" s="170">
        <f>AVERAGE(BK26:BN26)/AVERAGE(BK55:BN55)</f>
        <v>2.0893545362335559</v>
      </c>
      <c r="BP62" s="175">
        <f>AVERAGE(BP26,BL26:BN26)/AVERAGE(BP55,BL55:BN55)</f>
        <v>2.239448432858695</v>
      </c>
      <c r="BQ62" s="175">
        <f>AVERAGE(BP26:BQ26,BM26:BN26)/AVERAGE(BP55:BQ55,BM55:BN55)</f>
        <v>2.2807504299916581</v>
      </c>
      <c r="BR62" s="175">
        <f>AVERAGE(BP26:BR26,BN26)/AVERAGE(BP55:BR55,BN55)</f>
        <v>2.3200116927682832</v>
      </c>
      <c r="BS62" s="175">
        <f>AVERAGE(BP26:BS26)/AVERAGE(BP55:BS55)</f>
        <v>2.3043820247976656</v>
      </c>
      <c r="BT62" s="170">
        <f>AVERAGE(BP26:BS26)/AVERAGE(BP55:BS55)</f>
        <v>2.3043820247976656</v>
      </c>
      <c r="BU62" s="175">
        <f>AVERAGE(BU26,BQ26:BS26)/AVERAGE(BU55,BQ55:BS55)</f>
        <v>2.2303674351585019</v>
      </c>
      <c r="BV62" s="175">
        <f>AVERAGE(BU26:BV26,BR26:BS26)/AVERAGE(BU55:BV55,BR55:BS55)</f>
        <v>2.1640152407887507</v>
      </c>
      <c r="BW62" s="175">
        <f>AVERAGE(BU26:BW26,BS26)/AVERAGE(BU55:BW55,BS55)</f>
        <v>2.0731287830557115</v>
      </c>
      <c r="BX62" s="175">
        <f>AVERAGE(BU26:BX26)/AVERAGE(BU55:BX55)</f>
        <v>1.9606632547140004</v>
      </c>
      <c r="BY62" s="170">
        <f>AVERAGE(BU26:BX26)/AVERAGE(BU55:BX55)</f>
        <v>1.9606632547140004</v>
      </c>
      <c r="BZ62" s="175">
        <f>AVERAGE(BZ26,BV26:BX26)/AVERAGE(BZ55,BV55:BX55)</f>
        <v>1.8819795025917236</v>
      </c>
      <c r="CA62" s="175">
        <f>AVERAGE(BZ26:CA26,BW26:BX26)/AVERAGE(BZ55:CA55,BW55:BX55)</f>
        <v>1.8153182815929756</v>
      </c>
      <c r="CB62" s="175">
        <f>AVERAGE(BZ26:CB26,BX26)/AVERAGE(BZ55:CB55,BX55)</f>
        <v>1.7854356596750105</v>
      </c>
      <c r="CC62" s="175">
        <f>AVERAGE(BZ26:CC26)/AVERAGE(BZ55:CC55)</f>
        <v>1.7631513568381378</v>
      </c>
      <c r="CD62" s="170">
        <f>AVERAGE(BZ26:CC26)/AVERAGE(BZ55:CC55)</f>
        <v>1.7631513568381378</v>
      </c>
      <c r="CE62" s="175">
        <f>AVERAGE(CE26,CA26:CC26)/AVERAGE(CE55,CA55:CC55)</f>
        <v>1.7357370353590338</v>
      </c>
      <c r="CF62" s="175">
        <f>AVERAGE(CE26:CF26,CB26:CC26)/AVERAGE(CE55:CF55,CB55:CC55)</f>
        <v>1.7058354909380604</v>
      </c>
      <c r="CG62" s="175">
        <f>AVERAGE(CE26:CG26,CC26)/AVERAGE(CE55:CG55,CC55)</f>
        <v>1.675043184745256</v>
      </c>
      <c r="CH62" s="175">
        <f>AVERAGE(CE26:CH26)/AVERAGE(CE55:CH55)</f>
        <v>1.6624583901294661</v>
      </c>
      <c r="CI62" s="170">
        <f>AVERAGE(CE26:CH26)/AVERAGE(CE55:CH55)</f>
        <v>1.6624583901294661</v>
      </c>
      <c r="CJ62" s="175">
        <f>AVERAGE(CJ26,CF26:CH26)/AVERAGE(CJ55,CF55:CH55)</f>
        <v>1.6459381174779952</v>
      </c>
      <c r="CK62" s="175">
        <f>AVERAGE(CJ26:CK26,CG26:CH26)/AVERAGE(CJ55:CK55,CG55:CH55)</f>
        <v>1.6263814712433913</v>
      </c>
      <c r="CL62" s="175">
        <f>AVERAGE(CJ26:CL26,CH26)/AVERAGE(CJ55:CL55,CH55)</f>
        <v>1.601465700375065</v>
      </c>
      <c r="CM62" s="175">
        <f>AVERAGE(CJ26:CM26)/AVERAGE(CJ55:CM55)</f>
        <v>1.5867200635272318</v>
      </c>
      <c r="CN62" s="170">
        <f>AVERAGE(CJ26:CM26)/AVERAGE(CJ55:CM55)</f>
        <v>1.5867200635272318</v>
      </c>
      <c r="CO62" s="175">
        <f>AVERAGE(CO26,CK26:CM26)/AVERAGE(CO55,CK55:CM55)</f>
        <v>1.5879397226549725</v>
      </c>
      <c r="CP62" s="175">
        <f>AVERAGE(CO26:CP26,CL26:CM26)/AVERAGE(CO55:CP55,CL55:CM55)</f>
        <v>1.5974019166345006</v>
      </c>
      <c r="CQ62" s="175">
        <f>AVERAGE(CO26:CQ26,CM26)/AVERAGE(CO55:CQ55,CM55)</f>
        <v>1.6060202800217422</v>
      </c>
      <c r="CR62" s="175">
        <f>AVERAGE(CO26:CR26)/AVERAGE(CO55:CR55)</f>
        <v>1.8139809968907514</v>
      </c>
      <c r="CS62" s="170">
        <f>AVERAGE(CO26:CR26)/AVERAGE(CO55:CR55)</f>
        <v>1.8139809968907514</v>
      </c>
      <c r="CT62" s="175">
        <f>AVERAGE(CT26,CP26:CR26)/AVERAGE(CT55,CP55:CR55)</f>
        <v>1.9254056435231639</v>
      </c>
      <c r="CU62" s="175">
        <f>AVERAGE(CT26:CU26,CQ26:CR26)/AVERAGE(CT55:CU55,CQ55:CR55)</f>
        <v>2.0410288119196975</v>
      </c>
      <c r="CV62" s="175">
        <f>AVERAGE(CT26:CV26,CR26)/AVERAGE(CT55:CV55,CR55)</f>
        <v>2.1801305368521526</v>
      </c>
      <c r="CW62" s="175">
        <f>AVERAGE(CT26:CW26)/AVERAGE(CT55:CW55)</f>
        <v>2.0566987057149797</v>
      </c>
      <c r="CX62" s="170">
        <f>AVERAGE(CT26:CW26)/AVERAGE(CT55:CW55)</f>
        <v>2.0566987057149797</v>
      </c>
      <c r="CY62" s="175">
        <f>AVERAGE(CY26,CU26:CW26)/AVERAGE(CY55,CU55:CW55)</f>
        <v>2.069497134554847</v>
      </c>
      <c r="CZ62" s="175">
        <f>AVERAGE(CY26:CZ26,CV26:CW26)/AVERAGE(CY55:CZ55,CV55:CW55)</f>
        <v>2.0646421000772888</v>
      </c>
      <c r="DA62" s="175">
        <f>AVERAGE(CY26:DA26,CW26)/AVERAGE(CY55:DA55,CW55)</f>
        <v>2.1020530188629842</v>
      </c>
      <c r="DB62" s="175">
        <f>AVERAGE(CY26:DB26)/AVERAGE(CY55:DB55)</f>
        <v>2.1240355349424096</v>
      </c>
      <c r="DC62" s="170">
        <f>AVERAGE(CY26:DB26)/AVERAGE(CY55:DB55)</f>
        <v>2.1240355349424096</v>
      </c>
      <c r="DD62" s="175">
        <f>AVERAGE(DD26,CZ26:DB26)/AVERAGE(DD55,CZ55:DB55)</f>
        <v>2.1305700051131011</v>
      </c>
      <c r="DE62" s="175">
        <f>AVERAGE(DD26:DE26,DA26:DB26)/AVERAGE(DD55:DE55,DA55:DB55)</f>
        <v>2.2306224890772115</v>
      </c>
      <c r="DF62" s="175">
        <f>AVERAGE(DD26:DF26,DB26)/AVERAGE(DD55:DF55,DB55)</f>
        <v>2.2865506126220927</v>
      </c>
      <c r="DG62" s="175">
        <f>AVERAGE(DD26:DG26)/AVERAGE(DD55:DG55)</f>
        <v>2.3642463814759784</v>
      </c>
      <c r="DH62" s="170">
        <f>AVERAGE(DD26:DG26)/AVERAGE(DD55:DG55)</f>
        <v>2.3642463814759784</v>
      </c>
      <c r="DI62" s="175">
        <f>AVERAGE(DI26,DE26:DG26)/AVERAGE(DI55,DE55:DG55)</f>
        <v>2.4314086322620789</v>
      </c>
      <c r="DJ62" s="175">
        <f>AVERAGE(DI26:DJ26,DF26:DG26)/AVERAGE(DI55:DJ55,DF55:DG55)</f>
        <v>2.451728574284795</v>
      </c>
      <c r="DK62" s="175">
        <f>AVERAGE(DI26:DK26,DG26)/AVERAGE(DI55:DK55,DG55)</f>
        <v>2.4686497470707769</v>
      </c>
      <c r="DL62" s="175">
        <f>AVERAGE(DI26:DL26)/AVERAGE(DI55:DL55)</f>
        <v>2.5174376847865836</v>
      </c>
      <c r="DM62" s="170">
        <f>AVERAGE(DI26:DL26)/AVERAGE(DI55:DL55)</f>
        <v>2.5174376847865836</v>
      </c>
      <c r="DN62" s="175">
        <f>AVERAGE(DN26,DJ26:DL26)/AVERAGE(DN55,DJ55:DL55)</f>
        <v>2.5800869908056234</v>
      </c>
      <c r="DO62" s="175">
        <f>AVERAGE(DN26:DO26,DK26:DL26)/AVERAGE(DN55:DO55,DK55:DL55)</f>
        <v>2.6271728448602762</v>
      </c>
      <c r="DP62" s="175">
        <f>AVERAGE(DN26:DP26,DL26)/AVERAGE(DN55:DP55,DL55)</f>
        <v>2.7005427394187023</v>
      </c>
      <c r="DQ62" s="175">
        <f>AVERAGE(DN26:DQ26)/AVERAGE(DN55:DQ55)</f>
        <v>2.7474099706517761</v>
      </c>
      <c r="DR62" s="170">
        <f>AVERAGE(DN26:DQ26)/AVERAGE(DN55:DQ55)</f>
        <v>2.7474099706517761</v>
      </c>
      <c r="DS62" s="175">
        <f>AVERAGE(DS26,DO26:DQ26)/AVERAGE(DS55,DO55:DQ55)</f>
        <v>2.8773006069322622</v>
      </c>
      <c r="DT62" s="175">
        <f>AVERAGE(DS26:DT26,DP26:DQ26)/AVERAGE(DS55:DT55,DP55:DQ55)</f>
        <v>3.0077787025519913</v>
      </c>
      <c r="DU62" s="175">
        <f>AVERAGE(DS26:DU26,DQ26)/AVERAGE(DS55:DU55,DQ55)</f>
        <v>3.1374232827011475</v>
      </c>
      <c r="DV62" s="175">
        <f>AVERAGE(DS26:DV26)/AVERAGE(DS55:DV55)</f>
        <v>3.2639013798672325</v>
      </c>
      <c r="DW62" s="170">
        <f>AVERAGE(DS26:DV26)/AVERAGE(DS55:DV55)</f>
        <v>3.2639013798672325</v>
      </c>
      <c r="DX62" s="175">
        <f>AVERAGE(DX26,DT26:DV26)/AVERAGE(DX55,DT55:DV55)</f>
        <v>3.3473327149847685</v>
      </c>
      <c r="DY62" s="175">
        <f>AVERAGE(DX26:DY26,DU26:DV26)/AVERAGE(DX55:DY55,DU55:DV55)</f>
        <v>3.4077690328683761</v>
      </c>
      <c r="DZ62" s="175">
        <f>AVERAGE(DX26:DZ26,DV26)/AVERAGE(DX55:DZ55,DV55)</f>
        <v>3.4877880260226992</v>
      </c>
      <c r="EA62" s="175">
        <f>AVERAGE(DX26:EA26)/AVERAGE(DX55:EA55)</f>
        <v>3.589712228824006</v>
      </c>
      <c r="EB62" s="170">
        <f>AVERAGE(DX26:EA26)/AVERAGE(DX55:EA55)</f>
        <v>3.589712228824006</v>
      </c>
      <c r="ED62" s="418"/>
      <c r="EK62" s="418"/>
    </row>
    <row r="63" spans="1:141" x14ac:dyDescent="0.2">
      <c r="A63" s="1" t="s">
        <v>487</v>
      </c>
      <c r="B63" s="179"/>
      <c r="C63" s="175"/>
      <c r="D63" s="175"/>
      <c r="E63" s="175"/>
      <c r="F63" s="175"/>
      <c r="G63" s="170"/>
      <c r="H63" s="157"/>
      <c r="I63" s="157"/>
      <c r="J63" s="157"/>
      <c r="K63" s="175"/>
      <c r="L63" s="170"/>
      <c r="M63" s="157"/>
      <c r="N63" s="157"/>
      <c r="O63" s="157"/>
      <c r="P63" s="175"/>
      <c r="Q63" s="170"/>
      <c r="R63" s="157"/>
      <c r="S63" s="157"/>
      <c r="T63" s="157"/>
      <c r="U63" s="238">
        <f t="shared" ref="U63:AZ63" si="133">U60*U61</f>
        <v>0.50275650394915938</v>
      </c>
      <c r="V63" s="61">
        <f t="shared" si="133"/>
        <v>0.50275650394915938</v>
      </c>
      <c r="W63" s="238">
        <f t="shared" si="133"/>
        <v>0.26290604128193046</v>
      </c>
      <c r="X63" s="238">
        <f t="shared" si="133"/>
        <v>0.17547124495194119</v>
      </c>
      <c r="Y63" s="238">
        <f t="shared" si="133"/>
        <v>0.13321209144347199</v>
      </c>
      <c r="Z63" s="238">
        <f t="shared" si="133"/>
        <v>0.13713337293834463</v>
      </c>
      <c r="AA63" s="61">
        <f t="shared" si="133"/>
        <v>0.13713337293834463</v>
      </c>
      <c r="AB63" s="238">
        <f t="shared" si="133"/>
        <v>0.14464076907827941</v>
      </c>
      <c r="AC63" s="238">
        <f t="shared" si="133"/>
        <v>0.13930560472620479</v>
      </c>
      <c r="AD63" s="238">
        <f t="shared" si="133"/>
        <v>0.14378665492871931</v>
      </c>
      <c r="AE63" s="238">
        <f t="shared" si="133"/>
        <v>0.15006428695050048</v>
      </c>
      <c r="AF63" s="61">
        <f t="shared" si="133"/>
        <v>0.15006428695050048</v>
      </c>
      <c r="AG63" s="238">
        <f t="shared" si="133"/>
        <v>0.15930454000803659</v>
      </c>
      <c r="AH63" s="238">
        <f t="shared" si="133"/>
        <v>0.16035114544573276</v>
      </c>
      <c r="AI63" s="238">
        <f t="shared" si="133"/>
        <v>0.16273775643170196</v>
      </c>
      <c r="AJ63" s="238">
        <f t="shared" si="133"/>
        <v>0.16235172721660715</v>
      </c>
      <c r="AK63" s="61">
        <f t="shared" si="133"/>
        <v>0.16235172721660715</v>
      </c>
      <c r="AL63" s="238">
        <f t="shared" si="133"/>
        <v>0.1650847203776015</v>
      </c>
      <c r="AM63" s="238">
        <f t="shared" si="133"/>
        <v>0.16414960023912012</v>
      </c>
      <c r="AN63" s="238">
        <f t="shared" si="133"/>
        <v>0.1632207119728237</v>
      </c>
      <c r="AO63" s="238">
        <f t="shared" si="133"/>
        <v>0.15037604350065983</v>
      </c>
      <c r="AP63" s="61">
        <f t="shared" si="133"/>
        <v>0.15037604350065983</v>
      </c>
      <c r="AQ63" s="238">
        <f t="shared" si="133"/>
        <v>0.16647009789645009</v>
      </c>
      <c r="AR63" s="238">
        <f t="shared" si="133"/>
        <v>0.16613828207220618</v>
      </c>
      <c r="AS63" s="238">
        <f t="shared" si="133"/>
        <v>0.16725745526766439</v>
      </c>
      <c r="AT63" s="238">
        <f t="shared" si="133"/>
        <v>0.16805717818721397</v>
      </c>
      <c r="AU63" s="61">
        <f t="shared" si="133"/>
        <v>0.16805717818721397</v>
      </c>
      <c r="AV63" s="238">
        <f t="shared" si="133"/>
        <v>0.17857600184085193</v>
      </c>
      <c r="AW63" s="238">
        <f t="shared" si="133"/>
        <v>0.17971645274607984</v>
      </c>
      <c r="AX63" s="238">
        <f t="shared" si="133"/>
        <v>0.18607351436961753</v>
      </c>
      <c r="AY63" s="238">
        <f t="shared" si="133"/>
        <v>0.1899265979928689</v>
      </c>
      <c r="AZ63" s="61">
        <f t="shared" si="133"/>
        <v>0.1899265979928689</v>
      </c>
      <c r="BA63" s="238">
        <f t="shared" ref="BA63:CF63" si="134">BA60*BA61</f>
        <v>0.19966001543892134</v>
      </c>
      <c r="BB63" s="238">
        <f t="shared" si="134"/>
        <v>0.19747478378492578</v>
      </c>
      <c r="BC63" s="238">
        <f t="shared" si="134"/>
        <v>0.20916028266661763</v>
      </c>
      <c r="BD63" s="238">
        <f t="shared" si="134"/>
        <v>0.21889074075047696</v>
      </c>
      <c r="BE63" s="61">
        <f t="shared" si="134"/>
        <v>0.21889074075047696</v>
      </c>
      <c r="BF63" s="238">
        <f t="shared" si="134"/>
        <v>0.2374240938180828</v>
      </c>
      <c r="BG63" s="238">
        <f t="shared" si="134"/>
        <v>0.24432849360055761</v>
      </c>
      <c r="BH63" s="238">
        <f t="shared" si="134"/>
        <v>0.23657859628808733</v>
      </c>
      <c r="BI63" s="238">
        <f t="shared" si="134"/>
        <v>0.22333586567861077</v>
      </c>
      <c r="BJ63" s="61">
        <f t="shared" si="134"/>
        <v>0.22333586567861077</v>
      </c>
      <c r="BK63" s="238">
        <f t="shared" si="134"/>
        <v>0.22306909560431396</v>
      </c>
      <c r="BL63" s="238">
        <f t="shared" si="134"/>
        <v>0.22054062214593637</v>
      </c>
      <c r="BM63" s="238">
        <f t="shared" si="134"/>
        <v>0.2170145998569635</v>
      </c>
      <c r="BN63" s="238">
        <f t="shared" si="134"/>
        <v>0.21717044493931945</v>
      </c>
      <c r="BO63" s="61">
        <f t="shared" si="134"/>
        <v>0.21717044493931945</v>
      </c>
      <c r="BP63" s="238">
        <f t="shared" si="134"/>
        <v>0.21111131426805319</v>
      </c>
      <c r="BQ63" s="238">
        <f t="shared" si="134"/>
        <v>0.18874347934107094</v>
      </c>
      <c r="BR63" s="238">
        <f t="shared" si="134"/>
        <v>0.13449493127446183</v>
      </c>
      <c r="BS63" s="238">
        <f t="shared" si="134"/>
        <v>9.0518921735068689E-2</v>
      </c>
      <c r="BT63" s="61">
        <f t="shared" si="134"/>
        <v>9.0518921735068689E-2</v>
      </c>
      <c r="BU63" s="238">
        <f t="shared" si="134"/>
        <v>5.147080944359736E-2</v>
      </c>
      <c r="BV63" s="238">
        <f t="shared" si="134"/>
        <v>2.744525017470929E-2</v>
      </c>
      <c r="BW63" s="238">
        <f t="shared" si="134"/>
        <v>6.910080944567179E-2</v>
      </c>
      <c r="BX63" s="238">
        <f t="shared" si="134"/>
        <v>0.10349145550972305</v>
      </c>
      <c r="BY63" s="61">
        <f t="shared" si="134"/>
        <v>0.10349145550972305</v>
      </c>
      <c r="BZ63" s="238">
        <f t="shared" si="134"/>
        <v>0.14325266019652413</v>
      </c>
      <c r="CA63" s="238">
        <f t="shared" si="134"/>
        <v>0.18928839792366642</v>
      </c>
      <c r="CB63" s="238">
        <f t="shared" si="134"/>
        <v>0.20299625468164811</v>
      </c>
      <c r="CC63" s="238">
        <f t="shared" si="134"/>
        <v>0.2285751094041249</v>
      </c>
      <c r="CD63" s="61">
        <f t="shared" si="134"/>
        <v>0.2285751094041249</v>
      </c>
      <c r="CE63" s="238">
        <f t="shared" si="134"/>
        <v>0.24950636219867964</v>
      </c>
      <c r="CF63" s="238">
        <f t="shared" si="134"/>
        <v>0.24179424891249085</v>
      </c>
      <c r="CG63" s="238">
        <f t="shared" ref="CG63:DL63" si="135">CG60*CG61</f>
        <v>0.24480366148733354</v>
      </c>
      <c r="CH63" s="238">
        <f t="shared" si="135"/>
        <v>0.24330592006869156</v>
      </c>
      <c r="CI63" s="61">
        <f t="shared" si="135"/>
        <v>0.24330592006869156</v>
      </c>
      <c r="CJ63" s="238">
        <f t="shared" si="135"/>
        <v>0.2451713494142847</v>
      </c>
      <c r="CK63" s="238">
        <f t="shared" si="135"/>
        <v>0.24249264858763778</v>
      </c>
      <c r="CL63" s="238">
        <f t="shared" si="135"/>
        <v>0.24452103048420562</v>
      </c>
      <c r="CM63" s="238">
        <f t="shared" si="135"/>
        <v>0.24684431977559604</v>
      </c>
      <c r="CN63" s="61">
        <f t="shared" si="135"/>
        <v>0.24684431977559604</v>
      </c>
      <c r="CO63" s="238">
        <f t="shared" si="135"/>
        <v>0.2520974613973434</v>
      </c>
      <c r="CP63" s="238">
        <f t="shared" si="135"/>
        <v>0.26083947376271588</v>
      </c>
      <c r="CQ63" s="238">
        <f t="shared" si="135"/>
        <v>0.26953061176855031</v>
      </c>
      <c r="CR63" s="238">
        <f t="shared" si="135"/>
        <v>-3.4632265070438643E-2</v>
      </c>
      <c r="CS63" s="61">
        <f t="shared" si="135"/>
        <v>-3.4632265070438643E-2</v>
      </c>
      <c r="CT63" s="238">
        <f t="shared" si="135"/>
        <v>-1.453059482637868E-2</v>
      </c>
      <c r="CU63" s="238">
        <f t="shared" si="135"/>
        <v>-4.1435384254552739E-3</v>
      </c>
      <c r="CV63" s="238">
        <f t="shared" si="135"/>
        <v>1.0498364659607897E-2</v>
      </c>
      <c r="CW63" s="673">
        <f t="shared" si="135"/>
        <v>0.29703256656961635</v>
      </c>
      <c r="CX63" s="753">
        <f t="shared" si="135"/>
        <v>0.29703256656961635</v>
      </c>
      <c r="CY63" s="238">
        <f t="shared" si="135"/>
        <v>0.29257547865521827</v>
      </c>
      <c r="CZ63" s="238">
        <f t="shared" si="135"/>
        <v>0.29040280210157632</v>
      </c>
      <c r="DA63" s="238">
        <f t="shared" si="135"/>
        <v>0.28955536869205939</v>
      </c>
      <c r="DB63" s="874">
        <f t="shared" si="135"/>
        <v>0.28908079772171269</v>
      </c>
      <c r="DC63" s="61">
        <f t="shared" si="135"/>
        <v>0.28908079772171269</v>
      </c>
      <c r="DD63" s="238">
        <f t="shared" si="135"/>
        <v>0.29749513977698577</v>
      </c>
      <c r="DE63" s="238">
        <f t="shared" ref="DE63" si="136">DE60*DE61</f>
        <v>0.30189958224954666</v>
      </c>
      <c r="DF63" s="238">
        <f t="shared" si="135"/>
        <v>0.30274363595578618</v>
      </c>
      <c r="DG63" s="238">
        <f t="shared" si="135"/>
        <v>0.31119465329991663</v>
      </c>
      <c r="DH63" s="61">
        <f t="shared" si="135"/>
        <v>0.31119465329991663</v>
      </c>
      <c r="DI63" s="238">
        <f t="shared" si="135"/>
        <v>0.31732039496650316</v>
      </c>
      <c r="DJ63" s="238">
        <f t="shared" si="135"/>
        <v>0.30618406287062633</v>
      </c>
      <c r="DK63" s="238">
        <f t="shared" si="135"/>
        <v>0.30402084858504946</v>
      </c>
      <c r="DL63" s="238">
        <f t="shared" si="135"/>
        <v>0.28947640176078843</v>
      </c>
      <c r="DM63" s="61">
        <f t="shared" ref="DM63:DR63" si="137">DM60*DM61</f>
        <v>0.28947640176078843</v>
      </c>
      <c r="DN63" s="238">
        <f t="shared" si="137"/>
        <v>0.27459406047251633</v>
      </c>
      <c r="DO63" s="238">
        <f t="shared" si="137"/>
        <v>0.26869771209148408</v>
      </c>
      <c r="DP63" s="238">
        <f t="shared" si="137"/>
        <v>0.27212529969655447</v>
      </c>
      <c r="DQ63" s="238">
        <f t="shared" si="137"/>
        <v>0.27817265278412701</v>
      </c>
      <c r="DR63" s="61">
        <f t="shared" si="137"/>
        <v>0.27817265278412701</v>
      </c>
      <c r="DS63" s="238">
        <f t="shared" ref="DS63:EB63" si="138">DS60*DS61</f>
        <v>0.28458822499521169</v>
      </c>
      <c r="DT63" s="238">
        <f t="shared" si="138"/>
        <v>0.2891343866323382</v>
      </c>
      <c r="DU63" s="238">
        <f t="shared" si="138"/>
        <v>0.29491449662081959</v>
      </c>
      <c r="DV63" s="238">
        <f t="shared" si="138"/>
        <v>0.29976440261051129</v>
      </c>
      <c r="DW63" s="61">
        <f t="shared" si="138"/>
        <v>0.29976440261051129</v>
      </c>
      <c r="DX63" s="238">
        <f t="shared" si="138"/>
        <v>0.30589781660202614</v>
      </c>
      <c r="DY63" s="238">
        <f t="shared" si="138"/>
        <v>0.30894135175957421</v>
      </c>
      <c r="DZ63" s="238">
        <f t="shared" si="138"/>
        <v>0.31478031631842013</v>
      </c>
      <c r="EA63" s="238">
        <f t="shared" si="138"/>
        <v>0.32115876242583086</v>
      </c>
      <c r="EB63" s="61">
        <f t="shared" si="138"/>
        <v>0.32115876242583086</v>
      </c>
      <c r="ED63" s="418"/>
      <c r="EK63" s="418"/>
    </row>
    <row r="64" spans="1:141" x14ac:dyDescent="0.2">
      <c r="A64" s="2" t="s">
        <v>486</v>
      </c>
      <c r="B64" s="210"/>
      <c r="C64" s="211"/>
      <c r="D64" s="211"/>
      <c r="E64" s="211"/>
      <c r="F64" s="211"/>
      <c r="G64" s="212"/>
      <c r="H64" s="211"/>
      <c r="I64" s="211"/>
      <c r="J64" s="211"/>
      <c r="K64" s="211"/>
      <c r="L64" s="212"/>
      <c r="M64" s="211"/>
      <c r="N64" s="211"/>
      <c r="O64" s="211"/>
      <c r="P64" s="211"/>
      <c r="Q64" s="212"/>
      <c r="R64" s="211"/>
      <c r="S64" s="211"/>
      <c r="T64" s="211"/>
      <c r="U64" s="295">
        <f t="shared" ref="U64:AY64" si="139">U60*U61*U62</f>
        <v>0.62836445309500133</v>
      </c>
      <c r="V64" s="236">
        <f t="shared" si="139"/>
        <v>0.69853790076705768</v>
      </c>
      <c r="W64" s="295">
        <f t="shared" si="139"/>
        <v>0.32964273998675098</v>
      </c>
      <c r="X64" s="295">
        <f t="shared" si="139"/>
        <v>0.21857057380719366</v>
      </c>
      <c r="Y64" s="295">
        <f t="shared" si="139"/>
        <v>0.16671174878771669</v>
      </c>
      <c r="Z64" s="295">
        <f t="shared" si="139"/>
        <v>0.17356018913262516</v>
      </c>
      <c r="AA64" s="236">
        <f t="shared" si="139"/>
        <v>0.17356018913262516</v>
      </c>
      <c r="AB64" s="295">
        <f t="shared" si="139"/>
        <v>0.18468001488792818</v>
      </c>
      <c r="AC64" s="295">
        <f t="shared" si="139"/>
        <v>0.18001793195982616</v>
      </c>
      <c r="AD64" s="295">
        <f t="shared" si="139"/>
        <v>0.18729141068366914</v>
      </c>
      <c r="AE64" s="295">
        <f t="shared" si="139"/>
        <v>0.195348758001895</v>
      </c>
      <c r="AF64" s="236">
        <f t="shared" si="139"/>
        <v>0.195348758001895</v>
      </c>
      <c r="AG64" s="295">
        <f t="shared" si="139"/>
        <v>0.2075445671434886</v>
      </c>
      <c r="AH64" s="295">
        <f t="shared" si="139"/>
        <v>0.20865469546724286</v>
      </c>
      <c r="AI64" s="295">
        <f t="shared" si="139"/>
        <v>0.21208479760587953</v>
      </c>
      <c r="AJ64" s="295">
        <f t="shared" si="139"/>
        <v>0.21347985906104205</v>
      </c>
      <c r="AK64" s="61">
        <f t="shared" si="139"/>
        <v>0.21347985906104205</v>
      </c>
      <c r="AL64" s="238">
        <f t="shared" si="139"/>
        <v>0.21719640290143408</v>
      </c>
      <c r="AM64" s="238">
        <f t="shared" si="139"/>
        <v>0.2150409306563161</v>
      </c>
      <c r="AN64" s="238">
        <f t="shared" si="139"/>
        <v>0.21288987001389711</v>
      </c>
      <c r="AO64" s="238">
        <f t="shared" si="139"/>
        <v>0.1940676600064507</v>
      </c>
      <c r="AP64" s="61">
        <f t="shared" si="139"/>
        <v>0.1940676600064507</v>
      </c>
      <c r="AQ64" s="238">
        <f t="shared" si="139"/>
        <v>0.21518565712593452</v>
      </c>
      <c r="AR64" s="238">
        <f t="shared" si="139"/>
        <v>0.21475926132920078</v>
      </c>
      <c r="AS64" s="238">
        <f t="shared" si="139"/>
        <v>0.21725138277320408</v>
      </c>
      <c r="AT64" s="238">
        <f t="shared" si="139"/>
        <v>0.21935025713662254</v>
      </c>
      <c r="AU64" s="61">
        <f t="shared" si="139"/>
        <v>0.21935025713662254</v>
      </c>
      <c r="AV64" s="238">
        <f t="shared" si="139"/>
        <v>0.23579880744932577</v>
      </c>
      <c r="AW64" s="238">
        <f t="shared" si="139"/>
        <v>0.2387345389940364</v>
      </c>
      <c r="AX64" s="238">
        <f t="shared" si="139"/>
        <v>0.24702191528682246</v>
      </c>
      <c r="AY64" s="238">
        <f t="shared" si="139"/>
        <v>0.25496702759022677</v>
      </c>
      <c r="AZ64" s="61">
        <f t="shared" ref="AZ64:CE64" si="140">AZ73*AZ61*AZ62</f>
        <v>0.16353189188700881</v>
      </c>
      <c r="BA64" s="238">
        <f t="shared" si="140"/>
        <v>0.17229802231297495</v>
      </c>
      <c r="BB64" s="238">
        <f t="shared" si="140"/>
        <v>0.17252503038336653</v>
      </c>
      <c r="BC64" s="238">
        <f t="shared" si="140"/>
        <v>0.18648171385854681</v>
      </c>
      <c r="BD64" s="238">
        <f t="shared" si="140"/>
        <v>0.20241114575936187</v>
      </c>
      <c r="BE64" s="61">
        <f t="shared" si="140"/>
        <v>0.20241114575936187</v>
      </c>
      <c r="BF64" s="238">
        <f t="shared" si="140"/>
        <v>0.22964556863233607</v>
      </c>
      <c r="BG64" s="238">
        <f t="shared" si="140"/>
        <v>0.24431717612195877</v>
      </c>
      <c r="BH64" s="238">
        <f t="shared" si="140"/>
        <v>0.24690565427991057</v>
      </c>
      <c r="BI64" s="238">
        <f t="shared" si="140"/>
        <v>0.2478637196458513</v>
      </c>
      <c r="BJ64" s="61">
        <f t="shared" si="140"/>
        <v>0.2478637196458513</v>
      </c>
      <c r="BK64" s="238">
        <f t="shared" si="140"/>
        <v>0.29939470316599387</v>
      </c>
      <c r="BL64" s="238">
        <f t="shared" si="140"/>
        <v>0.24450973421184188</v>
      </c>
      <c r="BM64" s="238">
        <f t="shared" si="140"/>
        <v>0.26086153113377497</v>
      </c>
      <c r="BN64" s="238">
        <f t="shared" si="140"/>
        <v>0.26310850907446143</v>
      </c>
      <c r="BO64" s="61">
        <f t="shared" si="140"/>
        <v>0.28961142845334259</v>
      </c>
      <c r="BP64" s="238">
        <f t="shared" si="140"/>
        <v>0.32718015877350431</v>
      </c>
      <c r="BQ64" s="238">
        <f t="shared" si="140"/>
        <v>0.18607453563204707</v>
      </c>
      <c r="BR64" s="238">
        <f t="shared" si="140"/>
        <v>-1.1520976326805613E-2</v>
      </c>
      <c r="BS64" s="238">
        <f t="shared" si="140"/>
        <v>9.3982109826159475E-3</v>
      </c>
      <c r="BT64" s="61">
        <f t="shared" si="140"/>
        <v>0.13059551654902596</v>
      </c>
      <c r="BU64" s="238">
        <f t="shared" si="140"/>
        <v>0.10010574096880527</v>
      </c>
      <c r="BV64" s="238">
        <f t="shared" si="140"/>
        <v>4.2415219917774388E-2</v>
      </c>
      <c r="BW64" s="238">
        <f t="shared" si="140"/>
        <v>0.23122768150393483</v>
      </c>
      <c r="BX64" s="238">
        <f t="shared" si="140"/>
        <v>0.22364982523230098</v>
      </c>
      <c r="BY64" s="61">
        <f t="shared" si="140"/>
        <v>0.14120790345437639</v>
      </c>
      <c r="BZ64" s="238">
        <f t="shared" si="140"/>
        <v>0.29899379552571115</v>
      </c>
      <c r="CA64" s="238">
        <f t="shared" si="140"/>
        <v>0.27169903377990307</v>
      </c>
      <c r="CB64" s="238">
        <f t="shared" si="140"/>
        <v>0.24415533027059172</v>
      </c>
      <c r="CC64" s="238">
        <f t="shared" si="140"/>
        <v>0.29833936880574491</v>
      </c>
      <c r="CD64" s="61">
        <f t="shared" si="140"/>
        <v>0.26925233711198954</v>
      </c>
      <c r="CE64" s="238">
        <f t="shared" si="140"/>
        <v>0.35563483620368741</v>
      </c>
      <c r="CF64" s="238">
        <f t="shared" ref="CF64:DK64" si="141">CF73*CF61*CF62</f>
        <v>0.27078948082745519</v>
      </c>
      <c r="CG64" s="238">
        <f t="shared" si="141"/>
        <v>0.26808271944594853</v>
      </c>
      <c r="CH64" s="238">
        <f t="shared" si="141"/>
        <v>0.32357439235006008</v>
      </c>
      <c r="CI64" s="61">
        <f t="shared" si="141"/>
        <v>0.29206765223801145</v>
      </c>
      <c r="CJ64" s="238">
        <f t="shared" si="141"/>
        <v>0.30723170982062675</v>
      </c>
      <c r="CK64" s="238">
        <f t="shared" si="141"/>
        <v>0.26263245862631629</v>
      </c>
      <c r="CL64" s="238">
        <f t="shared" si="141"/>
        <v>0.26604070482980657</v>
      </c>
      <c r="CM64" s="238">
        <f t="shared" si="141"/>
        <v>0.27849889135601746</v>
      </c>
      <c r="CN64" s="753">
        <f t="shared" si="141"/>
        <v>0.2715397020690466</v>
      </c>
      <c r="CO64" s="238">
        <f t="shared" si="141"/>
        <v>0.30037813293594695</v>
      </c>
      <c r="CP64" s="238">
        <f t="shared" si="141"/>
        <v>0.29372015374748378</v>
      </c>
      <c r="CQ64" s="238">
        <f t="shared" si="141"/>
        <v>0.3026558179625245</v>
      </c>
      <c r="CR64" s="238">
        <f t="shared" si="141"/>
        <v>-0.93367184708797624</v>
      </c>
      <c r="CS64" s="753">
        <f t="shared" si="141"/>
        <v>1.6994650547491666E-3</v>
      </c>
      <c r="CT64" s="238">
        <f t="shared" si="141"/>
        <v>0.38370364164773407</v>
      </c>
      <c r="CU64" s="238">
        <f t="shared" si="141"/>
        <v>0.34372485084497911</v>
      </c>
      <c r="CV64" s="238">
        <f t="shared" si="141"/>
        <v>0.40885188425131425</v>
      </c>
      <c r="CW64" s="673">
        <f t="shared" si="141"/>
        <v>0.45836969426092111</v>
      </c>
      <c r="CX64" s="753">
        <f t="shared" si="141"/>
        <v>0.40998745867061953</v>
      </c>
      <c r="CY64" s="238">
        <f t="shared" si="141"/>
        <v>0.66327522316736753</v>
      </c>
      <c r="CZ64" s="238">
        <f t="shared" si="141"/>
        <v>0.34754786644425695</v>
      </c>
      <c r="DA64" s="238">
        <f t="shared" si="141"/>
        <v>0.41292843563837928</v>
      </c>
      <c r="DB64" s="874">
        <f t="shared" si="141"/>
        <v>0.433799720939748</v>
      </c>
      <c r="DC64" s="61">
        <f t="shared" si="141"/>
        <v>0.47046285797106424</v>
      </c>
      <c r="DD64" s="238">
        <f t="shared" si="141"/>
        <v>0.42759511312245174</v>
      </c>
      <c r="DE64" s="238">
        <f t="shared" ref="DE64" si="142">DE73*DE61*DE62</f>
        <v>0.40822980331200015</v>
      </c>
      <c r="DF64" s="238">
        <f t="shared" si="141"/>
        <v>0.52276516505861026</v>
      </c>
      <c r="DG64" s="238">
        <f t="shared" si="141"/>
        <v>0.52774352924650325</v>
      </c>
      <c r="DH64" s="61">
        <f t="shared" si="141"/>
        <v>0.49713648327521093</v>
      </c>
      <c r="DI64" s="238">
        <f t="shared" si="141"/>
        <v>0.51621939877295875</v>
      </c>
      <c r="DJ64" s="238">
        <f t="shared" si="141"/>
        <v>0.47112839459326211</v>
      </c>
      <c r="DK64" s="238">
        <f t="shared" si="141"/>
        <v>0.47301884514596004</v>
      </c>
      <c r="DL64" s="238">
        <f t="shared" ref="DL64:DR64" si="143">DL73*DL61*DL62</f>
        <v>0.54653095236377158</v>
      </c>
      <c r="DM64" s="61">
        <f t="shared" si="143"/>
        <v>0.50846217906067859</v>
      </c>
      <c r="DN64" s="238">
        <f t="shared" si="143"/>
        <v>1.4484990111333182</v>
      </c>
      <c r="DO64" s="238">
        <f t="shared" si="143"/>
        <v>0.48916890224503617</v>
      </c>
      <c r="DP64" s="238">
        <f t="shared" si="143"/>
        <v>0.57454031514968973</v>
      </c>
      <c r="DQ64" s="238">
        <f t="shared" si="143"/>
        <v>0.59092740961447299</v>
      </c>
      <c r="DR64" s="61">
        <f t="shared" si="143"/>
        <v>0.79999337943205029</v>
      </c>
      <c r="DS64" s="238">
        <f t="shared" ref="DS64:EB64" si="144">DS73*DS61*DS62</f>
        <v>0.60472671379027909</v>
      </c>
      <c r="DT64" s="238">
        <f t="shared" si="144"/>
        <v>0.59973289285431308</v>
      </c>
      <c r="DU64" s="238">
        <f t="shared" si="144"/>
        <v>0.71301633863651548</v>
      </c>
      <c r="DV64" s="238">
        <f t="shared" si="144"/>
        <v>0.74992414894350501</v>
      </c>
      <c r="DW64" s="61">
        <f t="shared" si="144"/>
        <v>0.71618350393860841</v>
      </c>
      <c r="DX64" s="238">
        <f t="shared" si="144"/>
        <v>0.74393120453936135</v>
      </c>
      <c r="DY64" s="238">
        <f t="shared" si="144"/>
        <v>0.7231738248937436</v>
      </c>
      <c r="DZ64" s="238">
        <f t="shared" si="144"/>
        <v>0.84287935147693915</v>
      </c>
      <c r="EA64" s="238">
        <f t="shared" si="144"/>
        <v>0.88081446196979885</v>
      </c>
      <c r="EB64" s="61">
        <f t="shared" si="144"/>
        <v>0.84109103793776629</v>
      </c>
      <c r="ED64" s="418"/>
      <c r="EK64" s="418"/>
    </row>
    <row r="65" spans="1:141" x14ac:dyDescent="0.2">
      <c r="A65" s="1"/>
      <c r="B65" s="179"/>
      <c r="C65" s="175"/>
      <c r="D65" s="175"/>
      <c r="E65" s="175"/>
      <c r="F65" s="175"/>
      <c r="G65" s="170"/>
      <c r="H65" s="157"/>
      <c r="I65" s="157"/>
      <c r="J65" s="157"/>
      <c r="K65" s="175"/>
      <c r="L65" s="170"/>
      <c r="M65" s="157"/>
      <c r="N65" s="157"/>
      <c r="O65" s="157"/>
      <c r="P65" s="175"/>
      <c r="Q65" s="170"/>
      <c r="R65" s="157"/>
      <c r="S65" s="157"/>
      <c r="T65" s="157"/>
      <c r="U65" s="175"/>
      <c r="V65" s="170"/>
      <c r="W65" s="175"/>
      <c r="X65" s="175"/>
      <c r="Y65" s="175"/>
      <c r="Z65" s="175"/>
      <c r="AA65" s="170"/>
      <c r="AB65" s="157"/>
      <c r="AC65" s="157"/>
      <c r="AD65" s="157"/>
      <c r="AE65" s="175"/>
      <c r="AF65" s="170"/>
      <c r="AG65" s="157"/>
      <c r="AH65" s="157"/>
      <c r="AI65" s="157"/>
      <c r="AJ65" s="175"/>
      <c r="AK65" s="226"/>
      <c r="AL65" s="225"/>
      <c r="AM65" s="225"/>
      <c r="AN65" s="225"/>
      <c r="AO65" s="225"/>
      <c r="AP65" s="226"/>
      <c r="AQ65" s="225"/>
      <c r="AR65" s="225"/>
      <c r="AS65" s="225"/>
      <c r="AT65" s="225"/>
      <c r="AU65" s="226"/>
      <c r="AV65" s="225"/>
      <c r="AW65" s="225"/>
      <c r="AX65" s="225"/>
      <c r="AY65" s="225"/>
      <c r="AZ65" s="226"/>
      <c r="BA65" s="225"/>
      <c r="BB65" s="225"/>
      <c r="BC65" s="225"/>
      <c r="BD65" s="225"/>
      <c r="BE65" s="226"/>
      <c r="BF65" s="225"/>
      <c r="BG65" s="225"/>
      <c r="BH65" s="225"/>
      <c r="BI65" s="225"/>
      <c r="BJ65" s="226"/>
      <c r="BK65" s="225"/>
      <c r="BL65" s="225"/>
      <c r="BM65" s="225"/>
      <c r="BN65" s="225"/>
      <c r="BO65" s="226"/>
      <c r="BP65" s="225"/>
      <c r="BQ65" s="225"/>
      <c r="BR65" s="225"/>
      <c r="BS65" s="225"/>
      <c r="BT65" s="226"/>
      <c r="BU65" s="225"/>
      <c r="BV65" s="225"/>
      <c r="BW65" s="225"/>
      <c r="BX65" s="225"/>
      <c r="BY65" s="226"/>
      <c r="BZ65" s="225"/>
      <c r="CA65" s="225"/>
      <c r="CB65" s="225"/>
      <c r="CC65" s="225"/>
      <c r="CD65" s="226"/>
      <c r="CE65" s="225"/>
      <c r="CF65" s="225"/>
      <c r="CG65" s="225"/>
      <c r="CH65" s="225"/>
      <c r="CI65" s="226"/>
      <c r="CJ65" s="225"/>
      <c r="CK65" s="225"/>
      <c r="CL65" s="225"/>
      <c r="CM65" s="225"/>
      <c r="CN65" s="226"/>
      <c r="CO65" s="225"/>
      <c r="CP65" s="225"/>
      <c r="CQ65" s="225"/>
      <c r="CR65" s="225"/>
      <c r="CS65" s="226"/>
      <c r="CT65" s="225"/>
      <c r="CU65" s="225"/>
      <c r="CV65" s="225"/>
      <c r="CW65" s="695"/>
      <c r="CX65" s="755"/>
      <c r="CY65" s="225"/>
      <c r="CZ65" s="225"/>
      <c r="DA65" s="225"/>
      <c r="DB65" s="858"/>
      <c r="DC65" s="226"/>
      <c r="DD65" s="225"/>
      <c r="DE65" s="225"/>
      <c r="DF65" s="225"/>
      <c r="DG65" s="225"/>
      <c r="DH65" s="226"/>
      <c r="DI65" s="225"/>
      <c r="DJ65" s="225"/>
      <c r="DK65" s="225"/>
      <c r="DL65" s="225"/>
      <c r="DM65" s="226"/>
      <c r="DN65" s="225"/>
      <c r="DO65" s="225"/>
      <c r="DP65" s="225"/>
      <c r="DQ65" s="225"/>
      <c r="DR65" s="226"/>
      <c r="DS65" s="225"/>
      <c r="DT65" s="225"/>
      <c r="DU65" s="225"/>
      <c r="DV65" s="225"/>
      <c r="DW65" s="226"/>
      <c r="DX65" s="225"/>
      <c r="DY65" s="225"/>
      <c r="DZ65" s="225"/>
      <c r="EA65" s="225"/>
      <c r="EB65" s="226"/>
      <c r="ED65" s="418"/>
      <c r="EK65" s="418"/>
    </row>
    <row r="66" spans="1:141" x14ac:dyDescent="0.2">
      <c r="A66" s="25" t="s">
        <v>485</v>
      </c>
      <c r="B66" s="214"/>
      <c r="C66" s="215"/>
      <c r="D66" s="215"/>
      <c r="E66" s="215"/>
      <c r="F66" s="215"/>
      <c r="G66" s="216"/>
      <c r="H66" s="215"/>
      <c r="I66" s="215"/>
      <c r="J66" s="215"/>
      <c r="K66" s="215"/>
      <c r="L66" s="216"/>
      <c r="M66" s="215"/>
      <c r="N66" s="215"/>
      <c r="O66" s="215"/>
      <c r="P66" s="215"/>
      <c r="Q66" s="216"/>
      <c r="R66" s="215"/>
      <c r="S66" s="215"/>
      <c r="T66" s="215"/>
      <c r="U66" s="215"/>
      <c r="V66" s="216"/>
      <c r="W66" s="215"/>
      <c r="X66" s="215"/>
      <c r="Y66" s="215"/>
      <c r="Z66" s="215"/>
      <c r="AA66" s="216"/>
      <c r="AB66" s="215"/>
      <c r="AC66" s="215"/>
      <c r="AD66" s="215"/>
      <c r="AE66" s="215"/>
      <c r="AF66" s="216"/>
      <c r="AG66" s="215"/>
      <c r="AH66" s="215"/>
      <c r="AI66" s="215"/>
      <c r="AJ66" s="215"/>
      <c r="AK66" s="216"/>
      <c r="AL66" s="215"/>
      <c r="AM66" s="215"/>
      <c r="AN66" s="215"/>
      <c r="AO66" s="215"/>
      <c r="AP66" s="216"/>
      <c r="AQ66" s="215"/>
      <c r="AR66" s="215"/>
      <c r="AS66" s="215"/>
      <c r="AT66" s="215"/>
      <c r="AU66" s="216"/>
      <c r="AV66" s="215"/>
      <c r="AW66" s="215"/>
      <c r="AX66" s="215"/>
      <c r="AY66" s="215"/>
      <c r="AZ66" s="216"/>
      <c r="BA66" s="215"/>
      <c r="BB66" s="215"/>
      <c r="BC66" s="215"/>
      <c r="BD66" s="215"/>
      <c r="BE66" s="216"/>
      <c r="BF66" s="215"/>
      <c r="BG66" s="215"/>
      <c r="BH66" s="215"/>
      <c r="BI66" s="215"/>
      <c r="BJ66" s="216"/>
      <c r="BK66" s="217">
        <f t="shared" ref="BK66:CP66" si="145">(BK45+BK35+BK38)/(BK35+BK38+BK45+BK55)</f>
        <v>0.13095619031872535</v>
      </c>
      <c r="BL66" s="217">
        <f t="shared" si="145"/>
        <v>0.27740878273880587</v>
      </c>
      <c r="BM66" s="217">
        <f t="shared" si="145"/>
        <v>0.27243092327244484</v>
      </c>
      <c r="BN66" s="217">
        <f t="shared" si="145"/>
        <v>0.35572670108068216</v>
      </c>
      <c r="BO66" s="359">
        <f t="shared" si="145"/>
        <v>0.35572670108068216</v>
      </c>
      <c r="BP66" s="217">
        <f t="shared" si="145"/>
        <v>0.32407379631018446</v>
      </c>
      <c r="BQ66" s="217">
        <f t="shared" si="145"/>
        <v>0.33910971515217153</v>
      </c>
      <c r="BR66" s="217">
        <f t="shared" si="145"/>
        <v>0.32011416966270545</v>
      </c>
      <c r="BS66" s="217">
        <f t="shared" si="145"/>
        <v>0.33650311650950931</v>
      </c>
      <c r="BT66" s="359">
        <f t="shared" si="145"/>
        <v>0.33650311650950931</v>
      </c>
      <c r="BU66" s="217">
        <f t="shared" si="145"/>
        <v>0.24535022920377242</v>
      </c>
      <c r="BV66" s="217">
        <f t="shared" si="145"/>
        <v>0.22778381234770867</v>
      </c>
      <c r="BW66" s="217">
        <f t="shared" si="145"/>
        <v>0.16325197458281368</v>
      </c>
      <c r="BX66" s="217">
        <f t="shared" si="145"/>
        <v>0.15284267912772587</v>
      </c>
      <c r="BY66" s="359">
        <f t="shared" si="145"/>
        <v>0.15284267912772587</v>
      </c>
      <c r="BZ66" s="217">
        <f t="shared" si="145"/>
        <v>0.14086853978671043</v>
      </c>
      <c r="CA66" s="217">
        <f t="shared" si="145"/>
        <v>0.13429332811774194</v>
      </c>
      <c r="CB66" s="217">
        <f t="shared" si="145"/>
        <v>0.1349777657666511</v>
      </c>
      <c r="CC66" s="217">
        <f t="shared" si="145"/>
        <v>0.13006320873085392</v>
      </c>
      <c r="CD66" s="359">
        <f t="shared" si="145"/>
        <v>0.13006320873085392</v>
      </c>
      <c r="CE66" s="217">
        <f t="shared" si="145"/>
        <v>0.11940622894525223</v>
      </c>
      <c r="CF66" s="217">
        <f t="shared" si="145"/>
        <v>0.11287804076265615</v>
      </c>
      <c r="CG66" s="217">
        <f t="shared" si="145"/>
        <v>0.11239081071129023</v>
      </c>
      <c r="CH66" s="217">
        <f t="shared" si="145"/>
        <v>0.1113610570687419</v>
      </c>
      <c r="CI66" s="359">
        <f t="shared" si="145"/>
        <v>0.1113610570687419</v>
      </c>
      <c r="CJ66" s="217">
        <f t="shared" si="145"/>
        <v>0.10324483775811209</v>
      </c>
      <c r="CK66" s="217">
        <f t="shared" si="145"/>
        <v>9.6700976510952746E-2</v>
      </c>
      <c r="CL66" s="217">
        <f t="shared" si="145"/>
        <v>9.2609442927914259E-2</v>
      </c>
      <c r="CM66" s="217">
        <f t="shared" si="145"/>
        <v>9.7126497720284186E-2</v>
      </c>
      <c r="CN66" s="359">
        <f t="shared" si="145"/>
        <v>9.7126497720284186E-2</v>
      </c>
      <c r="CO66" s="217">
        <f t="shared" si="145"/>
        <v>9.6102397314168822E-2</v>
      </c>
      <c r="CP66" s="217">
        <f t="shared" si="145"/>
        <v>9.3612672457843646E-2</v>
      </c>
      <c r="CQ66" s="217">
        <f t="shared" ref="CQ66:DR66" si="146">(CQ45+CQ35+CQ38)/(CQ35+CQ38+CQ45+CQ55)</f>
        <v>8.7376017293997979E-2</v>
      </c>
      <c r="CR66" s="217">
        <f t="shared" si="146"/>
        <v>0.22482524742196691</v>
      </c>
      <c r="CS66" s="359">
        <f t="shared" si="146"/>
        <v>0.22482524742196691</v>
      </c>
      <c r="CT66" s="217">
        <f t="shared" si="146"/>
        <v>0.29528643317520514</v>
      </c>
      <c r="CU66" s="217">
        <f t="shared" si="146"/>
        <v>0.292860104960604</v>
      </c>
      <c r="CV66" s="217">
        <f t="shared" si="146"/>
        <v>0.28777979176326773</v>
      </c>
      <c r="CW66" s="696">
        <f t="shared" si="146"/>
        <v>0.27981093671024415</v>
      </c>
      <c r="CX66" s="756">
        <f t="shared" si="146"/>
        <v>0.27981093671024415</v>
      </c>
      <c r="CY66" s="217">
        <f t="shared" si="146"/>
        <v>0.26181650860195815</v>
      </c>
      <c r="CZ66" s="217">
        <f t="shared" si="146"/>
        <v>0.2542446507471578</v>
      </c>
      <c r="DA66" s="217">
        <f t="shared" si="146"/>
        <v>0.33096861898397245</v>
      </c>
      <c r="DB66" s="876">
        <f t="shared" si="146"/>
        <v>0.28749004959892227</v>
      </c>
      <c r="DC66" s="359">
        <f t="shared" si="146"/>
        <v>0.28749004959892227</v>
      </c>
      <c r="DD66" s="217">
        <f t="shared" si="146"/>
        <v>0.28186380444700571</v>
      </c>
      <c r="DE66" s="217">
        <f t="shared" ref="DE66" si="147">(DE45+DE35+DE38)/(DE35+DE38+DE45+DE55)</f>
        <v>0.35852430118358097</v>
      </c>
      <c r="DF66" s="217">
        <f t="shared" si="146"/>
        <v>0.38633633633633635</v>
      </c>
      <c r="DG66" s="217">
        <f t="shared" si="146"/>
        <v>0.37973055596550775</v>
      </c>
      <c r="DH66" s="359">
        <f t="shared" si="146"/>
        <v>0.37973055596550775</v>
      </c>
      <c r="DI66" s="217">
        <f t="shared" si="146"/>
        <v>0.35466417287331753</v>
      </c>
      <c r="DJ66" s="217">
        <f t="shared" si="146"/>
        <v>0.41446852964220421</v>
      </c>
      <c r="DK66" s="217">
        <f t="shared" si="146"/>
        <v>0.40244812811256891</v>
      </c>
      <c r="DL66" s="217">
        <f t="shared" si="146"/>
        <v>0.419133085359225</v>
      </c>
      <c r="DM66" s="359">
        <f t="shared" si="146"/>
        <v>0.419133085359225</v>
      </c>
      <c r="DN66" s="217">
        <f t="shared" si="146"/>
        <v>0.45950338611550284</v>
      </c>
      <c r="DO66" s="217">
        <f t="shared" si="146"/>
        <v>0.47307308458346342</v>
      </c>
      <c r="DP66" s="217">
        <f t="shared" si="146"/>
        <v>0.48085614310843622</v>
      </c>
      <c r="DQ66" s="217">
        <f t="shared" si="146"/>
        <v>0.48705191468795106</v>
      </c>
      <c r="DR66" s="359">
        <f t="shared" si="146"/>
        <v>0.48705191468795106</v>
      </c>
      <c r="DS66" s="217">
        <f t="shared" ref="DS66:EB66" si="148">(DS45+DS35+DS38)/(DS35+DS38+DS45+DS55)</f>
        <v>0.55415694933802762</v>
      </c>
      <c r="DT66" s="217">
        <f t="shared" si="148"/>
        <v>0.5651999851536561</v>
      </c>
      <c r="DU66" s="217">
        <f t="shared" si="148"/>
        <v>0.56930222389398955</v>
      </c>
      <c r="DV66" s="217">
        <f t="shared" si="148"/>
        <v>0.57120854179627245</v>
      </c>
      <c r="DW66" s="359">
        <f t="shared" si="148"/>
        <v>0.57120854179627245</v>
      </c>
      <c r="DX66" s="217">
        <f t="shared" si="148"/>
        <v>0.60020566570213618</v>
      </c>
      <c r="DY66" s="217">
        <f t="shared" si="148"/>
        <v>0.601268796303006</v>
      </c>
      <c r="DZ66" s="217">
        <f t="shared" si="148"/>
        <v>0.61284874733485395</v>
      </c>
      <c r="EA66" s="217">
        <f t="shared" si="148"/>
        <v>0.62239102466839957</v>
      </c>
      <c r="EB66" s="359">
        <f t="shared" si="148"/>
        <v>0.62239102466839957</v>
      </c>
      <c r="ED66" s="418"/>
      <c r="EK66" s="418"/>
    </row>
    <row r="67" spans="1:141" x14ac:dyDescent="0.2">
      <c r="A67" s="28" t="s">
        <v>484</v>
      </c>
      <c r="B67" s="179"/>
      <c r="C67" s="175"/>
      <c r="D67" s="175"/>
      <c r="E67" s="175"/>
      <c r="F67" s="175"/>
      <c r="G67" s="170"/>
      <c r="H67" s="175"/>
      <c r="I67" s="175"/>
      <c r="J67" s="175"/>
      <c r="K67" s="175"/>
      <c r="L67" s="170"/>
      <c r="M67" s="175"/>
      <c r="N67" s="175"/>
      <c r="O67" s="175"/>
      <c r="P67" s="175"/>
      <c r="Q67" s="170"/>
      <c r="R67" s="175"/>
      <c r="S67" s="175"/>
      <c r="T67" s="175"/>
      <c r="U67" s="175"/>
      <c r="V67" s="170"/>
      <c r="W67" s="175"/>
      <c r="X67" s="175"/>
      <c r="Y67" s="175"/>
      <c r="Z67" s="175"/>
      <c r="AA67" s="170"/>
      <c r="AB67" s="175"/>
      <c r="AC67" s="175"/>
      <c r="AD67" s="175"/>
      <c r="AE67" s="175"/>
      <c r="AF67" s="170"/>
      <c r="AG67" s="175"/>
      <c r="AH67" s="175"/>
      <c r="AI67" s="175"/>
      <c r="AJ67" s="175"/>
      <c r="AK67" s="170"/>
      <c r="AL67" s="175"/>
      <c r="AM67" s="175"/>
      <c r="AN67" s="175"/>
      <c r="AO67" s="175"/>
      <c r="AP67" s="170"/>
      <c r="AQ67" s="175"/>
      <c r="AR67" s="175"/>
      <c r="AS67" s="175"/>
      <c r="AT67" s="175"/>
      <c r="AU67" s="170"/>
      <c r="AV67" s="175"/>
      <c r="AW67" s="175"/>
      <c r="AX67" s="175"/>
      <c r="AY67" s="175"/>
      <c r="AZ67" s="170"/>
      <c r="BA67" s="175"/>
      <c r="BB67" s="175"/>
      <c r="BC67" s="175"/>
      <c r="BD67" s="175"/>
      <c r="BE67" s="170"/>
      <c r="BF67" s="175"/>
      <c r="BG67" s="175"/>
      <c r="BH67" s="175"/>
      <c r="BI67" s="175"/>
      <c r="BJ67" s="358">
        <f>(BJ45+BJ38+BJ35)/IS!BJ161</f>
        <v>0.53781883054711754</v>
      </c>
      <c r="BK67" s="218">
        <f>(BK45+BK38+BK35)/IS!BK161</f>
        <v>0.26927196900424372</v>
      </c>
      <c r="BL67" s="218">
        <f>(BL45+BL38+BL35)/IS!BL161</f>
        <v>0.59711104330622844</v>
      </c>
      <c r="BM67" s="218">
        <f>(BM45+BM38+BM35)/IS!BM161</f>
        <v>0.59850215015680053</v>
      </c>
      <c r="BN67" s="218">
        <f>(BN45+BN38+BN35)/IS!BN161</f>
        <v>0.8161777601746848</v>
      </c>
      <c r="BO67" s="358">
        <f>(BO45+BO38+BO35)/IS!BO161</f>
        <v>0.8161777601746848</v>
      </c>
      <c r="BP67" s="218">
        <f>(BP45+BP38+BP35)/IS!BP161</f>
        <v>0.68272435012263499</v>
      </c>
      <c r="BQ67" s="218">
        <f>(BQ45+BQ38+BQ35)/IS!BQ161</f>
        <v>0.80979513295279093</v>
      </c>
      <c r="BR67" s="218">
        <f>(BR45+BR38+BR35)/IS!BR161</f>
        <v>0.89767960903528732</v>
      </c>
      <c r="BS67" s="218">
        <f>(BS45+BS38+BS35)/IS!BS161</f>
        <v>1.1397921253022489</v>
      </c>
      <c r="BT67" s="358">
        <f>(BT45+BT38+BT35)/IS!BT161</f>
        <v>1.1397921253022489</v>
      </c>
      <c r="BU67" s="218">
        <f>(BU45+BU38+BU35)/IS!BU161</f>
        <v>0.94696628200504895</v>
      </c>
      <c r="BV67" s="218">
        <f>(BV45+BV38+BV35)/IS!BV161</f>
        <v>1.0516400108430473</v>
      </c>
      <c r="BW67" s="218">
        <f>(BW45+BW38+BW35)/IS!BW161</f>
        <v>0.5774603508034869</v>
      </c>
      <c r="BX67" s="218">
        <f>(BX45+BX38+BX35)/IS!BX161</f>
        <v>0.5010486003464939</v>
      </c>
      <c r="BY67" s="358">
        <f>(BY45+BY38+BY35)/IS!BY161</f>
        <v>0.5010486003464939</v>
      </c>
      <c r="BZ67" s="218">
        <f>(BZ45+BZ38+BZ35)/IS!BZ161</f>
        <v>0.4138112809699524</v>
      </c>
      <c r="CA67" s="218">
        <f>(CA45+CA38+CA35)/IS!CA161</f>
        <v>0.33882309400444094</v>
      </c>
      <c r="CB67" s="218">
        <f>(CB45+CB38+CB35)/IS!CB161</f>
        <v>0.31640175074867527</v>
      </c>
      <c r="CC67" s="218">
        <f>(CC45+CC38+CC35)/IS!CC161</f>
        <v>0.28469271427090881</v>
      </c>
      <c r="CD67" s="358">
        <f>(CD45+CD38+CD35)/IS!CD161</f>
        <v>0.28469271427090881</v>
      </c>
      <c r="CE67" s="218">
        <f>(CE45+CE38+CE35)/IS!CE161</f>
        <v>0.26460530751818123</v>
      </c>
      <c r="CF67" s="218">
        <f>(CF45+CF38+CF35)/IS!CF161</f>
        <v>0.25999716056977895</v>
      </c>
      <c r="CG67" s="218">
        <f>(CG45+CG38+CG35)/IS!CG161</f>
        <v>0.25065012089967603</v>
      </c>
      <c r="CH67" s="218">
        <f>(CH45+CH38+CH35)/IS!CH161</f>
        <v>0.24401616412806956</v>
      </c>
      <c r="CI67" s="358">
        <f>(CI45+CI38+CI35)/IS!CI161</f>
        <v>0.24401616412806956</v>
      </c>
      <c r="CJ67" s="218">
        <f>(CJ45+CJ38+CJ35)/IS!CJ161</f>
        <v>0.23757025507998267</v>
      </c>
      <c r="CK67" s="218">
        <f>(CK45+CK38+CK35)/IS!CK161</f>
        <v>0.23137155847436222</v>
      </c>
      <c r="CL67" s="218">
        <f>(CL45+CL38+CL35)/IS!CL161</f>
        <v>0.22233009708737869</v>
      </c>
      <c r="CM67" s="218">
        <f>(CM45+CM38+CM35)/IS!CM161</f>
        <v>0.21570705286706704</v>
      </c>
      <c r="CN67" s="966">
        <f>(CN45+CN38+CN35)/IS!CN161</f>
        <v>0.21570705286706704</v>
      </c>
      <c r="CO67" s="967">
        <f>(CO45+CO38+CO35)/IS!CO161</f>
        <v>0.20845027687172879</v>
      </c>
      <c r="CP67" s="967">
        <f>(CP45+CP38+CP35)/IS!CP161</f>
        <v>0.19867693308751766</v>
      </c>
      <c r="CQ67" s="967">
        <f>(CQ45+CQ38+CQ35)/IS!CQ161</f>
        <v>0.18912781696198178</v>
      </c>
      <c r="CR67" s="967">
        <f>(CR45+CR38+CR35)/IS!CR161</f>
        <v>0.42185572365430823</v>
      </c>
      <c r="CS67" s="966">
        <f>(CS45+CS38+CS35)/IS!CS161</f>
        <v>0.42185572365430823</v>
      </c>
      <c r="CT67" s="967">
        <f>(CT45+CT38+CT35)/IS!CT161</f>
        <v>0.62747801574899653</v>
      </c>
      <c r="CU67" s="967">
        <f>(CU45+CU38+CU35)/IS!CU161</f>
        <v>0.60502215657311653</v>
      </c>
      <c r="CV67" s="967">
        <f>(CV45+CV38+CV35)/IS!CV161</f>
        <v>0.57448598917281402</v>
      </c>
      <c r="CW67" s="968">
        <f>(CW45+CW38+CW35)/IS!CW161</f>
        <v>0.54325800976023753</v>
      </c>
      <c r="CX67" s="969">
        <f>(CX45+CX38+CX35)/IS!CX161</f>
        <v>0.54325800976023753</v>
      </c>
      <c r="CY67" s="967">
        <f>(CY45+CY38+CY35)/IS!CY161</f>
        <v>0.52136730382549801</v>
      </c>
      <c r="CZ67" s="967">
        <f>(CZ45+CZ38+CZ35)/IS!CZ161</f>
        <v>0.49902557856272817</v>
      </c>
      <c r="DA67" s="967">
        <f>(DA45+DA38+DA35)/IS!DA161</f>
        <v>0.66886759782985095</v>
      </c>
      <c r="DB67" s="970">
        <f>(DB45+DB38+DB35)/IS!DB161</f>
        <v>0.52225855970099455</v>
      </c>
      <c r="DC67" s="966">
        <f>(DC45+DC38+DC35)/IS!DC161</f>
        <v>0.52225855970099455</v>
      </c>
      <c r="DD67" s="967">
        <f>(DD45+DD38+DD35)/IS!DD161</f>
        <v>0.50305341875763365</v>
      </c>
      <c r="DE67" s="967">
        <f>(DE45+DE38+DE35)/IS!DE161</f>
        <v>0.5951549861003701</v>
      </c>
      <c r="DF67" s="967">
        <f>(DF45+DF38+DF35)/IS!DF161</f>
        <v>0.73829189809596063</v>
      </c>
      <c r="DG67" s="967">
        <f>(DG45+DG38+DG35)/IS!DG161</f>
        <v>0.69907623039900613</v>
      </c>
      <c r="DH67" s="966">
        <f>(DH45+DH38+DH35)/IS!DH161</f>
        <v>0.69907623039900613</v>
      </c>
      <c r="DI67" s="967">
        <f>(DI45+DI38+DI35)/IS!DI161</f>
        <v>0.60777243589743579</v>
      </c>
      <c r="DJ67" s="967">
        <f>(DJ45+DJ38+DJ35)/IS!DJ161</f>
        <v>0.74596698379272741</v>
      </c>
      <c r="DK67" s="967">
        <f>(DK45+DK38+DK35)/IS!DK161</f>
        <v>0.7362267327658778</v>
      </c>
      <c r="DL67" s="967">
        <f>(DL45+DL38+DL35)/IS!DL161</f>
        <v>0.76420520792848812</v>
      </c>
      <c r="DM67" s="966">
        <f>(DM45+DM38+DM35)/IS!DM161</f>
        <v>0.76420520792848812</v>
      </c>
      <c r="DN67" s="967">
        <f>(DN45+DN38+DN35)/IS!DN161</f>
        <v>1.0572140271669324</v>
      </c>
      <c r="DO67" s="967">
        <f>(DO45+DO38+DO35)/IS!DO161</f>
        <v>1.0363108763351243</v>
      </c>
      <c r="DP67" s="967">
        <f>(DP45+DP38+DP35)/IS!DP161</f>
        <v>0.99663855480246411</v>
      </c>
      <c r="DQ67" s="967">
        <f>(DQ45+DQ38+DQ35)/IS!DQ161</f>
        <v>0.95179498805923313</v>
      </c>
      <c r="DR67" s="966">
        <f>(DR45+DR38+DR35)/IS!DR161</f>
        <v>0.95179498805923313</v>
      </c>
      <c r="DS67" s="967">
        <f>(DS45+DS38+DS35)/IS!DS161</f>
        <v>1.1776876198918576</v>
      </c>
      <c r="DT67" s="967">
        <f>(DT45+DT38+DT35)/IS!DT161</f>
        <v>1.1450760519865748</v>
      </c>
      <c r="DU67" s="967">
        <f>(DU45+DU38+DU35)/IS!DU161</f>
        <v>1.1112586990149356</v>
      </c>
      <c r="DV67" s="967">
        <f>(DV45+DV38+DV35)/IS!DV161</f>
        <v>1.0800322098015653</v>
      </c>
      <c r="DW67" s="966">
        <f>(DW45+DW38+DW35)/IS!DW161</f>
        <v>1.0800322098015653</v>
      </c>
      <c r="DX67" s="967">
        <f>(DX45+DX38+DX35)/IS!DX161</f>
        <v>1.203441520707661</v>
      </c>
      <c r="DY67" s="967">
        <f>(DY45+DY38+DY35)/IS!DY161</f>
        <v>1.1727861678049416</v>
      </c>
      <c r="DZ67" s="967">
        <f>(DZ45+DZ38+DZ35)/IS!DZ161</f>
        <v>1.1398011195522282</v>
      </c>
      <c r="EA67" s="967">
        <f>(EA45+EA38+EA35)/IS!EA161</f>
        <v>1.1085832088893264</v>
      </c>
      <c r="EB67" s="966">
        <f>(EB45+EB38+EB35)/IS!EB161</f>
        <v>1.1085832088893264</v>
      </c>
      <c r="ED67" s="418"/>
      <c r="EK67" s="418"/>
    </row>
    <row r="68" spans="1:141" x14ac:dyDescent="0.2">
      <c r="A68" s="28" t="s">
        <v>547</v>
      </c>
      <c r="B68" s="179"/>
      <c r="C68" s="175"/>
      <c r="D68" s="175"/>
      <c r="E68" s="175"/>
      <c r="F68" s="175"/>
      <c r="G68" s="170"/>
      <c r="H68" s="175"/>
      <c r="I68" s="175"/>
      <c r="J68" s="175"/>
      <c r="K68" s="175"/>
      <c r="L68" s="170"/>
      <c r="M68" s="175"/>
      <c r="N68" s="175"/>
      <c r="O68" s="175"/>
      <c r="P68" s="175"/>
      <c r="Q68" s="170"/>
      <c r="R68" s="175"/>
      <c r="S68" s="175"/>
      <c r="T68" s="175"/>
      <c r="U68" s="175"/>
      <c r="V68" s="170"/>
      <c r="W68" s="175"/>
      <c r="X68" s="175"/>
      <c r="Y68" s="175"/>
      <c r="Z68" s="175"/>
      <c r="AA68" s="170"/>
      <c r="AB68" s="175"/>
      <c r="AC68" s="175"/>
      <c r="AD68" s="175"/>
      <c r="AE68" s="175"/>
      <c r="AF68" s="170"/>
      <c r="AG68" s="175"/>
      <c r="AH68" s="175"/>
      <c r="AI68" s="175"/>
      <c r="AJ68" s="175"/>
      <c r="AK68" s="170"/>
      <c r="AL68" s="175"/>
      <c r="AM68" s="175"/>
      <c r="AN68" s="175"/>
      <c r="AO68" s="175"/>
      <c r="AP68" s="170"/>
      <c r="AQ68" s="175"/>
      <c r="AR68" s="175"/>
      <c r="AS68" s="175"/>
      <c r="AT68" s="175"/>
      <c r="AU68" s="170"/>
      <c r="AV68" s="175"/>
      <c r="AW68" s="175"/>
      <c r="AX68" s="175"/>
      <c r="AY68" s="175"/>
      <c r="AZ68" s="170"/>
      <c r="BA68" s="175"/>
      <c r="BB68" s="175"/>
      <c r="BC68" s="175"/>
      <c r="BD68" s="175"/>
      <c r="BE68" s="170"/>
      <c r="BF68" s="175"/>
      <c r="BG68" s="175"/>
      <c r="BH68" s="175"/>
      <c r="BI68" s="175"/>
      <c r="BJ68" s="358">
        <f>(BJ45+BJ38+BJ35-BJ9-BJ10-BJ18)/IS!BJ161</f>
        <v>0.22712268609402489</v>
      </c>
      <c r="BK68" s="218">
        <f>(BK45+BK38+BK35-BK9-BK10-BK18)/IS!BK161</f>
        <v>-2.1853239079974648E-2</v>
      </c>
      <c r="BL68" s="218">
        <f>(BL45+BL38+BL35-BL9-BL10-BL18)/IS!BL161</f>
        <v>0.38686864710042729</v>
      </c>
      <c r="BM68" s="218">
        <f>(BM45+BM38+BM35-BM9-BM10-BM18)/IS!BM161</f>
        <v>0.41210207850752378</v>
      </c>
      <c r="BN68" s="218">
        <f>(BN45+BN38+BN35-BN9-BN10-BN18)/IS!BN161</f>
        <v>0.56628632336752349</v>
      </c>
      <c r="BO68" s="358">
        <f>(BO45+BO38+BO35-BO9-BO10-BO18)/IS!BO161</f>
        <v>0.56628632336752349</v>
      </c>
      <c r="BP68" s="218">
        <f>(BP45+BP38+BP35-BP9-BP10-BP18)/IS!BP161</f>
        <v>0.39043516014603713</v>
      </c>
      <c r="BQ68" s="218">
        <f>(BQ45+BQ38+BQ35-BQ9-BQ10-BQ18)/IS!BQ161</f>
        <v>0.56803339532020669</v>
      </c>
      <c r="BR68" s="218">
        <f>(BR45+BR38+BR35-BR9-BR10-BR18)/IS!BR161</f>
        <v>0.60938161388386536</v>
      </c>
      <c r="BS68" s="218">
        <f>(BS45+BS38+BS35-BS9-BS10-BS18)/IS!BS161</f>
        <v>0.82924320617849845</v>
      </c>
      <c r="BT68" s="358">
        <f>(BT45+BT38+BT35-BT9-BT10-BT18)/IS!BT161</f>
        <v>0.82924320617849845</v>
      </c>
      <c r="BU68" s="218">
        <f>(BU45+BU38+BU35-BU9-BU10-BU18)/IS!BU161</f>
        <v>0.45133880274071414</v>
      </c>
      <c r="BV68" s="218">
        <f>(BV45+BV38+BV35-BV9-BV10-BV18)/IS!BV161</f>
        <v>0.59325020330712963</v>
      </c>
      <c r="BW68" s="218">
        <f>(BW45+BW38+BW35-BW9-BW10-BW18)/IS!BW161</f>
        <v>0.19336204180233163</v>
      </c>
      <c r="BX68" s="218">
        <f>(BX45+BX38+BX35-BX9-BX10-BX18)/IS!BX161</f>
        <v>-0.13039117352056159</v>
      </c>
      <c r="BY68" s="358">
        <f>(BY45+BY38+BY35-BY9-BY10-BY18)/IS!BY161</f>
        <v>-0.13039117352056159</v>
      </c>
      <c r="BZ68" s="218">
        <f>(BZ45+BZ38+BZ35-BZ9-BZ10-BZ18)/IS!BZ161</f>
        <v>-0.63054446870999292</v>
      </c>
      <c r="CA68" s="218">
        <f>(CA45+CA38+CA35-CA9-CA10-CA18)/IS!CA161</f>
        <v>-0.5952380952380949</v>
      </c>
      <c r="CB68" s="218">
        <f>(CB45+CB38+CB35-CB9-CB10-CB18)/IS!CB161</f>
        <v>-0.61253167472932468</v>
      </c>
      <c r="CC68" s="218">
        <f>(CC45+CC38+CC35-CC9-CC10-CC18)/IS!CC161</f>
        <v>-0.54041869623795202</v>
      </c>
      <c r="CD68" s="358">
        <f>(CD45+CD38+CD35-CD9-CD10-CD18)/IS!CD161</f>
        <v>-0.54041869623795202</v>
      </c>
      <c r="CE68" s="218">
        <f>(CE45+CE38+CE35-CE9-CE10-CE18)/IS!CE161</f>
        <v>-0.75986129172084915</v>
      </c>
      <c r="CF68" s="218">
        <f>(CF45+CF38+CF35-CF9-CF10-CF18)/IS!CF161</f>
        <v>-0.66920637925322979</v>
      </c>
      <c r="CG68" s="218">
        <f>(CG45+CG38+CG35-CG9-CG10-CG18)/IS!CG161</f>
        <v>-0.6545006615265293</v>
      </c>
      <c r="CH68" s="218">
        <f>(CH45+CH38+CH35-CH9-CH10-CH18)/IS!CH161</f>
        <v>-0.69301478751276679</v>
      </c>
      <c r="CI68" s="358">
        <f>(CI45+CI38+CI35-CI9-CI10-CI18)/IS!CI161</f>
        <v>-0.69301478751276679</v>
      </c>
      <c r="CJ68" s="218">
        <f>(CJ45+CJ38+CJ35-CJ9-CJ10-CJ18)/IS!CJ161</f>
        <v>-0.80838737570255048</v>
      </c>
      <c r="CK68" s="218">
        <f>(CK45+CK38+CK35-CK9-CK10-CK18)/IS!CK161</f>
        <v>-0.77064915382672394</v>
      </c>
      <c r="CL68" s="218">
        <f>(CL45+CL38+CL35-CL9-CL10-CL18)/IS!CL161</f>
        <v>-0.84470064724919103</v>
      </c>
      <c r="CM68" s="218">
        <f>(CM45+CM38+CM35-CM9-CM10-CM18)/IS!CM161</f>
        <v>-0.62930256289493314</v>
      </c>
      <c r="CN68" s="966">
        <f>(CN45+CN38+CN35-CN9-CN10-CN18)/IS!CN161</f>
        <v>-0.62930256289493314</v>
      </c>
      <c r="CO68" s="967">
        <f>(CO45+CO38+CO35-CO9-CO10-CO18)/IS!CO161</f>
        <v>-0.75479784571038466</v>
      </c>
      <c r="CP68" s="967">
        <f>(CP45+CP38+CP35-CP9-CP10-CP18)/IS!CP161</f>
        <v>-0.43108122763257783</v>
      </c>
      <c r="CQ68" s="967">
        <f>(CQ45+CQ38+CQ35-CQ9-CQ10-CQ18)/IS!CQ161</f>
        <v>-0.52984689489076209</v>
      </c>
      <c r="CR68" s="967">
        <f>(CR45+CR38+CR35-CR9-CR10-CR18)/IS!CR161</f>
        <v>-0.646938510486332</v>
      </c>
      <c r="CS68" s="966">
        <f>(CS45+CS38+CS35-CS9-CS10-CS18)/IS!CS161</f>
        <v>-0.646938510486332</v>
      </c>
      <c r="CT68" s="967">
        <f>(CT45+CT38+CT35-CT9)/IS!CT161</f>
        <v>0.15384379691760888</v>
      </c>
      <c r="CU68" s="967">
        <f>(CU45+CU38+CU35-CU9)/IS!CU161</f>
        <v>0.2533825701624815</v>
      </c>
      <c r="CV68" s="967">
        <f>(CV45+CV38+CV35-CV9)/IS!CV161</f>
        <v>0.28854730582592336</v>
      </c>
      <c r="CW68" s="968">
        <f>(CW45+CW38+CW35-CW9)/IS!CW161</f>
        <v>9.0149586250795666E-2</v>
      </c>
      <c r="CX68" s="969">
        <f>(CX45+CX38+CX35-CX9)/IS!CX161</f>
        <v>9.0149586250795666E-2</v>
      </c>
      <c r="CY68" s="967">
        <f>(CY45+CY38+CY35-CY9)/IS!CY161</f>
        <v>4.8715925577133556E-2</v>
      </c>
      <c r="CZ68" s="967">
        <f>(CZ45+CZ38+CZ35-CZ9)/IS!CZ161</f>
        <v>7.2618757612667423E-2</v>
      </c>
      <c r="DA68" s="967">
        <f>(DA45+DA38+DA35-DA9)/IS!DA161</f>
        <v>0.18854900150063481</v>
      </c>
      <c r="DB68" s="970">
        <f>(DB45+DB38+DB35-DB9)/IS!DB161</f>
        <v>0.18185054172506623</v>
      </c>
      <c r="DC68" s="966">
        <f>(DC45+DC38+DC35-DC9)/IS!DC161</f>
        <v>0.18185054172506623</v>
      </c>
      <c r="DD68" s="967">
        <f>(DD45+DD38+DD35-DD9)/IS!DD161</f>
        <v>1.8041955045104946E-2</v>
      </c>
      <c r="DE68" s="967">
        <f>(DE45+DE38+DE35-DE9)/IS!DE161</f>
        <v>0.32460339025562784</v>
      </c>
      <c r="DF68" s="967">
        <f>(DF45+DF38+DF35-DF9)/IS!DF161</f>
        <v>0.29931749707937949</v>
      </c>
      <c r="DG68" s="967">
        <f>(DG45+DG38+DG35-DG9)/IS!DG161</f>
        <v>0.28594162397143286</v>
      </c>
      <c r="DH68" s="966">
        <f>(DH45+DH38+DH35-DH9)/IS!DH161</f>
        <v>0.28594162397143286</v>
      </c>
      <c r="DI68" s="967">
        <f>(DI45+DI38+DI35-DI9)/IS!DI161</f>
        <v>0.21960851648351645</v>
      </c>
      <c r="DJ68" s="967">
        <f>(DJ45+DJ38+DJ35-DJ9)/IS!DJ161</f>
        <v>0.33911179633738198</v>
      </c>
      <c r="DK68" s="967">
        <f>(DK45+DK38+DK35-DK9)/IS!DK161</f>
        <v>0.22809840052380512</v>
      </c>
      <c r="DL68" s="967">
        <f>(DL45+DL38+DL35-DL9)/IS!DL161</f>
        <v>0.28571706179556933</v>
      </c>
      <c r="DM68" s="966">
        <f>(DM45+DM38+DM35-DM9)/IS!DM161</f>
        <v>0.28571706179556933</v>
      </c>
      <c r="DN68" s="967">
        <f>(DN45+DN38+DN35-DN9)/IS!DN161</f>
        <v>0.11156266599041459</v>
      </c>
      <c r="DO68" s="967">
        <f>(DO45+DO38+DO35-DO9)/IS!DO161</f>
        <v>0.26091340656205253</v>
      </c>
      <c r="DP68" s="967">
        <f>(DP45+DP38+DP35-DP9)/IS!DP161</f>
        <v>0.32206574595250542</v>
      </c>
      <c r="DQ68" s="967">
        <f>(DQ45+DQ38+DQ35-DQ9)/IS!DQ161</f>
        <v>0.3915529683243496</v>
      </c>
      <c r="DR68" s="966">
        <f>(DR45+DR38+DR35-DR9)/IS!DR161</f>
        <v>0.3915529683243496</v>
      </c>
      <c r="DS68" s="967">
        <f>(DS45+DS38+DS35-DS9)/IS!DS161</f>
        <v>0.40867084119250102</v>
      </c>
      <c r="DT68" s="967">
        <f>(DT45+DT38+DT35-DT9)/IS!DT161</f>
        <v>0.50930765258454536</v>
      </c>
      <c r="DU68" s="967">
        <f>(DU45+DU38+DU35-DU9)/IS!DU161</f>
        <v>0.54085037797854352</v>
      </c>
      <c r="DV68" s="967">
        <f>(DV45+DV38+DV35-DV9)/IS!DV161</f>
        <v>0.58039347304127165</v>
      </c>
      <c r="DW68" s="966">
        <f>(DW45+DW38+DW35-DW9)/IS!DW161</f>
        <v>0.58039347304127165</v>
      </c>
      <c r="DX68" s="967">
        <f>(DX45+DX38+DX35-DX9)/IS!DX161</f>
        <v>0.55620811845442342</v>
      </c>
      <c r="DY68" s="967">
        <f>(DY45+DY38+DY35-DY9)/IS!DY161</f>
        <v>0.60843094477929571</v>
      </c>
      <c r="DZ68" s="967">
        <f>(DZ45+DZ38+DZ35-DZ9)/IS!DZ161</f>
        <v>0.65401240999561971</v>
      </c>
      <c r="EA68" s="967">
        <f>(EA45+EA38+EA35-EA9)/IS!EA161</f>
        <v>0.70101514001008036</v>
      </c>
      <c r="EB68" s="966">
        <f>(EB45+EB38+EB35-EB9)/IS!EB161</f>
        <v>0.70101514001008036</v>
      </c>
      <c r="ED68" s="418"/>
      <c r="EK68" s="418"/>
    </row>
    <row r="69" spans="1:141" x14ac:dyDescent="0.2">
      <c r="A69" s="2" t="s">
        <v>221</v>
      </c>
      <c r="B69" s="210"/>
      <c r="C69" s="211"/>
      <c r="D69" s="211"/>
      <c r="E69" s="211"/>
      <c r="F69" s="211"/>
      <c r="G69" s="212"/>
      <c r="H69" s="211"/>
      <c r="I69" s="211"/>
      <c r="J69" s="211"/>
      <c r="K69" s="211"/>
      <c r="L69" s="212"/>
      <c r="M69" s="211"/>
      <c r="N69" s="211"/>
      <c r="O69" s="211"/>
      <c r="P69" s="211"/>
      <c r="Q69" s="212"/>
      <c r="R69" s="211"/>
      <c r="S69" s="211"/>
      <c r="T69" s="211"/>
      <c r="U69" s="211"/>
      <c r="V69" s="212"/>
      <c r="W69" s="211"/>
      <c r="X69" s="211"/>
      <c r="Y69" s="211"/>
      <c r="Z69" s="211"/>
      <c r="AA69" s="212"/>
      <c r="AB69" s="211"/>
      <c r="AC69" s="211"/>
      <c r="AD69" s="211"/>
      <c r="AE69" s="211"/>
      <c r="AF69" s="212"/>
      <c r="AG69" s="211"/>
      <c r="AH69" s="211"/>
      <c r="AI69" s="211"/>
      <c r="AJ69" s="211"/>
      <c r="AK69" s="212"/>
      <c r="AL69" s="211"/>
      <c r="AM69" s="211"/>
      <c r="AN69" s="211"/>
      <c r="AO69" s="211"/>
      <c r="AP69" s="212"/>
      <c r="AQ69" s="211"/>
      <c r="AR69" s="211"/>
      <c r="AS69" s="211"/>
      <c r="AT69" s="211"/>
      <c r="AU69" s="212"/>
      <c r="AV69" s="211"/>
      <c r="AW69" s="211"/>
      <c r="AX69" s="211"/>
      <c r="AY69" s="211"/>
      <c r="AZ69" s="212"/>
      <c r="BA69" s="211"/>
      <c r="BB69" s="211"/>
      <c r="BC69" s="211"/>
      <c r="BD69" s="211"/>
      <c r="BE69" s="561"/>
      <c r="BF69" s="211"/>
      <c r="BG69" s="211"/>
      <c r="BH69" s="211"/>
      <c r="BI69" s="211"/>
      <c r="BJ69" s="561">
        <v>2.4263250860884304</v>
      </c>
      <c r="BK69" s="562">
        <v>2.2360029758225339</v>
      </c>
      <c r="BL69" s="562">
        <v>2.5560524115199921</v>
      </c>
      <c r="BM69" s="562">
        <v>2.6098344915272569</v>
      </c>
      <c r="BN69" s="562">
        <v>2.7389101641885176</v>
      </c>
      <c r="BO69" s="561">
        <v>2.7389101641885181</v>
      </c>
      <c r="BP69" s="562">
        <v>2.6680644856426756</v>
      </c>
      <c r="BQ69" s="562">
        <v>2.8912186731501937</v>
      </c>
      <c r="BR69" s="562">
        <v>3.2610505096006692</v>
      </c>
      <c r="BS69" s="562">
        <v>3.7026483405967157</v>
      </c>
      <c r="BT69" s="561">
        <v>3.7026483405967157</v>
      </c>
      <c r="BU69" s="562">
        <v>3.8706457085677917</v>
      </c>
      <c r="BV69" s="562">
        <v>4.2644422631037742</v>
      </c>
      <c r="BW69" s="562">
        <v>3.5472562005276376</v>
      </c>
      <c r="BX69" s="562">
        <v>3.0775091089764821</v>
      </c>
      <c r="BY69" s="561">
        <v>3.0775091089764821</v>
      </c>
      <c r="BZ69" s="562">
        <v>2.3630182909431348</v>
      </c>
      <c r="CA69" s="562">
        <v>2.0064901700581226</v>
      </c>
      <c r="CB69" s="562">
        <v>1.8677205424674395</v>
      </c>
      <c r="CC69" s="562">
        <v>1.7674708818635603</v>
      </c>
      <c r="CD69" s="561">
        <v>1.7674708818635603</v>
      </c>
      <c r="CE69" s="562">
        <v>1.5003245421045597</v>
      </c>
      <c r="CF69" s="562">
        <v>1.5598499867023172</v>
      </c>
      <c r="CG69" s="562">
        <v>1.540850673379152</v>
      </c>
      <c r="CH69" s="562">
        <v>1.4786461456459457</v>
      </c>
      <c r="CI69" s="561">
        <v>1.4786461456459457</v>
      </c>
      <c r="CJ69" s="562">
        <v>1.3881603561072045</v>
      </c>
      <c r="CK69" s="562">
        <v>1.4036619875921064</v>
      </c>
      <c r="CL69" s="562">
        <v>1.3070056024412375</v>
      </c>
      <c r="CM69" s="562">
        <v>1.4399689700441585</v>
      </c>
      <c r="CN69" s="561">
        <v>1.4399689700441585</v>
      </c>
      <c r="CO69" s="562">
        <v>1.3304664782725146</v>
      </c>
      <c r="CP69" s="562">
        <v>1.5414191829356629</v>
      </c>
      <c r="CQ69" s="562">
        <v>1.4351738264251199</v>
      </c>
      <c r="CR69" s="562">
        <v>1.2993786007195156</v>
      </c>
      <c r="CS69" s="561">
        <v>1.2993786007195152</v>
      </c>
      <c r="CT69" s="562">
        <v>1.8756086789642026</v>
      </c>
      <c r="CU69" s="562">
        <v>1.9277145024448719</v>
      </c>
      <c r="CV69" s="562">
        <v>1.9172545029945329</v>
      </c>
      <c r="CW69" s="697">
        <v>1.7142646376933772</v>
      </c>
      <c r="CX69" s="757">
        <v>1.7142646376933772</v>
      </c>
      <c r="CY69" s="562">
        <v>1.6725476126091527</v>
      </c>
      <c r="CZ69" s="562">
        <v>1.6870718010557604</v>
      </c>
      <c r="DA69" s="562">
        <v>1.7632007197633561</v>
      </c>
      <c r="DB69" s="877">
        <v>1.7611092371331687</v>
      </c>
      <c r="DC69" s="561">
        <v>1.7611092371331687</v>
      </c>
      <c r="DD69" s="562">
        <v>1.6081183632397038</v>
      </c>
      <c r="DE69" s="562">
        <v>1.8395510542705429</v>
      </c>
      <c r="DF69" s="562">
        <v>1.8064609891659944</v>
      </c>
      <c r="DG69" s="562">
        <v>1.7658406524466748</v>
      </c>
      <c r="DH69" s="561">
        <v>1.7658406524466748</v>
      </c>
      <c r="DI69" s="562">
        <v>1.7006543681704502</v>
      </c>
      <c r="DJ69" s="562">
        <v>1.7865979865542645</v>
      </c>
      <c r="DK69" s="562">
        <v>1.70297342538523</v>
      </c>
      <c r="DL69" s="562">
        <v>1.7835132374947467</v>
      </c>
      <c r="DM69" s="561">
        <v>1.7835132374947462</v>
      </c>
      <c r="DN69" s="562">
        <v>1.6516451902134537</v>
      </c>
      <c r="DO69" s="562">
        <v>1.7711990277491683</v>
      </c>
      <c r="DP69" s="562">
        <v>1.7965698172584026</v>
      </c>
      <c r="DQ69" s="562">
        <v>1.8224730574881571</v>
      </c>
      <c r="DR69" s="561">
        <v>1.8224730574881571</v>
      </c>
      <c r="DS69" s="562">
        <v>1.8197121832911241</v>
      </c>
      <c r="DT69" s="562">
        <v>1.884236747824646</v>
      </c>
      <c r="DU69" s="562">
        <v>1.8918635220468598</v>
      </c>
      <c r="DV69" s="562">
        <v>1.9080604978920677</v>
      </c>
      <c r="DW69" s="561">
        <v>1.9080604978920677</v>
      </c>
      <c r="DX69" s="562">
        <v>1.8732091544367391</v>
      </c>
      <c r="DY69" s="562">
        <v>1.9018342406207795</v>
      </c>
      <c r="DZ69" s="562">
        <v>1.9229293482235532</v>
      </c>
      <c r="EA69" s="562">
        <v>1.9460750377058256</v>
      </c>
      <c r="EB69" s="561">
        <v>1.9460750377058256</v>
      </c>
      <c r="EC69" s="288"/>
      <c r="ED69" s="418"/>
      <c r="EK69" s="418"/>
    </row>
    <row r="70" spans="1:141" x14ac:dyDescent="0.2">
      <c r="A70" s="320" t="s">
        <v>552</v>
      </c>
      <c r="B70" s="182"/>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c r="AO70" s="175"/>
      <c r="AP70" s="175"/>
      <c r="AQ70" s="175"/>
      <c r="AR70" s="175"/>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c r="BR70" s="175"/>
      <c r="BS70" s="175"/>
      <c r="BT70" s="175"/>
      <c r="BU70" s="175"/>
      <c r="BV70" s="175"/>
      <c r="BW70" s="175"/>
      <c r="BX70" s="175"/>
      <c r="BY70" s="175"/>
      <c r="BZ70" s="175"/>
      <c r="CA70" s="175"/>
      <c r="CB70" s="175"/>
      <c r="CC70" s="175"/>
      <c r="CD70" s="175"/>
      <c r="CE70" s="175"/>
      <c r="CF70" s="175"/>
      <c r="CG70" s="175"/>
      <c r="CH70" s="175"/>
      <c r="CI70" s="175"/>
      <c r="CJ70" s="175"/>
      <c r="CK70" s="175"/>
      <c r="CL70" s="175"/>
      <c r="CM70" s="175"/>
      <c r="CN70" s="175"/>
      <c r="CO70" s="175"/>
      <c r="CP70" s="175"/>
      <c r="CQ70" s="175"/>
      <c r="CR70" s="175"/>
      <c r="CS70" s="175"/>
      <c r="CT70" s="175"/>
      <c r="CU70" s="175"/>
      <c r="CV70" s="175"/>
      <c r="CW70" s="678"/>
      <c r="CX70" s="678"/>
      <c r="CY70" s="175"/>
      <c r="CZ70" s="175"/>
      <c r="DA70" s="175"/>
      <c r="DB70" s="861"/>
      <c r="DC70" s="175"/>
      <c r="DD70" s="175"/>
      <c r="DE70" s="175"/>
      <c r="DF70" s="175"/>
      <c r="DG70" s="175"/>
      <c r="DH70" s="175"/>
      <c r="DI70" s="175"/>
      <c r="DJ70" s="175"/>
      <c r="DK70" s="175"/>
      <c r="DL70" s="175"/>
      <c r="DM70" s="175"/>
      <c r="DN70" s="175"/>
      <c r="DO70" s="175"/>
      <c r="DP70" s="175"/>
      <c r="DQ70" s="175"/>
      <c r="DR70" s="175"/>
      <c r="DS70" s="175"/>
      <c r="DT70" s="175"/>
      <c r="DU70" s="175"/>
      <c r="DV70" s="175"/>
      <c r="DW70" s="175"/>
      <c r="DX70" s="175"/>
      <c r="DY70" s="175"/>
      <c r="DZ70" s="175"/>
      <c r="EA70" s="175"/>
      <c r="EB70" s="175"/>
      <c r="EC70" s="288"/>
      <c r="ED70" s="418"/>
      <c r="EK70" s="418"/>
    </row>
    <row r="71" spans="1:141" x14ac:dyDescent="0.2">
      <c r="A71" s="28"/>
      <c r="B71" s="182"/>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c r="BR71" s="175"/>
      <c r="BS71" s="175"/>
      <c r="BT71" s="175"/>
      <c r="BU71" s="175"/>
      <c r="BV71" s="175"/>
      <c r="BW71" s="175"/>
      <c r="BX71" s="175"/>
      <c r="BY71" s="175"/>
      <c r="BZ71" s="175"/>
      <c r="CA71" s="175"/>
      <c r="CB71" s="175"/>
      <c r="CC71" s="175"/>
      <c r="CD71" s="175"/>
      <c r="CE71" s="175"/>
      <c r="CF71" s="175"/>
      <c r="CG71" s="175"/>
      <c r="CH71" s="175"/>
      <c r="CI71" s="175"/>
      <c r="CJ71" s="175"/>
      <c r="CK71" s="175"/>
      <c r="CL71" s="175"/>
      <c r="CM71" s="175"/>
      <c r="CN71" s="175"/>
      <c r="CO71" s="175"/>
      <c r="CP71" s="175"/>
      <c r="CQ71" s="175"/>
      <c r="CR71" s="175"/>
      <c r="CS71" s="175"/>
      <c r="CT71" s="175"/>
      <c r="CU71" s="175"/>
      <c r="CV71" s="175"/>
      <c r="CW71" s="678"/>
      <c r="CX71" s="678"/>
      <c r="CY71" s="175"/>
      <c r="CZ71" s="175"/>
      <c r="DA71" s="175"/>
      <c r="DB71" s="861"/>
      <c r="DC71" s="175"/>
      <c r="DD71" s="175"/>
      <c r="DE71" s="175"/>
      <c r="DF71" s="175"/>
      <c r="DG71" s="175"/>
      <c r="DH71" s="175"/>
      <c r="DI71" s="175"/>
      <c r="DJ71" s="175"/>
      <c r="DK71" s="175"/>
      <c r="DL71" s="175"/>
      <c r="DM71" s="175"/>
      <c r="DN71" s="175"/>
      <c r="DO71" s="175"/>
      <c r="DP71" s="175"/>
      <c r="DQ71" s="175"/>
      <c r="DR71" s="175"/>
      <c r="DS71" s="175"/>
      <c r="DT71" s="175"/>
      <c r="DU71" s="175"/>
      <c r="DV71" s="175"/>
      <c r="DW71" s="175"/>
      <c r="DX71" s="175"/>
      <c r="DY71" s="175"/>
      <c r="DZ71" s="175"/>
      <c r="EA71" s="175"/>
      <c r="EB71" s="175"/>
      <c r="EC71" s="288"/>
      <c r="ED71" s="418"/>
      <c r="EK71" s="418"/>
    </row>
    <row r="72" spans="1:141" x14ac:dyDescent="0.2">
      <c r="A72" s="80" t="s">
        <v>370</v>
      </c>
      <c r="B72" s="182"/>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5"/>
      <c r="BW72" s="175"/>
      <c r="BX72" s="175"/>
      <c r="BY72" s="175"/>
      <c r="BZ72" s="175"/>
      <c r="CA72" s="175"/>
      <c r="CB72" s="175"/>
      <c r="CC72" s="175"/>
      <c r="CD72" s="175"/>
      <c r="CE72" s="175"/>
      <c r="CF72" s="175"/>
      <c r="CG72" s="175"/>
      <c r="CH72" s="175"/>
      <c r="CI72" s="175"/>
      <c r="CJ72" s="175"/>
      <c r="CK72" s="175"/>
      <c r="CL72" s="175"/>
      <c r="CM72" s="175"/>
      <c r="CN72" s="175"/>
      <c r="CO72" s="175"/>
      <c r="CP72" s="175"/>
      <c r="CQ72" s="175"/>
      <c r="CR72" s="175"/>
      <c r="CS72" s="175"/>
      <c r="CT72" s="175"/>
      <c r="CU72" s="175"/>
      <c r="CV72" s="175"/>
      <c r="CW72" s="678"/>
      <c r="CX72" s="678"/>
      <c r="CY72" s="175"/>
      <c r="CZ72" s="175"/>
      <c r="DA72" s="175"/>
      <c r="DB72" s="861"/>
      <c r="DC72" s="175"/>
      <c r="DD72" s="175"/>
      <c r="DE72" s="175"/>
      <c r="DF72" s="175"/>
      <c r="DG72" s="175"/>
      <c r="DH72" s="175"/>
      <c r="DI72" s="175"/>
      <c r="DJ72" s="175"/>
      <c r="DK72" s="175"/>
      <c r="DL72" s="175"/>
      <c r="DM72" s="175"/>
      <c r="DN72" s="175"/>
      <c r="DO72" s="175"/>
      <c r="DP72" s="175"/>
      <c r="DQ72" s="175"/>
      <c r="DR72" s="175"/>
      <c r="DS72" s="175"/>
      <c r="DT72" s="175"/>
      <c r="DU72" s="175"/>
      <c r="DV72" s="175"/>
      <c r="DW72" s="175"/>
      <c r="DX72" s="175"/>
      <c r="DY72" s="175"/>
      <c r="DZ72" s="175"/>
      <c r="EA72" s="175"/>
      <c r="EB72" s="175"/>
      <c r="EC72" s="288"/>
      <c r="ED72" s="418"/>
      <c r="EK72" s="418"/>
    </row>
    <row r="73" spans="1:141" x14ac:dyDescent="0.2">
      <c r="A73" s="24" t="s">
        <v>483</v>
      </c>
      <c r="B73" s="214"/>
      <c r="C73" s="215"/>
      <c r="D73" s="215"/>
      <c r="E73" s="215"/>
      <c r="F73" s="215"/>
      <c r="G73" s="216"/>
      <c r="H73" s="215"/>
      <c r="I73" s="215"/>
      <c r="J73" s="215"/>
      <c r="K73" s="215"/>
      <c r="L73" s="216"/>
      <c r="M73" s="215"/>
      <c r="N73" s="215"/>
      <c r="O73" s="215"/>
      <c r="P73" s="215"/>
      <c r="Q73" s="216"/>
      <c r="R73" s="215"/>
      <c r="S73" s="215"/>
      <c r="T73" s="215"/>
      <c r="U73" s="215"/>
      <c r="V73" s="216"/>
      <c r="W73" s="215"/>
      <c r="X73" s="215"/>
      <c r="Y73" s="215"/>
      <c r="Z73" s="215"/>
      <c r="AA73" s="216"/>
      <c r="AB73" s="215"/>
      <c r="AC73" s="215"/>
      <c r="AD73" s="215"/>
      <c r="AE73" s="215"/>
      <c r="AF73" s="216"/>
      <c r="AG73" s="215"/>
      <c r="AH73" s="215"/>
      <c r="AI73" s="215"/>
      <c r="AJ73" s="215"/>
      <c r="AK73" s="216"/>
      <c r="AL73" s="215"/>
      <c r="AM73" s="215"/>
      <c r="AN73" s="215"/>
      <c r="AO73" s="215"/>
      <c r="AP73" s="216">
        <f>(IS!AP41/IS!AP17)</f>
        <v>6.4667634363746229E-2</v>
      </c>
      <c r="AQ73" s="215"/>
      <c r="AR73" s="215"/>
      <c r="AS73" s="215"/>
      <c r="AT73" s="215"/>
      <c r="AU73" s="216">
        <f>(IS!AU41/IS!AU17)</f>
        <v>6.5842976539931902E-2</v>
      </c>
      <c r="AV73" s="215"/>
      <c r="AW73" s="215"/>
      <c r="AX73" s="215"/>
      <c r="AY73" s="215"/>
      <c r="AZ73" s="240">
        <f>(IS!AZ41/IS!AZ17)</f>
        <v>7.3514326022189727E-2</v>
      </c>
      <c r="BA73" s="290">
        <f>(IS!BA41+IS!AY41+IS!AX41+IS!AW41)/(IS!BA17+IS!AY17+IS!AX17+IS!AW17)</f>
        <v>7.5639524506479164E-2</v>
      </c>
      <c r="BB73" s="290">
        <f>(IS!BB41+IS!BA41+IS!AY41+IS!AX41)/(IS!BB17+IS!BA17+IS!AY17+IS!AX17)</f>
        <v>7.5737281828929692E-2</v>
      </c>
      <c r="BC73" s="290">
        <f>(IS!BC41+IS!BB41+IS!BA41+IS!AY41)/(IS!BC17+IS!BB17+IS!BA17+IS!AY17)</f>
        <v>7.679046934819278E-2</v>
      </c>
      <c r="BD73" s="290">
        <f>BE73</f>
        <v>7.7632863893991405E-2</v>
      </c>
      <c r="BE73" s="240">
        <f>(IS!BE41/IS!BE17)</f>
        <v>7.7632863893991405E-2</v>
      </c>
      <c r="BF73" s="290">
        <f>(IS!BF41+IS!BD41+IS!BC41+IS!BB41)/(IS!BF17+IS!BD17+IS!BC17+IS!BB17)</f>
        <v>7.8030661403117846E-2</v>
      </c>
      <c r="BG73" s="290">
        <f>(IS!BG41+IS!BF41+IS!BD41+IS!BC41)/(IS!BG17+IS!BF17+IS!BD17+IS!BC17)</f>
        <v>7.7777796607632246E-2</v>
      </c>
      <c r="BH73" s="290">
        <f>(IS!BH41+IS!BG41+IS!BF41+IS!BD41)/(IS!BH17+IS!BG17+IS!BF17+IS!BD17)</f>
        <v>7.6681336717710019E-2</v>
      </c>
      <c r="BI73" s="290">
        <f>BJ73</f>
        <v>7.4677196773778501E-2</v>
      </c>
      <c r="BJ73" s="240">
        <f>(IS!BJ41/IS!BJ17)</f>
        <v>7.4677196773778501E-2</v>
      </c>
      <c r="BK73" s="290">
        <f>(IS!BK41/IS!BK17)</f>
        <v>8.7027634403535573E-2</v>
      </c>
      <c r="BL73" s="290">
        <f>(IS!BL41/IS!BL17)</f>
        <v>6.6873737028915636E-2</v>
      </c>
      <c r="BM73" s="290">
        <f>(IS!BM41/IS!BM17)</f>
        <v>6.7115962945772933E-2</v>
      </c>
      <c r="BN73" s="290">
        <f>(IS!BN41/IS!BN17)</f>
        <v>6.4935362883485198E-2</v>
      </c>
      <c r="BO73" s="240">
        <f>(IS!BO41/IS!BO17)</f>
        <v>7.1476301804059436E-2</v>
      </c>
      <c r="BP73" s="290">
        <f>(IS!BP41/IS!BP17)</f>
        <v>7.5191501662089877E-2</v>
      </c>
      <c r="BQ73" s="290">
        <f>(IS!BQ41/IS!BQ17)</f>
        <v>4.3016627078384793E-2</v>
      </c>
      <c r="BR73" s="290">
        <f>(IS!BR41/IS!BR17)</f>
        <v>-2.6419052799255011E-3</v>
      </c>
      <c r="BS73" s="290">
        <f>(IS!BS41/IS!BS17)</f>
        <v>2.1864440469091737E-3</v>
      </c>
      <c r="BT73" s="240">
        <f>(IS!BT41/IS!BT17)</f>
        <v>3.0382355773861083E-2</v>
      </c>
      <c r="BU73" s="290">
        <f>(IS!BU41/IS!BU17)</f>
        <v>2.4587029672682708E-2</v>
      </c>
      <c r="BV73" s="290">
        <f>(IS!BV41/IS!BV17)</f>
        <v>1.0757296532807664E-2</v>
      </c>
      <c r="BW73" s="290">
        <f>(IS!BW41/IS!BW17)</f>
        <v>6.1649819044053429E-2</v>
      </c>
      <c r="BX73" s="290">
        <f>(IS!BX41/IS!BX17)</f>
        <v>6.3372141028816859E-2</v>
      </c>
      <c r="BY73" s="240">
        <f>(IS!BY41/IS!BY17)</f>
        <v>4.0011867493298957E-2</v>
      </c>
      <c r="BZ73" s="290">
        <f>(IS!BZ41/IS!BZ17)</f>
        <v>8.9433283138061537E-2</v>
      </c>
      <c r="CA73" s="290">
        <f>(IS!CA41/IS!CA17)</f>
        <v>8.5927328677950207E-2</v>
      </c>
      <c r="CB73" s="290">
        <f>(IS!CB41/IS!CB17)</f>
        <v>7.9823889739663076E-2</v>
      </c>
      <c r="CC73" s="290">
        <f>(IS!CC41/IS!CC17)</f>
        <v>9.8132487667371468E-2</v>
      </c>
      <c r="CD73" s="240">
        <f>(IS!CD41/IS!CD17)</f>
        <v>8.8564917720454925E-2</v>
      </c>
      <c r="CE73" s="290">
        <f>(IS!CE41/IS!CE17)</f>
        <v>0.11779856310153186</v>
      </c>
      <c r="CF73" s="290">
        <f>(IS!CF41/IS!CF17)</f>
        <v>9.4195354847973492E-2</v>
      </c>
      <c r="CG73" s="290">
        <f>(IS!CG41/IS!CG17)</f>
        <v>9.5423231703158126E-2</v>
      </c>
      <c r="CH73" s="290">
        <f>(IS!CH41/IS!CH17)</f>
        <v>0.11817672086810253</v>
      </c>
      <c r="CI73" s="240">
        <f>(IS!CI41/IS!CI17)</f>
        <v>0.10666974343196078</v>
      </c>
      <c r="CJ73" s="290">
        <f>(IS!CJ41/IS!CJ17)</f>
        <v>0.11142857142857147</v>
      </c>
      <c r="CK73" s="290">
        <f>(IS!CK41/IS!CK17)</f>
        <v>9.7203937057237691E-2</v>
      </c>
      <c r="CL73" s="290">
        <f>(IS!CL41/IS!CL17)</f>
        <v>0.10105512097507727</v>
      </c>
      <c r="CM73" s="290">
        <f>(IS!CM41/IS!CM17)</f>
        <v>0.1069822837576299</v>
      </c>
      <c r="CN73" s="240">
        <f>(IS!CN41/IS!CN17)</f>
        <v>0.10430898779082465</v>
      </c>
      <c r="CO73" s="290">
        <f>(IS!CO41/IS!CO17)</f>
        <v>0.11399346198460404</v>
      </c>
      <c r="CP73" s="290">
        <f>(IS!CP41/IS!CP17)</f>
        <v>0.11006874013973397</v>
      </c>
      <c r="CQ73" s="290">
        <f>(IS!CQ41/IS!CQ17)</f>
        <v>0.11185179235938218</v>
      </c>
      <c r="CR73" s="290">
        <f>(IS!CR41/IS!CR17)</f>
        <v>-0.32519531249999994</v>
      </c>
      <c r="CS73" s="240">
        <f>(IS!CS41/IS!CS17)</f>
        <v>5.9191896091294479E-4</v>
      </c>
      <c r="CT73" s="290">
        <f>(IS!CT41/IS!CT17)</f>
        <v>0.12753561656760079</v>
      </c>
      <c r="CU73" s="290">
        <f>(IS!CU41/IS!CU17)</f>
        <v>0.11020186896587339</v>
      </c>
      <c r="CV73" s="290">
        <f>(IS!CV41/IS!CV17)</f>
        <v>0.12338397091749523</v>
      </c>
      <c r="CW73" s="672">
        <f>(IS!CW41/IS!CW17)</f>
        <v>0.14054726368159215</v>
      </c>
      <c r="CX73" s="735">
        <f>(IS!CX41/IS!CX17)</f>
        <v>0.12571209698502556</v>
      </c>
      <c r="CY73" s="290">
        <f>(IS!CY41/IS!CY17)</f>
        <v>0.204967521652232</v>
      </c>
      <c r="CZ73" s="290">
        <f>(IS!CZ41/IS!CZ17)</f>
        <v>0.10860085460720938</v>
      </c>
      <c r="DA73" s="290">
        <f>(IS!DA41/IS!DA17)</f>
        <v>0.12834958616733583</v>
      </c>
      <c r="DB73" s="878">
        <f>(IS!DB41/IS!DB17)</f>
        <v>0.13276226906486521</v>
      </c>
      <c r="DC73" s="240">
        <f>(IS!DC41/IS!DC17)</f>
        <v>0.14398284166636233</v>
      </c>
      <c r="DD73" s="291">
        <f>(IS!DD41/IS!DD17)</f>
        <v>0.12797990136782356</v>
      </c>
      <c r="DE73" s="290">
        <f>(IS!DE41/IS!DE17)</f>
        <v>0.11515661299367135</v>
      </c>
      <c r="DF73" s="290">
        <f>(IS!DF41/IS!DF17)</f>
        <v>0.14404352806414661</v>
      </c>
      <c r="DG73" s="290">
        <f>(IS!DG41/IS!DG17)</f>
        <v>0.14039081103796064</v>
      </c>
      <c r="DH73" s="240">
        <f>(IS!DH41/IS!DH17)</f>
        <v>0.13224869698206509</v>
      </c>
      <c r="DI73" s="290">
        <f>(IS!DI41/IS!DI17)</f>
        <v>0.13108548901951883</v>
      </c>
      <c r="DJ73" s="290">
        <f>(IS!DJ41/IS!DJ17)</f>
        <v>0.12330940687570838</v>
      </c>
      <c r="DK73" s="290">
        <f>(IS!DK41/IS!DK17)</f>
        <v>0.12210544908593131</v>
      </c>
      <c r="DL73" s="290">
        <f>(IS!DL41/IS!DL17)</f>
        <v>0.1385149957004721</v>
      </c>
      <c r="DM73" s="240">
        <f>(IS!DM41/IS!DM17)</f>
        <v>0.12886669317049865</v>
      </c>
      <c r="DN73" s="290">
        <f>(IS!DN41/IS!DN17)</f>
        <v>0.37046610797372292</v>
      </c>
      <c r="DO73" s="290">
        <f>(IS!DO41/IS!DO17)</f>
        <v>0.12412451012937073</v>
      </c>
      <c r="DP73" s="290">
        <f>(IS!DP41/IS!DP17)</f>
        <v>0.14184354485895592</v>
      </c>
      <c r="DQ73" s="290">
        <f>(IS!DQ41/IS!DQ17)</f>
        <v>0.14333019097722791</v>
      </c>
      <c r="DR73" s="240">
        <f>(IS!DR41/IS!DR17)</f>
        <v>0.19403940651411167</v>
      </c>
      <c r="DS73" s="290">
        <f>(IS!DS41/IS!DS17)</f>
        <v>0.13762548766709587</v>
      </c>
      <c r="DT73" s="290">
        <f>(IS!DT41/IS!DT17)</f>
        <v>0.12977067846734611</v>
      </c>
      <c r="DU73" s="290">
        <f>(IS!DU41/IS!DU17)</f>
        <v>0.14658096019908257</v>
      </c>
      <c r="DV73" s="290">
        <f>(IS!DV41/IS!DV17)</f>
        <v>0.14709192652993663</v>
      </c>
      <c r="DW73" s="240">
        <f>(IS!DW41/IS!DW17)</f>
        <v>0.140473955254942</v>
      </c>
      <c r="DX73" s="290">
        <f>(IS!DX41/IS!DX17)</f>
        <v>0.14020126306169811</v>
      </c>
      <c r="DY73" s="290">
        <f>(IS!DY41/IS!DY17)</f>
        <v>0.13324912057499666</v>
      </c>
      <c r="DZ73" s="290">
        <f>(IS!DZ41/IS!DZ17)</f>
        <v>0.15011087251188057</v>
      </c>
      <c r="EA73" s="290">
        <f>(IS!EA41/IS!EA17)</f>
        <v>0.15051144057456284</v>
      </c>
      <c r="EB73" s="240">
        <f>(IS!EB41/IS!EB17)</f>
        <v>0.14372359814717495</v>
      </c>
      <c r="ED73" s="418"/>
      <c r="EK73" s="418"/>
    </row>
    <row r="74" spans="1:141" x14ac:dyDescent="0.2">
      <c r="A74" s="365" t="s">
        <v>482</v>
      </c>
      <c r="B74" s="200"/>
      <c r="C74" s="219"/>
      <c r="D74" s="219"/>
      <c r="E74" s="219"/>
      <c r="F74" s="219"/>
      <c r="G74" s="128"/>
      <c r="H74" s="219"/>
      <c r="I74" s="219"/>
      <c r="J74" s="219"/>
      <c r="K74" s="219"/>
      <c r="L74" s="128"/>
      <c r="M74" s="219"/>
      <c r="N74" s="219"/>
      <c r="O74" s="219"/>
      <c r="P74" s="219"/>
      <c r="Q74" s="128">
        <f t="shared" ref="Q74:AV74" si="149">Q16-Q41</f>
        <v>173.76599999999993</v>
      </c>
      <c r="R74" s="219">
        <f t="shared" si="149"/>
        <v>0</v>
      </c>
      <c r="S74" s="219">
        <f t="shared" si="149"/>
        <v>0</v>
      </c>
      <c r="T74" s="219">
        <f t="shared" si="149"/>
        <v>0</v>
      </c>
      <c r="U74" s="219">
        <f t="shared" si="149"/>
        <v>157.797</v>
      </c>
      <c r="V74" s="128">
        <f t="shared" si="149"/>
        <v>157.797</v>
      </c>
      <c r="W74" s="219">
        <f t="shared" si="149"/>
        <v>171.85400000000004</v>
      </c>
      <c r="X74" s="219">
        <f t="shared" si="149"/>
        <v>173.87599999999998</v>
      </c>
      <c r="Y74" s="219">
        <f t="shared" si="149"/>
        <v>162.08600000000001</v>
      </c>
      <c r="Z74" s="219">
        <f t="shared" si="149"/>
        <v>135.30299999999994</v>
      </c>
      <c r="AA74" s="128">
        <f t="shared" si="149"/>
        <v>135.30299999999994</v>
      </c>
      <c r="AB74" s="219">
        <f t="shared" si="149"/>
        <v>139.42200000000003</v>
      </c>
      <c r="AC74" s="219">
        <f t="shared" si="149"/>
        <v>118.79300000000001</v>
      </c>
      <c r="AD74" s="219">
        <f t="shared" si="149"/>
        <v>116.15500000000003</v>
      </c>
      <c r="AE74" s="219">
        <f t="shared" si="149"/>
        <v>146.55900000000003</v>
      </c>
      <c r="AF74" s="128">
        <f t="shared" si="149"/>
        <v>146.55900000000003</v>
      </c>
      <c r="AG74" s="219">
        <f t="shared" si="149"/>
        <v>186.09399999999994</v>
      </c>
      <c r="AH74" s="219">
        <f t="shared" si="149"/>
        <v>218.14999999999992</v>
      </c>
      <c r="AI74" s="219">
        <f t="shared" si="149"/>
        <v>231.16999999999996</v>
      </c>
      <c r="AJ74" s="219">
        <f t="shared" si="149"/>
        <v>148.66099999999994</v>
      </c>
      <c r="AK74" s="128">
        <f t="shared" si="149"/>
        <v>148.66099999999994</v>
      </c>
      <c r="AL74" s="219">
        <f t="shared" si="149"/>
        <v>211.63499999999993</v>
      </c>
      <c r="AM74" s="219">
        <f t="shared" si="149"/>
        <v>249.99600000000009</v>
      </c>
      <c r="AN74" s="219">
        <f t="shared" si="149"/>
        <v>357.68000000000006</v>
      </c>
      <c r="AO74" s="219">
        <f t="shared" si="149"/>
        <v>310.04800000000006</v>
      </c>
      <c r="AP74" s="128">
        <f t="shared" si="149"/>
        <v>310.04800000000006</v>
      </c>
      <c r="AQ74" s="219">
        <f t="shared" si="149"/>
        <v>337.73100000000011</v>
      </c>
      <c r="AR74" s="219">
        <f t="shared" si="149"/>
        <v>413.45399999999989</v>
      </c>
      <c r="AS74" s="219">
        <f t="shared" si="149"/>
        <v>464.37400000000002</v>
      </c>
      <c r="AT74" s="219">
        <f t="shared" si="149"/>
        <v>315.32600000000014</v>
      </c>
      <c r="AU74" s="128">
        <f t="shared" si="149"/>
        <v>315.32600000000014</v>
      </c>
      <c r="AV74" s="219">
        <f t="shared" si="149"/>
        <v>438.25400000000025</v>
      </c>
      <c r="AW74" s="219">
        <f t="shared" ref="AW74:CB74" si="150">AW16-AW41</f>
        <v>527.01599999999985</v>
      </c>
      <c r="AX74" s="219">
        <f t="shared" si="150"/>
        <v>652.70400000000018</v>
      </c>
      <c r="AY74" s="219">
        <f t="shared" si="150"/>
        <v>604.63600000000019</v>
      </c>
      <c r="AZ74" s="128">
        <f t="shared" si="150"/>
        <v>604.63600000000019</v>
      </c>
      <c r="BA74" s="219">
        <f t="shared" si="150"/>
        <v>806.32300000000009</v>
      </c>
      <c r="BB74" s="219">
        <f t="shared" si="150"/>
        <v>579.80000000000018</v>
      </c>
      <c r="BC74" s="219">
        <f t="shared" si="150"/>
        <v>259.08000000000004</v>
      </c>
      <c r="BD74" s="219">
        <f t="shared" si="150"/>
        <v>-17.661999999999807</v>
      </c>
      <c r="BE74" s="128">
        <f t="shared" si="150"/>
        <v>-17.661999999999807</v>
      </c>
      <c r="BF74" s="219">
        <f t="shared" si="150"/>
        <v>81.221000000000004</v>
      </c>
      <c r="BG74" s="219">
        <f t="shared" si="150"/>
        <v>80.290999999999713</v>
      </c>
      <c r="BH74" s="219">
        <f t="shared" si="150"/>
        <v>46.892000000000053</v>
      </c>
      <c r="BI74" s="219">
        <f t="shared" si="150"/>
        <v>-405.83200000000011</v>
      </c>
      <c r="BJ74" s="128">
        <f t="shared" si="150"/>
        <v>-405.83200000000011</v>
      </c>
      <c r="BK74" s="219">
        <f t="shared" si="150"/>
        <v>-374.70099999999979</v>
      </c>
      <c r="BL74" s="219">
        <f t="shared" si="150"/>
        <v>-734.9699999999998</v>
      </c>
      <c r="BM74" s="219">
        <f t="shared" si="150"/>
        <v>-755.62199999999984</v>
      </c>
      <c r="BN74" s="219">
        <f t="shared" si="150"/>
        <v>-459.07900000000018</v>
      </c>
      <c r="BO74" s="128">
        <f t="shared" si="150"/>
        <v>-459.07900000000018</v>
      </c>
      <c r="BP74" s="219">
        <f t="shared" si="150"/>
        <v>-515.60000000000014</v>
      </c>
      <c r="BQ74" s="219">
        <f t="shared" si="150"/>
        <v>-500.19999999999982</v>
      </c>
      <c r="BR74" s="219">
        <f t="shared" si="150"/>
        <v>-404.59999999999945</v>
      </c>
      <c r="BS74" s="219">
        <f t="shared" si="150"/>
        <v>-441.69999999999982</v>
      </c>
      <c r="BT74" s="128">
        <f t="shared" si="150"/>
        <v>-441.69999999999982</v>
      </c>
      <c r="BU74" s="219">
        <f t="shared" si="150"/>
        <v>-259.09999999999968</v>
      </c>
      <c r="BV74" s="219">
        <f t="shared" si="150"/>
        <v>-81.799999999999955</v>
      </c>
      <c r="BW74" s="219">
        <f t="shared" si="150"/>
        <v>159.79999999999973</v>
      </c>
      <c r="BX74" s="219">
        <f t="shared" si="150"/>
        <v>454.80000000000018</v>
      </c>
      <c r="BY74" s="128">
        <f t="shared" si="150"/>
        <v>454.80000000000018</v>
      </c>
      <c r="BZ74" s="219">
        <f t="shared" si="150"/>
        <v>804.70000000000027</v>
      </c>
      <c r="CA74" s="219">
        <f t="shared" si="150"/>
        <v>843.79999999999973</v>
      </c>
      <c r="CB74" s="219">
        <f t="shared" si="150"/>
        <v>884.3</v>
      </c>
      <c r="CC74" s="219">
        <f t="shared" ref="CC74:DH74" si="151">CC16-CC41</f>
        <v>977.2999999999995</v>
      </c>
      <c r="CD74" s="128">
        <f t="shared" si="151"/>
        <v>977.2999999999995</v>
      </c>
      <c r="CE74" s="219">
        <f t="shared" si="151"/>
        <v>1443.9999999999995</v>
      </c>
      <c r="CF74" s="219">
        <f t="shared" si="151"/>
        <v>1746.0999999999997</v>
      </c>
      <c r="CG74" s="219">
        <f t="shared" si="151"/>
        <v>1727.6</v>
      </c>
      <c r="CH74" s="219">
        <f t="shared" si="151"/>
        <v>1719.1</v>
      </c>
      <c r="CI74" s="128">
        <f t="shared" si="151"/>
        <v>1719.1</v>
      </c>
      <c r="CJ74" s="219">
        <f t="shared" si="151"/>
        <v>2078.2999999999997</v>
      </c>
      <c r="CK74" s="219">
        <f t="shared" si="151"/>
        <v>2380.1</v>
      </c>
      <c r="CL74" s="219">
        <f t="shared" si="151"/>
        <v>2551.3999999999996</v>
      </c>
      <c r="CM74" s="219">
        <f t="shared" si="151"/>
        <v>1989.8000000000002</v>
      </c>
      <c r="CN74" s="128">
        <f t="shared" si="151"/>
        <v>1989.8000000000002</v>
      </c>
      <c r="CO74" s="219">
        <f t="shared" si="151"/>
        <v>2025.1000000000004</v>
      </c>
      <c r="CP74" s="219">
        <f t="shared" si="151"/>
        <v>1540.5</v>
      </c>
      <c r="CQ74" s="219">
        <f t="shared" si="151"/>
        <v>1815.3999999999996</v>
      </c>
      <c r="CR74" s="219">
        <f t="shared" si="151"/>
        <v>94.100000000000364</v>
      </c>
      <c r="CS74" s="128">
        <f t="shared" si="151"/>
        <v>94.100000000000364</v>
      </c>
      <c r="CT74" s="219">
        <f t="shared" si="151"/>
        <v>806.39999999999964</v>
      </c>
      <c r="CU74" s="219">
        <f t="shared" si="151"/>
        <v>845.49999999999955</v>
      </c>
      <c r="CV74" s="219">
        <f t="shared" si="151"/>
        <v>473.00000000000045</v>
      </c>
      <c r="CW74" s="698">
        <f t="shared" si="151"/>
        <v>1130</v>
      </c>
      <c r="CX74" s="718">
        <f t="shared" si="151"/>
        <v>1130</v>
      </c>
      <c r="CY74" s="219">
        <f t="shared" si="151"/>
        <v>988.60000000000036</v>
      </c>
      <c r="CZ74" s="219">
        <f t="shared" si="151"/>
        <v>724.19999999999982</v>
      </c>
      <c r="DA74" s="219">
        <f t="shared" si="151"/>
        <v>711.5</v>
      </c>
      <c r="DB74" s="879">
        <f t="shared" si="151"/>
        <v>322.89999999999964</v>
      </c>
      <c r="DC74" s="128">
        <f t="shared" si="151"/>
        <v>322.89999999999964</v>
      </c>
      <c r="DD74" s="365">
        <f t="shared" si="151"/>
        <v>307.59999999999945</v>
      </c>
      <c r="DE74" s="219">
        <f t="shared" ref="DE74" si="152">DE16-DE41</f>
        <v>-467.70000000000073</v>
      </c>
      <c r="DF74" s="219">
        <f t="shared" si="151"/>
        <v>611.00000000000091</v>
      </c>
      <c r="DG74" s="219">
        <f t="shared" si="151"/>
        <v>213.60000000000036</v>
      </c>
      <c r="DH74" s="128">
        <f t="shared" si="151"/>
        <v>213.60000000000036</v>
      </c>
      <c r="DI74" s="219">
        <f t="shared" ref="DI74:DR74" si="153">DI16-DI41</f>
        <v>218.89999999999964</v>
      </c>
      <c r="DJ74" s="219">
        <f t="shared" si="153"/>
        <v>919.29999999999973</v>
      </c>
      <c r="DK74" s="219">
        <f t="shared" si="153"/>
        <v>1482.8000000000002</v>
      </c>
      <c r="DL74" s="219">
        <f t="shared" si="153"/>
        <v>1062.7000000000007</v>
      </c>
      <c r="DM74" s="128">
        <f t="shared" si="153"/>
        <v>1062.7000000000007</v>
      </c>
      <c r="DN74" s="219">
        <f t="shared" si="153"/>
        <v>3305.9363014280907</v>
      </c>
      <c r="DO74" s="219">
        <f t="shared" si="153"/>
        <v>2807.2744180748123</v>
      </c>
      <c r="DP74" s="219">
        <f t="shared" si="153"/>
        <v>2431.7482831079478</v>
      </c>
      <c r="DQ74" s="219">
        <f t="shared" si="153"/>
        <v>1933.2334088436</v>
      </c>
      <c r="DR74" s="128">
        <f t="shared" si="153"/>
        <v>1933.2334088436</v>
      </c>
      <c r="DS74" s="219">
        <f t="shared" ref="DS74:EB74" si="154">DS16-DS41</f>
        <v>3107.6819348227282</v>
      </c>
      <c r="DT74" s="219">
        <f t="shared" si="154"/>
        <v>2709.0535130904573</v>
      </c>
      <c r="DU74" s="219">
        <f t="shared" si="154"/>
        <v>2434.8207616718573</v>
      </c>
      <c r="DV74" s="219">
        <f t="shared" si="154"/>
        <v>2063.9408223527198</v>
      </c>
      <c r="DW74" s="128">
        <f t="shared" si="154"/>
        <v>2063.9408223527198</v>
      </c>
      <c r="DX74" s="219">
        <f t="shared" si="154"/>
        <v>2975.0080210133665</v>
      </c>
      <c r="DY74" s="219">
        <f t="shared" si="154"/>
        <v>2812.9974923744612</v>
      </c>
      <c r="DZ74" s="219">
        <f t="shared" si="154"/>
        <v>2393.0436151276408</v>
      </c>
      <c r="EA74" s="219">
        <f t="shared" si="154"/>
        <v>1905.4344206692622</v>
      </c>
      <c r="EB74" s="128">
        <f t="shared" si="154"/>
        <v>1905.4344206692622</v>
      </c>
      <c r="ED74" s="418"/>
      <c r="EK74" s="418"/>
    </row>
    <row r="75" spans="1:141" x14ac:dyDescent="0.2">
      <c r="A75" s="30" t="s">
        <v>481</v>
      </c>
      <c r="B75" s="590">
        <f t="shared" ref="B75:AG75" si="155">B10+B11+B12+B13+B14+B15-B41</f>
        <v>-40.4</v>
      </c>
      <c r="C75" s="590">
        <f t="shared" si="155"/>
        <v>0</v>
      </c>
      <c r="D75" s="590">
        <f t="shared" si="155"/>
        <v>0</v>
      </c>
      <c r="E75" s="590">
        <f t="shared" si="155"/>
        <v>0</v>
      </c>
      <c r="F75" s="590">
        <f t="shared" si="155"/>
        <v>0</v>
      </c>
      <c r="G75" s="591">
        <f t="shared" si="155"/>
        <v>-71</v>
      </c>
      <c r="H75" s="590">
        <f t="shared" si="155"/>
        <v>0</v>
      </c>
      <c r="I75" s="590">
        <f t="shared" si="155"/>
        <v>0</v>
      </c>
      <c r="J75" s="590">
        <f t="shared" si="155"/>
        <v>0</v>
      </c>
      <c r="K75" s="590">
        <f t="shared" si="155"/>
        <v>0</v>
      </c>
      <c r="L75" s="591">
        <f t="shared" si="155"/>
        <v>-101</v>
      </c>
      <c r="M75" s="590">
        <f t="shared" si="155"/>
        <v>-107.2</v>
      </c>
      <c r="N75" s="590">
        <f t="shared" si="155"/>
        <v>-111.8</v>
      </c>
      <c r="O75" s="590">
        <f t="shared" si="155"/>
        <v>-125.7</v>
      </c>
      <c r="P75" s="590">
        <f t="shared" si="155"/>
        <v>0</v>
      </c>
      <c r="Q75" s="591">
        <f t="shared" si="155"/>
        <v>103.63999999999999</v>
      </c>
      <c r="R75" s="590">
        <f t="shared" si="155"/>
        <v>0</v>
      </c>
      <c r="S75" s="590">
        <f t="shared" si="155"/>
        <v>0</v>
      </c>
      <c r="T75" s="590">
        <f t="shared" si="155"/>
        <v>0</v>
      </c>
      <c r="U75" s="590">
        <f t="shared" si="155"/>
        <v>56.134000000000043</v>
      </c>
      <c r="V75" s="591">
        <f t="shared" si="155"/>
        <v>56.134000000000043</v>
      </c>
      <c r="W75" s="590">
        <f t="shared" si="155"/>
        <v>43.469000000000023</v>
      </c>
      <c r="X75" s="590">
        <f t="shared" si="155"/>
        <v>46.402000000000015</v>
      </c>
      <c r="Y75" s="590">
        <f t="shared" si="155"/>
        <v>71.140000000000043</v>
      </c>
      <c r="Z75" s="590">
        <f t="shared" si="155"/>
        <v>68.883999999999958</v>
      </c>
      <c r="AA75" s="591">
        <f t="shared" si="155"/>
        <v>68.883999999999958</v>
      </c>
      <c r="AB75" s="590">
        <f t="shared" si="155"/>
        <v>62.053999999999974</v>
      </c>
      <c r="AC75" s="590">
        <f t="shared" si="155"/>
        <v>33.534999999999968</v>
      </c>
      <c r="AD75" s="590">
        <f t="shared" si="155"/>
        <v>48.719000000000051</v>
      </c>
      <c r="AE75" s="590">
        <f t="shared" si="155"/>
        <v>75.742000000000019</v>
      </c>
      <c r="AF75" s="591">
        <f t="shared" si="155"/>
        <v>75.742000000000019</v>
      </c>
      <c r="AG75" s="590">
        <f t="shared" si="155"/>
        <v>8.6529999999999632</v>
      </c>
      <c r="AH75" s="590">
        <f t="shared" ref="AH75:BM75" si="156">AH10+AH11+AH12+AH13+AH14+AH15-AH41</f>
        <v>2.9700000000000273</v>
      </c>
      <c r="AI75" s="590">
        <f t="shared" si="156"/>
        <v>79.178999999999974</v>
      </c>
      <c r="AJ75" s="590">
        <f t="shared" si="156"/>
        <v>35.423999999999978</v>
      </c>
      <c r="AK75" s="591">
        <f t="shared" si="156"/>
        <v>35.423999999999978</v>
      </c>
      <c r="AL75" s="590">
        <f t="shared" si="156"/>
        <v>-15.197999999999979</v>
      </c>
      <c r="AM75" s="590">
        <f t="shared" si="156"/>
        <v>88.152000000000044</v>
      </c>
      <c r="AN75" s="590">
        <f t="shared" si="156"/>
        <v>148.53700000000003</v>
      </c>
      <c r="AO75" s="590">
        <f t="shared" si="156"/>
        <v>210.37099999999992</v>
      </c>
      <c r="AP75" s="591">
        <f t="shared" si="156"/>
        <v>210.37099999999992</v>
      </c>
      <c r="AQ75" s="590">
        <f t="shared" si="156"/>
        <v>86.270000000000095</v>
      </c>
      <c r="AR75" s="590">
        <f t="shared" si="156"/>
        <v>163.05299999999983</v>
      </c>
      <c r="AS75" s="590">
        <f t="shared" si="156"/>
        <v>200.73599999999988</v>
      </c>
      <c r="AT75" s="590">
        <f t="shared" si="156"/>
        <v>114.41900000000021</v>
      </c>
      <c r="AU75" s="591">
        <f t="shared" si="156"/>
        <v>114.41900000000021</v>
      </c>
      <c r="AV75" s="590">
        <f t="shared" si="156"/>
        <v>-10.421999999999912</v>
      </c>
      <c r="AW75" s="590">
        <f t="shared" si="156"/>
        <v>156.93500000000006</v>
      </c>
      <c r="AX75" s="590">
        <f t="shared" si="156"/>
        <v>269.3309999999999</v>
      </c>
      <c r="AY75" s="590">
        <f t="shared" si="156"/>
        <v>459.58300000000008</v>
      </c>
      <c r="AZ75" s="591">
        <f t="shared" si="156"/>
        <v>459.58300000000008</v>
      </c>
      <c r="BA75" s="590">
        <f t="shared" si="156"/>
        <v>162.77500000000009</v>
      </c>
      <c r="BB75" s="590">
        <f t="shared" si="156"/>
        <v>402.65800000000013</v>
      </c>
      <c r="BC75" s="590">
        <f t="shared" si="156"/>
        <v>128.96799999999996</v>
      </c>
      <c r="BD75" s="590">
        <f t="shared" si="156"/>
        <v>-191.47099999999978</v>
      </c>
      <c r="BE75" s="591">
        <f t="shared" si="156"/>
        <v>-191.47099999999978</v>
      </c>
      <c r="BF75" s="590">
        <f t="shared" si="156"/>
        <v>-170.21399999999994</v>
      </c>
      <c r="BG75" s="590">
        <f t="shared" si="156"/>
        <v>-122.38000000000034</v>
      </c>
      <c r="BH75" s="590">
        <f t="shared" si="156"/>
        <v>-168.84699999999975</v>
      </c>
      <c r="BI75" s="590">
        <f t="shared" si="156"/>
        <v>-718.4380000000001</v>
      </c>
      <c r="BJ75" s="591">
        <f t="shared" si="156"/>
        <v>-718.4380000000001</v>
      </c>
      <c r="BK75" s="590">
        <f t="shared" si="156"/>
        <v>-645.57399999999984</v>
      </c>
      <c r="BL75" s="590">
        <f t="shared" si="156"/>
        <v>-935.14899999999989</v>
      </c>
      <c r="BM75" s="590">
        <f t="shared" si="156"/>
        <v>-928.4109999999996</v>
      </c>
      <c r="BN75" s="590">
        <f t="shared" ref="BN75:CS75" si="157">BN10+BN11+BN12+BN13+BN14+BN15-BN41</f>
        <v>-740.34000000000015</v>
      </c>
      <c r="BO75" s="591">
        <f t="shared" si="157"/>
        <v>-740.34000000000015</v>
      </c>
      <c r="BP75" s="590">
        <f t="shared" si="157"/>
        <v>-864.90000000000009</v>
      </c>
      <c r="BQ75" s="590">
        <f t="shared" si="157"/>
        <v>-803.59999999999968</v>
      </c>
      <c r="BR75" s="590">
        <f t="shared" si="157"/>
        <v>-701.59999999999945</v>
      </c>
      <c r="BS75" s="590">
        <f t="shared" si="157"/>
        <v>-711.49999999999977</v>
      </c>
      <c r="BT75" s="591">
        <f t="shared" si="157"/>
        <v>-711.49999999999977</v>
      </c>
      <c r="BU75" s="590">
        <f t="shared" si="157"/>
        <v>-615.89999999999986</v>
      </c>
      <c r="BV75" s="590">
        <f t="shared" si="157"/>
        <v>-334.99999999999977</v>
      </c>
      <c r="BW75" s="590">
        <f t="shared" si="157"/>
        <v>-132.20000000000027</v>
      </c>
      <c r="BX75" s="590">
        <f t="shared" si="157"/>
        <v>-145</v>
      </c>
      <c r="BY75" s="591">
        <f t="shared" si="157"/>
        <v>-145</v>
      </c>
      <c r="BZ75" s="590">
        <f t="shared" si="157"/>
        <v>-501.59999999999991</v>
      </c>
      <c r="CA75" s="590">
        <f t="shared" si="157"/>
        <v>-242.20000000000005</v>
      </c>
      <c r="CB75" s="590">
        <f t="shared" si="157"/>
        <v>-240.90000000000009</v>
      </c>
      <c r="CC75" s="590">
        <f t="shared" si="157"/>
        <v>-186.70000000000027</v>
      </c>
      <c r="CD75" s="591">
        <f t="shared" si="157"/>
        <v>-186.70000000000027</v>
      </c>
      <c r="CE75" s="590">
        <f t="shared" si="157"/>
        <v>-348</v>
      </c>
      <c r="CF75" s="590">
        <f t="shared" si="157"/>
        <v>100.90000000000009</v>
      </c>
      <c r="CG75" s="590">
        <f t="shared" si="157"/>
        <v>6.7999999999999545</v>
      </c>
      <c r="CH75" s="590">
        <f t="shared" si="157"/>
        <v>570.99999999999955</v>
      </c>
      <c r="CI75" s="591">
        <f t="shared" si="157"/>
        <v>570.99999999999955</v>
      </c>
      <c r="CJ75" s="590">
        <f t="shared" si="157"/>
        <v>508.70000000000027</v>
      </c>
      <c r="CK75" s="590">
        <f t="shared" si="157"/>
        <v>947.89999999999964</v>
      </c>
      <c r="CL75" s="590">
        <f t="shared" si="157"/>
        <v>1050.1000000000001</v>
      </c>
      <c r="CM75" s="590">
        <f t="shared" si="157"/>
        <v>801.19999999999982</v>
      </c>
      <c r="CN75" s="591">
        <f t="shared" si="157"/>
        <v>801.19999999999982</v>
      </c>
      <c r="CO75" s="590">
        <f t="shared" si="157"/>
        <v>173.00000000000045</v>
      </c>
      <c r="CP75" s="590">
        <f t="shared" si="157"/>
        <v>317.30000000000018</v>
      </c>
      <c r="CQ75" s="590">
        <f t="shared" si="157"/>
        <v>384.59999999999991</v>
      </c>
      <c r="CR75" s="590">
        <f t="shared" si="157"/>
        <v>-2481.5999999999995</v>
      </c>
      <c r="CS75" s="591">
        <f t="shared" si="157"/>
        <v>-2481.5999999999995</v>
      </c>
      <c r="CT75" s="590">
        <f t="shared" ref="CT75:DR75" si="158">CT10+CT11+CT12+CT13+CT14+CT15-CT41</f>
        <v>-739.40000000000009</v>
      </c>
      <c r="CU75" s="590">
        <f t="shared" si="158"/>
        <v>-344.80000000000018</v>
      </c>
      <c r="CV75" s="590">
        <f t="shared" si="158"/>
        <v>-546.39999999999964</v>
      </c>
      <c r="CW75" s="699">
        <f t="shared" si="158"/>
        <v>-578.39999999999964</v>
      </c>
      <c r="CX75" s="758">
        <f t="shared" si="158"/>
        <v>-578.39999999999964</v>
      </c>
      <c r="CY75" s="590">
        <f t="shared" si="158"/>
        <v>-868.39999999999964</v>
      </c>
      <c r="CZ75" s="590">
        <f t="shared" si="158"/>
        <v>-1026.1999999999998</v>
      </c>
      <c r="DA75" s="590">
        <f t="shared" si="158"/>
        <v>-1368.9999999999995</v>
      </c>
      <c r="DB75" s="880">
        <f t="shared" si="158"/>
        <v>-1207.2000000000003</v>
      </c>
      <c r="DC75" s="591">
        <f t="shared" si="158"/>
        <v>-1207.2000000000003</v>
      </c>
      <c r="DD75" s="598">
        <f t="shared" si="158"/>
        <v>-1955.9000000000005</v>
      </c>
      <c r="DE75" s="590">
        <f t="shared" ref="DE75" si="159">DE10+DE11+DE12+DE13+DE14+DE15-DE41</f>
        <v>-1762.1000000000008</v>
      </c>
      <c r="DF75" s="590">
        <f t="shared" si="158"/>
        <v>-1530.8000000000002</v>
      </c>
      <c r="DG75" s="590">
        <f t="shared" si="158"/>
        <v>-1915.1999999999998</v>
      </c>
      <c r="DH75" s="591">
        <f t="shared" si="158"/>
        <v>-1915.1999999999998</v>
      </c>
      <c r="DI75" s="590">
        <f t="shared" si="158"/>
        <v>-1815.6999999999998</v>
      </c>
      <c r="DJ75" s="590">
        <f t="shared" si="158"/>
        <v>-1244.5999999999999</v>
      </c>
      <c r="DK75" s="590">
        <f t="shared" si="158"/>
        <v>-1233.3999999999996</v>
      </c>
      <c r="DL75" s="590">
        <f t="shared" si="158"/>
        <v>-1399.6</v>
      </c>
      <c r="DM75" s="591">
        <f t="shared" si="158"/>
        <v>-1399.6</v>
      </c>
      <c r="DN75" s="590">
        <f t="shared" si="158"/>
        <v>-1553.3877831135665</v>
      </c>
      <c r="DO75" s="590">
        <f t="shared" si="158"/>
        <v>-1257.5524504670634</v>
      </c>
      <c r="DP75" s="590">
        <f t="shared" si="158"/>
        <v>-1245.2961415728073</v>
      </c>
      <c r="DQ75" s="590">
        <f t="shared" si="158"/>
        <v>-1264.4833627247722</v>
      </c>
      <c r="DR75" s="591">
        <f t="shared" si="158"/>
        <v>-1264.4833627247722</v>
      </c>
      <c r="DS75" s="590">
        <f t="shared" ref="DS75:EB75" si="160">DS10+DS11+DS12+DS13+DS14+DS15-DS41</f>
        <v>-1419.2279434527286</v>
      </c>
      <c r="DT75" s="590">
        <f t="shared" si="160"/>
        <v>-1140.0602624076487</v>
      </c>
      <c r="DU75" s="590">
        <f t="shared" si="160"/>
        <v>-1123.6780198650099</v>
      </c>
      <c r="DV75" s="590">
        <f t="shared" si="160"/>
        <v>-1143.1815903212655</v>
      </c>
      <c r="DW75" s="591">
        <f t="shared" si="160"/>
        <v>-1143.1815903212655</v>
      </c>
      <c r="DX75" s="590">
        <f t="shared" si="160"/>
        <v>-1291.2929154001772</v>
      </c>
      <c r="DY75" s="590">
        <f t="shared" si="160"/>
        <v>-1004.2407775416136</v>
      </c>
      <c r="DZ75" s="590">
        <f t="shared" si="160"/>
        <v>-987.86859080406566</v>
      </c>
      <c r="EA75" s="590">
        <f t="shared" si="160"/>
        <v>-1010.9677377493904</v>
      </c>
      <c r="EB75" s="591">
        <f t="shared" si="160"/>
        <v>-1010.9677377493904</v>
      </c>
      <c r="ED75" s="418"/>
      <c r="EK75" s="418"/>
    </row>
    <row r="76" spans="1:141" x14ac:dyDescent="0.2">
      <c r="A76" s="1"/>
      <c r="B76" s="179"/>
      <c r="C76" s="175"/>
      <c r="D76" s="175"/>
      <c r="E76" s="175"/>
      <c r="F76" s="175"/>
      <c r="G76" s="170"/>
      <c r="H76" s="157"/>
      <c r="I76" s="157"/>
      <c r="J76" s="157"/>
      <c r="K76" s="175"/>
      <c r="L76" s="170"/>
      <c r="M76" s="157"/>
      <c r="N76" s="157"/>
      <c r="O76" s="157"/>
      <c r="P76" s="175"/>
      <c r="Q76" s="170"/>
      <c r="R76" s="157"/>
      <c r="S76" s="157"/>
      <c r="T76" s="157"/>
      <c r="U76" s="175"/>
      <c r="V76" s="170"/>
      <c r="W76" s="175"/>
      <c r="X76" s="175"/>
      <c r="Y76" s="175"/>
      <c r="Z76" s="175"/>
      <c r="AA76" s="170"/>
      <c r="AB76" s="157"/>
      <c r="AC76" s="157"/>
      <c r="AD76" s="157"/>
      <c r="AE76" s="175"/>
      <c r="AF76" s="170"/>
      <c r="AG76" s="157"/>
      <c r="AH76" s="157"/>
      <c r="AI76" s="157"/>
      <c r="AJ76" s="175"/>
      <c r="AK76" s="170"/>
      <c r="AL76" s="157"/>
      <c r="AM76" s="157"/>
      <c r="AN76" s="157"/>
      <c r="AO76" s="175"/>
      <c r="AP76" s="170"/>
      <c r="AQ76" s="157"/>
      <c r="AR76" s="157"/>
      <c r="AS76" s="157"/>
      <c r="AT76" s="175"/>
      <c r="AU76" s="170"/>
      <c r="AV76" s="157"/>
      <c r="AW76" s="157"/>
      <c r="AX76" s="157"/>
      <c r="AY76" s="175"/>
      <c r="AZ76" s="170"/>
      <c r="BA76" s="157"/>
      <c r="BB76" s="157"/>
      <c r="BC76" s="157"/>
      <c r="BD76" s="175"/>
      <c r="BE76" s="170"/>
      <c r="BF76" s="157"/>
      <c r="BG76" s="157"/>
      <c r="BH76" s="157"/>
      <c r="BI76" s="175"/>
      <c r="BJ76" s="170"/>
      <c r="BK76" s="157"/>
      <c r="BL76" s="157"/>
      <c r="BM76" s="157"/>
      <c r="BN76" s="175"/>
      <c r="BO76" s="170"/>
      <c r="BP76" s="157"/>
      <c r="BQ76" s="157"/>
      <c r="BR76" s="157"/>
      <c r="BS76" s="175"/>
      <c r="BT76" s="170"/>
      <c r="BU76" s="157"/>
      <c r="BV76" s="157"/>
      <c r="BW76" s="157"/>
      <c r="BX76" s="175"/>
      <c r="BY76" s="170"/>
      <c r="BZ76" s="157"/>
      <c r="CA76" s="157"/>
      <c r="CB76" s="157"/>
      <c r="CC76" s="175"/>
      <c r="CD76" s="170"/>
      <c r="CE76" s="157"/>
      <c r="CF76" s="157"/>
      <c r="CG76" s="157"/>
      <c r="CH76" s="175"/>
      <c r="CI76" s="170"/>
      <c r="CJ76" s="157"/>
      <c r="CK76" s="157"/>
      <c r="CL76" s="157"/>
      <c r="CM76" s="175"/>
      <c r="CN76" s="170"/>
      <c r="CO76" s="157"/>
      <c r="CP76" s="157"/>
      <c r="CQ76" s="157"/>
      <c r="CR76" s="175"/>
      <c r="CS76" s="170"/>
      <c r="CT76" s="157"/>
      <c r="CU76" s="157"/>
      <c r="CV76" s="157"/>
      <c r="CW76" s="678"/>
      <c r="CX76" s="742"/>
      <c r="CY76" s="157"/>
      <c r="CZ76" s="157"/>
      <c r="DA76" s="157"/>
      <c r="DB76" s="861"/>
      <c r="DC76" s="170"/>
      <c r="DD76" s="157"/>
      <c r="DE76" s="157"/>
      <c r="DF76" s="157"/>
      <c r="DG76" s="175"/>
      <c r="DH76" s="170"/>
      <c r="DI76" s="157"/>
      <c r="DJ76" s="157"/>
      <c r="DK76" s="157"/>
      <c r="DL76" s="157"/>
      <c r="DM76" s="170"/>
      <c r="DN76" s="157"/>
      <c r="DO76" s="157"/>
      <c r="DP76" s="157"/>
      <c r="DQ76" s="157"/>
      <c r="DR76" s="170"/>
      <c r="DS76" s="157"/>
      <c r="DT76" s="157"/>
      <c r="DU76" s="157"/>
      <c r="DV76" s="157"/>
      <c r="DW76" s="170"/>
      <c r="DX76" s="157"/>
      <c r="DY76" s="157"/>
      <c r="DZ76" s="157"/>
      <c r="EA76" s="157"/>
      <c r="EB76" s="170"/>
      <c r="ED76" s="418"/>
      <c r="EK76" s="418"/>
    </row>
    <row r="77" spans="1:141" hidden="1" x14ac:dyDescent="0.2">
      <c r="A77" s="1"/>
      <c r="B77" s="179"/>
      <c r="C77" s="175"/>
      <c r="D77" s="175"/>
      <c r="E77" s="175"/>
      <c r="F77" s="175"/>
      <c r="G77" s="170"/>
      <c r="H77" s="157"/>
      <c r="I77" s="157"/>
      <c r="J77" s="157"/>
      <c r="K77" s="175"/>
      <c r="L77" s="170"/>
      <c r="M77" s="157"/>
      <c r="N77" s="157"/>
      <c r="O77" s="157"/>
      <c r="P77" s="175"/>
      <c r="Q77" s="170"/>
      <c r="R77" s="157"/>
      <c r="S77" s="157"/>
      <c r="T77" s="157"/>
      <c r="U77" s="175"/>
      <c r="V77" s="170"/>
      <c r="W77" s="175"/>
      <c r="X77" s="175"/>
      <c r="Y77" s="175"/>
      <c r="Z77" s="175"/>
      <c r="AA77" s="170"/>
      <c r="AB77" s="157"/>
      <c r="AC77" s="157"/>
      <c r="AD77" s="157"/>
      <c r="AE77" s="175"/>
      <c r="AF77" s="170"/>
      <c r="AG77" s="157"/>
      <c r="AH77" s="157"/>
      <c r="AI77" s="157"/>
      <c r="AJ77" s="175"/>
      <c r="AK77" s="170"/>
      <c r="AL77" s="157"/>
      <c r="AM77" s="157"/>
      <c r="AN77" s="157"/>
      <c r="AO77" s="175"/>
      <c r="AP77" s="170"/>
      <c r="AQ77" s="157"/>
      <c r="AR77" s="157"/>
      <c r="AS77" s="157"/>
      <c r="AT77" s="175"/>
      <c r="AU77" s="170"/>
      <c r="AV77" s="157"/>
      <c r="AW77" s="157"/>
      <c r="AX77" s="157"/>
      <c r="AY77" s="175"/>
      <c r="AZ77" s="170"/>
      <c r="BA77" s="157"/>
      <c r="BB77" s="157"/>
      <c r="BC77" s="157"/>
      <c r="BD77" s="175"/>
      <c r="BE77" s="170"/>
      <c r="BF77" s="157"/>
      <c r="BG77" s="157"/>
      <c r="BH77" s="157"/>
      <c r="BI77" s="175"/>
      <c r="BJ77" s="170"/>
      <c r="BK77" s="157"/>
      <c r="BL77" s="157"/>
      <c r="BM77" s="157"/>
      <c r="BN77" s="175"/>
      <c r="BO77" s="170"/>
      <c r="BP77" s="157"/>
      <c r="BQ77" s="157"/>
      <c r="BR77" s="157"/>
      <c r="BS77" s="175"/>
      <c r="BT77" s="170"/>
      <c r="BU77" s="157"/>
      <c r="BV77" s="157"/>
      <c r="BW77" s="157"/>
      <c r="BX77" s="175"/>
      <c r="BY77" s="170"/>
      <c r="BZ77" s="157"/>
      <c r="CA77" s="157"/>
      <c r="CB77" s="157"/>
      <c r="CC77" s="175"/>
      <c r="CD77" s="170"/>
      <c r="CE77" s="157"/>
      <c r="CF77" s="157"/>
      <c r="CG77" s="157"/>
      <c r="CH77" s="175"/>
      <c r="CI77" s="170"/>
      <c r="CJ77" s="157"/>
      <c r="CK77" s="157"/>
      <c r="CL77" s="157"/>
      <c r="CM77" s="175"/>
      <c r="CN77" s="170"/>
      <c r="CO77" s="157"/>
      <c r="CP77" s="157"/>
      <c r="CQ77" s="157"/>
      <c r="CR77" s="175"/>
      <c r="CS77" s="170"/>
      <c r="CT77" s="157"/>
      <c r="CU77" s="157"/>
      <c r="CV77" s="157"/>
      <c r="CW77" s="678"/>
      <c r="CX77" s="742"/>
      <c r="CY77" s="157"/>
      <c r="CZ77" s="157"/>
      <c r="DA77" s="157"/>
      <c r="DB77" s="861"/>
      <c r="DC77" s="170"/>
      <c r="DD77" s="157"/>
      <c r="DE77" s="157"/>
      <c r="DF77" s="157"/>
      <c r="DG77" s="175"/>
      <c r="DH77" s="170"/>
      <c r="DI77" s="157"/>
      <c r="DJ77" s="157"/>
      <c r="DK77" s="157"/>
      <c r="DL77" s="157"/>
      <c r="DM77" s="170"/>
      <c r="DN77" s="157"/>
      <c r="DO77" s="157"/>
      <c r="DP77" s="157"/>
      <c r="DQ77" s="157"/>
      <c r="DR77" s="170"/>
      <c r="DS77" s="157"/>
      <c r="DT77" s="157"/>
      <c r="DU77" s="157"/>
      <c r="DV77" s="157"/>
      <c r="DW77" s="170"/>
      <c r="DX77" s="157"/>
      <c r="DY77" s="157"/>
      <c r="DZ77" s="157"/>
      <c r="EA77" s="157"/>
      <c r="EB77" s="170"/>
      <c r="ED77" s="418"/>
      <c r="EK77" s="418"/>
    </row>
    <row r="78" spans="1:141" hidden="1" x14ac:dyDescent="0.2">
      <c r="A78" s="1"/>
      <c r="B78" s="179"/>
      <c r="C78" s="175"/>
      <c r="D78" s="175"/>
      <c r="E78" s="175"/>
      <c r="F78" s="175"/>
      <c r="G78" s="170"/>
      <c r="H78" s="157"/>
      <c r="I78" s="157"/>
      <c r="J78" s="157"/>
      <c r="K78" s="175"/>
      <c r="L78" s="170"/>
      <c r="M78" s="157"/>
      <c r="N78" s="157"/>
      <c r="O78" s="157"/>
      <c r="P78" s="175"/>
      <c r="Q78" s="170"/>
      <c r="R78" s="157"/>
      <c r="S78" s="157"/>
      <c r="T78" s="157"/>
      <c r="U78" s="175"/>
      <c r="V78" s="170"/>
      <c r="W78" s="175"/>
      <c r="X78" s="175"/>
      <c r="Y78" s="175"/>
      <c r="Z78" s="175"/>
      <c r="AA78" s="170"/>
      <c r="AB78" s="157"/>
      <c r="AC78" s="157"/>
      <c r="AD78" s="157"/>
      <c r="AE78" s="175"/>
      <c r="AF78" s="170"/>
      <c r="AG78" s="157"/>
      <c r="AH78" s="157"/>
      <c r="AI78" s="157"/>
      <c r="AJ78" s="175"/>
      <c r="AK78" s="170"/>
      <c r="AL78" s="157"/>
      <c r="AM78" s="157"/>
      <c r="AN78" s="157"/>
      <c r="AO78" s="175"/>
      <c r="AP78" s="170"/>
      <c r="AQ78" s="157"/>
      <c r="AR78" s="157"/>
      <c r="AS78" s="157"/>
      <c r="AT78" s="175"/>
      <c r="AU78" s="170"/>
      <c r="AV78" s="157"/>
      <c r="AW78" s="157"/>
      <c r="AX78" s="157"/>
      <c r="AY78" s="175"/>
      <c r="AZ78" s="170"/>
      <c r="BA78" s="157"/>
      <c r="BB78" s="157"/>
      <c r="BC78" s="157"/>
      <c r="BD78" s="175"/>
      <c r="BE78" s="170"/>
      <c r="BF78" s="157"/>
      <c r="BG78" s="157"/>
      <c r="BH78" s="157"/>
      <c r="BI78" s="175"/>
      <c r="BJ78" s="170"/>
      <c r="BK78" s="157"/>
      <c r="BL78" s="157"/>
      <c r="BM78" s="157"/>
      <c r="BN78" s="175"/>
      <c r="BO78" s="170"/>
      <c r="BP78" s="157"/>
      <c r="BQ78" s="157"/>
      <c r="BR78" s="157"/>
      <c r="BS78" s="175"/>
      <c r="BT78" s="170"/>
      <c r="BU78" s="157"/>
      <c r="BV78" s="157"/>
      <c r="BW78" s="157"/>
      <c r="BX78" s="175"/>
      <c r="BY78" s="170"/>
      <c r="BZ78" s="157"/>
      <c r="CA78" s="157"/>
      <c r="CB78" s="157"/>
      <c r="CC78" s="175"/>
      <c r="CD78" s="170"/>
      <c r="CE78" s="157"/>
      <c r="CF78" s="157"/>
      <c r="CG78" s="157"/>
      <c r="CH78" s="175"/>
      <c r="CI78" s="170"/>
      <c r="CJ78" s="157"/>
      <c r="CK78" s="157"/>
      <c r="CL78" s="157"/>
      <c r="CM78" s="175"/>
      <c r="CN78" s="170"/>
      <c r="CO78" s="157"/>
      <c r="CP78" s="157"/>
      <c r="CQ78" s="157"/>
      <c r="CR78" s="175"/>
      <c r="CS78" s="170"/>
      <c r="CT78" s="157"/>
      <c r="CU78" s="157"/>
      <c r="CV78" s="157"/>
      <c r="CW78" s="678"/>
      <c r="CX78" s="742"/>
      <c r="CY78" s="157"/>
      <c r="CZ78" s="157"/>
      <c r="DA78" s="157"/>
      <c r="DB78" s="861"/>
      <c r="DC78" s="170"/>
      <c r="DD78" s="157"/>
      <c r="DE78" s="157"/>
      <c r="DF78" s="157"/>
      <c r="DG78" s="175"/>
      <c r="DH78" s="170"/>
      <c r="DI78" s="157"/>
      <c r="DJ78" s="157"/>
      <c r="DK78" s="157"/>
      <c r="DL78" s="157"/>
      <c r="DM78" s="170"/>
      <c r="DN78" s="157"/>
      <c r="DO78" s="157"/>
      <c r="DP78" s="157"/>
      <c r="DQ78" s="157"/>
      <c r="DR78" s="170"/>
      <c r="DS78" s="157"/>
      <c r="DT78" s="157"/>
      <c r="DU78" s="157"/>
      <c r="DV78" s="157"/>
      <c r="DW78" s="170"/>
      <c r="DX78" s="157"/>
      <c r="DY78" s="157"/>
      <c r="DZ78" s="157"/>
      <c r="EA78" s="157"/>
      <c r="EB78" s="170"/>
      <c r="ED78" s="418"/>
      <c r="EK78" s="418"/>
    </row>
    <row r="79" spans="1:141" x14ac:dyDescent="0.2">
      <c r="A79" s="16" t="s">
        <v>371</v>
      </c>
      <c r="B79" s="179"/>
      <c r="C79" s="175"/>
      <c r="D79" s="175"/>
      <c r="E79" s="175"/>
      <c r="F79" s="175"/>
      <c r="G79" s="170"/>
      <c r="H79" s="157"/>
      <c r="I79" s="157"/>
      <c r="J79" s="157"/>
      <c r="K79" s="175"/>
      <c r="L79" s="170"/>
      <c r="M79" s="157"/>
      <c r="N79" s="157"/>
      <c r="O79" s="157"/>
      <c r="P79" s="175"/>
      <c r="Q79" s="170"/>
      <c r="R79" s="157"/>
      <c r="S79" s="157"/>
      <c r="T79" s="157"/>
      <c r="U79" s="175"/>
      <c r="V79" s="170"/>
      <c r="W79" s="175"/>
      <c r="X79" s="175"/>
      <c r="Y79" s="175"/>
      <c r="Z79" s="175"/>
      <c r="AA79" s="170"/>
      <c r="AB79" s="157"/>
      <c r="AC79" s="157"/>
      <c r="AD79" s="157"/>
      <c r="AE79" s="175"/>
      <c r="AF79" s="170"/>
      <c r="AG79" s="157"/>
      <c r="AH79" s="157"/>
      <c r="AI79" s="157"/>
      <c r="AJ79" s="175"/>
      <c r="AK79" s="170"/>
      <c r="AL79" s="157"/>
      <c r="AM79" s="157"/>
      <c r="AN79" s="157"/>
      <c r="AO79" s="175"/>
      <c r="AP79" s="170"/>
      <c r="AQ79" s="157"/>
      <c r="AR79" s="157"/>
      <c r="AS79" s="157"/>
      <c r="AT79" s="175"/>
      <c r="AU79" s="170"/>
      <c r="AV79" s="157"/>
      <c r="AW79" s="157"/>
      <c r="AX79" s="157"/>
      <c r="AY79" s="175"/>
      <c r="AZ79" s="170"/>
      <c r="BA79" s="157"/>
      <c r="BB79" s="157"/>
      <c r="BC79" s="157"/>
      <c r="BD79" s="175"/>
      <c r="BE79" s="170"/>
      <c r="BF79" s="157"/>
      <c r="BG79" s="157"/>
      <c r="BH79" s="157"/>
      <c r="BI79" s="175"/>
      <c r="BJ79" s="170"/>
      <c r="BK79" s="157"/>
      <c r="BL79" s="157"/>
      <c r="BM79" s="157"/>
      <c r="BN79" s="175"/>
      <c r="BO79" s="170"/>
      <c r="BP79" s="157"/>
      <c r="BQ79" s="157"/>
      <c r="BR79" s="157"/>
      <c r="BS79" s="175"/>
      <c r="BT79" s="170"/>
      <c r="BU79" s="157"/>
      <c r="BV79" s="157"/>
      <c r="BW79" s="157"/>
      <c r="BX79" s="175"/>
      <c r="BY79" s="170"/>
      <c r="BZ79" s="157"/>
      <c r="CA79" s="157"/>
      <c r="CB79" s="157"/>
      <c r="CC79" s="175"/>
      <c r="CD79" s="170"/>
      <c r="CE79" s="157"/>
      <c r="CF79" s="157"/>
      <c r="CG79" s="157"/>
      <c r="CH79" s="175"/>
      <c r="CI79" s="170"/>
      <c r="CJ79" s="157"/>
      <c r="CK79" s="157"/>
      <c r="CL79" s="157"/>
      <c r="CM79" s="175"/>
      <c r="CN79" s="170"/>
      <c r="CO79" s="157"/>
      <c r="CP79" s="157"/>
      <c r="CQ79" s="157"/>
      <c r="CR79" s="175"/>
      <c r="CS79" s="170"/>
      <c r="CT79" s="157"/>
      <c r="CU79" s="157"/>
      <c r="CV79" s="157"/>
      <c r="CW79" s="678"/>
      <c r="CX79" s="742"/>
      <c r="CY79" s="157"/>
      <c r="CZ79" s="157"/>
      <c r="DA79" s="157"/>
      <c r="DB79" s="861"/>
      <c r="DC79" s="170"/>
      <c r="DD79" s="157"/>
      <c r="DE79" s="157"/>
      <c r="DF79" s="157"/>
      <c r="DG79" s="175"/>
      <c r="DH79" s="170"/>
      <c r="DI79" s="157"/>
      <c r="DJ79" s="157"/>
      <c r="DK79" s="157"/>
      <c r="DL79" s="157"/>
      <c r="DM79" s="170"/>
      <c r="DN79" s="157"/>
      <c r="DO79" s="157"/>
      <c r="DP79" s="157"/>
      <c r="DQ79" s="157"/>
      <c r="DR79" s="170"/>
      <c r="DS79" s="157"/>
      <c r="DT79" s="157"/>
      <c r="DU79" s="157"/>
      <c r="DV79" s="157"/>
      <c r="DW79" s="170"/>
      <c r="DX79" s="157"/>
      <c r="DY79" s="157"/>
      <c r="DZ79" s="157"/>
      <c r="EA79" s="157"/>
      <c r="EB79" s="170"/>
      <c r="ED79" s="418"/>
      <c r="EK79" s="418"/>
    </row>
    <row r="80" spans="1:141" x14ac:dyDescent="0.2">
      <c r="A80" s="24" t="s">
        <v>480</v>
      </c>
      <c r="B80" s="214"/>
      <c r="C80" s="215"/>
      <c r="D80" s="215"/>
      <c r="E80" s="215"/>
      <c r="F80" s="215"/>
      <c r="G80" s="216"/>
      <c r="H80" s="215"/>
      <c r="I80" s="215"/>
      <c r="J80" s="215"/>
      <c r="K80" s="215"/>
      <c r="L80" s="216"/>
      <c r="M80" s="215"/>
      <c r="N80" s="215"/>
      <c r="O80" s="215"/>
      <c r="P80" s="215"/>
      <c r="Q80" s="216"/>
      <c r="R80" s="215"/>
      <c r="S80" s="215"/>
      <c r="T80" s="215"/>
      <c r="U80" s="215"/>
      <c r="V80" s="216"/>
      <c r="W80" s="215"/>
      <c r="X80" s="215"/>
      <c r="Y80" s="215"/>
      <c r="Z80" s="215"/>
      <c r="AA80" s="216"/>
      <c r="AB80" s="215"/>
      <c r="AC80" s="215"/>
      <c r="AD80" s="215"/>
      <c r="AE80" s="215"/>
      <c r="AF80" s="216"/>
      <c r="AG80" s="215"/>
      <c r="AH80" s="215"/>
      <c r="AI80" s="215"/>
      <c r="AJ80" s="215"/>
      <c r="AK80" s="216"/>
      <c r="AL80" s="215"/>
      <c r="AM80" s="215"/>
      <c r="AN80" s="215"/>
      <c r="AO80" s="215"/>
      <c r="AP80" s="216"/>
      <c r="AQ80" s="592">
        <f>IS!AQ17</f>
        <v>1003.526</v>
      </c>
      <c r="AR80" s="592">
        <f>IS!AR17</f>
        <v>954.20600000000002</v>
      </c>
      <c r="AS80" s="592">
        <f>IS!AS17</f>
        <v>1036.7760000000001</v>
      </c>
      <c r="AT80" s="592">
        <f>IS!AT17</f>
        <v>1081.0129999999999</v>
      </c>
      <c r="AU80" s="593"/>
      <c r="AV80" s="592">
        <f>IS!AV17</f>
        <v>1281.1909999999998</v>
      </c>
      <c r="AW80" s="592">
        <f>IS!AW17</f>
        <v>1241.068</v>
      </c>
      <c r="AX80" s="592">
        <f>IS!AX17</f>
        <v>1318.691</v>
      </c>
      <c r="AY80" s="592">
        <f>IS!AY17</f>
        <v>1453.297</v>
      </c>
      <c r="AZ80" s="593"/>
      <c r="BA80" s="592">
        <f>IS!BA17</f>
        <v>1589.5440000000001</v>
      </c>
      <c r="BB80" s="592">
        <f>IS!BB17</f>
        <v>1518.7159999999999</v>
      </c>
      <c r="BC80" s="592">
        <f>IS!BC17</f>
        <v>1601.799</v>
      </c>
      <c r="BD80" s="592">
        <f>IS!BD17</f>
        <v>1659.241</v>
      </c>
      <c r="BE80" s="593"/>
      <c r="BF80" s="592">
        <f>IS!BF17</f>
        <v>1934.0920000000001</v>
      </c>
      <c r="BG80" s="592">
        <f>IS!BG17</f>
        <v>1885.8220000000001</v>
      </c>
      <c r="BH80" s="592">
        <f>IS!BH17</f>
        <v>1963.6730000000002</v>
      </c>
      <c r="BI80" s="592">
        <f>IS!BI17</f>
        <v>2003.355</v>
      </c>
      <c r="BJ80" s="593"/>
      <c r="BK80" s="592">
        <f>IS!BK17</f>
        <v>2355.723</v>
      </c>
      <c r="BL80" s="592">
        <f>IS!BL17</f>
        <v>2255.5940000000001</v>
      </c>
      <c r="BM80" s="592">
        <f>IS!BM17</f>
        <v>2359.2449999999999</v>
      </c>
      <c r="BN80" s="592">
        <f>IS!BN17</f>
        <v>2440.9349999999999</v>
      </c>
      <c r="BO80" s="593"/>
      <c r="BP80" s="592">
        <f>IS!BP17</f>
        <v>2767.6</v>
      </c>
      <c r="BQ80" s="592">
        <f>IS!BQ17</f>
        <v>2526</v>
      </c>
      <c r="BR80" s="592">
        <f>IS!BR17</f>
        <v>2573.8999999999996</v>
      </c>
      <c r="BS80" s="592">
        <f>IS!BS17</f>
        <v>2515.5</v>
      </c>
      <c r="BT80" s="593"/>
      <c r="BU80" s="592">
        <f>IS!BU17</f>
        <v>2615.1999999999998</v>
      </c>
      <c r="BV80" s="592">
        <f>IS!BV17</f>
        <v>2333.3000000000002</v>
      </c>
      <c r="BW80" s="592">
        <f>IS!BW17</f>
        <v>2403.9</v>
      </c>
      <c r="BX80" s="592">
        <f>IS!BX17</f>
        <v>2422.2000000000003</v>
      </c>
      <c r="BY80" s="593"/>
      <c r="BZ80" s="592">
        <f>IS!BZ17</f>
        <v>2722.7000000000003</v>
      </c>
      <c r="CA80" s="592">
        <f>IS!CA17</f>
        <v>2534.7000000000003</v>
      </c>
      <c r="CB80" s="592">
        <f>IS!CB17</f>
        <v>2612</v>
      </c>
      <c r="CC80" s="592">
        <f>IS!CC17</f>
        <v>2838</v>
      </c>
      <c r="CD80" s="593"/>
      <c r="CE80" s="592">
        <f>IS!CE17</f>
        <v>2950.8</v>
      </c>
      <c r="CF80" s="592">
        <f>IS!CF17</f>
        <v>2785.7</v>
      </c>
      <c r="CG80" s="592">
        <f>IS!CG17</f>
        <v>2932.2000000000003</v>
      </c>
      <c r="CH80" s="592">
        <f>IS!CH17</f>
        <v>3031.9</v>
      </c>
      <c r="CI80" s="593"/>
      <c r="CJ80" s="592">
        <f>IS!CJ17</f>
        <v>3430</v>
      </c>
      <c r="CK80" s="592">
        <f>IS!CK17</f>
        <v>3190.2</v>
      </c>
      <c r="CL80" s="592">
        <f>IS!CL17</f>
        <v>3298.2</v>
      </c>
      <c r="CM80" s="592">
        <f>IS!CM17</f>
        <v>3358.5</v>
      </c>
      <c r="CN80" s="593"/>
      <c r="CO80" s="592">
        <f>IS!CO17</f>
        <v>3793.2</v>
      </c>
      <c r="CP80" s="592">
        <f>IS!CP17</f>
        <v>3549.6</v>
      </c>
      <c r="CQ80" s="592">
        <f>IS!CQ17</f>
        <v>3735.3</v>
      </c>
      <c r="CR80" s="592">
        <f>IS!CR17</f>
        <v>3788.8</v>
      </c>
      <c r="CS80" s="593"/>
      <c r="CT80" s="592">
        <f>IS!CT17</f>
        <v>4239.6000000000004</v>
      </c>
      <c r="CU80" s="592">
        <f>IS!CU17</f>
        <v>3873.8</v>
      </c>
      <c r="CV80" s="592">
        <f>IS!CV17</f>
        <v>4153.7</v>
      </c>
      <c r="CW80" s="700">
        <f>IS!CW17</f>
        <v>4180.8</v>
      </c>
      <c r="CX80" s="759"/>
      <c r="CY80" s="592">
        <f>IS!CY17</f>
        <v>4803.2000000000007</v>
      </c>
      <c r="CZ80" s="592">
        <f>IS!CZ17</f>
        <v>4563.5</v>
      </c>
      <c r="DA80" s="592">
        <f>IS!DA17</f>
        <v>4881.2</v>
      </c>
      <c r="DB80" s="881">
        <f>IS!DB17</f>
        <v>4914.7999999999993</v>
      </c>
      <c r="DC80" s="593"/>
      <c r="DD80" s="599">
        <f>IS!DD17</f>
        <v>5373.5</v>
      </c>
      <c r="DE80" s="592">
        <f>IS!DE17</f>
        <v>4993.2</v>
      </c>
      <c r="DF80" s="592">
        <f>IS!DF17</f>
        <v>5238</v>
      </c>
      <c r="DG80" s="592">
        <f>IS!DG17</f>
        <v>5711.2000000000007</v>
      </c>
      <c r="DH80" s="593"/>
      <c r="DI80" s="592">
        <f>IS!DI17</f>
        <v>5732.9</v>
      </c>
      <c r="DJ80" s="592">
        <f>IS!DJ17</f>
        <v>5294</v>
      </c>
      <c r="DK80" s="592">
        <f>IS!DK17</f>
        <v>5661.5</v>
      </c>
      <c r="DL80" s="592">
        <f>IS!DL17</f>
        <v>5698.3</v>
      </c>
      <c r="DM80" s="593"/>
      <c r="DN80" s="592">
        <f>IS!DN17</f>
        <v>6073.7000000000007</v>
      </c>
      <c r="DO80" s="592">
        <f>IS!DO17</f>
        <v>5950.8379534492733</v>
      </c>
      <c r="DP80" s="592">
        <f>IS!DP17</f>
        <v>6333.681905778787</v>
      </c>
      <c r="DQ80" s="592">
        <f>IS!DQ17</f>
        <v>6407.487273774278</v>
      </c>
      <c r="DR80" s="593"/>
      <c r="DS80" s="592">
        <f>IS!DS17</f>
        <v>6736.1255539507647</v>
      </c>
      <c r="DT80" s="592">
        <f>IS!DT17</f>
        <v>6515.4628815496853</v>
      </c>
      <c r="DU80" s="592">
        <f>IS!DU17</f>
        <v>6945.0099339630224</v>
      </c>
      <c r="DV80" s="592">
        <f>IS!DV17</f>
        <v>7028.019009472976</v>
      </c>
      <c r="DW80" s="593"/>
      <c r="DX80" s="592">
        <f>IS!DX17</f>
        <v>7373.2950622630306</v>
      </c>
      <c r="DY80" s="592">
        <f>IS!DY17</f>
        <v>7137.4928803919265</v>
      </c>
      <c r="DZ80" s="592">
        <f>IS!DZ17</f>
        <v>7602.8679542143427</v>
      </c>
      <c r="EA80" s="592">
        <f>IS!EA17</f>
        <v>7685.9653073156687</v>
      </c>
      <c r="EB80" s="593"/>
      <c r="ED80" s="418"/>
      <c r="EK80" s="418"/>
    </row>
    <row r="81" spans="1:141" x14ac:dyDescent="0.2">
      <c r="A81" s="27" t="s">
        <v>479</v>
      </c>
      <c r="B81" s="179"/>
      <c r="C81" s="175"/>
      <c r="D81" s="175"/>
      <c r="E81" s="175"/>
      <c r="F81" s="175"/>
      <c r="G81" s="170"/>
      <c r="H81" s="175"/>
      <c r="I81" s="175"/>
      <c r="J81" s="175"/>
      <c r="K81" s="175"/>
      <c r="L81" s="170"/>
      <c r="M81" s="175"/>
      <c r="N81" s="175"/>
      <c r="O81" s="175"/>
      <c r="P81" s="175"/>
      <c r="Q81" s="170"/>
      <c r="R81" s="175"/>
      <c r="S81" s="175"/>
      <c r="T81" s="175"/>
      <c r="U81" s="175"/>
      <c r="V81" s="170"/>
      <c r="W81" s="175"/>
      <c r="X81" s="175"/>
      <c r="Y81" s="175"/>
      <c r="Z81" s="175"/>
      <c r="AA81" s="170"/>
      <c r="AB81" s="175"/>
      <c r="AC81" s="175"/>
      <c r="AD81" s="175"/>
      <c r="AE81" s="175"/>
      <c r="AF81" s="170"/>
      <c r="AG81" s="175"/>
      <c r="AH81" s="175"/>
      <c r="AI81" s="175"/>
      <c r="AJ81" s="175"/>
      <c r="AK81" s="170"/>
      <c r="AL81" s="175"/>
      <c r="AM81" s="175"/>
      <c r="AN81" s="175"/>
      <c r="AO81" s="175"/>
      <c r="AP81" s="170"/>
      <c r="AQ81" s="219">
        <f>(IS!AQ21)</f>
        <v>419.161</v>
      </c>
      <c r="AR81" s="219">
        <f>(IS!AR21)</f>
        <v>392.09800000000001</v>
      </c>
      <c r="AS81" s="219">
        <f>(IS!AS21)</f>
        <v>425.709</v>
      </c>
      <c r="AT81" s="219">
        <f>(IS!AT21)</f>
        <v>448.96</v>
      </c>
      <c r="AU81" s="128"/>
      <c r="AV81" s="219">
        <f>(IS!AV21)</f>
        <v>528.70899999999995</v>
      </c>
      <c r="AW81" s="219">
        <f>(IS!AW21)</f>
        <v>508.26799999999997</v>
      </c>
      <c r="AX81" s="219">
        <f>(IS!AX21)</f>
        <v>540.17499999999995</v>
      </c>
      <c r="AY81" s="219">
        <f>(IS!AY21)</f>
        <v>614.28800000000001</v>
      </c>
      <c r="AZ81" s="128"/>
      <c r="BA81" s="219">
        <f>(IS!BA21)</f>
        <v>647.755</v>
      </c>
      <c r="BB81" s="219">
        <f>(IS!BB21)</f>
        <v>628.74</v>
      </c>
      <c r="BC81" s="219">
        <f>(IS!BC21)</f>
        <v>649.83100000000002</v>
      </c>
      <c r="BD81" s="219">
        <f>(IS!BD21)</f>
        <v>678.88599999999997</v>
      </c>
      <c r="BE81" s="128"/>
      <c r="BF81" s="219">
        <f>(IS!BF21)</f>
        <v>778.03800000000001</v>
      </c>
      <c r="BG81" s="219">
        <f>(IS!BG21)</f>
        <v>760.87300000000005</v>
      </c>
      <c r="BH81" s="219">
        <f>(IS!BH21)</f>
        <v>804.88900000000001</v>
      </c>
      <c r="BI81" s="219">
        <f>(IS!BI21)</f>
        <v>834.99099999999999</v>
      </c>
      <c r="BJ81" s="128"/>
      <c r="BK81" s="219">
        <f>(IS!BK21)</f>
        <v>984.82299999999998</v>
      </c>
      <c r="BL81" s="219">
        <f>(IS!BL21)</f>
        <v>944.74599999999998</v>
      </c>
      <c r="BM81" s="219">
        <f>(IS!BM21)</f>
        <v>1003.881</v>
      </c>
      <c r="BN81" s="219">
        <f>(IS!BN21)</f>
        <v>1065.674</v>
      </c>
      <c r="BO81" s="128"/>
      <c r="BP81" s="219">
        <f>(IS!BP21)</f>
        <v>1186</v>
      </c>
      <c r="BQ81" s="219">
        <f>(IS!BQ21)</f>
        <v>1106.7</v>
      </c>
      <c r="BR81" s="219">
        <f>(IS!BR21)</f>
        <v>1163.0999999999999</v>
      </c>
      <c r="BS81" s="219">
        <f>(IS!BS21)</f>
        <v>1189.5</v>
      </c>
      <c r="BT81" s="128"/>
      <c r="BU81" s="219">
        <f>(IS!BU21)</f>
        <v>1196.8</v>
      </c>
      <c r="BV81" s="219">
        <f>(IS!BV21)</f>
        <v>1043.5</v>
      </c>
      <c r="BW81" s="219">
        <f>(IS!BW21)</f>
        <v>1043.4000000000001</v>
      </c>
      <c r="BX81" s="219">
        <f>(IS!BX21)</f>
        <v>1041.2</v>
      </c>
      <c r="BY81" s="128"/>
      <c r="BZ81" s="219">
        <f>(IS!BZ21)</f>
        <v>1145.7</v>
      </c>
      <c r="CA81" s="219">
        <f>(IS!CA21)</f>
        <v>1064.0999999999999</v>
      </c>
      <c r="CB81" s="219">
        <f>(IS!CB21)</f>
        <v>1076.2</v>
      </c>
      <c r="CC81" s="219">
        <f>(IS!CC21)</f>
        <v>1172.5999999999999</v>
      </c>
      <c r="CD81" s="128"/>
      <c r="CE81" s="219">
        <f>(IS!CE21)</f>
        <v>1192.3</v>
      </c>
      <c r="CF81" s="219">
        <f>(IS!CF21)</f>
        <v>1171.2</v>
      </c>
      <c r="CG81" s="219">
        <f>(IS!CG21)</f>
        <v>1237.5</v>
      </c>
      <c r="CH81" s="219">
        <f>(IS!CH21)</f>
        <v>1314.5</v>
      </c>
      <c r="CI81" s="128"/>
      <c r="CJ81" s="219">
        <f>(IS!CJ21)</f>
        <v>1496.1</v>
      </c>
      <c r="CK81" s="219">
        <f>(IS!CK21)</f>
        <v>1411.9</v>
      </c>
      <c r="CL81" s="219">
        <f>(IS!CL21)</f>
        <v>1446.1</v>
      </c>
      <c r="CM81" s="219">
        <f>(IS!CM21)</f>
        <v>1459.2</v>
      </c>
      <c r="CN81" s="128"/>
      <c r="CO81" s="219">
        <f>(IS!CO21)</f>
        <v>1620.7</v>
      </c>
      <c r="CP81" s="219">
        <f>(IS!CP21)</f>
        <v>1530.4</v>
      </c>
      <c r="CQ81" s="219">
        <f>(IS!CQ21)</f>
        <v>1597.6</v>
      </c>
      <c r="CR81" s="219">
        <f>(IS!CR21)</f>
        <v>1633.7</v>
      </c>
      <c r="CS81" s="128"/>
      <c r="CT81" s="219">
        <f>(IS!CT21)</f>
        <v>1795.1</v>
      </c>
      <c r="CU81" s="219">
        <f>(IS!CU21)</f>
        <v>1629.2</v>
      </c>
      <c r="CV81" s="219">
        <f>(IS!CV21)</f>
        <v>1711.5</v>
      </c>
      <c r="CW81" s="698">
        <f>(IS!CW21)</f>
        <v>1723.2</v>
      </c>
      <c r="CX81" s="718"/>
      <c r="CY81" s="219">
        <f>(IS!CY21)</f>
        <v>1991.2</v>
      </c>
      <c r="CZ81" s="219">
        <f>(IS!CZ21)</f>
        <v>1859.8</v>
      </c>
      <c r="DA81" s="219">
        <f>(IS!DA21)</f>
        <v>1953.9</v>
      </c>
      <c r="DB81" s="879">
        <f>(IS!DB21)</f>
        <v>1982.6</v>
      </c>
      <c r="DC81" s="128"/>
      <c r="DD81" s="365">
        <f>(IS!DD21)</f>
        <v>2186.1999999999998</v>
      </c>
      <c r="DE81" s="219">
        <f>(IS!DE21)</f>
        <v>2010.3</v>
      </c>
      <c r="DF81" s="219">
        <f>(IS!DF21)</f>
        <v>2060.3000000000002</v>
      </c>
      <c r="DG81" s="219">
        <f>(IS!DG21)</f>
        <v>2254.1999999999998</v>
      </c>
      <c r="DH81" s="128"/>
      <c r="DI81" s="219">
        <f>(IS!DI21)</f>
        <v>2295</v>
      </c>
      <c r="DJ81" s="219">
        <f>(IS!DJ21)</f>
        <v>2141.1999999999998</v>
      </c>
      <c r="DK81" s="219">
        <f>(IS!DK21)</f>
        <v>2249.1</v>
      </c>
      <c r="DL81" s="219">
        <f>(IS!DL21)</f>
        <v>2352.9</v>
      </c>
      <c r="DM81" s="128"/>
      <c r="DN81" s="219">
        <f>(IS!DN21)</f>
        <v>2502.9</v>
      </c>
      <c r="DO81" s="219">
        <f>(IS!DO21)</f>
        <v>2454.3138610833012</v>
      </c>
      <c r="DP81" s="219">
        <f>(IS!DP21)</f>
        <v>2561.7893476062841</v>
      </c>
      <c r="DQ81" s="219">
        <f>(IS!DQ21)</f>
        <v>2607.647474254708</v>
      </c>
      <c r="DR81" s="128"/>
      <c r="DS81" s="219">
        <f>(IS!DS21)</f>
        <v>2747.1685468481328</v>
      </c>
      <c r="DT81" s="219">
        <f>(IS!DT21)</f>
        <v>2649.7999241654211</v>
      </c>
      <c r="DU81" s="219">
        <f>(IS!DU21)</f>
        <v>2771.8858685141072</v>
      </c>
      <c r="DV81" s="219">
        <f>(IS!DV21)</f>
        <v>2826.040541388621</v>
      </c>
      <c r="DW81" s="128"/>
      <c r="DX81" s="219">
        <f>(IS!DX21)</f>
        <v>2981.4778558825856</v>
      </c>
      <c r="DY81" s="219">
        <f>(IS!DY21)</f>
        <v>2878.0754059594551</v>
      </c>
      <c r="DZ81" s="219">
        <f>(IS!DZ21)</f>
        <v>3008.3821702234895</v>
      </c>
      <c r="EA81" s="219">
        <f>(IS!EA21)</f>
        <v>3064.8762531044163</v>
      </c>
      <c r="EB81" s="128"/>
      <c r="ED81" s="418"/>
      <c r="EK81" s="418"/>
    </row>
    <row r="82" spans="1:141" x14ac:dyDescent="0.2">
      <c r="A82" s="27" t="s">
        <v>478</v>
      </c>
      <c r="B82" s="179"/>
      <c r="C82" s="175"/>
      <c r="D82" s="175"/>
      <c r="E82" s="175"/>
      <c r="F82" s="175"/>
      <c r="G82" s="170"/>
      <c r="H82" s="175"/>
      <c r="I82" s="175"/>
      <c r="J82" s="175"/>
      <c r="K82" s="175"/>
      <c r="L82" s="170"/>
      <c r="M82" s="175"/>
      <c r="N82" s="175"/>
      <c r="O82" s="175"/>
      <c r="P82" s="175"/>
      <c r="Q82" s="170"/>
      <c r="R82" s="175"/>
      <c r="S82" s="175"/>
      <c r="T82" s="175"/>
      <c r="U82" s="175"/>
      <c r="V82" s="170"/>
      <c r="W82" s="175"/>
      <c r="X82" s="175"/>
      <c r="Y82" s="175"/>
      <c r="Z82" s="175"/>
      <c r="AA82" s="170"/>
      <c r="AB82" s="175"/>
      <c r="AC82" s="175"/>
      <c r="AD82" s="175"/>
      <c r="AE82" s="175"/>
      <c r="AF82" s="170"/>
      <c r="AG82" s="175"/>
      <c r="AH82" s="175"/>
      <c r="AI82" s="175"/>
      <c r="AJ82" s="175"/>
      <c r="AK82" s="170"/>
      <c r="AL82" s="175"/>
      <c r="AM82" s="175"/>
      <c r="AN82" s="175"/>
      <c r="AO82" s="175"/>
      <c r="AP82" s="170"/>
      <c r="AQ82" s="219">
        <f>IS!AQ25</f>
        <v>60.942999999999998</v>
      </c>
      <c r="AR82" s="219">
        <f>IS!AR25</f>
        <v>59.552</v>
      </c>
      <c r="AS82" s="219">
        <f>IS!AS25</f>
        <v>49.325000000000003</v>
      </c>
      <c r="AT82" s="219">
        <f>IS!AT25</f>
        <v>57.070999999999998</v>
      </c>
      <c r="AU82" s="128"/>
      <c r="AV82" s="219">
        <f>IS!AV25</f>
        <v>70.417000000000002</v>
      </c>
      <c r="AW82" s="219">
        <f>IS!AW25</f>
        <v>79.981999999999999</v>
      </c>
      <c r="AX82" s="219">
        <f>IS!AX25</f>
        <v>73.356999999999999</v>
      </c>
      <c r="AY82" s="219">
        <f>IS!AY25</f>
        <v>80.537000000000006</v>
      </c>
      <c r="AZ82" s="128"/>
      <c r="BA82" s="219">
        <f>IS!BA25</f>
        <v>83.599000000000004</v>
      </c>
      <c r="BB82" s="219">
        <f>IS!BB25</f>
        <v>81.929000000000002</v>
      </c>
      <c r="BC82" s="219">
        <f>IS!BC25</f>
        <v>90.637</v>
      </c>
      <c r="BD82" s="219">
        <f>IS!BD25</f>
        <v>100.949</v>
      </c>
      <c r="BE82" s="128"/>
      <c r="BF82" s="219">
        <f>IS!BF25</f>
        <v>123.325</v>
      </c>
      <c r="BG82" s="219">
        <f>IS!BG25</f>
        <v>119.611</v>
      </c>
      <c r="BH82" s="219">
        <f>IS!BH25</f>
        <v>115.258</v>
      </c>
      <c r="BI82" s="219">
        <f>IS!BI25</f>
        <v>114.82899999999999</v>
      </c>
      <c r="BJ82" s="128"/>
      <c r="BK82" s="219">
        <f>IS!BK25</f>
        <v>115.22799999999999</v>
      </c>
      <c r="BL82" s="219">
        <f>IS!BL25</f>
        <v>126.104</v>
      </c>
      <c r="BM82" s="219">
        <f>IS!BM25</f>
        <v>119.52500000000001</v>
      </c>
      <c r="BN82" s="219">
        <f>IS!BN25</f>
        <v>123.312</v>
      </c>
      <c r="BO82" s="128"/>
      <c r="BP82" s="219">
        <f>IS!BP25</f>
        <v>125.9</v>
      </c>
      <c r="BQ82" s="219">
        <f>IS!BQ25</f>
        <v>117.6</v>
      </c>
      <c r="BR82" s="219">
        <f>IS!BR25</f>
        <v>116.1</v>
      </c>
      <c r="BS82" s="219">
        <f>IS!BS25</f>
        <v>96.4</v>
      </c>
      <c r="BT82" s="128"/>
      <c r="BU82" s="219">
        <f>IS!BU25</f>
        <v>105.2</v>
      </c>
      <c r="BV82" s="219">
        <f>IS!BV25</f>
        <v>104.3</v>
      </c>
      <c r="BW82" s="219">
        <f>IS!BW25</f>
        <v>110.3</v>
      </c>
      <c r="BX82" s="219">
        <f>IS!BX25</f>
        <v>133.19999999999999</v>
      </c>
      <c r="BY82" s="128"/>
      <c r="BZ82" s="219">
        <f>IS!BZ25</f>
        <v>136.9</v>
      </c>
      <c r="CA82" s="219">
        <f>IS!CA25</f>
        <v>139</v>
      </c>
      <c r="CB82" s="219">
        <f>IS!CB25</f>
        <v>132.69999999999999</v>
      </c>
      <c r="CC82" s="219">
        <f>IS!CC25</f>
        <v>160.9</v>
      </c>
      <c r="CD82" s="128"/>
      <c r="CE82" s="219">
        <f>IS!CE25</f>
        <v>185.2</v>
      </c>
      <c r="CF82" s="219">
        <f>IS!CF25</f>
        <v>181.6</v>
      </c>
      <c r="CG82" s="219">
        <f>IS!CG25</f>
        <v>190.2</v>
      </c>
      <c r="CH82" s="219">
        <f>IS!CH25</f>
        <v>192.3</v>
      </c>
      <c r="CI82" s="128"/>
      <c r="CJ82" s="219">
        <f>IS!CJ25</f>
        <v>191.5</v>
      </c>
      <c r="CK82" s="219">
        <f>IS!CK25</f>
        <v>206.9</v>
      </c>
      <c r="CL82" s="219">
        <f>IS!CL25</f>
        <v>199</v>
      </c>
      <c r="CM82" s="219">
        <f>IS!CM25</f>
        <v>203.8</v>
      </c>
      <c r="CN82" s="128"/>
      <c r="CO82" s="219">
        <f>IS!CO25</f>
        <v>231.9</v>
      </c>
      <c r="CP82" s="219">
        <f>IS!CP25</f>
        <v>230.3</v>
      </c>
      <c r="CQ82" s="219">
        <f>IS!CQ25</f>
        <v>249.6</v>
      </c>
      <c r="CR82" s="219">
        <f>IS!CR25</f>
        <v>226.1</v>
      </c>
      <c r="CS82" s="128"/>
      <c r="CT82" s="219">
        <f>IS!CT25</f>
        <v>242.6</v>
      </c>
      <c r="CU82" s="219">
        <f>IS!CU25</f>
        <v>240.6</v>
      </c>
      <c r="CV82" s="219">
        <f>IS!CV25</f>
        <v>269.39999999999998</v>
      </c>
      <c r="CW82" s="698">
        <f>IS!CW25</f>
        <v>238.6</v>
      </c>
      <c r="CX82" s="718"/>
      <c r="CY82" s="219">
        <f>IS!CY25</f>
        <v>298.39999999999998</v>
      </c>
      <c r="CZ82" s="219">
        <f>IS!CZ25</f>
        <v>305.89999999999998</v>
      </c>
      <c r="DA82" s="219">
        <f>IS!DA25</f>
        <v>288.5</v>
      </c>
      <c r="DB82" s="879">
        <f>IS!DB25</f>
        <v>303.89999999999998</v>
      </c>
      <c r="DC82" s="128"/>
      <c r="DD82" s="365">
        <f>IS!DD25</f>
        <v>305.5</v>
      </c>
      <c r="DE82" s="219">
        <f>IS!DE25</f>
        <v>330.5</v>
      </c>
      <c r="DF82" s="219">
        <f>IS!DF25</f>
        <v>323.39999999999998</v>
      </c>
      <c r="DG82" s="219">
        <f>IS!DG25</f>
        <v>401.2</v>
      </c>
      <c r="DH82" s="128"/>
      <c r="DI82" s="219">
        <f>IS!DI25</f>
        <v>356.4</v>
      </c>
      <c r="DJ82" s="219">
        <f>IS!DJ25</f>
        <v>326.8</v>
      </c>
      <c r="DK82" s="219">
        <f>IS!DK25</f>
        <v>325</v>
      </c>
      <c r="DL82" s="219">
        <f>IS!DL25</f>
        <v>385.2</v>
      </c>
      <c r="DM82" s="128"/>
      <c r="DN82" s="219">
        <f>IS!DN25</f>
        <v>379.1</v>
      </c>
      <c r="DO82" s="219">
        <f>IS!DO25</f>
        <v>339.38956908101943</v>
      </c>
      <c r="DP82" s="219">
        <f>IS!DP25</f>
        <v>359.16032186527104</v>
      </c>
      <c r="DQ82" s="219">
        <f>IS!DQ25</f>
        <v>360.94249893974506</v>
      </c>
      <c r="DR82" s="128"/>
      <c r="DS82" s="219">
        <f>IS!DS25</f>
        <v>429.27432340835935</v>
      </c>
      <c r="DT82" s="219">
        <f>IS!DT25</f>
        <v>380.66902321754117</v>
      </c>
      <c r="DU82" s="219">
        <f>IS!DU25</f>
        <v>403.33092644495457</v>
      </c>
      <c r="DV82" s="219">
        <f>IS!DV25</f>
        <v>404.83433200678064</v>
      </c>
      <c r="DW82" s="128"/>
      <c r="DX82" s="219">
        <f>IS!DX25</f>
        <v>477.9539416642998</v>
      </c>
      <c r="DY82" s="219">
        <f>IS!DY25</f>
        <v>424.11722469038551</v>
      </c>
      <c r="DZ82" s="219">
        <f>IS!DZ25</f>
        <v>449.24172902278963</v>
      </c>
      <c r="EA82" s="219">
        <f>IS!EA25</f>
        <v>450.15661245065439</v>
      </c>
      <c r="EB82" s="128"/>
      <c r="ED82" s="418"/>
      <c r="EK82" s="418"/>
    </row>
    <row r="83" spans="1:141" x14ac:dyDescent="0.2">
      <c r="A83" s="27" t="s">
        <v>214</v>
      </c>
      <c r="B83" s="179"/>
      <c r="C83" s="175"/>
      <c r="D83" s="175"/>
      <c r="E83" s="175"/>
      <c r="F83" s="175"/>
      <c r="G83" s="170"/>
      <c r="H83" s="175"/>
      <c r="I83" s="175"/>
      <c r="J83" s="175"/>
      <c r="K83" s="175"/>
      <c r="L83" s="170"/>
      <c r="M83" s="175"/>
      <c r="N83" s="175"/>
      <c r="O83" s="175"/>
      <c r="P83" s="175"/>
      <c r="Q83" s="170"/>
      <c r="R83" s="175"/>
      <c r="S83" s="175"/>
      <c r="T83" s="175"/>
      <c r="U83" s="175"/>
      <c r="V83" s="170"/>
      <c r="W83" s="175"/>
      <c r="X83" s="175"/>
      <c r="Y83" s="175"/>
      <c r="Z83" s="175"/>
      <c r="AA83" s="170"/>
      <c r="AB83" s="175"/>
      <c r="AC83" s="175"/>
      <c r="AD83" s="175"/>
      <c r="AE83" s="175"/>
      <c r="AF83" s="170"/>
      <c r="AG83" s="175"/>
      <c r="AH83" s="175"/>
      <c r="AI83" s="175"/>
      <c r="AJ83" s="175"/>
      <c r="AK83" s="170"/>
      <c r="AL83" s="175"/>
      <c r="AM83" s="175"/>
      <c r="AN83" s="175"/>
      <c r="AO83" s="175"/>
      <c r="AP83" s="170"/>
      <c r="AQ83" s="219">
        <f>SUM(IS!AQ21:AQ27)</f>
        <v>895.89299999999992</v>
      </c>
      <c r="AR83" s="219">
        <f>SUM(IS!AR21:AR27)</f>
        <v>881.85799999999995</v>
      </c>
      <c r="AS83" s="219">
        <f>SUM(IS!AS21:AS27)</f>
        <v>946.40010000000007</v>
      </c>
      <c r="AT83" s="219">
        <f>SUM(IS!AT21:AT27)</f>
        <v>1003.45</v>
      </c>
      <c r="AU83" s="128"/>
      <c r="AV83" s="219">
        <f>SUM(IS!AV21:AV27)</f>
        <v>1126.6179999999999</v>
      </c>
      <c r="AW83" s="219">
        <f>SUM(IS!AW21:AW27)</f>
        <v>1141.1969999999999</v>
      </c>
      <c r="AX83" s="219">
        <f>SUM(IS!AX21:AX27)</f>
        <v>1191.8689999999999</v>
      </c>
      <c r="AY83" s="219">
        <f>SUM(IS!AY21:AY27)</f>
        <v>1346.3480000000002</v>
      </c>
      <c r="AZ83" s="128"/>
      <c r="BA83" s="219">
        <f>SUM(IS!BA21:BA27)</f>
        <v>1388.0469999999998</v>
      </c>
      <c r="BB83" s="219">
        <f>SUM(IS!BB21:BB27)</f>
        <v>1394.0260000000001</v>
      </c>
      <c r="BC83" s="219">
        <f>SUM(IS!BC21:BC27)</f>
        <v>1438.377</v>
      </c>
      <c r="BD83" s="219">
        <f>SUM(IS!BD21:BD27)</f>
        <v>1521.664</v>
      </c>
      <c r="BE83" s="128"/>
      <c r="BF83" s="219">
        <f>SUM(IS!BF21:BF27)</f>
        <v>1693.7190000000001</v>
      </c>
      <c r="BG83" s="219">
        <f>SUM(IS!BG21:BG27)</f>
        <v>1723.8980000000001</v>
      </c>
      <c r="BH83" s="219">
        <f>SUM(IS!BH21:BH27)</f>
        <v>1800.432</v>
      </c>
      <c r="BI83" s="219">
        <f>SUM(IS!BI21:BI27)</f>
        <v>1862.8489999999999</v>
      </c>
      <c r="BJ83" s="128"/>
      <c r="BK83" s="219">
        <f>SUM(IS!BK21:BK27)</f>
        <v>2073.5050000000001</v>
      </c>
      <c r="BL83" s="219">
        <f>SUM(IS!BL21:BL27)</f>
        <v>2067.1420000000003</v>
      </c>
      <c r="BM83" s="219">
        <f>SUM(IS!BM21:BM27)</f>
        <v>2163.0370000000003</v>
      </c>
      <c r="BN83" s="219">
        <f>SUM(IS!BN21:BN27)</f>
        <v>2269.8799999999997</v>
      </c>
      <c r="BO83" s="128"/>
      <c r="BP83" s="219">
        <f>SUM(IS!BP21:BP27)</f>
        <v>2481.6999999999998</v>
      </c>
      <c r="BQ83" s="219">
        <f>SUM(IS!BQ21:BQ27)</f>
        <v>2396.84</v>
      </c>
      <c r="BR83" s="219">
        <f>SUM(IS!BR21:BR27)</f>
        <v>2653.5999999999995</v>
      </c>
      <c r="BS83" s="219">
        <f>SUM(IS!BS21:BS27)</f>
        <v>2574.1999999999998</v>
      </c>
      <c r="BT83" s="128"/>
      <c r="BU83" s="219">
        <f>SUM(IS!BU21:BU27)</f>
        <v>2544.5</v>
      </c>
      <c r="BV83" s="219">
        <f>SUM(IS!BV21:BV27)</f>
        <v>2342.7999999999997</v>
      </c>
      <c r="BW83" s="219">
        <f>SUM(IS!BW21:BW27)</f>
        <v>2259.3000000000002</v>
      </c>
      <c r="BX83" s="219">
        <f>SUM(IS!BX21:BX27)</f>
        <v>2309.7999999999997</v>
      </c>
      <c r="BY83" s="128"/>
      <c r="BZ83" s="219">
        <f>SUM(IS!BZ21:BZ27)</f>
        <v>2428.9000000000005</v>
      </c>
      <c r="CA83" s="219">
        <f>SUM(IS!CA21:CA27)</f>
        <v>2263.6999999999998</v>
      </c>
      <c r="CB83" s="219">
        <f>SUM(IS!CB21:CB27)</f>
        <v>2356.9</v>
      </c>
      <c r="CC83" s="219">
        <f>SUM(IS!CC21:CC27)</f>
        <v>2534.7000000000003</v>
      </c>
      <c r="CD83" s="128"/>
      <c r="CE83" s="219">
        <f>SUM(IS!CE21:CE27)</f>
        <v>2517.9</v>
      </c>
      <c r="CF83" s="219">
        <f>SUM(IS!CF21:CF27)</f>
        <v>2486.2000000000003</v>
      </c>
      <c r="CG83" s="219">
        <f>SUM(IS!CG21:CG27)</f>
        <v>2618.6</v>
      </c>
      <c r="CH83" s="219">
        <f>SUM(IS!CH21:CH27)</f>
        <v>2697</v>
      </c>
      <c r="CI83" s="128"/>
      <c r="CJ83" s="219">
        <f>SUM(IS!CJ21:CJ27)</f>
        <v>2963.8000000000006</v>
      </c>
      <c r="CK83" s="219">
        <f>SUM(IS!CK21:CK27)</f>
        <v>2864.2</v>
      </c>
      <c r="CL83" s="219">
        <f>SUM(IS!CL21:CL27)</f>
        <v>2909.9999999999995</v>
      </c>
      <c r="CM83" s="219">
        <f>SUM(IS!CM21:CM27)</f>
        <v>2962.7</v>
      </c>
      <c r="CN83" s="128"/>
      <c r="CO83" s="219">
        <f>SUM(IS!CO21:CO27)</f>
        <v>3271.6</v>
      </c>
      <c r="CP83" s="219">
        <f>SUM(IS!CP21:CP27)</f>
        <v>3110.5000000000005</v>
      </c>
      <c r="CQ83" s="219">
        <f>SUM(IS!CQ21:CQ27)</f>
        <v>3246.9</v>
      </c>
      <c r="CR83" s="219">
        <f>SUM(IS!CR21:CR27)</f>
        <v>6066</v>
      </c>
      <c r="CS83" s="128"/>
      <c r="CT83" s="219">
        <f>SUM(IS!CT21:CT27)</f>
        <v>3528.2999999999997</v>
      </c>
      <c r="CU83" s="219">
        <f>SUM(IS!CU21:CU27)</f>
        <v>3349.5</v>
      </c>
      <c r="CV83" s="219">
        <f>SUM(IS!CV21:CV27)</f>
        <v>3531</v>
      </c>
      <c r="CW83" s="698">
        <f>SUM(IS!CW21:CW27)</f>
        <v>3494.7000000000003</v>
      </c>
      <c r="CX83" s="718"/>
      <c r="CY83" s="219">
        <f>SUM(IS!CY21:CY27)</f>
        <v>3993.3</v>
      </c>
      <c r="CZ83" s="219">
        <f>SUM(IS!CZ21:CZ27)</f>
        <v>3895.7999999999997</v>
      </c>
      <c r="DA83" s="219">
        <f>SUM(IS!DA21:DA27)</f>
        <v>4063.2000000000003</v>
      </c>
      <c r="DB83" s="879">
        <f>SUM(IS!DB21:DB27)</f>
        <v>4109.2</v>
      </c>
      <c r="DC83" s="128"/>
      <c r="DD83" s="365">
        <f>SUM(IS!DD21:DD27)</f>
        <v>4443.7</v>
      </c>
      <c r="DE83" s="219">
        <f>SUM(IS!DE21:DE27)</f>
        <v>4260.2000000000007</v>
      </c>
      <c r="DF83" s="219">
        <f>SUM(IS!DF21:DF27)</f>
        <v>4380.7</v>
      </c>
      <c r="DG83" s="219">
        <f>SUM(IS!DG21:DG27)</f>
        <v>4695.7</v>
      </c>
      <c r="DH83" s="128"/>
      <c r="DI83" s="219">
        <f>SUM(IS!DI21:DI27)</f>
        <v>4769.0999999999995</v>
      </c>
      <c r="DJ83" s="219">
        <f>SUM(IS!DJ21:DJ27)</f>
        <v>4526.8</v>
      </c>
      <c r="DK83" s="219">
        <f>SUM(IS!DK21:DK27)</f>
        <v>4819.3</v>
      </c>
      <c r="DL83" s="219">
        <f>SUM(IS!DL21:DL27)</f>
        <v>4919.5999999999995</v>
      </c>
      <c r="DM83" s="128"/>
      <c r="DN83" s="219">
        <f>SUM(IS!DN21:DN27)</f>
        <v>5136.4000000000005</v>
      </c>
      <c r="DO83" s="219">
        <f>SUM(IS!DO21:DO27)</f>
        <v>5103.8124050301576</v>
      </c>
      <c r="DP83" s="219">
        <f>SUM(IS!DP21:DP27)</f>
        <v>5298.2936277494337</v>
      </c>
      <c r="DQ83" s="219">
        <f>SUM(IS!DQ21:DQ27)</f>
        <v>5383.7826780261057</v>
      </c>
      <c r="DR83" s="128"/>
      <c r="DS83" s="219">
        <f>SUM(IS!DS21:DS27)</f>
        <v>5642.4581440884458</v>
      </c>
      <c r="DT83" s="219">
        <f>SUM(IS!DT21:DT27)</f>
        <v>5528.1380992583317</v>
      </c>
      <c r="DU83" s="219">
        <f>SUM(IS!DU21:DU27)</f>
        <v>5759.4286371485523</v>
      </c>
      <c r="DV83" s="219">
        <f>SUM(IS!DV21:DV27)</f>
        <v>5855.8945568248164</v>
      </c>
      <c r="DW83" s="128"/>
      <c r="DX83" s="219">
        <f>SUM(IS!DX21:DX27)</f>
        <v>6144.197234578708</v>
      </c>
      <c r="DY83" s="219">
        <f>SUM(IS!DY21:DY27)</f>
        <v>6016.9028277091165</v>
      </c>
      <c r="DZ83" s="219">
        <f>SUM(IS!DZ21:DZ27)</f>
        <v>6263.6474774598246</v>
      </c>
      <c r="EA83" s="219">
        <f>SUM(IS!EA21:EA27)</f>
        <v>6363.9750367166707</v>
      </c>
      <c r="EB83" s="128"/>
      <c r="ED83" s="418"/>
      <c r="EK83" s="418"/>
    </row>
    <row r="84" spans="1:141" x14ac:dyDescent="0.2">
      <c r="A84" s="27"/>
      <c r="B84" s="179"/>
      <c r="C84" s="175"/>
      <c r="D84" s="175"/>
      <c r="E84" s="175"/>
      <c r="F84" s="175"/>
      <c r="G84" s="170"/>
      <c r="H84" s="175"/>
      <c r="I84" s="175"/>
      <c r="J84" s="175"/>
      <c r="K84" s="175"/>
      <c r="L84" s="170"/>
      <c r="M84" s="175"/>
      <c r="N84" s="175"/>
      <c r="O84" s="175"/>
      <c r="P84" s="175"/>
      <c r="Q84" s="170"/>
      <c r="R84" s="175"/>
      <c r="S84" s="175"/>
      <c r="T84" s="175"/>
      <c r="U84" s="175"/>
      <c r="V84" s="170"/>
      <c r="W84" s="175"/>
      <c r="X84" s="175"/>
      <c r="Y84" s="175"/>
      <c r="Z84" s="175"/>
      <c r="AA84" s="170"/>
      <c r="AB84" s="175"/>
      <c r="AC84" s="175"/>
      <c r="AD84" s="175"/>
      <c r="AE84" s="175"/>
      <c r="AF84" s="170"/>
      <c r="AG84" s="175"/>
      <c r="AH84" s="175"/>
      <c r="AI84" s="175"/>
      <c r="AJ84" s="175"/>
      <c r="AK84" s="170"/>
      <c r="AL84" s="175"/>
      <c r="AM84" s="175"/>
      <c r="AN84" s="175"/>
      <c r="AO84" s="175"/>
      <c r="AP84" s="170"/>
      <c r="AQ84" s="175"/>
      <c r="AR84" s="175"/>
      <c r="AS84" s="175"/>
      <c r="AT84" s="175"/>
      <c r="AU84" s="170"/>
      <c r="AV84" s="175"/>
      <c r="AW84" s="175"/>
      <c r="AX84" s="175"/>
      <c r="AY84" s="175"/>
      <c r="AZ84" s="170"/>
      <c r="BA84" s="175"/>
      <c r="BB84" s="175"/>
      <c r="BC84" s="175"/>
      <c r="BD84" s="175"/>
      <c r="BE84" s="170"/>
      <c r="BF84" s="175"/>
      <c r="BG84" s="175"/>
      <c r="BH84" s="175"/>
      <c r="BI84" s="175"/>
      <c r="BJ84" s="170"/>
      <c r="BK84" s="175"/>
      <c r="BL84" s="175"/>
      <c r="BM84" s="175"/>
      <c r="BN84" s="175"/>
      <c r="BO84" s="170"/>
      <c r="BP84" s="175"/>
      <c r="BQ84" s="175"/>
      <c r="BR84" s="175"/>
      <c r="BS84" s="175"/>
      <c r="BT84" s="170"/>
      <c r="BU84" s="175"/>
      <c r="BV84" s="175"/>
      <c r="BW84" s="175"/>
      <c r="BX84" s="175"/>
      <c r="BY84" s="170"/>
      <c r="BZ84" s="175"/>
      <c r="CA84" s="175"/>
      <c r="CB84" s="175"/>
      <c r="CC84" s="175"/>
      <c r="CD84" s="170"/>
      <c r="CE84" s="175"/>
      <c r="CF84" s="175"/>
      <c r="CG84" s="175"/>
      <c r="CH84" s="175"/>
      <c r="CI84" s="170"/>
      <c r="CJ84" s="175"/>
      <c r="CK84" s="175"/>
      <c r="CL84" s="175"/>
      <c r="CM84" s="175"/>
      <c r="CN84" s="170"/>
      <c r="CO84" s="175"/>
      <c r="CP84" s="175"/>
      <c r="CQ84" s="175"/>
      <c r="CR84" s="175"/>
      <c r="CS84" s="170"/>
      <c r="CT84" s="175"/>
      <c r="CU84" s="175"/>
      <c r="CV84" s="175"/>
      <c r="CW84" s="678"/>
      <c r="CX84" s="742"/>
      <c r="CY84" s="175"/>
      <c r="CZ84" s="175"/>
      <c r="DA84" s="175"/>
      <c r="DB84" s="861"/>
      <c r="DC84" s="170"/>
      <c r="DD84" s="600"/>
      <c r="DE84" s="175"/>
      <c r="DF84" s="175"/>
      <c r="DG84" s="175"/>
      <c r="DH84" s="170"/>
      <c r="DI84" s="175"/>
      <c r="DJ84" s="175"/>
      <c r="DK84" s="175"/>
      <c r="DL84" s="175"/>
      <c r="DM84" s="170"/>
      <c r="DN84" s="175"/>
      <c r="DO84" s="175"/>
      <c r="DP84" s="175"/>
      <c r="DQ84" s="175"/>
      <c r="DR84" s="170"/>
      <c r="DS84" s="175"/>
      <c r="DT84" s="175"/>
      <c r="DU84" s="175"/>
      <c r="DV84" s="175"/>
      <c r="DW84" s="170"/>
      <c r="DX84" s="175"/>
      <c r="DY84" s="175"/>
      <c r="DZ84" s="175"/>
      <c r="EA84" s="175"/>
      <c r="EB84" s="170"/>
      <c r="ED84" s="418"/>
      <c r="EK84" s="418"/>
    </row>
    <row r="85" spans="1:141" x14ac:dyDescent="0.2">
      <c r="A85" s="27" t="s">
        <v>477</v>
      </c>
      <c r="B85" s="179"/>
      <c r="C85" s="175"/>
      <c r="D85" s="175"/>
      <c r="E85" s="175"/>
      <c r="F85" s="175"/>
      <c r="G85" s="170"/>
      <c r="H85" s="175"/>
      <c r="I85" s="175"/>
      <c r="J85" s="175"/>
      <c r="K85" s="175"/>
      <c r="L85" s="170"/>
      <c r="M85" s="175"/>
      <c r="N85" s="175"/>
      <c r="O85" s="175"/>
      <c r="P85" s="175"/>
      <c r="Q85" s="170"/>
      <c r="R85" s="175"/>
      <c r="S85" s="175"/>
      <c r="T85" s="175"/>
      <c r="U85" s="175"/>
      <c r="V85" s="170"/>
      <c r="W85" s="175"/>
      <c r="X85" s="175"/>
      <c r="Y85" s="175"/>
      <c r="Z85" s="175"/>
      <c r="AA85" s="170"/>
      <c r="AB85" s="175"/>
      <c r="AC85" s="175"/>
      <c r="AD85" s="175"/>
      <c r="AE85" s="175"/>
      <c r="AF85" s="170"/>
      <c r="AG85" s="175"/>
      <c r="AH85" s="175"/>
      <c r="AI85" s="175"/>
      <c r="AJ85" s="175"/>
      <c r="AK85" s="170"/>
      <c r="AL85" s="175"/>
      <c r="AM85" s="175"/>
      <c r="AN85" s="175"/>
      <c r="AO85" s="175"/>
      <c r="AP85" s="170"/>
      <c r="AQ85" s="175">
        <f t="shared" ref="AQ85:AT86" si="161">AQ12*365/AQ80</f>
        <v>40.463211715491177</v>
      </c>
      <c r="AR85" s="175">
        <f t="shared" si="161"/>
        <v>39.453566630266423</v>
      </c>
      <c r="AS85" s="175">
        <f t="shared" si="161"/>
        <v>37.835829533091044</v>
      </c>
      <c r="AT85" s="175">
        <f t="shared" si="161"/>
        <v>38.642939539117478</v>
      </c>
      <c r="AU85" s="170"/>
      <c r="AV85" s="175">
        <f t="shared" ref="AV85:AY86" si="162">AV12*365/AV80</f>
        <v>34.777234619974699</v>
      </c>
      <c r="AW85" s="175">
        <f t="shared" si="162"/>
        <v>34.876618364183109</v>
      </c>
      <c r="AX85" s="175">
        <f t="shared" si="162"/>
        <v>33.978695539743576</v>
      </c>
      <c r="AY85" s="175">
        <f t="shared" si="162"/>
        <v>35.218190087779718</v>
      </c>
      <c r="AZ85" s="170"/>
      <c r="BA85" s="175">
        <f t="shared" ref="BA85:BD86" si="163">BA12*365/BA80</f>
        <v>34.307442889281454</v>
      </c>
      <c r="BB85" s="175">
        <f t="shared" si="163"/>
        <v>36.443857837805098</v>
      </c>
      <c r="BC85" s="175">
        <f t="shared" si="163"/>
        <v>33.9483480761319</v>
      </c>
      <c r="BD85" s="175">
        <f t="shared" si="163"/>
        <v>41.96384370926225</v>
      </c>
      <c r="BE85" s="170"/>
      <c r="BF85" s="175">
        <f t="shared" ref="BF85:BI86" si="164">BF12*365/BF80</f>
        <v>37.322022427061377</v>
      </c>
      <c r="BG85" s="175">
        <f t="shared" si="164"/>
        <v>36.86189894910548</v>
      </c>
      <c r="BH85" s="175">
        <f t="shared" si="164"/>
        <v>34.376123213997438</v>
      </c>
      <c r="BI85" s="175">
        <f t="shared" si="164"/>
        <v>40.860913317909201</v>
      </c>
      <c r="BJ85" s="170"/>
      <c r="BK85" s="175">
        <f t="shared" ref="BK85:BN86" si="165">BK12*365/BK80</f>
        <v>35.299309383998036</v>
      </c>
      <c r="BL85" s="175">
        <f t="shared" si="165"/>
        <v>38.962186900656768</v>
      </c>
      <c r="BM85" s="175">
        <f t="shared" si="165"/>
        <v>38.811607103119862</v>
      </c>
      <c r="BN85" s="175">
        <f t="shared" si="165"/>
        <v>43.054249703494769</v>
      </c>
      <c r="BO85" s="170"/>
      <c r="BP85" s="175">
        <f t="shared" ref="BP85:BS86" si="166">BP12*365/BP80</f>
        <v>41.701474201474205</v>
      </c>
      <c r="BQ85" s="175">
        <f t="shared" si="166"/>
        <v>43.392517814726844</v>
      </c>
      <c r="BR85" s="175">
        <f t="shared" si="166"/>
        <v>40.287695714674243</v>
      </c>
      <c r="BS85" s="175">
        <f t="shared" si="166"/>
        <v>47.810574438481417</v>
      </c>
      <c r="BT85" s="170"/>
      <c r="BU85" s="175">
        <f t="shared" ref="BU85:BX86" si="167">BU12*365/BU80</f>
        <v>46.336800244723158</v>
      </c>
      <c r="BV85" s="175">
        <f t="shared" si="167"/>
        <v>48.384048343547761</v>
      </c>
      <c r="BW85" s="175">
        <f t="shared" si="167"/>
        <v>44.822163983526764</v>
      </c>
      <c r="BX85" s="175">
        <f t="shared" si="167"/>
        <v>40.836842539839807</v>
      </c>
      <c r="BY85" s="170"/>
      <c r="BZ85" s="175">
        <f t="shared" ref="BZ85:CC86" si="168">BZ12*365/BZ80</f>
        <v>35.310904616740729</v>
      </c>
      <c r="CA85" s="175">
        <f t="shared" si="168"/>
        <v>43.157178364303462</v>
      </c>
      <c r="CB85" s="175">
        <f t="shared" si="168"/>
        <v>39.476454823889739</v>
      </c>
      <c r="CC85" s="175">
        <f t="shared" si="168"/>
        <v>38.930761099365753</v>
      </c>
      <c r="CD85" s="170"/>
      <c r="CE85" s="175">
        <f t="shared" ref="CE85:CH86" si="169">CE12*365/CE80</f>
        <v>39.100074556052597</v>
      </c>
      <c r="CF85" s="175">
        <f t="shared" si="169"/>
        <v>46.606059518253943</v>
      </c>
      <c r="CG85" s="175">
        <f t="shared" si="169"/>
        <v>44.999488438714955</v>
      </c>
      <c r="CH85" s="175">
        <f t="shared" si="169"/>
        <v>46.529404004089841</v>
      </c>
      <c r="CI85" s="170"/>
      <c r="CJ85" s="175">
        <f t="shared" ref="CJ85:CL86" si="170">CJ12*365/CJ80</f>
        <v>45.86443148688047</v>
      </c>
      <c r="CK85" s="175">
        <f t="shared" si="170"/>
        <v>50.044197855933803</v>
      </c>
      <c r="CL85" s="175">
        <f t="shared" si="170"/>
        <v>47.918561639682252</v>
      </c>
      <c r="CM85" s="175">
        <f>CH85</f>
        <v>46.529404004089841</v>
      </c>
      <c r="CN85" s="170"/>
      <c r="CO85" s="175">
        <f t="shared" ref="CO85:CQ86" si="171">CO12*365/CO80</f>
        <v>45.148687124327743</v>
      </c>
      <c r="CP85" s="175">
        <f t="shared" si="171"/>
        <v>53.470813612801443</v>
      </c>
      <c r="CQ85" s="175">
        <f t="shared" si="171"/>
        <v>49.522662169035954</v>
      </c>
      <c r="CR85" s="175">
        <f>CR12*365/CR80</f>
        <v>54.083350929054049</v>
      </c>
      <c r="CS85" s="170"/>
      <c r="CT85" s="175">
        <f t="shared" ref="CT85:CV86" si="172">CT12*365/CT80</f>
        <v>50.777667704500416</v>
      </c>
      <c r="CU85" s="175">
        <f t="shared" si="172"/>
        <v>55.59140895244979</v>
      </c>
      <c r="CV85" s="175">
        <f t="shared" si="172"/>
        <v>51.045694200351498</v>
      </c>
      <c r="CW85" s="678">
        <f>CW12*365/CW80</f>
        <v>55.088738997321087</v>
      </c>
      <c r="CX85" s="742"/>
      <c r="CY85" s="175">
        <f t="shared" ref="CY85:DA85" si="173">CY12*365/CY80</f>
        <v>50.526419886742161</v>
      </c>
      <c r="CZ85" s="175">
        <f t="shared" si="173"/>
        <v>52.43650706694423</v>
      </c>
      <c r="DA85" s="175">
        <f t="shared" si="173"/>
        <v>50.30228222568222</v>
      </c>
      <c r="DB85" s="861">
        <f t="shared" ref="DB85" si="174">DB12*365/DB80</f>
        <v>53.396882884349317</v>
      </c>
      <c r="DC85" s="170"/>
      <c r="DD85" s="175">
        <f t="shared" ref="DD85" si="175">DD12*365/DD80</f>
        <v>51.922583046431562</v>
      </c>
      <c r="DE85" s="175">
        <f t="shared" ref="DE85:DG86" si="176">DE12*365/DE80</f>
        <v>54.364035087719301</v>
      </c>
      <c r="DF85" s="175">
        <f t="shared" si="176"/>
        <v>52.0741695303551</v>
      </c>
      <c r="DG85" s="861">
        <f t="shared" si="176"/>
        <v>49.133632161367132</v>
      </c>
      <c r="DH85" s="170"/>
      <c r="DI85" s="175">
        <f t="shared" ref="DI85:DJ86" si="177">DI12*365/DI80</f>
        <v>55.078843168379009</v>
      </c>
      <c r="DJ85" s="175">
        <f t="shared" si="177"/>
        <v>54.536267472610504</v>
      </c>
      <c r="DK85" s="175">
        <f t="shared" ref="DK85" si="178">DK12*365/DK80</f>
        <v>51.002649474520886</v>
      </c>
      <c r="DL85" s="175">
        <f t="shared" ref="DL85:DL87" si="179">DG85</f>
        <v>49.133632161367132</v>
      </c>
      <c r="DM85" s="170"/>
      <c r="DN85" s="171">
        <f t="shared" ref="DN85:DQ87" si="180">DI85</f>
        <v>55.078843168379009</v>
      </c>
      <c r="DO85" s="171">
        <f t="shared" si="180"/>
        <v>54.536267472610504</v>
      </c>
      <c r="DP85" s="171">
        <f t="shared" si="180"/>
        <v>51.002649474520886</v>
      </c>
      <c r="DQ85" s="171">
        <f t="shared" si="180"/>
        <v>49.133632161367132</v>
      </c>
      <c r="DR85" s="170"/>
      <c r="DS85" s="171">
        <f t="shared" ref="DS85:DV87" si="181">DN85</f>
        <v>55.078843168379009</v>
      </c>
      <c r="DT85" s="171">
        <f t="shared" si="181"/>
        <v>54.536267472610504</v>
      </c>
      <c r="DU85" s="171">
        <f t="shared" si="181"/>
        <v>51.002649474520886</v>
      </c>
      <c r="DV85" s="171">
        <f t="shared" si="181"/>
        <v>49.133632161367132</v>
      </c>
      <c r="DW85" s="170"/>
      <c r="DX85" s="171">
        <f t="shared" ref="DX85:EA87" si="182">DS85</f>
        <v>55.078843168379009</v>
      </c>
      <c r="DY85" s="171">
        <f t="shared" si="182"/>
        <v>54.536267472610504</v>
      </c>
      <c r="DZ85" s="171">
        <f t="shared" si="182"/>
        <v>51.002649474520886</v>
      </c>
      <c r="EA85" s="171">
        <f t="shared" si="182"/>
        <v>49.133632161367132</v>
      </c>
      <c r="EB85" s="170"/>
      <c r="ED85" s="418"/>
      <c r="EK85" s="418"/>
    </row>
    <row r="86" spans="1:141" x14ac:dyDescent="0.2">
      <c r="A86" s="27" t="s">
        <v>476</v>
      </c>
      <c r="B86" s="179"/>
      <c r="C86" s="175"/>
      <c r="D86" s="175"/>
      <c r="E86" s="175"/>
      <c r="F86" s="175"/>
      <c r="G86" s="170"/>
      <c r="H86" s="175"/>
      <c r="I86" s="175"/>
      <c r="J86" s="175"/>
      <c r="K86" s="175"/>
      <c r="L86" s="170"/>
      <c r="M86" s="175"/>
      <c r="N86" s="175"/>
      <c r="O86" s="175"/>
      <c r="P86" s="175"/>
      <c r="Q86" s="170"/>
      <c r="R86" s="175"/>
      <c r="S86" s="175"/>
      <c r="T86" s="175"/>
      <c r="U86" s="175"/>
      <c r="V86" s="170"/>
      <c r="W86" s="175"/>
      <c r="X86" s="175"/>
      <c r="Y86" s="175"/>
      <c r="Z86" s="175"/>
      <c r="AA86" s="170"/>
      <c r="AB86" s="175"/>
      <c r="AC86" s="175"/>
      <c r="AD86" s="175"/>
      <c r="AE86" s="175"/>
      <c r="AF86" s="170"/>
      <c r="AG86" s="175"/>
      <c r="AH86" s="175"/>
      <c r="AI86" s="175"/>
      <c r="AJ86" s="175"/>
      <c r="AK86" s="170"/>
      <c r="AL86" s="175"/>
      <c r="AM86" s="175"/>
      <c r="AN86" s="175"/>
      <c r="AO86" s="175"/>
      <c r="AP86" s="170"/>
      <c r="AQ86" s="175">
        <f t="shared" si="161"/>
        <v>182.96456492851195</v>
      </c>
      <c r="AR86" s="175">
        <f t="shared" si="161"/>
        <v>189.16796311126296</v>
      </c>
      <c r="AS86" s="175">
        <f t="shared" si="161"/>
        <v>240.2750118038378</v>
      </c>
      <c r="AT86" s="175">
        <f t="shared" si="161"/>
        <v>278.81004989308627</v>
      </c>
      <c r="AU86" s="170"/>
      <c r="AV86" s="175">
        <f t="shared" si="162"/>
        <v>210.92526323554168</v>
      </c>
      <c r="AW86" s="175">
        <f t="shared" si="162"/>
        <v>220.61879756349012</v>
      </c>
      <c r="AX86" s="175">
        <f t="shared" si="162"/>
        <v>260.33907529967144</v>
      </c>
      <c r="AY86" s="175">
        <f t="shared" si="162"/>
        <v>251.1395225041023</v>
      </c>
      <c r="AZ86" s="170"/>
      <c r="BA86" s="175">
        <f t="shared" si="163"/>
        <v>213.82833787465941</v>
      </c>
      <c r="BB86" s="175">
        <f t="shared" si="163"/>
        <v>235.73598784871328</v>
      </c>
      <c r="BC86" s="175">
        <f t="shared" si="163"/>
        <v>278.33826025535865</v>
      </c>
      <c r="BD86" s="175">
        <f t="shared" si="163"/>
        <v>293.71519666041132</v>
      </c>
      <c r="BE86" s="170"/>
      <c r="BF86" s="175">
        <f t="shared" si="164"/>
        <v>212.35113194985334</v>
      </c>
      <c r="BG86" s="175">
        <f t="shared" si="164"/>
        <v>218.85186489729557</v>
      </c>
      <c r="BH86" s="175">
        <f t="shared" si="164"/>
        <v>252.75042272909681</v>
      </c>
      <c r="BI86" s="175">
        <f t="shared" si="164"/>
        <v>278.11201557861102</v>
      </c>
      <c r="BJ86" s="170"/>
      <c r="BK86" s="175">
        <f t="shared" si="165"/>
        <v>202.83452457954374</v>
      </c>
      <c r="BL86" s="175">
        <f t="shared" si="165"/>
        <v>223.64752536660646</v>
      </c>
      <c r="BM86" s="175">
        <f t="shared" si="165"/>
        <v>239.04734724534083</v>
      </c>
      <c r="BN86" s="175">
        <f t="shared" si="165"/>
        <v>236.89718431715517</v>
      </c>
      <c r="BO86" s="170"/>
      <c r="BP86" s="175">
        <f t="shared" si="166"/>
        <v>178.77613827993255</v>
      </c>
      <c r="BQ86" s="175">
        <f t="shared" si="166"/>
        <v>200.29321405981744</v>
      </c>
      <c r="BR86" s="175">
        <f t="shared" si="166"/>
        <v>207.96621098787728</v>
      </c>
      <c r="BS86" s="175">
        <f t="shared" si="166"/>
        <v>212.58680117696508</v>
      </c>
      <c r="BT86" s="170"/>
      <c r="BU86" s="175">
        <f t="shared" si="167"/>
        <v>180.06016042780749</v>
      </c>
      <c r="BV86" s="175">
        <f t="shared" si="167"/>
        <v>219.59463344513654</v>
      </c>
      <c r="BW86" s="175">
        <f t="shared" si="167"/>
        <v>246.13187655740845</v>
      </c>
      <c r="BX86" s="175">
        <f t="shared" si="167"/>
        <v>233.08538225124855</v>
      </c>
      <c r="BY86" s="170"/>
      <c r="BZ86" s="175">
        <f t="shared" si="168"/>
        <v>173.59561839923191</v>
      </c>
      <c r="CA86" s="175">
        <f t="shared" si="168"/>
        <v>167.63039188046238</v>
      </c>
      <c r="CB86" s="175">
        <f t="shared" si="168"/>
        <v>168.42501393792975</v>
      </c>
      <c r="CC86" s="175">
        <f t="shared" si="168"/>
        <v>169.11521405423844</v>
      </c>
      <c r="CD86" s="170"/>
      <c r="CE86" s="175">
        <f t="shared" si="169"/>
        <v>189.95429002767762</v>
      </c>
      <c r="CF86" s="175">
        <f t="shared" si="169"/>
        <v>240.71550546448086</v>
      </c>
      <c r="CG86" s="175">
        <f t="shared" si="169"/>
        <v>252.68323232323232</v>
      </c>
      <c r="CH86" s="175">
        <f t="shared" si="169"/>
        <v>268.17573221757323</v>
      </c>
      <c r="CI86" s="170"/>
      <c r="CJ86" s="175">
        <f t="shared" si="170"/>
        <v>274.21963772475101</v>
      </c>
      <c r="CK86" s="175">
        <f t="shared" si="170"/>
        <v>311.51285501806075</v>
      </c>
      <c r="CL86" s="175">
        <f t="shared" si="170"/>
        <v>315.30184634534265</v>
      </c>
      <c r="CM86" s="175">
        <f>CH86</f>
        <v>268.17573221757323</v>
      </c>
      <c r="CN86" s="170"/>
      <c r="CO86" s="175">
        <f t="shared" si="171"/>
        <v>246.20102424878138</v>
      </c>
      <c r="CP86" s="175">
        <f t="shared" si="171"/>
        <v>268.19295608991109</v>
      </c>
      <c r="CQ86" s="175">
        <f t="shared" si="171"/>
        <v>268.17538808212322</v>
      </c>
      <c r="CR86" s="175">
        <f>CR13*365/CR81</f>
        <v>248.26345106200648</v>
      </c>
      <c r="CS86" s="170"/>
      <c r="CT86" s="175">
        <f t="shared" si="172"/>
        <v>191.80240655116708</v>
      </c>
      <c r="CU86" s="175">
        <f t="shared" si="172"/>
        <v>213.88749079302724</v>
      </c>
      <c r="CV86" s="175">
        <f t="shared" si="172"/>
        <v>218.76541045866199</v>
      </c>
      <c r="CW86" s="678">
        <f>CW13*365/CW81</f>
        <v>231.06923166202418</v>
      </c>
      <c r="CX86" s="742"/>
      <c r="CY86" s="175">
        <f t="shared" ref="CY86:DA86" si="183">CY13*365/CY81</f>
        <v>186.66105865809561</v>
      </c>
      <c r="CZ86" s="175">
        <f t="shared" si="183"/>
        <v>208.24900526938379</v>
      </c>
      <c r="DA86" s="175">
        <f t="shared" si="183"/>
        <v>217.81565074978246</v>
      </c>
      <c r="DB86" s="861">
        <f t="shared" ref="DB86" si="184">DB13*365/DB81</f>
        <v>240.51044083526685</v>
      </c>
      <c r="DC86" s="170"/>
      <c r="DD86" s="175">
        <f t="shared" ref="DD86" si="185">DD13*365/DD81</f>
        <v>207.45997621443601</v>
      </c>
      <c r="DE86" s="175">
        <f t="shared" ref="DE86:DF86" si="186">DE13*365/DE81</f>
        <v>234.7816246331393</v>
      </c>
      <c r="DF86" s="175">
        <f t="shared" si="186"/>
        <v>234.75294859971845</v>
      </c>
      <c r="DG86" s="861">
        <f t="shared" si="176"/>
        <v>223.20668086239021</v>
      </c>
      <c r="DH86" s="170"/>
      <c r="DI86" s="175">
        <f t="shared" si="177"/>
        <v>193.82374727668847</v>
      </c>
      <c r="DJ86" s="175">
        <f t="shared" si="177"/>
        <v>225.62768541005042</v>
      </c>
      <c r="DK86" s="175">
        <f t="shared" ref="DK86" si="187">DK13*365/DK81</f>
        <v>220.27233115468411</v>
      </c>
      <c r="DL86" s="175">
        <f t="shared" si="179"/>
        <v>223.20668086239021</v>
      </c>
      <c r="DM86" s="170"/>
      <c r="DN86" s="171">
        <f t="shared" si="180"/>
        <v>193.82374727668847</v>
      </c>
      <c r="DO86" s="171">
        <f t="shared" si="180"/>
        <v>225.62768541005042</v>
      </c>
      <c r="DP86" s="171">
        <f t="shared" si="180"/>
        <v>220.27233115468411</v>
      </c>
      <c r="DQ86" s="171">
        <f t="shared" si="180"/>
        <v>223.20668086239021</v>
      </c>
      <c r="DR86" s="170"/>
      <c r="DS86" s="171">
        <f t="shared" si="181"/>
        <v>193.82374727668847</v>
      </c>
      <c r="DT86" s="171">
        <f t="shared" si="181"/>
        <v>225.62768541005042</v>
      </c>
      <c r="DU86" s="171">
        <f t="shared" si="181"/>
        <v>220.27233115468411</v>
      </c>
      <c r="DV86" s="171">
        <f t="shared" si="181"/>
        <v>223.20668086239021</v>
      </c>
      <c r="DW86" s="170"/>
      <c r="DX86" s="171">
        <f t="shared" si="182"/>
        <v>193.82374727668847</v>
      </c>
      <c r="DY86" s="171">
        <f t="shared" si="182"/>
        <v>225.62768541005042</v>
      </c>
      <c r="DZ86" s="171">
        <f t="shared" si="182"/>
        <v>220.27233115468411</v>
      </c>
      <c r="EA86" s="171">
        <f t="shared" si="182"/>
        <v>223.20668086239021</v>
      </c>
      <c r="EB86" s="170"/>
      <c r="ED86" s="418"/>
      <c r="EK86" s="418"/>
    </row>
    <row r="87" spans="1:141" x14ac:dyDescent="0.2">
      <c r="A87" s="30" t="s">
        <v>475</v>
      </c>
      <c r="B87" s="210"/>
      <c r="C87" s="211"/>
      <c r="D87" s="211"/>
      <c r="E87" s="211"/>
      <c r="F87" s="211"/>
      <c r="G87" s="212"/>
      <c r="H87" s="211"/>
      <c r="I87" s="211"/>
      <c r="J87" s="211"/>
      <c r="K87" s="211"/>
      <c r="L87" s="212"/>
      <c r="M87" s="211"/>
      <c r="N87" s="211"/>
      <c r="O87" s="211"/>
      <c r="P87" s="211"/>
      <c r="Q87" s="212"/>
      <c r="R87" s="211"/>
      <c r="S87" s="211"/>
      <c r="T87" s="211"/>
      <c r="U87" s="211"/>
      <c r="V87" s="212"/>
      <c r="W87" s="211"/>
      <c r="X87" s="211"/>
      <c r="Y87" s="211"/>
      <c r="Z87" s="211"/>
      <c r="AA87" s="212"/>
      <c r="AB87" s="211"/>
      <c r="AC87" s="211"/>
      <c r="AD87" s="211"/>
      <c r="AE87" s="211"/>
      <c r="AF87" s="212"/>
      <c r="AG87" s="211"/>
      <c r="AH87" s="211"/>
      <c r="AI87" s="211"/>
      <c r="AJ87" s="211"/>
      <c r="AK87" s="212"/>
      <c r="AL87" s="211"/>
      <c r="AM87" s="211"/>
      <c r="AN87" s="211"/>
      <c r="AO87" s="211"/>
      <c r="AP87" s="212"/>
      <c r="AQ87" s="211">
        <f>AQ30*365/AQ81</f>
        <v>108.51400774404107</v>
      </c>
      <c r="AR87" s="211">
        <f>AR30*365/AR81</f>
        <v>134.82168998566684</v>
      </c>
      <c r="AS87" s="211">
        <f>AS30*365/AS81</f>
        <v>154.75861445259554</v>
      </c>
      <c r="AT87" s="211">
        <f>AT30*365/AT81</f>
        <v>137.38230577334286</v>
      </c>
      <c r="AU87" s="212"/>
      <c r="AV87" s="211">
        <f>AV30*365/AV81</f>
        <v>99.928353782515529</v>
      </c>
      <c r="AW87" s="211">
        <f>AW30*365/AW81</f>
        <v>113.37256132591467</v>
      </c>
      <c r="AX87" s="211">
        <f>AX30*365/AX81</f>
        <v>96.051066783912631</v>
      </c>
      <c r="AY87" s="211">
        <f>AY30*365/AY81</f>
        <v>118.44817089052692</v>
      </c>
      <c r="AZ87" s="212"/>
      <c r="BA87" s="211">
        <f>BA30*365/BA81</f>
        <v>90.854011161627469</v>
      </c>
      <c r="BB87" s="211">
        <f>BB30*365/BB81</f>
        <v>105.51294652797657</v>
      </c>
      <c r="BC87" s="211">
        <f>BC30*365/BC81</f>
        <v>103.95881390700043</v>
      </c>
      <c r="BD87" s="211">
        <f>BD30*365/BD81</f>
        <v>118.80621341432878</v>
      </c>
      <c r="BE87" s="212"/>
      <c r="BF87" s="211">
        <f>BF30*365/BF81</f>
        <v>97.856036594613627</v>
      </c>
      <c r="BG87" s="211">
        <f>BG30*365/BG81</f>
        <v>110.36257036325378</v>
      </c>
      <c r="BH87" s="211">
        <f>BH30*365/BH81</f>
        <v>115.70871262994028</v>
      </c>
      <c r="BI87" s="211">
        <f>BI30*365/BI81</f>
        <v>149.03394767129228</v>
      </c>
      <c r="BJ87" s="212"/>
      <c r="BK87" s="211">
        <f>BK30*365/BK81</f>
        <v>102.17797005147118</v>
      </c>
      <c r="BL87" s="211">
        <f>BL30*365/BL81</f>
        <v>108.16177046528908</v>
      </c>
      <c r="BM87" s="211">
        <f>BM30*365/BM81</f>
        <v>114.37889052586912</v>
      </c>
      <c r="BN87" s="211">
        <f>BN30*365/BN81</f>
        <v>133.86377072162784</v>
      </c>
      <c r="BO87" s="212"/>
      <c r="BP87" s="211">
        <f>BP30*365/BP81</f>
        <v>104.88364249578414</v>
      </c>
      <c r="BQ87" s="211">
        <f>BQ30*365/BQ81</f>
        <v>103.36224812505645</v>
      </c>
      <c r="BR87" s="211">
        <f>BR30*365/BR81</f>
        <v>103.37116327057002</v>
      </c>
      <c r="BS87" s="211">
        <f>BS30*365/BS81</f>
        <v>99.696090794451436</v>
      </c>
      <c r="BT87" s="212"/>
      <c r="BU87" s="211">
        <f>BU30*365/BU81</f>
        <v>81.917613636363654</v>
      </c>
      <c r="BV87" s="211">
        <f>BV30*365/BV81</f>
        <v>93.217537134643024</v>
      </c>
      <c r="BW87" s="211">
        <f>BW30*365/BW81</f>
        <v>90.567855089131669</v>
      </c>
      <c r="BX87" s="211">
        <f>BX30*365/BX81</f>
        <v>93.633787936995788</v>
      </c>
      <c r="BY87" s="212"/>
      <c r="BZ87" s="211">
        <f>BZ30*365/BZ81</f>
        <v>77.065113031334548</v>
      </c>
      <c r="CA87" s="211">
        <f>CA30*365/CA81</f>
        <v>98.376092472511985</v>
      </c>
      <c r="CB87" s="211">
        <f>CB30*365/CB81</f>
        <v>97.744842965991452</v>
      </c>
      <c r="CC87" s="211">
        <f>CC30*365/CC81</f>
        <v>87.966058331912009</v>
      </c>
      <c r="CD87" s="212"/>
      <c r="CE87" s="211">
        <f>CE30*365/CE81</f>
        <v>90.85968296569655</v>
      </c>
      <c r="CF87" s="211">
        <f>CF30*365/CF81</f>
        <v>102.9055669398907</v>
      </c>
      <c r="CG87" s="211">
        <f>CG30*365/CG81</f>
        <v>100.25333333333332</v>
      </c>
      <c r="CH87" s="211">
        <f>CH30*365/CH81</f>
        <v>149.94294408520349</v>
      </c>
      <c r="CI87" s="212"/>
      <c r="CJ87" s="211">
        <f>CJ30*365/CJ81</f>
        <v>89.267762850076878</v>
      </c>
      <c r="CK87" s="211">
        <f>CK30*365/CK81</f>
        <v>100.3821092145336</v>
      </c>
      <c r="CL87" s="211">
        <f>CL30*365/CL81</f>
        <v>101.51649263536409</v>
      </c>
      <c r="CM87" s="211">
        <f>CH87</f>
        <v>149.94294408520349</v>
      </c>
      <c r="CN87" s="212"/>
      <c r="CO87" s="211">
        <f>CO30*365/CO81</f>
        <v>85.760473869315732</v>
      </c>
      <c r="CP87" s="211">
        <f>CP30*365/CP81</f>
        <v>84.834357030841602</v>
      </c>
      <c r="CQ87" s="211">
        <f>CQ30*365/CQ81</f>
        <v>94.859789684526802</v>
      </c>
      <c r="CR87" s="211">
        <f>CR30*365/CR81</f>
        <v>109.85523657954336</v>
      </c>
      <c r="CS87" s="212"/>
      <c r="CT87" s="211">
        <f>CT30*365/CT81</f>
        <v>90.319759344883295</v>
      </c>
      <c r="CU87" s="211">
        <f>CU30*365/CU81</f>
        <v>105.87957279646452</v>
      </c>
      <c r="CV87" s="211">
        <f>CV30*365/CV81</f>
        <v>101.19339760444055</v>
      </c>
      <c r="CW87" s="701">
        <f>CW30*365/CW81</f>
        <v>113.04578690807801</v>
      </c>
      <c r="CX87" s="760"/>
      <c r="CY87" s="211">
        <f>CY30*365/CY81</f>
        <v>100.39699678585778</v>
      </c>
      <c r="CZ87" s="211">
        <f>CZ30*365/CZ81</f>
        <v>118.00973222927195</v>
      </c>
      <c r="DA87" s="211">
        <f>DA30*365/DA81</f>
        <v>112.68130405854957</v>
      </c>
      <c r="DB87" s="873">
        <f>DB30*365/DB81</f>
        <v>125.9623726419853</v>
      </c>
      <c r="DC87" s="212"/>
      <c r="DD87" s="211">
        <f>DD30*365/DD81</f>
        <v>108.18772298966243</v>
      </c>
      <c r="DE87" s="211">
        <f>DE30*365/DE81</f>
        <v>120.32308610655127</v>
      </c>
      <c r="DF87" s="211">
        <f>DF30*365/DF81</f>
        <v>119.70611076056885</v>
      </c>
      <c r="DG87" s="873">
        <f>DG30*365/DG81</f>
        <v>118.29873125720877</v>
      </c>
      <c r="DH87" s="212"/>
      <c r="DI87" s="211">
        <f>DI30*365/DI81</f>
        <v>105.36492374727669</v>
      </c>
      <c r="DJ87" s="211">
        <f>DJ30*365/DJ81</f>
        <v>117.09251821408557</v>
      </c>
      <c r="DK87" s="211">
        <f>DK30*365/DK81</f>
        <v>113.95802765550667</v>
      </c>
      <c r="DL87" s="211">
        <f t="shared" si="179"/>
        <v>118.29873125720877</v>
      </c>
      <c r="DM87" s="212"/>
      <c r="DN87" s="594">
        <f t="shared" si="180"/>
        <v>105.36492374727669</v>
      </c>
      <c r="DO87" s="594">
        <f t="shared" si="180"/>
        <v>117.09251821408557</v>
      </c>
      <c r="DP87" s="594">
        <f t="shared" si="180"/>
        <v>113.95802765550667</v>
      </c>
      <c r="DQ87" s="594">
        <f t="shared" si="180"/>
        <v>118.29873125720877</v>
      </c>
      <c r="DR87" s="212"/>
      <c r="DS87" s="594">
        <f t="shared" si="181"/>
        <v>105.36492374727669</v>
      </c>
      <c r="DT87" s="594">
        <f t="shared" si="181"/>
        <v>117.09251821408557</v>
      </c>
      <c r="DU87" s="594">
        <f t="shared" si="181"/>
        <v>113.95802765550667</v>
      </c>
      <c r="DV87" s="594">
        <f t="shared" si="181"/>
        <v>118.29873125720877</v>
      </c>
      <c r="DW87" s="212"/>
      <c r="DX87" s="594">
        <f t="shared" si="182"/>
        <v>105.36492374727669</v>
      </c>
      <c r="DY87" s="594">
        <f t="shared" si="182"/>
        <v>117.09251821408557</v>
      </c>
      <c r="DZ87" s="594">
        <f t="shared" si="182"/>
        <v>113.95802765550667</v>
      </c>
      <c r="EA87" s="594">
        <f t="shared" si="182"/>
        <v>118.29873125720877</v>
      </c>
      <c r="EB87" s="212"/>
      <c r="ED87" s="418"/>
      <c r="EK87" s="418"/>
    </row>
    <row r="88" spans="1:141" x14ac:dyDescent="0.2">
      <c r="A88" s="1"/>
      <c r="B88" s="179"/>
      <c r="C88" s="175"/>
      <c r="D88" s="175"/>
      <c r="E88" s="175"/>
      <c r="F88" s="175"/>
      <c r="G88" s="170"/>
      <c r="H88" s="157"/>
      <c r="I88" s="157"/>
      <c r="J88" s="157"/>
      <c r="K88" s="175"/>
      <c r="L88" s="170"/>
      <c r="M88" s="157"/>
      <c r="N88" s="157"/>
      <c r="O88" s="157"/>
      <c r="P88" s="175"/>
      <c r="Q88" s="170"/>
      <c r="R88" s="157"/>
      <c r="S88" s="157"/>
      <c r="T88" s="157"/>
      <c r="U88" s="175"/>
      <c r="V88" s="170"/>
      <c r="W88" s="175"/>
      <c r="X88" s="175"/>
      <c r="Y88" s="175"/>
      <c r="Z88" s="175"/>
      <c r="AA88" s="170"/>
      <c r="AB88" s="157"/>
      <c r="AC88" s="157"/>
      <c r="AD88" s="157"/>
      <c r="AE88" s="175"/>
      <c r="AF88" s="170"/>
      <c r="AG88" s="157"/>
      <c r="AH88" s="157"/>
      <c r="AI88" s="157"/>
      <c r="AJ88" s="175"/>
      <c r="AK88" s="170"/>
      <c r="AL88" s="157"/>
      <c r="AM88" s="157"/>
      <c r="AN88" s="157"/>
      <c r="AO88" s="175"/>
      <c r="AP88" s="170"/>
      <c r="AQ88" s="157"/>
      <c r="AR88" s="157"/>
      <c r="AS88" s="157"/>
      <c r="AT88" s="175"/>
      <c r="AU88" s="170"/>
      <c r="AV88" s="157"/>
      <c r="AW88" s="157"/>
      <c r="AX88" s="157"/>
      <c r="AY88" s="175"/>
      <c r="AZ88" s="170"/>
      <c r="BA88" s="157"/>
      <c r="BB88" s="157"/>
      <c r="BC88" s="157"/>
      <c r="BD88" s="175"/>
      <c r="BE88" s="170"/>
      <c r="BF88" s="157"/>
      <c r="BG88" s="157"/>
      <c r="BH88" s="157"/>
      <c r="BI88" s="175"/>
      <c r="BJ88" s="170"/>
      <c r="BK88" s="157"/>
      <c r="BL88" s="157"/>
      <c r="BM88" s="157"/>
      <c r="BN88" s="175"/>
      <c r="BO88" s="170"/>
      <c r="BP88" s="157"/>
      <c r="BQ88" s="157"/>
      <c r="BR88" s="157"/>
      <c r="BS88" s="175"/>
      <c r="BT88" s="170"/>
      <c r="BU88" s="157"/>
      <c r="BV88" s="157"/>
      <c r="BW88" s="157"/>
      <c r="BX88" s="175"/>
      <c r="BY88" s="170"/>
      <c r="BZ88" s="157"/>
      <c r="CA88" s="157"/>
      <c r="CB88" s="157"/>
      <c r="CC88" s="175"/>
      <c r="CD88" s="170"/>
      <c r="CE88" s="157"/>
      <c r="CF88" s="157"/>
      <c r="CG88" s="157"/>
      <c r="CH88" s="175"/>
      <c r="CI88" s="170"/>
      <c r="CJ88" s="157"/>
      <c r="CK88" s="157"/>
      <c r="CL88" s="157"/>
      <c r="CM88" s="175"/>
      <c r="CN88" s="170"/>
      <c r="CO88" s="157"/>
      <c r="CP88" s="157"/>
      <c r="CQ88" s="157"/>
      <c r="CR88" s="175"/>
      <c r="CS88" s="170"/>
      <c r="CT88" s="157"/>
      <c r="CU88" s="157"/>
      <c r="CV88" s="157"/>
      <c r="CW88" s="678"/>
      <c r="CX88" s="742"/>
      <c r="CY88" s="157"/>
      <c r="CZ88" s="157"/>
      <c r="DA88" s="157"/>
      <c r="DB88" s="861"/>
      <c r="DC88" s="170"/>
      <c r="DD88" s="157"/>
      <c r="DE88" s="157"/>
      <c r="DF88" s="157"/>
      <c r="DG88" s="175"/>
      <c r="DH88" s="170"/>
      <c r="DI88" s="157"/>
      <c r="DJ88" s="157"/>
      <c r="DK88" s="157"/>
      <c r="DL88" s="157"/>
      <c r="DM88" s="170"/>
      <c r="DN88" s="157"/>
      <c r="DO88" s="157"/>
      <c r="DP88" s="157"/>
      <c r="DQ88" s="157"/>
      <c r="DR88" s="170"/>
      <c r="DS88" s="157"/>
      <c r="DT88" s="157"/>
      <c r="DU88" s="157"/>
      <c r="DV88" s="157"/>
      <c r="DW88" s="170"/>
      <c r="DX88" s="157"/>
      <c r="DY88" s="157"/>
      <c r="DZ88" s="157"/>
      <c r="EA88" s="157"/>
      <c r="EB88" s="170"/>
      <c r="ED88" s="418"/>
      <c r="EK88" s="418"/>
    </row>
    <row r="89" spans="1:141" x14ac:dyDescent="0.2">
      <c r="A89" s="16" t="s">
        <v>474</v>
      </c>
      <c r="B89" s="179"/>
      <c r="C89" s="175"/>
      <c r="D89" s="175"/>
      <c r="E89" s="175"/>
      <c r="F89" s="175"/>
      <c r="G89" s="170"/>
      <c r="H89" s="157"/>
      <c r="I89" s="157"/>
      <c r="J89" s="157"/>
      <c r="K89" s="175"/>
      <c r="L89" s="170"/>
      <c r="M89" s="157"/>
      <c r="N89" s="157"/>
      <c r="O89" s="157"/>
      <c r="P89" s="175"/>
      <c r="Q89" s="170"/>
      <c r="R89" s="157"/>
      <c r="S89" s="157"/>
      <c r="T89" s="157"/>
      <c r="U89" s="175"/>
      <c r="V89" s="170"/>
      <c r="W89" s="175"/>
      <c r="X89" s="175"/>
      <c r="Y89" s="175"/>
      <c r="Z89" s="175"/>
      <c r="AA89" s="170"/>
      <c r="AB89" s="157"/>
      <c r="AC89" s="157"/>
      <c r="AD89" s="157"/>
      <c r="AE89" s="175"/>
      <c r="AF89" s="170"/>
      <c r="AG89" s="157"/>
      <c r="AH89" s="157"/>
      <c r="AI89" s="157"/>
      <c r="AJ89" s="175"/>
      <c r="AK89" s="170"/>
      <c r="AL89" s="157"/>
      <c r="AM89" s="157"/>
      <c r="AN89" s="157"/>
      <c r="AO89" s="175"/>
      <c r="AP89" s="170"/>
      <c r="AQ89" s="157"/>
      <c r="AR89" s="157"/>
      <c r="AS89" s="157"/>
      <c r="AT89" s="175"/>
      <c r="AU89" s="170"/>
      <c r="AV89" s="157"/>
      <c r="AW89" s="157"/>
      <c r="AX89" s="157"/>
      <c r="AY89" s="175"/>
      <c r="AZ89" s="170"/>
      <c r="BA89" s="157"/>
      <c r="BB89" s="157"/>
      <c r="BC89" s="157"/>
      <c r="BD89" s="175"/>
      <c r="BE89" s="170"/>
      <c r="BF89" s="157"/>
      <c r="BG89" s="157"/>
      <c r="BH89" s="157"/>
      <c r="BI89" s="175"/>
      <c r="BJ89" s="170"/>
      <c r="BK89" s="157"/>
      <c r="BL89" s="157"/>
      <c r="BM89" s="157"/>
      <c r="BN89" s="175"/>
      <c r="BO89" s="170"/>
      <c r="BP89" s="157"/>
      <c r="BQ89" s="157"/>
      <c r="BR89" s="157"/>
      <c r="BS89" s="175"/>
      <c r="BT89" s="170"/>
      <c r="BU89" s="157"/>
      <c r="BV89" s="157"/>
      <c r="BW89" s="157"/>
      <c r="BX89" s="175"/>
      <c r="BY89" s="170"/>
      <c r="BZ89" s="157"/>
      <c r="CA89" s="157"/>
      <c r="CB89" s="157"/>
      <c r="CC89" s="175"/>
      <c r="CD89" s="170"/>
      <c r="CE89" s="157"/>
      <c r="CF89" s="157"/>
      <c r="CG89" s="157"/>
      <c r="CH89" s="175"/>
      <c r="CI89" s="170"/>
      <c r="CJ89" s="157"/>
      <c r="CK89" s="157"/>
      <c r="CL89" s="157"/>
      <c r="CM89" s="175"/>
      <c r="CN89" s="170"/>
      <c r="CO89" s="157"/>
      <c r="CP89" s="157"/>
      <c r="CQ89" s="157"/>
      <c r="CR89" s="175"/>
      <c r="CS89" s="170"/>
      <c r="CT89" s="157"/>
      <c r="CU89" s="157"/>
      <c r="CV89" s="157"/>
      <c r="CW89" s="678"/>
      <c r="CX89" s="742"/>
      <c r="CY89" s="157"/>
      <c r="CZ89" s="157"/>
      <c r="DA89" s="157"/>
      <c r="DB89" s="861"/>
      <c r="DC89" s="170"/>
      <c r="DD89" s="157"/>
      <c r="DE89" s="157"/>
      <c r="DF89" s="157"/>
      <c r="DG89" s="175"/>
      <c r="DH89" s="170"/>
      <c r="DI89" s="157"/>
      <c r="DJ89" s="157"/>
      <c r="DK89" s="157"/>
      <c r="DL89" s="157"/>
      <c r="DM89" s="170"/>
      <c r="DN89" s="157"/>
      <c r="DO89" s="157"/>
      <c r="DP89" s="157"/>
      <c r="DQ89" s="157"/>
      <c r="DR89" s="170"/>
      <c r="DS89" s="157"/>
      <c r="DT89" s="157"/>
      <c r="DU89" s="157"/>
      <c r="DV89" s="157"/>
      <c r="DW89" s="170"/>
      <c r="DX89" s="157"/>
      <c r="DY89" s="157"/>
      <c r="DZ89" s="157"/>
      <c r="EA89" s="157"/>
      <c r="EB89" s="170"/>
      <c r="ED89" s="418"/>
      <c r="EK89" s="418"/>
    </row>
    <row r="90" spans="1:141" x14ac:dyDescent="0.2">
      <c r="A90" s="24" t="s">
        <v>473</v>
      </c>
      <c r="B90" s="214"/>
      <c r="C90" s="215"/>
      <c r="D90" s="215"/>
      <c r="E90" s="215"/>
      <c r="F90" s="215"/>
      <c r="G90" s="216"/>
      <c r="H90" s="215"/>
      <c r="I90" s="215"/>
      <c r="J90" s="215"/>
      <c r="K90" s="215"/>
      <c r="L90" s="216"/>
      <c r="M90" s="215"/>
      <c r="N90" s="215"/>
      <c r="O90" s="215"/>
      <c r="P90" s="215"/>
      <c r="Q90" s="216"/>
      <c r="R90" s="215"/>
      <c r="S90" s="215"/>
      <c r="T90" s="215"/>
      <c r="U90" s="215"/>
      <c r="V90" s="216"/>
      <c r="W90" s="215"/>
      <c r="X90" s="215"/>
      <c r="Y90" s="215"/>
      <c r="Z90" s="215"/>
      <c r="AA90" s="216"/>
      <c r="AB90" s="215"/>
      <c r="AC90" s="215"/>
      <c r="AD90" s="215"/>
      <c r="AE90" s="215"/>
      <c r="AF90" s="216"/>
      <c r="AG90" s="215"/>
      <c r="AH90" s="215"/>
      <c r="AI90" s="215"/>
      <c r="AJ90" s="215"/>
      <c r="AK90" s="216"/>
      <c r="AL90" s="215"/>
      <c r="AM90" s="215"/>
      <c r="AN90" s="215"/>
      <c r="AO90" s="215"/>
      <c r="AP90" s="216"/>
      <c r="AQ90" s="215"/>
      <c r="AR90" s="215"/>
      <c r="AS90" s="215"/>
      <c r="AT90" s="215"/>
      <c r="AU90" s="216"/>
      <c r="AV90" s="215"/>
      <c r="AW90" s="215"/>
      <c r="AX90" s="215"/>
      <c r="AY90" s="215"/>
      <c r="AZ90" s="216"/>
      <c r="BA90" s="215"/>
      <c r="BB90" s="215"/>
      <c r="BC90" s="215"/>
      <c r="BD90" s="215"/>
      <c r="BE90" s="216"/>
      <c r="BF90" s="215"/>
      <c r="BG90" s="215"/>
      <c r="BH90" s="215"/>
      <c r="BI90" s="215"/>
      <c r="BJ90" s="216"/>
      <c r="BK90" s="215"/>
      <c r="BL90" s="215"/>
      <c r="BM90" s="215"/>
      <c r="BN90" s="215"/>
      <c r="BO90" s="216"/>
      <c r="BP90" s="215"/>
      <c r="BQ90" s="215"/>
      <c r="BR90" s="215"/>
      <c r="BS90" s="215"/>
      <c r="BT90" s="216"/>
      <c r="BU90" s="215"/>
      <c r="BV90" s="215"/>
      <c r="BW90" s="215"/>
      <c r="BX90" s="215"/>
      <c r="BY90" s="216"/>
      <c r="BZ90" s="215"/>
      <c r="CA90" s="215"/>
      <c r="CB90" s="215"/>
      <c r="CC90" s="215"/>
      <c r="CD90" s="216"/>
      <c r="CE90" s="215"/>
      <c r="CF90" s="215"/>
      <c r="CG90" s="215"/>
      <c r="CH90" s="215"/>
      <c r="CI90" s="216"/>
      <c r="CJ90" s="215"/>
      <c r="CK90" s="215"/>
      <c r="CL90" s="215"/>
      <c r="CM90" s="215"/>
      <c r="CN90" s="216"/>
      <c r="CO90" s="215"/>
      <c r="CP90" s="215"/>
      <c r="CQ90" s="215"/>
      <c r="CR90" s="215"/>
      <c r="CS90" s="216"/>
      <c r="CT90" s="215"/>
      <c r="CU90" s="215"/>
      <c r="CV90" s="215"/>
      <c r="CW90" s="702"/>
      <c r="CX90" s="761"/>
      <c r="CY90" s="215"/>
      <c r="CZ90" s="215"/>
      <c r="DA90" s="215"/>
      <c r="DB90" s="882"/>
      <c r="DC90" s="216"/>
      <c r="DD90" s="601"/>
      <c r="DE90" s="215"/>
      <c r="DF90" s="215"/>
      <c r="DG90" s="215"/>
      <c r="DH90" s="216"/>
      <c r="DI90" s="215"/>
      <c r="DJ90" s="215"/>
      <c r="DK90" s="215"/>
      <c r="DL90" s="215"/>
      <c r="DM90" s="216"/>
      <c r="DN90" s="215"/>
      <c r="DO90" s="215"/>
      <c r="DP90" s="215"/>
      <c r="DQ90" s="215"/>
      <c r="DR90" s="216"/>
      <c r="DS90" s="215"/>
      <c r="DT90" s="215"/>
      <c r="DU90" s="215"/>
      <c r="DV90" s="215"/>
      <c r="DW90" s="216"/>
      <c r="DX90" s="215"/>
      <c r="DY90" s="215"/>
      <c r="DZ90" s="215"/>
      <c r="EA90" s="215"/>
      <c r="EB90" s="216"/>
      <c r="ED90" s="418"/>
      <c r="EK90" s="418"/>
    </row>
    <row r="91" spans="1:141" x14ac:dyDescent="0.2">
      <c r="A91" s="27" t="s">
        <v>472</v>
      </c>
      <c r="B91" s="179"/>
      <c r="C91" s="175"/>
      <c r="D91" s="175"/>
      <c r="E91" s="175"/>
      <c r="F91" s="175"/>
      <c r="G91" s="170"/>
      <c r="H91" s="175"/>
      <c r="I91" s="175"/>
      <c r="J91" s="175"/>
      <c r="K91" s="175"/>
      <c r="L91" s="170"/>
      <c r="M91" s="175"/>
      <c r="N91" s="175"/>
      <c r="O91" s="175"/>
      <c r="P91" s="175"/>
      <c r="Q91" s="170"/>
      <c r="R91" s="175"/>
      <c r="S91" s="175"/>
      <c r="T91" s="175"/>
      <c r="U91" s="175"/>
      <c r="V91" s="170"/>
      <c r="W91" s="175"/>
      <c r="X91" s="175"/>
      <c r="Y91" s="175"/>
      <c r="Z91" s="175"/>
      <c r="AA91" s="170"/>
      <c r="AB91" s="175"/>
      <c r="AC91" s="175"/>
      <c r="AD91" s="175"/>
      <c r="AE91" s="175"/>
      <c r="AF91" s="170"/>
      <c r="AG91" s="175"/>
      <c r="AH91" s="175"/>
      <c r="AI91" s="175"/>
      <c r="AJ91" s="175"/>
      <c r="AK91" s="170"/>
      <c r="AL91" s="175"/>
      <c r="AM91" s="175"/>
      <c r="AN91" s="175"/>
      <c r="AO91" s="175"/>
      <c r="AP91" s="170"/>
      <c r="AQ91" s="175"/>
      <c r="AR91" s="175"/>
      <c r="AS91" s="175"/>
      <c r="AT91" s="175"/>
      <c r="AU91" s="170"/>
      <c r="AV91" s="175"/>
      <c r="AW91" s="175"/>
      <c r="AX91" s="175"/>
      <c r="AY91" s="175"/>
      <c r="AZ91" s="170"/>
      <c r="BA91" s="175"/>
      <c r="BB91" s="175"/>
      <c r="BC91" s="175"/>
      <c r="BD91" s="175"/>
      <c r="BE91" s="170">
        <v>262.20400000000001</v>
      </c>
      <c r="BF91" s="175">
        <v>319.745</v>
      </c>
      <c r="BG91" s="175"/>
      <c r="BH91" s="175"/>
      <c r="BI91" s="175"/>
      <c r="BJ91" s="170"/>
      <c r="BK91" s="175"/>
      <c r="BL91" s="175"/>
      <c r="BM91" s="175"/>
      <c r="BN91" s="175"/>
      <c r="BO91" s="170"/>
      <c r="BP91" s="175"/>
      <c r="BQ91" s="175"/>
      <c r="BR91" s="175"/>
      <c r="BS91" s="175"/>
      <c r="BT91" s="170"/>
      <c r="BU91" s="175"/>
      <c r="BV91" s="175"/>
      <c r="BW91" s="175"/>
      <c r="BX91" s="175"/>
      <c r="BY91" s="170"/>
      <c r="BZ91" s="175"/>
      <c r="CA91" s="175"/>
      <c r="CB91" s="175"/>
      <c r="CC91" s="175"/>
      <c r="CD91" s="170"/>
      <c r="CE91" s="175"/>
      <c r="CF91" s="175"/>
      <c r="CG91" s="175"/>
      <c r="CH91" s="175"/>
      <c r="CI91" s="170"/>
      <c r="CJ91" s="521"/>
      <c r="CK91" s="521"/>
      <c r="CL91" s="521">
        <v>749.1</v>
      </c>
      <c r="CM91" s="521">
        <v>711.3</v>
      </c>
      <c r="CN91" s="392">
        <f>CM91</f>
        <v>711.3</v>
      </c>
      <c r="CO91" s="521">
        <v>619</v>
      </c>
      <c r="CP91" s="521">
        <v>590.4</v>
      </c>
      <c r="CQ91" s="521">
        <v>605.1</v>
      </c>
      <c r="CR91" s="521">
        <v>493</v>
      </c>
      <c r="CS91" s="392">
        <f>CR91</f>
        <v>493</v>
      </c>
      <c r="CT91" s="521">
        <v>407</v>
      </c>
      <c r="CU91" s="521">
        <v>400</v>
      </c>
      <c r="CV91" s="521">
        <v>442.3</v>
      </c>
      <c r="CW91" s="687">
        <v>442.3</v>
      </c>
      <c r="CX91" s="392">
        <f>+CW91</f>
        <v>442.3</v>
      </c>
      <c r="CY91" s="521">
        <v>414.2</v>
      </c>
      <c r="CZ91" s="521">
        <v>470.5</v>
      </c>
      <c r="DA91" s="521">
        <v>529.5</v>
      </c>
      <c r="DB91" s="866">
        <v>529.4</v>
      </c>
      <c r="DC91" s="392">
        <f>+DB91</f>
        <v>529.4</v>
      </c>
      <c r="DD91" s="521">
        <v>559.20000000000005</v>
      </c>
      <c r="DE91" s="521">
        <v>585.5</v>
      </c>
      <c r="DF91" s="521">
        <v>625.20000000000005</v>
      </c>
      <c r="DG91" s="866">
        <v>561.6</v>
      </c>
      <c r="DH91" s="392">
        <f>+DG91</f>
        <v>561.6</v>
      </c>
      <c r="DI91" s="521">
        <v>550.5</v>
      </c>
      <c r="DJ91" s="521">
        <v>599.20000000000005</v>
      </c>
      <c r="DK91" s="521">
        <v>614.70000000000005</v>
      </c>
      <c r="DL91" s="175"/>
      <c r="DM91" s="170"/>
      <c r="DN91" s="175"/>
      <c r="DO91" s="175"/>
      <c r="DP91" s="175"/>
      <c r="DQ91" s="175"/>
      <c r="DR91" s="170"/>
      <c r="DS91" s="175"/>
      <c r="DT91" s="175"/>
      <c r="DU91" s="175"/>
      <c r="DV91" s="175"/>
      <c r="DW91" s="170"/>
      <c r="DX91" s="175"/>
      <c r="DY91" s="175"/>
      <c r="DZ91" s="175"/>
      <c r="EA91" s="175"/>
      <c r="EB91" s="170"/>
      <c r="ED91" s="418"/>
      <c r="EK91" s="418"/>
    </row>
    <row r="92" spans="1:141" x14ac:dyDescent="0.2">
      <c r="A92" s="27" t="s">
        <v>471</v>
      </c>
      <c r="B92" s="179"/>
      <c r="C92" s="175"/>
      <c r="D92" s="175"/>
      <c r="E92" s="175"/>
      <c r="F92" s="175"/>
      <c r="G92" s="170"/>
      <c r="H92" s="175"/>
      <c r="I92" s="175"/>
      <c r="J92" s="175"/>
      <c r="K92" s="175"/>
      <c r="L92" s="170"/>
      <c r="M92" s="175"/>
      <c r="N92" s="175"/>
      <c r="O92" s="175"/>
      <c r="P92" s="175"/>
      <c r="Q92" s="170"/>
      <c r="R92" s="175"/>
      <c r="S92" s="175"/>
      <c r="T92" s="175"/>
      <c r="U92" s="175"/>
      <c r="V92" s="170"/>
      <c r="W92" s="175"/>
      <c r="X92" s="175"/>
      <c r="Y92" s="175"/>
      <c r="Z92" s="175"/>
      <c r="AA92" s="170"/>
      <c r="AB92" s="175"/>
      <c r="AC92" s="175"/>
      <c r="AD92" s="175"/>
      <c r="AE92" s="175"/>
      <c r="AF92" s="170"/>
      <c r="AG92" s="175"/>
      <c r="AH92" s="175"/>
      <c r="AI92" s="175"/>
      <c r="AJ92" s="175"/>
      <c r="AK92" s="170"/>
      <c r="AL92" s="175"/>
      <c r="AM92" s="175"/>
      <c r="AN92" s="175"/>
      <c r="AO92" s="175"/>
      <c r="AP92" s="170"/>
      <c r="AQ92" s="175"/>
      <c r="AR92" s="175"/>
      <c r="AS92" s="175"/>
      <c r="AT92" s="175"/>
      <c r="AU92" s="170"/>
      <c r="AV92" s="175"/>
      <c r="AW92" s="175"/>
      <c r="AX92" s="175"/>
      <c r="AY92" s="175"/>
      <c r="AZ92" s="170"/>
      <c r="BA92" s="175"/>
      <c r="BB92" s="175"/>
      <c r="BC92" s="175"/>
      <c r="BD92" s="175"/>
      <c r="BE92" s="170">
        <v>53.814999999999998</v>
      </c>
      <c r="BF92" s="175">
        <v>56.231000000000002</v>
      </c>
      <c r="BG92" s="175"/>
      <c r="BH92" s="175"/>
      <c r="BI92" s="175"/>
      <c r="BJ92" s="170"/>
      <c r="BK92" s="175"/>
      <c r="BL92" s="175"/>
      <c r="BM92" s="175"/>
      <c r="BN92" s="175"/>
      <c r="BO92" s="170"/>
      <c r="BP92" s="175"/>
      <c r="BQ92" s="175"/>
      <c r="BR92" s="175"/>
      <c r="BS92" s="175"/>
      <c r="BT92" s="170"/>
      <c r="BU92" s="175"/>
      <c r="BV92" s="175"/>
      <c r="BW92" s="175"/>
      <c r="BX92" s="175"/>
      <c r="BY92" s="170"/>
      <c r="BZ92" s="175"/>
      <c r="CA92" s="175"/>
      <c r="CB92" s="175"/>
      <c r="CC92" s="175"/>
      <c r="CD92" s="170"/>
      <c r="CE92" s="175"/>
      <c r="CF92" s="175"/>
      <c r="CG92" s="175"/>
      <c r="CH92" s="175"/>
      <c r="CI92" s="170"/>
      <c r="CJ92" s="521"/>
      <c r="CK92" s="521"/>
      <c r="CL92" s="521">
        <v>225.8</v>
      </c>
      <c r="CM92" s="521">
        <v>222.2</v>
      </c>
      <c r="CN92" s="392">
        <f>CM92</f>
        <v>222.2</v>
      </c>
      <c r="CO92" s="521">
        <v>196.6</v>
      </c>
      <c r="CP92" s="521">
        <v>214.3</v>
      </c>
      <c r="CQ92" s="521">
        <v>229.9</v>
      </c>
      <c r="CR92" s="521">
        <v>235.4</v>
      </c>
      <c r="CS92" s="392">
        <f>CR92</f>
        <v>235.4</v>
      </c>
      <c r="CT92" s="521">
        <v>203.7</v>
      </c>
      <c r="CU92" s="521">
        <v>189.5</v>
      </c>
      <c r="CV92" s="521">
        <v>215.1</v>
      </c>
      <c r="CW92" s="687">
        <v>215.1</v>
      </c>
      <c r="CX92" s="392">
        <f>+CW92</f>
        <v>215.1</v>
      </c>
      <c r="CY92" s="521">
        <v>227.2</v>
      </c>
      <c r="CZ92" s="521">
        <v>213.5</v>
      </c>
      <c r="DA92" s="521">
        <v>240.6</v>
      </c>
      <c r="DB92" s="866">
        <v>279.7</v>
      </c>
      <c r="DC92" s="392">
        <f>+DB92</f>
        <v>279.7</v>
      </c>
      <c r="DD92" s="521">
        <v>256.60000000000002</v>
      </c>
      <c r="DE92" s="521">
        <v>261.8</v>
      </c>
      <c r="DF92" s="521">
        <v>269.8</v>
      </c>
      <c r="DG92" s="866">
        <v>300.39999999999998</v>
      </c>
      <c r="DH92" s="392">
        <f>+DG92</f>
        <v>300.39999999999998</v>
      </c>
      <c r="DI92" s="521">
        <v>255.7</v>
      </c>
      <c r="DJ92" s="521">
        <v>272.8</v>
      </c>
      <c r="DK92" s="521">
        <v>258.39999999999998</v>
      </c>
      <c r="DL92" s="175"/>
      <c r="DM92" s="170"/>
      <c r="DN92" s="175"/>
      <c r="DO92" s="175"/>
      <c r="DP92" s="175"/>
      <c r="DQ92" s="175"/>
      <c r="DR92" s="170"/>
      <c r="DS92" s="175"/>
      <c r="DT92" s="175"/>
      <c r="DU92" s="175"/>
      <c r="DV92" s="175"/>
      <c r="DW92" s="170"/>
      <c r="DX92" s="175"/>
      <c r="DY92" s="175"/>
      <c r="DZ92" s="175"/>
      <c r="EA92" s="175"/>
      <c r="EB92" s="170"/>
      <c r="EC92" s="530">
        <f>SUM(CP91:CP92)</f>
        <v>804.7</v>
      </c>
      <c r="ED92" s="418"/>
      <c r="EK92" s="418"/>
    </row>
    <row r="93" spans="1:141" x14ac:dyDescent="0.2">
      <c r="A93" s="27" t="s">
        <v>147</v>
      </c>
      <c r="B93" s="179"/>
      <c r="C93" s="175"/>
      <c r="D93" s="175"/>
      <c r="E93" s="175"/>
      <c r="F93" s="175"/>
      <c r="G93" s="170"/>
      <c r="H93" s="175"/>
      <c r="I93" s="175"/>
      <c r="J93" s="175"/>
      <c r="K93" s="175"/>
      <c r="L93" s="170"/>
      <c r="M93" s="175"/>
      <c r="N93" s="175"/>
      <c r="O93" s="175"/>
      <c r="P93" s="175"/>
      <c r="Q93" s="170"/>
      <c r="R93" s="175"/>
      <c r="S93" s="175"/>
      <c r="T93" s="175"/>
      <c r="U93" s="175"/>
      <c r="V93" s="170"/>
      <c r="W93" s="175"/>
      <c r="X93" s="175"/>
      <c r="Y93" s="175"/>
      <c r="Z93" s="175"/>
      <c r="AA93" s="170"/>
      <c r="AB93" s="175"/>
      <c r="AC93" s="175"/>
      <c r="AD93" s="175"/>
      <c r="AE93" s="175"/>
      <c r="AF93" s="170"/>
      <c r="AG93" s="175"/>
      <c r="AH93" s="175"/>
      <c r="AI93" s="175"/>
      <c r="AJ93" s="175"/>
      <c r="AK93" s="170"/>
      <c r="AL93" s="175"/>
      <c r="AM93" s="175"/>
      <c r="AN93" s="175"/>
      <c r="AO93" s="175"/>
      <c r="AP93" s="170"/>
      <c r="AQ93" s="175"/>
      <c r="AR93" s="175"/>
      <c r="AS93" s="175"/>
      <c r="AT93" s="175"/>
      <c r="AU93" s="170"/>
      <c r="AV93" s="175"/>
      <c r="AW93" s="175"/>
      <c r="AX93" s="175"/>
      <c r="AY93" s="175"/>
      <c r="AZ93" s="170"/>
      <c r="BA93" s="175"/>
      <c r="BB93" s="175"/>
      <c r="BC93" s="175"/>
      <c r="BD93" s="175"/>
      <c r="BE93" s="170">
        <v>80.539000000000001</v>
      </c>
      <c r="BF93" s="175">
        <v>109.09399999999999</v>
      </c>
      <c r="BG93" s="175"/>
      <c r="BH93" s="175"/>
      <c r="BI93" s="175"/>
      <c r="BJ93" s="170"/>
      <c r="BK93" s="175"/>
      <c r="BL93" s="175"/>
      <c r="BM93" s="175"/>
      <c r="BN93" s="175"/>
      <c r="BO93" s="170"/>
      <c r="BP93" s="175"/>
      <c r="BQ93" s="175"/>
      <c r="BR93" s="175"/>
      <c r="BS93" s="175"/>
      <c r="BT93" s="170"/>
      <c r="BU93" s="175"/>
      <c r="BV93" s="175"/>
      <c r="BW93" s="175"/>
      <c r="BX93" s="175"/>
      <c r="BY93" s="170"/>
      <c r="BZ93" s="175"/>
      <c r="CA93" s="175"/>
      <c r="CB93" s="175"/>
      <c r="CC93" s="175"/>
      <c r="CD93" s="170"/>
      <c r="CE93" s="175"/>
      <c r="CF93" s="175"/>
      <c r="CG93" s="175"/>
      <c r="CH93" s="175"/>
      <c r="CI93" s="170"/>
      <c r="CJ93" s="521"/>
      <c r="CK93" s="521"/>
      <c r="CL93" s="521">
        <v>133.4</v>
      </c>
      <c r="CM93" s="521">
        <v>181.6</v>
      </c>
      <c r="CN93" s="392">
        <f>CM93</f>
        <v>181.6</v>
      </c>
      <c r="CO93" s="521">
        <v>161.30000000000001</v>
      </c>
      <c r="CP93" s="521">
        <v>200.7</v>
      </c>
      <c r="CQ93" s="521">
        <v>204.2</v>
      </c>
      <c r="CR93" s="521">
        <v>243.3</v>
      </c>
      <c r="CS93" s="392">
        <f>CR93</f>
        <v>243.3</v>
      </c>
      <c r="CT93" s="521">
        <v>198.8</v>
      </c>
      <c r="CU93" s="521">
        <v>210.1</v>
      </c>
      <c r="CV93" s="521">
        <v>213.8</v>
      </c>
      <c r="CW93" s="687">
        <v>213.8</v>
      </c>
      <c r="CX93" s="392">
        <f>+CW93</f>
        <v>213.8</v>
      </c>
      <c r="CY93" s="521">
        <v>230.2</v>
      </c>
      <c r="CZ93" s="521">
        <v>210.5</v>
      </c>
      <c r="DA93" s="521">
        <v>226.2</v>
      </c>
      <c r="DB93" s="866">
        <v>318.3</v>
      </c>
      <c r="DC93" s="392">
        <f>+DB93</f>
        <v>318.3</v>
      </c>
      <c r="DD93" s="521">
        <v>270.8</v>
      </c>
      <c r="DE93" s="521">
        <v>255</v>
      </c>
      <c r="DF93" s="521">
        <v>243.7</v>
      </c>
      <c r="DG93" s="866">
        <v>308.60000000000002</v>
      </c>
      <c r="DH93" s="392">
        <f>+DG93</f>
        <v>308.60000000000002</v>
      </c>
      <c r="DI93" s="521">
        <v>256.2</v>
      </c>
      <c r="DJ93" s="521">
        <v>244.6</v>
      </c>
      <c r="DK93" s="521">
        <v>261.3</v>
      </c>
      <c r="DL93" s="175"/>
      <c r="DM93" s="170"/>
      <c r="DN93" s="175"/>
      <c r="DO93" s="175"/>
      <c r="DP93" s="175"/>
      <c r="DQ93" s="175"/>
      <c r="DR93" s="170"/>
      <c r="DS93" s="175"/>
      <c r="DT93" s="175"/>
      <c r="DU93" s="175"/>
      <c r="DV93" s="175"/>
      <c r="DW93" s="170"/>
      <c r="DX93" s="175"/>
      <c r="DY93" s="175"/>
      <c r="DZ93" s="175"/>
      <c r="EA93" s="175"/>
      <c r="EB93" s="170"/>
      <c r="ED93" s="418"/>
      <c r="EK93" s="418"/>
    </row>
    <row r="94" spans="1:141" ht="15" x14ac:dyDescent="0.35">
      <c r="A94" s="27" t="s">
        <v>146</v>
      </c>
      <c r="B94" s="179"/>
      <c r="C94" s="175"/>
      <c r="D94" s="175"/>
      <c r="E94" s="175"/>
      <c r="F94" s="175"/>
      <c r="G94" s="170"/>
      <c r="H94" s="175"/>
      <c r="I94" s="175"/>
      <c r="J94" s="175"/>
      <c r="K94" s="175"/>
      <c r="L94" s="170"/>
      <c r="M94" s="175"/>
      <c r="N94" s="175"/>
      <c r="O94" s="175"/>
      <c r="P94" s="175"/>
      <c r="Q94" s="170"/>
      <c r="R94" s="175"/>
      <c r="S94" s="175"/>
      <c r="T94" s="175"/>
      <c r="U94" s="175"/>
      <c r="V94" s="170"/>
      <c r="W94" s="175"/>
      <c r="X94" s="175"/>
      <c r="Y94" s="175"/>
      <c r="Z94" s="175"/>
      <c r="AA94" s="170"/>
      <c r="AB94" s="175"/>
      <c r="AC94" s="175"/>
      <c r="AD94" s="175"/>
      <c r="AE94" s="175"/>
      <c r="AF94" s="170"/>
      <c r="AG94" s="175"/>
      <c r="AH94" s="175"/>
      <c r="AI94" s="175"/>
      <c r="AJ94" s="175"/>
      <c r="AK94" s="170"/>
      <c r="AL94" s="175"/>
      <c r="AM94" s="175"/>
      <c r="AN94" s="175"/>
      <c r="AO94" s="175"/>
      <c r="AP94" s="170"/>
      <c r="AQ94" s="175"/>
      <c r="AR94" s="175"/>
      <c r="AS94" s="175"/>
      <c r="AT94" s="175"/>
      <c r="AU94" s="170"/>
      <c r="AV94" s="175"/>
      <c r="AW94" s="175"/>
      <c r="AX94" s="175"/>
      <c r="AY94" s="175"/>
      <c r="AZ94" s="170"/>
      <c r="BA94" s="175"/>
      <c r="BB94" s="175"/>
      <c r="BC94" s="175"/>
      <c r="BD94" s="175"/>
      <c r="BE94" s="212">
        <v>56.091999999999999</v>
      </c>
      <c r="BF94" s="211">
        <v>61.228999999999999</v>
      </c>
      <c r="BG94" s="175"/>
      <c r="BH94" s="175"/>
      <c r="BI94" s="175"/>
      <c r="BJ94" s="170"/>
      <c r="BK94" s="175"/>
      <c r="BL94" s="175"/>
      <c r="BM94" s="175"/>
      <c r="BN94" s="175"/>
      <c r="BO94" s="170"/>
      <c r="BP94" s="175"/>
      <c r="BQ94" s="175"/>
      <c r="BR94" s="175"/>
      <c r="BS94" s="175"/>
      <c r="BT94" s="170"/>
      <c r="BU94" s="175"/>
      <c r="BV94" s="175"/>
      <c r="BW94" s="175"/>
      <c r="BX94" s="175"/>
      <c r="BY94" s="170"/>
      <c r="BZ94" s="175"/>
      <c r="CA94" s="175"/>
      <c r="CB94" s="175"/>
      <c r="CC94" s="175"/>
      <c r="CD94" s="170"/>
      <c r="CE94" s="175"/>
      <c r="CF94" s="175"/>
      <c r="CG94" s="175"/>
      <c r="CH94" s="175"/>
      <c r="CI94" s="170"/>
      <c r="CJ94" s="525"/>
      <c r="CK94" s="525"/>
      <c r="CL94" s="525">
        <v>140.9</v>
      </c>
      <c r="CM94" s="525">
        <v>126.4</v>
      </c>
      <c r="CN94" s="583">
        <f>CM94</f>
        <v>126.4</v>
      </c>
      <c r="CO94" s="525">
        <v>116.3</v>
      </c>
      <c r="CP94" s="619">
        <v>119.1</v>
      </c>
      <c r="CQ94" s="525">
        <v>134.6</v>
      </c>
      <c r="CR94" s="525">
        <v>139.5</v>
      </c>
      <c r="CS94" s="583">
        <f>CR94</f>
        <v>139.5</v>
      </c>
      <c r="CT94" s="525">
        <v>133.19999999999999</v>
      </c>
      <c r="CU94" s="619">
        <v>155.1</v>
      </c>
      <c r="CV94" s="639">
        <v>154.6</v>
      </c>
      <c r="CW94" s="703">
        <v>154.6</v>
      </c>
      <c r="CX94" s="583">
        <f>+CW94</f>
        <v>154.6</v>
      </c>
      <c r="CY94" s="619">
        <v>146.69999999999999</v>
      </c>
      <c r="CZ94" s="619">
        <v>166.6</v>
      </c>
      <c r="DA94" s="619">
        <v>169.7</v>
      </c>
      <c r="DB94" s="883">
        <v>179</v>
      </c>
      <c r="DC94" s="583">
        <f>+DB94</f>
        <v>179</v>
      </c>
      <c r="DD94" s="619">
        <v>156</v>
      </c>
      <c r="DE94" s="619">
        <v>190.8</v>
      </c>
      <c r="DF94" s="619">
        <v>186.4</v>
      </c>
      <c r="DG94" s="883">
        <v>207.9</v>
      </c>
      <c r="DH94" s="583">
        <f>+DG94</f>
        <v>207.9</v>
      </c>
      <c r="DI94" s="619">
        <v>156.30000000000001</v>
      </c>
      <c r="DJ94" s="619">
        <v>207</v>
      </c>
      <c r="DK94" s="619">
        <v>222.9</v>
      </c>
      <c r="DL94" s="175"/>
      <c r="DM94" s="170"/>
      <c r="DN94" s="175"/>
      <c r="DO94" s="175"/>
      <c r="DP94" s="175"/>
      <c r="DQ94" s="175"/>
      <c r="DR94" s="170"/>
      <c r="DS94" s="175"/>
      <c r="DT94" s="175"/>
      <c r="DU94" s="175"/>
      <c r="DV94" s="175"/>
      <c r="DW94" s="170"/>
      <c r="DX94" s="175"/>
      <c r="DY94" s="175"/>
      <c r="DZ94" s="175"/>
      <c r="EA94" s="175"/>
      <c r="EB94" s="170"/>
      <c r="ED94" s="418"/>
      <c r="EK94" s="418"/>
    </row>
    <row r="95" spans="1:141" x14ac:dyDescent="0.2">
      <c r="A95" s="30" t="s">
        <v>540</v>
      </c>
      <c r="B95" s="210"/>
      <c r="C95" s="211"/>
      <c r="D95" s="211"/>
      <c r="E95" s="211"/>
      <c r="F95" s="211"/>
      <c r="G95" s="212"/>
      <c r="H95" s="211"/>
      <c r="I95" s="211"/>
      <c r="J95" s="211"/>
      <c r="K95" s="211"/>
      <c r="L95" s="212"/>
      <c r="M95" s="211"/>
      <c r="N95" s="211"/>
      <c r="O95" s="211"/>
      <c r="P95" s="211"/>
      <c r="Q95" s="212"/>
      <c r="R95" s="211"/>
      <c r="S95" s="211"/>
      <c r="T95" s="211"/>
      <c r="U95" s="211"/>
      <c r="V95" s="212"/>
      <c r="W95" s="211"/>
      <c r="X95" s="211"/>
      <c r="Y95" s="211"/>
      <c r="Z95" s="211"/>
      <c r="AA95" s="212"/>
      <c r="AB95" s="211"/>
      <c r="AC95" s="211"/>
      <c r="AD95" s="211"/>
      <c r="AE95" s="211"/>
      <c r="AF95" s="212"/>
      <c r="AG95" s="211"/>
      <c r="AH95" s="211"/>
      <c r="AI95" s="211"/>
      <c r="AJ95" s="211"/>
      <c r="AK95" s="212"/>
      <c r="AL95" s="211"/>
      <c r="AM95" s="211"/>
      <c r="AN95" s="211"/>
      <c r="AO95" s="211"/>
      <c r="AP95" s="212"/>
      <c r="AQ95" s="211"/>
      <c r="AR95" s="211"/>
      <c r="AS95" s="211"/>
      <c r="AT95" s="211"/>
      <c r="AU95" s="212"/>
      <c r="AV95" s="211"/>
      <c r="AW95" s="211"/>
      <c r="AX95" s="211"/>
      <c r="AY95" s="211"/>
      <c r="AZ95" s="212"/>
      <c r="BA95" s="211"/>
      <c r="BB95" s="211"/>
      <c r="BC95" s="211"/>
      <c r="BD95" s="211"/>
      <c r="BE95" s="212">
        <v>452.65</v>
      </c>
      <c r="BF95" s="211">
        <v>546.29899999999998</v>
      </c>
      <c r="BG95" s="211"/>
      <c r="BH95" s="211"/>
      <c r="BI95" s="211"/>
      <c r="BJ95" s="212"/>
      <c r="BK95" s="211"/>
      <c r="BL95" s="211"/>
      <c r="BM95" s="211"/>
      <c r="BN95" s="211"/>
      <c r="BO95" s="212"/>
      <c r="BP95" s="211"/>
      <c r="BQ95" s="211"/>
      <c r="BR95" s="211"/>
      <c r="BS95" s="211"/>
      <c r="BT95" s="212"/>
      <c r="BU95" s="211"/>
      <c r="BV95" s="211"/>
      <c r="BW95" s="211"/>
      <c r="BX95" s="211"/>
      <c r="BY95" s="212"/>
      <c r="BZ95" s="211"/>
      <c r="CA95" s="211"/>
      <c r="CB95" s="211"/>
      <c r="CC95" s="211"/>
      <c r="CD95" s="212"/>
      <c r="CE95" s="211"/>
      <c r="CF95" s="211"/>
      <c r="CG95" s="211"/>
      <c r="CH95" s="211"/>
      <c r="CI95" s="212"/>
      <c r="CJ95" s="595">
        <f t="shared" ref="CJ95:CT95" si="188">SUM(CJ91:CJ94)</f>
        <v>0</v>
      </c>
      <c r="CK95" s="595">
        <f t="shared" si="188"/>
        <v>0</v>
      </c>
      <c r="CL95" s="595">
        <f t="shared" si="188"/>
        <v>1249.2000000000003</v>
      </c>
      <c r="CM95" s="595">
        <f t="shared" si="188"/>
        <v>1241.5</v>
      </c>
      <c r="CN95" s="596">
        <f t="shared" si="188"/>
        <v>1241.5</v>
      </c>
      <c r="CO95" s="595">
        <f t="shared" si="188"/>
        <v>1093.2</v>
      </c>
      <c r="CP95" s="595">
        <f t="shared" si="188"/>
        <v>1124.5</v>
      </c>
      <c r="CQ95" s="595">
        <f t="shared" si="188"/>
        <v>1173.8</v>
      </c>
      <c r="CR95" s="595">
        <f>SUM(CR91:CR94)</f>
        <v>1111.2</v>
      </c>
      <c r="CS95" s="596">
        <f t="shared" si="188"/>
        <v>1111.2</v>
      </c>
      <c r="CT95" s="595">
        <f t="shared" si="188"/>
        <v>942.7</v>
      </c>
      <c r="CU95" s="595">
        <f t="shared" ref="CU95:DK95" si="189">SUM(CU91:CU94)</f>
        <v>954.7</v>
      </c>
      <c r="CV95" s="595">
        <f t="shared" si="189"/>
        <v>1025.8</v>
      </c>
      <c r="CW95" s="704">
        <f t="shared" si="189"/>
        <v>1025.8</v>
      </c>
      <c r="CX95" s="596">
        <f t="shared" si="189"/>
        <v>1025.8</v>
      </c>
      <c r="CY95" s="595">
        <f t="shared" si="189"/>
        <v>1018.3</v>
      </c>
      <c r="CZ95" s="595">
        <f t="shared" si="189"/>
        <v>1061.0999999999999</v>
      </c>
      <c r="DA95" s="595">
        <f t="shared" si="189"/>
        <v>1166</v>
      </c>
      <c r="DB95" s="884">
        <f t="shared" si="189"/>
        <v>1306.3999999999999</v>
      </c>
      <c r="DC95" s="596">
        <f t="shared" si="189"/>
        <v>1306.3999999999999</v>
      </c>
      <c r="DD95" s="595">
        <f t="shared" si="189"/>
        <v>1242.6000000000001</v>
      </c>
      <c r="DE95" s="595">
        <f t="shared" si="189"/>
        <v>1293.0999999999999</v>
      </c>
      <c r="DF95" s="884">
        <f t="shared" si="189"/>
        <v>1325.1000000000001</v>
      </c>
      <c r="DG95" s="884">
        <f t="shared" si="189"/>
        <v>1378.5</v>
      </c>
      <c r="DH95" s="596">
        <f t="shared" ref="DH95" si="190">SUM(DH91:DH94)</f>
        <v>1378.5</v>
      </c>
      <c r="DI95" s="595">
        <f t="shared" si="189"/>
        <v>1218.7</v>
      </c>
      <c r="DJ95" s="595">
        <f t="shared" si="189"/>
        <v>1323.6</v>
      </c>
      <c r="DK95" s="595">
        <f t="shared" si="189"/>
        <v>1357.3000000000002</v>
      </c>
      <c r="DL95" s="211"/>
      <c r="DM95" s="212"/>
      <c r="DN95" s="211"/>
      <c r="DO95" s="211"/>
      <c r="DP95" s="211"/>
      <c r="DQ95" s="211"/>
      <c r="DR95" s="212"/>
      <c r="DS95" s="211"/>
      <c r="DT95" s="211"/>
      <c r="DU95" s="211"/>
      <c r="DV95" s="211"/>
      <c r="DW95" s="212"/>
      <c r="DX95" s="211"/>
      <c r="DY95" s="211"/>
      <c r="DZ95" s="211"/>
      <c r="EA95" s="211"/>
      <c r="EB95" s="212"/>
      <c r="ED95" s="418"/>
      <c r="EK95" s="418"/>
    </row>
    <row r="96" spans="1:141" x14ac:dyDescent="0.2">
      <c r="A96" s="1"/>
      <c r="B96" s="179"/>
      <c r="C96" s="175"/>
      <c r="D96" s="175"/>
      <c r="E96" s="175"/>
      <c r="F96" s="175"/>
      <c r="G96" s="170"/>
      <c r="H96" s="157"/>
      <c r="I96" s="157"/>
      <c r="J96" s="157"/>
      <c r="K96" s="175"/>
      <c r="L96" s="170"/>
      <c r="M96" s="157"/>
      <c r="N96" s="157"/>
      <c r="O96" s="157"/>
      <c r="P96" s="175"/>
      <c r="Q96" s="170"/>
      <c r="R96" s="157"/>
      <c r="S96" s="157"/>
      <c r="T96" s="157"/>
      <c r="U96" s="175"/>
      <c r="V96" s="170"/>
      <c r="W96" s="175"/>
      <c r="X96" s="175"/>
      <c r="Y96" s="175"/>
      <c r="Z96" s="175"/>
      <c r="AA96" s="170"/>
      <c r="AB96" s="157"/>
      <c r="AC96" s="157"/>
      <c r="AD96" s="157"/>
      <c r="AE96" s="175"/>
      <c r="AF96" s="170"/>
      <c r="AG96" s="157"/>
      <c r="AH96" s="157"/>
      <c r="AI96" s="157"/>
      <c r="AJ96" s="175"/>
      <c r="AK96" s="170"/>
      <c r="AL96" s="157"/>
      <c r="AM96" s="157"/>
      <c r="AN96" s="157"/>
      <c r="AO96" s="175"/>
      <c r="AP96" s="170"/>
      <c r="AQ96" s="157"/>
      <c r="AR96" s="157"/>
      <c r="AS96" s="157"/>
      <c r="AT96" s="175"/>
      <c r="AU96" s="170"/>
      <c r="AV96" s="157"/>
      <c r="AW96" s="157"/>
      <c r="AX96" s="157"/>
      <c r="AY96" s="175"/>
      <c r="AZ96" s="170"/>
      <c r="BA96" s="157"/>
      <c r="BB96" s="157"/>
      <c r="BC96" s="157"/>
      <c r="BD96" s="175"/>
      <c r="BE96" s="170"/>
      <c r="BF96" s="157"/>
      <c r="BG96" s="157"/>
      <c r="BH96" s="157"/>
      <c r="BI96" s="175"/>
      <c r="BJ96" s="170"/>
      <c r="BK96" s="157"/>
      <c r="BL96" s="157"/>
      <c r="BM96" s="157"/>
      <c r="BN96" s="175"/>
      <c r="BO96" s="170"/>
      <c r="BP96" s="157"/>
      <c r="BQ96" s="157"/>
      <c r="BR96" s="157"/>
      <c r="BS96" s="175"/>
      <c r="BT96" s="170"/>
      <c r="BU96" s="157"/>
      <c r="BV96" s="157"/>
      <c r="BW96" s="157"/>
      <c r="BX96" s="175"/>
      <c r="BY96" s="170"/>
      <c r="BZ96" s="157"/>
      <c r="CA96" s="157"/>
      <c r="CB96" s="157"/>
      <c r="CC96" s="175"/>
      <c r="CD96" s="170"/>
      <c r="CE96" s="157"/>
      <c r="CF96" s="157"/>
      <c r="CG96" s="157"/>
      <c r="CH96" s="175"/>
      <c r="CI96" s="170"/>
      <c r="CJ96" s="157"/>
      <c r="CK96" s="157"/>
      <c r="CL96" s="157"/>
      <c r="CM96" s="175"/>
      <c r="CN96" s="170"/>
      <c r="CO96" s="157"/>
      <c r="CP96" s="157"/>
      <c r="CQ96" s="157"/>
      <c r="CR96" s="175"/>
      <c r="CS96" s="170"/>
      <c r="CT96" s="157"/>
      <c r="CU96" s="157"/>
      <c r="CV96" s="157"/>
      <c r="CW96" s="678"/>
      <c r="CX96" s="742"/>
      <c r="CY96" s="157"/>
      <c r="CZ96" s="157"/>
      <c r="DA96" s="157"/>
      <c r="DB96" s="861"/>
      <c r="DC96" s="170"/>
      <c r="DD96" s="157"/>
      <c r="DE96" s="157"/>
      <c r="DF96" s="157"/>
      <c r="DG96" s="175"/>
      <c r="DH96" s="170"/>
      <c r="DI96" s="157"/>
      <c r="DJ96" s="157"/>
      <c r="DK96" s="157"/>
      <c r="DL96" s="157"/>
      <c r="DM96" s="170"/>
      <c r="DN96" s="157"/>
      <c r="DO96" s="157"/>
      <c r="DP96" s="157"/>
      <c r="DQ96" s="157"/>
      <c r="DR96" s="170"/>
      <c r="DS96" s="157"/>
      <c r="DT96" s="157"/>
      <c r="DU96" s="157"/>
      <c r="DV96" s="157"/>
      <c r="DW96" s="170"/>
      <c r="DX96" s="157"/>
      <c r="DY96" s="157"/>
      <c r="DZ96" s="157"/>
      <c r="EA96" s="157"/>
      <c r="EB96" s="170"/>
      <c r="ED96" s="418"/>
      <c r="EK96" s="418"/>
    </row>
    <row r="97" spans="1:141" s="77" customFormat="1" x14ac:dyDescent="0.2">
      <c r="A97" s="16" t="s">
        <v>372</v>
      </c>
      <c r="B97" s="433"/>
      <c r="C97" s="435"/>
      <c r="D97" s="435"/>
      <c r="E97" s="435"/>
      <c r="F97" s="435"/>
      <c r="G97" s="433"/>
      <c r="H97" s="434"/>
      <c r="I97" s="434"/>
      <c r="J97" s="434"/>
      <c r="K97" s="435"/>
      <c r="L97" s="433"/>
      <c r="M97" s="434"/>
      <c r="N97" s="434"/>
      <c r="O97" s="434"/>
      <c r="P97" s="435"/>
      <c r="Q97" s="433"/>
      <c r="R97" s="434"/>
      <c r="S97" s="434"/>
      <c r="T97" s="434"/>
      <c r="U97" s="435"/>
      <c r="V97" s="433"/>
      <c r="W97" s="435"/>
      <c r="X97" s="435"/>
      <c r="Y97" s="435"/>
      <c r="Z97" s="435"/>
      <c r="AA97" s="433"/>
      <c r="AB97" s="434"/>
      <c r="AC97" s="434"/>
      <c r="AD97" s="434"/>
      <c r="AE97" s="435"/>
      <c r="AF97" s="433"/>
      <c r="AG97" s="434"/>
      <c r="AH97" s="434"/>
      <c r="AI97" s="434"/>
      <c r="AJ97" s="435"/>
      <c r="AK97" s="433"/>
      <c r="AL97" s="434"/>
      <c r="AM97" s="434"/>
      <c r="AN97" s="434"/>
      <c r="AO97" s="435"/>
      <c r="AP97" s="433"/>
      <c r="AQ97" s="434"/>
      <c r="AR97" s="434"/>
      <c r="AS97" s="434"/>
      <c r="AT97" s="435"/>
      <c r="AU97" s="433"/>
      <c r="AV97" s="434"/>
      <c r="AW97" s="434"/>
      <c r="AX97" s="434"/>
      <c r="AY97" s="435"/>
      <c r="AZ97" s="433"/>
      <c r="BA97" s="434"/>
      <c r="BB97" s="434"/>
      <c r="BC97" s="434"/>
      <c r="BD97" s="435"/>
      <c r="BE97" s="433"/>
      <c r="BF97" s="434"/>
      <c r="BG97" s="434"/>
      <c r="BH97" s="434"/>
      <c r="BI97" s="435"/>
      <c r="BJ97" s="433"/>
      <c r="BK97" s="434"/>
      <c r="BL97" s="434"/>
      <c r="BM97" s="434"/>
      <c r="BN97" s="435"/>
      <c r="BO97" s="433"/>
      <c r="BP97" s="434"/>
      <c r="BQ97" s="434"/>
      <c r="BR97" s="434"/>
      <c r="BS97" s="435"/>
      <c r="BT97" s="433"/>
      <c r="BU97" s="434"/>
      <c r="BV97" s="434"/>
      <c r="BW97" s="434"/>
      <c r="BX97" s="435"/>
      <c r="BY97" s="433"/>
      <c r="BZ97" s="434"/>
      <c r="CA97" s="434"/>
      <c r="CB97" s="434"/>
      <c r="CC97" s="435"/>
      <c r="CD97" s="433"/>
      <c r="CE97" s="434"/>
      <c r="CF97" s="434"/>
      <c r="CG97" s="434"/>
      <c r="CH97" s="435"/>
      <c r="CI97" s="433"/>
      <c r="CJ97" s="434"/>
      <c r="CK97" s="434"/>
      <c r="CL97" s="434"/>
      <c r="CM97" s="435"/>
      <c r="CN97" s="433"/>
      <c r="CO97" s="434"/>
      <c r="CP97" s="434"/>
      <c r="CQ97" s="434"/>
      <c r="CR97" s="435"/>
      <c r="CS97" s="433"/>
      <c r="CT97" s="434"/>
      <c r="CU97" s="434"/>
      <c r="CV97" s="434"/>
      <c r="CW97" s="690"/>
      <c r="CX97" s="749"/>
      <c r="CY97" s="227"/>
      <c r="CZ97" s="227"/>
      <c r="DA97" s="833"/>
      <c r="DB97" s="870"/>
      <c r="DC97" s="834"/>
      <c r="DD97" s="835"/>
      <c r="DE97" s="434"/>
      <c r="DF97" s="434"/>
      <c r="DG97" s="435"/>
      <c r="DH97" s="433"/>
      <c r="DI97" s="434"/>
      <c r="DJ97" s="434"/>
      <c r="DK97" s="227"/>
      <c r="DL97" s="227"/>
      <c r="DM97" s="179"/>
      <c r="DN97" s="434"/>
      <c r="DO97" s="434"/>
      <c r="DP97" s="434"/>
      <c r="DQ97" s="434"/>
      <c r="DR97" s="433"/>
      <c r="DS97" s="434"/>
      <c r="DT97" s="434"/>
      <c r="DU97" s="434"/>
      <c r="DV97" s="434"/>
      <c r="DW97" s="433"/>
      <c r="DX97" s="434"/>
      <c r="DY97" s="434"/>
      <c r="DZ97" s="434"/>
      <c r="EA97" s="434"/>
      <c r="EB97" s="433"/>
      <c r="ED97" s="597"/>
      <c r="EE97"/>
      <c r="EF97"/>
      <c r="EG97"/>
      <c r="EH97"/>
      <c r="EI97"/>
      <c r="EJ97"/>
      <c r="EK97" s="597"/>
    </row>
    <row r="98" spans="1:141" s="77" customFormat="1" x14ac:dyDescent="0.2">
      <c r="A98" s="16"/>
      <c r="B98" s="433"/>
      <c r="C98" s="435"/>
      <c r="D98" s="435"/>
      <c r="E98" s="435"/>
      <c r="F98" s="435"/>
      <c r="G98" s="433"/>
      <c r="H98" s="434"/>
      <c r="I98" s="434"/>
      <c r="J98" s="434"/>
      <c r="K98" s="435"/>
      <c r="L98" s="433"/>
      <c r="M98" s="434"/>
      <c r="N98" s="434"/>
      <c r="O98" s="434"/>
      <c r="P98" s="435"/>
      <c r="Q98" s="433"/>
      <c r="R98" s="434"/>
      <c r="S98" s="434"/>
      <c r="T98" s="434"/>
      <c r="U98" s="435"/>
      <c r="V98" s="433"/>
      <c r="W98" s="435"/>
      <c r="X98" s="435"/>
      <c r="Y98" s="435"/>
      <c r="Z98" s="435"/>
      <c r="AA98" s="433"/>
      <c r="AB98" s="434"/>
      <c r="AC98" s="434"/>
      <c r="AD98" s="434"/>
      <c r="AE98" s="435"/>
      <c r="AF98" s="433"/>
      <c r="AG98" s="434"/>
      <c r="AH98" s="434"/>
      <c r="AI98" s="434"/>
      <c r="AJ98" s="435"/>
      <c r="AK98" s="433"/>
      <c r="AL98" s="434"/>
      <c r="AM98" s="434"/>
      <c r="AN98" s="434"/>
      <c r="AO98" s="435"/>
      <c r="AP98" s="433"/>
      <c r="AQ98" s="434"/>
      <c r="AR98" s="434"/>
      <c r="AS98" s="434"/>
      <c r="AT98" s="435"/>
      <c r="AU98" s="433"/>
      <c r="AV98" s="434"/>
      <c r="AW98" s="434"/>
      <c r="AX98" s="434"/>
      <c r="AY98" s="435"/>
      <c r="AZ98" s="433"/>
      <c r="BA98" s="434"/>
      <c r="BB98" s="434"/>
      <c r="BC98" s="434"/>
      <c r="BD98" s="435"/>
      <c r="BE98" s="433"/>
      <c r="BF98" s="434"/>
      <c r="BG98" s="434"/>
      <c r="BH98" s="434"/>
      <c r="BI98" s="435"/>
      <c r="BJ98" s="433"/>
      <c r="BK98" s="434"/>
      <c r="BL98" s="434"/>
      <c r="BM98" s="434"/>
      <c r="BN98" s="435"/>
      <c r="BO98" s="433"/>
      <c r="BP98" s="434"/>
      <c r="BQ98" s="434"/>
      <c r="BR98" s="434"/>
      <c r="BS98" s="435"/>
      <c r="BT98" s="433"/>
      <c r="BU98" s="434"/>
      <c r="BV98" s="434"/>
      <c r="BW98" s="434"/>
      <c r="BX98" s="435"/>
      <c r="BY98" s="433"/>
      <c r="BZ98" s="434"/>
      <c r="CA98" s="434"/>
      <c r="CB98" s="434"/>
      <c r="CC98" s="435"/>
      <c r="CD98" s="433"/>
      <c r="CE98" s="434"/>
      <c r="CF98" s="434"/>
      <c r="CG98" s="434"/>
      <c r="CH98" s="435"/>
      <c r="CI98" s="433"/>
      <c r="CJ98" s="434"/>
      <c r="CK98" s="434"/>
      <c r="CL98" s="434"/>
      <c r="CM98" s="435"/>
      <c r="CN98" s="433"/>
      <c r="CO98" s="434"/>
      <c r="CP98" s="434"/>
      <c r="CQ98" s="434"/>
      <c r="CR98" s="435"/>
      <c r="CS98" s="433"/>
      <c r="CT98" s="434"/>
      <c r="CU98" s="434"/>
      <c r="CV98" s="434"/>
      <c r="CW98" s="690"/>
      <c r="CX98" s="749"/>
      <c r="CY98" s="227"/>
      <c r="CZ98" s="227"/>
      <c r="DA98" s="833"/>
      <c r="DB98" s="870"/>
      <c r="DC98" s="834"/>
      <c r="DD98" s="835"/>
      <c r="DE98" s="434"/>
      <c r="DF98" s="434"/>
      <c r="DG98" s="435"/>
      <c r="DH98" s="433"/>
      <c r="DI98" s="434"/>
      <c r="DJ98" s="434"/>
      <c r="DK98" s="227"/>
      <c r="DL98" s="227"/>
      <c r="DM98" s="179"/>
      <c r="DN98" s="434"/>
      <c r="DO98" s="434"/>
      <c r="DP98" s="434"/>
      <c r="DQ98" s="434"/>
      <c r="DR98" s="433"/>
      <c r="DS98" s="434"/>
      <c r="DT98" s="434"/>
      <c r="DU98" s="434"/>
      <c r="DV98" s="434"/>
      <c r="DW98" s="433"/>
      <c r="DX98" s="434"/>
      <c r="DY98" s="434"/>
      <c r="DZ98" s="434"/>
      <c r="EA98" s="434"/>
      <c r="EB98" s="433"/>
      <c r="ED98" s="597"/>
      <c r="EE98"/>
      <c r="EF98"/>
      <c r="EG98"/>
      <c r="EH98"/>
      <c r="EI98"/>
      <c r="EJ98"/>
      <c r="EK98" s="597"/>
    </row>
    <row r="99" spans="1:141" s="77" customFormat="1" x14ac:dyDescent="0.2">
      <c r="A99" s="1" t="s">
        <v>610</v>
      </c>
      <c r="B99" s="433"/>
      <c r="C99" s="435"/>
      <c r="D99" s="435"/>
      <c r="E99" s="435"/>
      <c r="F99" s="435"/>
      <c r="G99" s="433"/>
      <c r="H99" s="434"/>
      <c r="I99" s="434"/>
      <c r="J99" s="434"/>
      <c r="K99" s="435"/>
      <c r="L99" s="433"/>
      <c r="M99" s="434"/>
      <c r="N99" s="434"/>
      <c r="O99" s="434"/>
      <c r="P99" s="435"/>
      <c r="Q99" s="433"/>
      <c r="R99" s="434"/>
      <c r="S99" s="434"/>
      <c r="T99" s="434"/>
      <c r="U99" s="435"/>
      <c r="V99" s="433"/>
      <c r="W99" s="435"/>
      <c r="X99" s="435"/>
      <c r="Y99" s="435"/>
      <c r="Z99" s="435"/>
      <c r="AA99" s="433"/>
      <c r="AB99" s="434"/>
      <c r="AC99" s="434"/>
      <c r="AD99" s="434"/>
      <c r="AE99" s="435"/>
      <c r="AF99" s="433"/>
      <c r="AG99" s="434"/>
      <c r="AH99" s="434"/>
      <c r="AI99" s="434"/>
      <c r="AJ99" s="435"/>
      <c r="AK99" s="433"/>
      <c r="AL99" s="434"/>
      <c r="AM99" s="434"/>
      <c r="AN99" s="434"/>
      <c r="AO99" s="435"/>
      <c r="AP99" s="433"/>
      <c r="AQ99" s="434"/>
      <c r="AR99" s="434"/>
      <c r="AS99" s="434"/>
      <c r="AT99" s="435"/>
      <c r="AU99" s="433"/>
      <c r="AV99" s="434"/>
      <c r="AW99" s="434"/>
      <c r="AX99" s="434"/>
      <c r="AY99" s="435"/>
      <c r="AZ99" s="433"/>
      <c r="BA99" s="434"/>
      <c r="BB99" s="434"/>
      <c r="BC99" s="434"/>
      <c r="BD99" s="435"/>
      <c r="BE99" s="433"/>
      <c r="BF99" s="434"/>
      <c r="BG99" s="434"/>
      <c r="BH99" s="434"/>
      <c r="BI99" s="435"/>
      <c r="BJ99" s="433"/>
      <c r="BK99" s="434"/>
      <c r="BL99" s="434"/>
      <c r="BM99" s="434"/>
      <c r="BN99" s="435"/>
      <c r="BO99" s="433"/>
      <c r="BP99" s="434"/>
      <c r="BQ99" s="434"/>
      <c r="BR99" s="434"/>
      <c r="BS99" s="435"/>
      <c r="BT99" s="433"/>
      <c r="BU99" s="434"/>
      <c r="BV99" s="434"/>
      <c r="BW99" s="434"/>
      <c r="BX99" s="435"/>
      <c r="BY99" s="433"/>
      <c r="BZ99" s="434"/>
      <c r="CA99" s="434"/>
      <c r="CB99" s="434"/>
      <c r="CC99" s="435"/>
      <c r="CD99" s="433"/>
      <c r="CE99" s="434"/>
      <c r="CF99" s="434"/>
      <c r="CG99" s="434"/>
      <c r="CH99" s="435"/>
      <c r="CI99" s="433"/>
      <c r="CJ99" s="434"/>
      <c r="CK99" s="434"/>
      <c r="CL99" s="434"/>
      <c r="CM99" s="435"/>
      <c r="CN99" s="433"/>
      <c r="CO99" s="434"/>
      <c r="CP99" s="434"/>
      <c r="CQ99" s="434"/>
      <c r="CR99" s="435"/>
      <c r="CS99" s="433"/>
      <c r="CT99" s="434"/>
      <c r="CU99" s="434"/>
      <c r="CV99" s="678"/>
      <c r="CW99" s="678"/>
      <c r="CX99" s="749"/>
      <c r="CY99" s="157"/>
      <c r="CZ99" s="157"/>
      <c r="DA99" s="836">
        <v>500</v>
      </c>
      <c r="DB99" s="856">
        <v>500</v>
      </c>
      <c r="DC99" s="837">
        <f>+DB99</f>
        <v>500</v>
      </c>
      <c r="DD99" s="836">
        <v>500</v>
      </c>
      <c r="DE99" s="157">
        <v>500</v>
      </c>
      <c r="DF99" s="157">
        <v>500</v>
      </c>
      <c r="DG99" s="157">
        <v>500</v>
      </c>
      <c r="DH99" s="837">
        <v>500</v>
      </c>
      <c r="DI99" s="157">
        <f>DG99</f>
        <v>500</v>
      </c>
      <c r="DJ99" s="157">
        <f>DI99</f>
        <v>500</v>
      </c>
      <c r="DK99" s="157">
        <f t="shared" ref="DK99:DL99" si="191">DJ99</f>
        <v>500</v>
      </c>
      <c r="DL99" s="157">
        <f t="shared" si="191"/>
        <v>500</v>
      </c>
      <c r="DM99" s="392">
        <f t="shared" ref="CX99:DR101" si="192">DL99</f>
        <v>500</v>
      </c>
      <c r="DN99" s="157">
        <f>DL99</f>
        <v>500</v>
      </c>
      <c r="DO99" s="157">
        <f>DN99</f>
        <v>500</v>
      </c>
      <c r="DP99" s="157">
        <f t="shared" ref="DP99:DQ99" si="193">DO99</f>
        <v>500</v>
      </c>
      <c r="DQ99" s="157">
        <f t="shared" si="193"/>
        <v>500</v>
      </c>
      <c r="DR99" s="392">
        <f t="shared" si="192"/>
        <v>500</v>
      </c>
      <c r="DS99" s="157">
        <f>DQ99</f>
        <v>500</v>
      </c>
      <c r="DT99" s="157">
        <f>DS99</f>
        <v>500</v>
      </c>
      <c r="DU99" s="157">
        <f t="shared" ref="DU99:DW100" si="194">DT99</f>
        <v>500</v>
      </c>
      <c r="DV99" s="157">
        <f t="shared" si="194"/>
        <v>500</v>
      </c>
      <c r="DW99" s="392">
        <f t="shared" si="194"/>
        <v>500</v>
      </c>
      <c r="DX99" s="157">
        <f>DV99</f>
        <v>500</v>
      </c>
      <c r="DY99" s="157">
        <f>DX99</f>
        <v>500</v>
      </c>
      <c r="DZ99" s="157">
        <f t="shared" ref="DZ99:EA99" si="195">DY99</f>
        <v>500</v>
      </c>
      <c r="EA99" s="157">
        <f t="shared" si="195"/>
        <v>500</v>
      </c>
      <c r="EB99" s="392">
        <f t="shared" ref="DW99:EB101" si="196">EA99</f>
        <v>500</v>
      </c>
      <c r="ED99" s="597"/>
      <c r="EE99"/>
      <c r="EF99"/>
      <c r="EG99"/>
      <c r="EH99"/>
      <c r="EI99"/>
      <c r="EJ99"/>
      <c r="EK99" s="597"/>
    </row>
    <row r="100" spans="1:141" s="77" customFormat="1" x14ac:dyDescent="0.2">
      <c r="A100" s="1" t="s">
        <v>609</v>
      </c>
      <c r="B100" s="433"/>
      <c r="C100" s="435"/>
      <c r="D100" s="435"/>
      <c r="E100" s="435"/>
      <c r="F100" s="435"/>
      <c r="G100" s="433"/>
      <c r="H100" s="434"/>
      <c r="I100" s="434"/>
      <c r="J100" s="434"/>
      <c r="K100" s="435"/>
      <c r="L100" s="433"/>
      <c r="M100" s="434"/>
      <c r="N100" s="434"/>
      <c r="O100" s="434"/>
      <c r="P100" s="435"/>
      <c r="Q100" s="433"/>
      <c r="R100" s="434"/>
      <c r="S100" s="434"/>
      <c r="T100" s="434"/>
      <c r="U100" s="435"/>
      <c r="V100" s="433"/>
      <c r="W100" s="435"/>
      <c r="X100" s="435"/>
      <c r="Y100" s="435"/>
      <c r="Z100" s="435"/>
      <c r="AA100" s="433"/>
      <c r="AB100" s="434"/>
      <c r="AC100" s="434"/>
      <c r="AD100" s="434"/>
      <c r="AE100" s="435"/>
      <c r="AF100" s="433"/>
      <c r="AG100" s="434"/>
      <c r="AH100" s="434"/>
      <c r="AI100" s="434"/>
      <c r="AJ100" s="435"/>
      <c r="AK100" s="433"/>
      <c r="AL100" s="434"/>
      <c r="AM100" s="434"/>
      <c r="AN100" s="434"/>
      <c r="AO100" s="435"/>
      <c r="AP100" s="433"/>
      <c r="AQ100" s="434"/>
      <c r="AR100" s="434"/>
      <c r="AS100" s="434"/>
      <c r="AT100" s="435"/>
      <c r="AU100" s="433"/>
      <c r="AV100" s="434"/>
      <c r="AW100" s="434"/>
      <c r="AX100" s="434"/>
      <c r="AY100" s="435"/>
      <c r="AZ100" s="433"/>
      <c r="BA100" s="434"/>
      <c r="BB100" s="434"/>
      <c r="BC100" s="434"/>
      <c r="BD100" s="435"/>
      <c r="BE100" s="433"/>
      <c r="BF100" s="434"/>
      <c r="BG100" s="434"/>
      <c r="BH100" s="434"/>
      <c r="BI100" s="435"/>
      <c r="BJ100" s="433"/>
      <c r="BK100" s="434"/>
      <c r="BL100" s="434"/>
      <c r="BM100" s="434"/>
      <c r="BN100" s="435"/>
      <c r="BO100" s="433"/>
      <c r="BP100" s="434"/>
      <c r="BQ100" s="434"/>
      <c r="BR100" s="434"/>
      <c r="BS100" s="435"/>
      <c r="BT100" s="433"/>
      <c r="BU100" s="434"/>
      <c r="BV100" s="434"/>
      <c r="BW100" s="434"/>
      <c r="BX100" s="435"/>
      <c r="BY100" s="433"/>
      <c r="BZ100" s="434"/>
      <c r="CA100" s="434"/>
      <c r="CB100" s="434"/>
      <c r="CC100" s="435"/>
      <c r="CD100" s="433"/>
      <c r="CE100" s="434"/>
      <c r="CF100" s="434"/>
      <c r="CG100" s="434"/>
      <c r="CH100" s="435"/>
      <c r="CI100" s="433"/>
      <c r="CJ100" s="434"/>
      <c r="CK100" s="434"/>
      <c r="CL100" s="434"/>
      <c r="CM100" s="435"/>
      <c r="CN100" s="433"/>
      <c r="CO100" s="434"/>
      <c r="CP100" s="434"/>
      <c r="CQ100" s="434"/>
      <c r="CR100" s="435"/>
      <c r="CS100" s="433"/>
      <c r="CT100" s="434"/>
      <c r="CU100" s="434"/>
      <c r="CV100" s="678"/>
      <c r="CW100" s="678"/>
      <c r="CX100" s="749"/>
      <c r="CY100" s="157"/>
      <c r="CZ100" s="157"/>
      <c r="DA100" s="836">
        <v>350</v>
      </c>
      <c r="DB100" s="856">
        <v>350</v>
      </c>
      <c r="DC100" s="837">
        <f>+DB100</f>
        <v>350</v>
      </c>
      <c r="DD100" s="836">
        <v>350</v>
      </c>
      <c r="DE100" s="157">
        <v>350</v>
      </c>
      <c r="DF100" s="157">
        <v>350</v>
      </c>
      <c r="DG100" s="157">
        <v>350</v>
      </c>
      <c r="DH100" s="837">
        <v>350</v>
      </c>
      <c r="DI100" s="157">
        <f>DG100</f>
        <v>350</v>
      </c>
      <c r="DJ100" s="157">
        <f>DI100</f>
        <v>350</v>
      </c>
      <c r="DK100" s="157">
        <f t="shared" ref="DK100:DL102" si="197">DJ100</f>
        <v>350</v>
      </c>
      <c r="DL100" s="157">
        <f t="shared" si="197"/>
        <v>350</v>
      </c>
      <c r="DM100" s="392">
        <f t="shared" si="192"/>
        <v>350</v>
      </c>
      <c r="DN100" s="157">
        <f>DL100</f>
        <v>350</v>
      </c>
      <c r="DO100" s="157">
        <f>DN100</f>
        <v>350</v>
      </c>
      <c r="DP100" s="157">
        <f t="shared" ref="DP100:DQ102" si="198">DO100</f>
        <v>350</v>
      </c>
      <c r="DQ100" s="157">
        <f t="shared" si="198"/>
        <v>350</v>
      </c>
      <c r="DR100" s="392">
        <f t="shared" si="192"/>
        <v>350</v>
      </c>
      <c r="DS100" s="157">
        <f>DQ100</f>
        <v>350</v>
      </c>
      <c r="DT100" s="157">
        <f>DS100</f>
        <v>350</v>
      </c>
      <c r="DU100" s="157">
        <f t="shared" ref="DU100:DV102" si="199">DT100</f>
        <v>350</v>
      </c>
      <c r="DV100" s="157">
        <f t="shared" si="199"/>
        <v>350</v>
      </c>
      <c r="DW100" s="392">
        <f t="shared" si="194"/>
        <v>350</v>
      </c>
      <c r="DX100" s="157">
        <f>DV100</f>
        <v>350</v>
      </c>
      <c r="DY100" s="157">
        <f>DX100</f>
        <v>350</v>
      </c>
      <c r="DZ100" s="157">
        <f t="shared" ref="DZ100:EA102" si="200">DY100</f>
        <v>350</v>
      </c>
      <c r="EA100" s="157">
        <f t="shared" si="200"/>
        <v>350</v>
      </c>
      <c r="EB100" s="392">
        <f t="shared" si="196"/>
        <v>350</v>
      </c>
      <c r="ED100" s="597"/>
      <c r="EE100"/>
      <c r="EF100"/>
      <c r="EG100"/>
      <c r="EH100"/>
      <c r="EI100"/>
      <c r="EJ100"/>
      <c r="EK100" s="597"/>
    </row>
    <row r="101" spans="1:141" x14ac:dyDescent="0.2">
      <c r="A101" s="1" t="s">
        <v>373</v>
      </c>
      <c r="B101" s="179"/>
      <c r="C101" s="175"/>
      <c r="D101" s="175"/>
      <c r="E101" s="175"/>
      <c r="F101" s="175"/>
      <c r="G101" s="170"/>
      <c r="H101" s="157"/>
      <c r="I101" s="157"/>
      <c r="J101" s="157"/>
      <c r="K101" s="175"/>
      <c r="L101" s="170"/>
      <c r="M101" s="157"/>
      <c r="N101" s="157"/>
      <c r="O101" s="157"/>
      <c r="P101" s="175"/>
      <c r="Q101" s="170"/>
      <c r="R101" s="157"/>
      <c r="S101" s="157"/>
      <c r="T101" s="157"/>
      <c r="U101" s="175"/>
      <c r="V101" s="170"/>
      <c r="W101" s="175"/>
      <c r="X101" s="175"/>
      <c r="Y101" s="175"/>
      <c r="Z101" s="175"/>
      <c r="AA101" s="170"/>
      <c r="AB101" s="157"/>
      <c r="AC101" s="157"/>
      <c r="AD101" s="157"/>
      <c r="AE101" s="175"/>
      <c r="AF101" s="170"/>
      <c r="AG101" s="157"/>
      <c r="AH101" s="157"/>
      <c r="AI101" s="157"/>
      <c r="AJ101" s="175"/>
      <c r="AK101" s="170"/>
      <c r="AL101" s="157"/>
      <c r="AM101" s="157"/>
      <c r="AN101" s="157"/>
      <c r="AO101" s="175"/>
      <c r="AP101" s="170"/>
      <c r="AQ101" s="157"/>
      <c r="AR101" s="157"/>
      <c r="AS101" s="157"/>
      <c r="AT101" s="175"/>
      <c r="AU101" s="170"/>
      <c r="AV101" s="157"/>
      <c r="AW101" s="157"/>
      <c r="AX101" s="157"/>
      <c r="AY101" s="175"/>
      <c r="AZ101" s="170"/>
      <c r="BA101" s="157"/>
      <c r="BB101" s="157"/>
      <c r="BC101" s="157"/>
      <c r="BD101" s="175"/>
      <c r="BE101" s="170"/>
      <c r="BF101" s="157"/>
      <c r="BG101" s="157"/>
      <c r="BH101" s="157"/>
      <c r="BI101" s="175"/>
      <c r="BJ101" s="170"/>
      <c r="BK101" s="331">
        <f t="shared" ref="BK101:BT101" si="201">BK45</f>
        <v>1.746</v>
      </c>
      <c r="BL101" s="331">
        <f t="shared" si="201"/>
        <v>1.5509999999999999</v>
      </c>
      <c r="BM101" s="331">
        <f t="shared" si="201"/>
        <v>1.3560000000000001</v>
      </c>
      <c r="BN101" s="521">
        <f t="shared" si="201"/>
        <v>550.12099999999998</v>
      </c>
      <c r="BO101" s="392">
        <f t="shared" si="201"/>
        <v>550.12099999999998</v>
      </c>
      <c r="BP101" s="331">
        <f t="shared" si="201"/>
        <v>550</v>
      </c>
      <c r="BQ101" s="331">
        <f t="shared" si="201"/>
        <v>549.9</v>
      </c>
      <c r="BR101" s="331">
        <f t="shared" si="201"/>
        <v>549.79999999999995</v>
      </c>
      <c r="BS101" s="521">
        <f t="shared" si="201"/>
        <v>549.6</v>
      </c>
      <c r="BT101" s="392">
        <f t="shared" si="201"/>
        <v>549.6</v>
      </c>
      <c r="BU101" s="331">
        <f t="shared" ref="BU101:BZ101" si="202">BU45</f>
        <v>549.5</v>
      </c>
      <c r="BV101" s="331">
        <f t="shared" si="202"/>
        <v>549.4</v>
      </c>
      <c r="BW101" s="331">
        <f t="shared" si="202"/>
        <v>549.4</v>
      </c>
      <c r="BX101" s="521">
        <f t="shared" si="202"/>
        <v>549.29999999999995</v>
      </c>
      <c r="BY101" s="392">
        <f t="shared" si="202"/>
        <v>549.29999999999995</v>
      </c>
      <c r="BZ101" s="331">
        <f t="shared" si="202"/>
        <v>549.29999999999995</v>
      </c>
      <c r="CA101" s="331">
        <f t="shared" ref="CA101:CP101" si="203">CA45</f>
        <v>549.29999999999995</v>
      </c>
      <c r="CB101" s="331">
        <f t="shared" si="203"/>
        <v>549.4</v>
      </c>
      <c r="CC101" s="521">
        <f t="shared" si="203"/>
        <v>549.4</v>
      </c>
      <c r="CD101" s="392">
        <f t="shared" si="203"/>
        <v>549.4</v>
      </c>
      <c r="CE101" s="331">
        <f t="shared" si="203"/>
        <v>549.4</v>
      </c>
      <c r="CF101" s="331">
        <f t="shared" si="203"/>
        <v>549.4</v>
      </c>
      <c r="CG101" s="331">
        <f t="shared" si="203"/>
        <v>549.4</v>
      </c>
      <c r="CH101" s="521">
        <f t="shared" si="203"/>
        <v>549.5</v>
      </c>
      <c r="CI101" s="392">
        <f t="shared" si="203"/>
        <v>549.5</v>
      </c>
      <c r="CJ101" s="331">
        <f t="shared" si="203"/>
        <v>549.5</v>
      </c>
      <c r="CK101" s="331">
        <f t="shared" si="203"/>
        <v>549.6</v>
      </c>
      <c r="CL101" s="331">
        <f t="shared" si="203"/>
        <v>549.6</v>
      </c>
      <c r="CM101" s="521">
        <f t="shared" si="203"/>
        <v>549.6</v>
      </c>
      <c r="CN101" s="392">
        <f t="shared" si="203"/>
        <v>549.6</v>
      </c>
      <c r="CO101" s="331">
        <f t="shared" si="203"/>
        <v>549.6</v>
      </c>
      <c r="CP101" s="331">
        <f t="shared" si="203"/>
        <v>549.6</v>
      </c>
      <c r="CQ101" s="331">
        <f>CQ45</f>
        <v>549.70000000000005</v>
      </c>
      <c r="CR101" s="521">
        <v>549.70000000000005</v>
      </c>
      <c r="CS101" s="392">
        <f>CR101</f>
        <v>549.70000000000005</v>
      </c>
      <c r="CT101" s="331">
        <v>550</v>
      </c>
      <c r="CU101" s="331">
        <f t="shared" ref="CU101:CW102" si="204">CT101</f>
        <v>550</v>
      </c>
      <c r="CV101" s="331">
        <f t="shared" si="204"/>
        <v>550</v>
      </c>
      <c r="CW101" s="666">
        <v>550</v>
      </c>
      <c r="CX101" s="726">
        <f t="shared" si="192"/>
        <v>550</v>
      </c>
      <c r="CY101" s="331">
        <f t="shared" si="192"/>
        <v>550</v>
      </c>
      <c r="CZ101" s="331">
        <f t="shared" si="192"/>
        <v>550</v>
      </c>
      <c r="DA101" s="838">
        <f t="shared" si="192"/>
        <v>550</v>
      </c>
      <c r="DB101" s="885">
        <v>0</v>
      </c>
      <c r="DC101" s="839">
        <f t="shared" si="192"/>
        <v>0</v>
      </c>
      <c r="DD101" s="838">
        <f t="shared" ref="DD101" si="205">DC101</f>
        <v>0</v>
      </c>
      <c r="DE101" s="331">
        <v>0</v>
      </c>
      <c r="DF101" s="331">
        <v>0</v>
      </c>
      <c r="DG101" s="331">
        <v>0</v>
      </c>
      <c r="DH101" s="392">
        <f t="shared" si="192"/>
        <v>0</v>
      </c>
      <c r="DI101" s="331">
        <f t="shared" ref="DI101:DI102" si="206">DH101</f>
        <v>0</v>
      </c>
      <c r="DJ101" s="331">
        <f t="shared" ref="DJ101:DJ102" si="207">DI101</f>
        <v>0</v>
      </c>
      <c r="DK101" s="331">
        <f t="shared" si="197"/>
        <v>0</v>
      </c>
      <c r="DL101" s="331">
        <f t="shared" si="197"/>
        <v>0</v>
      </c>
      <c r="DM101" s="392">
        <f t="shared" si="192"/>
        <v>0</v>
      </c>
      <c r="DN101" s="331">
        <f t="shared" ref="DN101:DN102" si="208">DM101</f>
        <v>0</v>
      </c>
      <c r="DO101" s="331">
        <f t="shared" ref="DO101:DO102" si="209">DN101</f>
        <v>0</v>
      </c>
      <c r="DP101" s="331">
        <f t="shared" si="198"/>
        <v>0</v>
      </c>
      <c r="DQ101" s="331">
        <f t="shared" si="198"/>
        <v>0</v>
      </c>
      <c r="DR101" s="392">
        <f t="shared" si="192"/>
        <v>0</v>
      </c>
      <c r="DS101" s="331">
        <f t="shared" ref="DS101:DS102" si="210">DR101</f>
        <v>0</v>
      </c>
      <c r="DT101" s="331">
        <f t="shared" ref="DT101:DT102" si="211">DS101</f>
        <v>0</v>
      </c>
      <c r="DU101" s="331">
        <f t="shared" si="199"/>
        <v>0</v>
      </c>
      <c r="DV101" s="331">
        <f t="shared" si="199"/>
        <v>0</v>
      </c>
      <c r="DW101" s="392">
        <f t="shared" si="196"/>
        <v>0</v>
      </c>
      <c r="DX101" s="331">
        <f t="shared" ref="DX101:DX102" si="212">DW101</f>
        <v>0</v>
      </c>
      <c r="DY101" s="331">
        <f t="shared" ref="DY101:DY102" si="213">DX101</f>
        <v>0</v>
      </c>
      <c r="DZ101" s="331">
        <f t="shared" si="200"/>
        <v>0</v>
      </c>
      <c r="EA101" s="331">
        <f t="shared" si="200"/>
        <v>0</v>
      </c>
      <c r="EB101" s="392">
        <f t="shared" si="196"/>
        <v>0</v>
      </c>
      <c r="ED101" s="418"/>
      <c r="EK101" s="418"/>
    </row>
    <row r="102" spans="1:141" x14ac:dyDescent="0.2">
      <c r="A102" s="1" t="s">
        <v>374</v>
      </c>
      <c r="B102" s="179"/>
      <c r="C102" s="175"/>
      <c r="D102" s="175"/>
      <c r="E102" s="175"/>
      <c r="F102" s="175"/>
      <c r="G102" s="170"/>
      <c r="H102" s="157"/>
      <c r="I102" s="157"/>
      <c r="J102" s="157"/>
      <c r="K102" s="175"/>
      <c r="L102" s="170"/>
      <c r="M102" s="157"/>
      <c r="N102" s="157"/>
      <c r="O102" s="157"/>
      <c r="P102" s="175"/>
      <c r="Q102" s="170"/>
      <c r="R102" s="157"/>
      <c r="S102" s="157"/>
      <c r="T102" s="157"/>
      <c r="U102" s="175"/>
      <c r="V102" s="170"/>
      <c r="W102" s="175"/>
      <c r="X102" s="175"/>
      <c r="Y102" s="175"/>
      <c r="Z102" s="175"/>
      <c r="AA102" s="170"/>
      <c r="AB102" s="157"/>
      <c r="AC102" s="157"/>
      <c r="AD102" s="157"/>
      <c r="AE102" s="175"/>
      <c r="AF102" s="170"/>
      <c r="AG102" s="157"/>
      <c r="AH102" s="157"/>
      <c r="AI102" s="157"/>
      <c r="AJ102" s="175"/>
      <c r="AK102" s="170"/>
      <c r="AL102" s="157"/>
      <c r="AM102" s="157"/>
      <c r="AN102" s="157"/>
      <c r="AO102" s="175"/>
      <c r="AP102" s="170"/>
      <c r="AQ102" s="157"/>
      <c r="AR102" s="157"/>
      <c r="AS102" s="157"/>
      <c r="AT102" s="175"/>
      <c r="AU102" s="170"/>
      <c r="AV102" s="157"/>
      <c r="AW102" s="157"/>
      <c r="AX102" s="157"/>
      <c r="AY102" s="175"/>
      <c r="AZ102" s="170"/>
      <c r="BA102" s="157"/>
      <c r="BB102" s="157"/>
      <c r="BC102" s="157"/>
      <c r="BD102" s="175"/>
      <c r="BE102" s="170"/>
      <c r="BF102" s="157"/>
      <c r="BG102" s="157"/>
      <c r="BH102" s="157"/>
      <c r="BI102" s="175"/>
      <c r="BJ102" s="170"/>
      <c r="BK102" s="331"/>
      <c r="BL102" s="331"/>
      <c r="BM102" s="331"/>
      <c r="BN102" s="521"/>
      <c r="BO102" s="392"/>
      <c r="BP102" s="331"/>
      <c r="BQ102" s="331"/>
      <c r="BR102" s="331"/>
      <c r="BS102" s="521"/>
      <c r="BT102" s="392"/>
      <c r="BU102" s="331"/>
      <c r="BV102" s="331"/>
      <c r="BW102" s="331"/>
      <c r="BX102" s="521"/>
      <c r="BY102" s="392"/>
      <c r="BZ102" s="331"/>
      <c r="CA102" s="331"/>
      <c r="CB102" s="331"/>
      <c r="CC102" s="521"/>
      <c r="CD102" s="392"/>
      <c r="CE102" s="331"/>
      <c r="CF102" s="331"/>
      <c r="CG102" s="331"/>
      <c r="CH102" s="521"/>
      <c r="CI102" s="392"/>
      <c r="CJ102" s="331"/>
      <c r="CK102" s="331"/>
      <c r="CL102" s="331"/>
      <c r="CM102" s="521"/>
      <c r="CN102" s="392"/>
      <c r="CO102" s="331"/>
      <c r="CP102" s="331"/>
      <c r="CQ102" s="331"/>
      <c r="CR102" s="521">
        <v>749.8</v>
      </c>
      <c r="CS102" s="392">
        <f>CR102</f>
        <v>749.8</v>
      </c>
      <c r="CT102" s="331">
        <v>750</v>
      </c>
      <c r="CU102" s="331">
        <f t="shared" si="204"/>
        <v>750</v>
      </c>
      <c r="CV102" s="331">
        <f t="shared" si="204"/>
        <v>750</v>
      </c>
      <c r="CW102" s="666">
        <f t="shared" si="204"/>
        <v>750</v>
      </c>
      <c r="CX102" s="726">
        <f t="shared" ref="CX102:DR102" si="214">CW102</f>
        <v>750</v>
      </c>
      <c r="CY102" s="331">
        <f t="shared" si="214"/>
        <v>750</v>
      </c>
      <c r="CZ102" s="331">
        <f t="shared" si="214"/>
        <v>750</v>
      </c>
      <c r="DA102" s="838">
        <f t="shared" si="214"/>
        <v>750</v>
      </c>
      <c r="DB102" s="885">
        <f t="shared" si="214"/>
        <v>750</v>
      </c>
      <c r="DC102" s="839">
        <f>DB102</f>
        <v>750</v>
      </c>
      <c r="DD102" s="838">
        <v>750</v>
      </c>
      <c r="DE102" s="331">
        <v>750</v>
      </c>
      <c r="DF102" s="331">
        <v>750</v>
      </c>
      <c r="DG102" s="331">
        <v>750</v>
      </c>
      <c r="DH102" s="392">
        <f t="shared" si="214"/>
        <v>750</v>
      </c>
      <c r="DI102" s="331">
        <f t="shared" si="206"/>
        <v>750</v>
      </c>
      <c r="DJ102" s="331">
        <f t="shared" si="207"/>
        <v>750</v>
      </c>
      <c r="DK102" s="331">
        <f t="shared" si="197"/>
        <v>750</v>
      </c>
      <c r="DL102" s="331">
        <f t="shared" si="197"/>
        <v>750</v>
      </c>
      <c r="DM102" s="392">
        <f t="shared" si="214"/>
        <v>750</v>
      </c>
      <c r="DN102" s="331">
        <f t="shared" si="208"/>
        <v>750</v>
      </c>
      <c r="DO102" s="331">
        <f t="shared" si="209"/>
        <v>750</v>
      </c>
      <c r="DP102" s="331">
        <f t="shared" si="198"/>
        <v>750</v>
      </c>
      <c r="DQ102" s="331">
        <f t="shared" si="198"/>
        <v>750</v>
      </c>
      <c r="DR102" s="392">
        <f t="shared" si="214"/>
        <v>750</v>
      </c>
      <c r="DS102" s="331">
        <f t="shared" si="210"/>
        <v>750</v>
      </c>
      <c r="DT102" s="331">
        <f t="shared" si="211"/>
        <v>750</v>
      </c>
      <c r="DU102" s="331">
        <f t="shared" si="199"/>
        <v>750</v>
      </c>
      <c r="DV102" s="331">
        <f t="shared" si="199"/>
        <v>750</v>
      </c>
      <c r="DW102" s="392">
        <f t="shared" ref="DW102:EB102" si="215">DV102</f>
        <v>750</v>
      </c>
      <c r="DX102" s="331">
        <f t="shared" si="212"/>
        <v>750</v>
      </c>
      <c r="DY102" s="331">
        <f t="shared" si="213"/>
        <v>750</v>
      </c>
      <c r="DZ102" s="331">
        <f t="shared" si="200"/>
        <v>750</v>
      </c>
      <c r="EA102" s="331">
        <f t="shared" si="200"/>
        <v>750</v>
      </c>
      <c r="EB102" s="392">
        <f t="shared" si="215"/>
        <v>750</v>
      </c>
      <c r="ED102" s="418"/>
      <c r="EK102" s="418"/>
    </row>
    <row r="103" spans="1:141" x14ac:dyDescent="0.2">
      <c r="A103" s="1" t="s">
        <v>375</v>
      </c>
      <c r="B103" s="179"/>
      <c r="C103" s="175"/>
      <c r="D103" s="175"/>
      <c r="E103" s="175"/>
      <c r="F103" s="175"/>
      <c r="G103" s="170"/>
      <c r="H103" s="157"/>
      <c r="I103" s="157"/>
      <c r="J103" s="157"/>
      <c r="K103" s="175"/>
      <c r="L103" s="170"/>
      <c r="M103" s="157"/>
      <c r="N103" s="157"/>
      <c r="O103" s="157"/>
      <c r="P103" s="175"/>
      <c r="Q103" s="170"/>
      <c r="R103" s="157"/>
      <c r="S103" s="157"/>
      <c r="T103" s="157"/>
      <c r="U103" s="175"/>
      <c r="V103" s="170"/>
      <c r="W103" s="175"/>
      <c r="X103" s="175"/>
      <c r="Y103" s="175"/>
      <c r="Z103" s="175"/>
      <c r="AA103" s="170"/>
      <c r="AB103" s="157"/>
      <c r="AC103" s="157"/>
      <c r="AD103" s="157"/>
      <c r="AE103" s="175"/>
      <c r="AF103" s="170"/>
      <c r="AG103" s="157"/>
      <c r="AH103" s="157"/>
      <c r="AI103" s="157"/>
      <c r="AJ103" s="175"/>
      <c r="AK103" s="170"/>
      <c r="AL103" s="157"/>
      <c r="AM103" s="157"/>
      <c r="AN103" s="157"/>
      <c r="AO103" s="175"/>
      <c r="AP103" s="170"/>
      <c r="AQ103" s="157"/>
      <c r="AR103" s="157"/>
      <c r="AS103" s="157"/>
      <c r="AT103" s="175"/>
      <c r="AU103" s="170"/>
      <c r="AV103" s="157"/>
      <c r="AW103" s="157"/>
      <c r="AX103" s="157"/>
      <c r="AY103" s="175"/>
      <c r="AZ103" s="170"/>
      <c r="BA103" s="157"/>
      <c r="BB103" s="157"/>
      <c r="BC103" s="157"/>
      <c r="BD103" s="175"/>
      <c r="BE103" s="170"/>
      <c r="BF103" s="157"/>
      <c r="BG103" s="157"/>
      <c r="BH103" s="157"/>
      <c r="BI103" s="175"/>
      <c r="BJ103" s="170"/>
      <c r="BK103" s="331"/>
      <c r="BL103" s="331"/>
      <c r="BM103" s="331"/>
      <c r="BN103" s="521"/>
      <c r="BO103" s="392"/>
      <c r="BP103" s="331"/>
      <c r="BQ103" s="331"/>
      <c r="BR103" s="331"/>
      <c r="BS103" s="521"/>
      <c r="BT103" s="392"/>
      <c r="BU103" s="331"/>
      <c r="BV103" s="331"/>
      <c r="BW103" s="331"/>
      <c r="BX103" s="521"/>
      <c r="BY103" s="392"/>
      <c r="BZ103" s="331"/>
      <c r="CA103" s="331"/>
      <c r="CB103" s="331"/>
      <c r="CC103" s="521"/>
      <c r="CD103" s="392"/>
      <c r="CE103" s="331"/>
      <c r="CF103" s="331"/>
      <c r="CG103" s="331"/>
      <c r="CH103" s="521"/>
      <c r="CI103" s="392"/>
      <c r="CJ103" s="331"/>
      <c r="CK103" s="331"/>
      <c r="CL103" s="331"/>
      <c r="CM103" s="521"/>
      <c r="CN103" s="392"/>
      <c r="CO103" s="331"/>
      <c r="CP103" s="331"/>
      <c r="CQ103" s="331"/>
      <c r="CR103" s="521"/>
      <c r="CS103" s="392"/>
      <c r="CT103" s="331">
        <v>400</v>
      </c>
      <c r="CU103" s="331">
        <v>400</v>
      </c>
      <c r="CV103" s="331">
        <v>400</v>
      </c>
      <c r="CW103" s="666">
        <v>400</v>
      </c>
      <c r="CX103" s="726">
        <f>CW103</f>
        <v>400</v>
      </c>
      <c r="CY103" s="331">
        <v>400</v>
      </c>
      <c r="CZ103" s="331">
        <v>400</v>
      </c>
      <c r="DA103" s="838">
        <v>400</v>
      </c>
      <c r="DB103" s="885">
        <v>400</v>
      </c>
      <c r="DC103" s="839">
        <f>DB103</f>
        <v>400</v>
      </c>
      <c r="DD103" s="838">
        <v>400</v>
      </c>
      <c r="DE103" s="331">
        <v>400</v>
      </c>
      <c r="DF103" s="838">
        <v>400</v>
      </c>
      <c r="DG103" s="331">
        <v>400</v>
      </c>
      <c r="DH103" s="392">
        <f>DG103</f>
        <v>400</v>
      </c>
      <c r="DI103" s="331">
        <v>0</v>
      </c>
      <c r="DJ103" s="331">
        <v>0</v>
      </c>
      <c r="DK103" s="331">
        <v>0</v>
      </c>
      <c r="DL103" s="331">
        <v>0</v>
      </c>
      <c r="DM103" s="392">
        <f>DL103</f>
        <v>0</v>
      </c>
      <c r="DN103" s="331">
        <v>0</v>
      </c>
      <c r="DO103" s="331">
        <v>0</v>
      </c>
      <c r="DP103" s="331">
        <v>0</v>
      </c>
      <c r="DQ103" s="331">
        <v>0</v>
      </c>
      <c r="DR103" s="392">
        <f>DQ103</f>
        <v>0</v>
      </c>
      <c r="DS103" s="331">
        <v>0</v>
      </c>
      <c r="DT103" s="331">
        <v>0</v>
      </c>
      <c r="DU103" s="331">
        <v>0</v>
      </c>
      <c r="DV103" s="331">
        <v>0</v>
      </c>
      <c r="DW103" s="392">
        <f>DV103</f>
        <v>0</v>
      </c>
      <c r="DX103" s="331">
        <v>0</v>
      </c>
      <c r="DY103" s="331">
        <v>0</v>
      </c>
      <c r="DZ103" s="331">
        <v>0</v>
      </c>
      <c r="EA103" s="331">
        <v>0</v>
      </c>
      <c r="EB103" s="392">
        <f>EA103</f>
        <v>0</v>
      </c>
      <c r="ED103" s="418"/>
      <c r="EK103" s="418"/>
    </row>
    <row r="104" spans="1:141" x14ac:dyDescent="0.2">
      <c r="A104" s="1" t="s">
        <v>376</v>
      </c>
      <c r="B104" s="179"/>
      <c r="C104" s="175"/>
      <c r="D104" s="175"/>
      <c r="E104" s="175"/>
      <c r="F104" s="175"/>
      <c r="G104" s="170"/>
      <c r="H104" s="157"/>
      <c r="I104" s="157"/>
      <c r="J104" s="157"/>
      <c r="K104" s="175"/>
      <c r="L104" s="170"/>
      <c r="M104" s="157"/>
      <c r="N104" s="157"/>
      <c r="O104" s="157"/>
      <c r="P104" s="175"/>
      <c r="Q104" s="170"/>
      <c r="R104" s="157"/>
      <c r="S104" s="157"/>
      <c r="T104" s="157"/>
      <c r="U104" s="175"/>
      <c r="V104" s="170"/>
      <c r="W104" s="175"/>
      <c r="X104" s="175"/>
      <c r="Y104" s="175"/>
      <c r="Z104" s="175"/>
      <c r="AA104" s="170"/>
      <c r="AB104" s="157"/>
      <c r="AC104" s="157"/>
      <c r="AD104" s="157"/>
      <c r="AE104" s="175"/>
      <c r="AF104" s="170"/>
      <c r="AG104" s="157"/>
      <c r="AH104" s="157"/>
      <c r="AI104" s="157"/>
      <c r="AJ104" s="175"/>
      <c r="AK104" s="170"/>
      <c r="AL104" s="157"/>
      <c r="AM104" s="157"/>
      <c r="AN104" s="157"/>
      <c r="AO104" s="175"/>
      <c r="AP104" s="170"/>
      <c r="AQ104" s="157"/>
      <c r="AR104" s="157"/>
      <c r="AS104" s="157"/>
      <c r="AT104" s="175"/>
      <c r="AU104" s="170"/>
      <c r="AV104" s="157"/>
      <c r="AW104" s="157"/>
      <c r="AX104" s="157"/>
      <c r="AY104" s="175"/>
      <c r="AZ104" s="170"/>
      <c r="BA104" s="157"/>
      <c r="BB104" s="157"/>
      <c r="BC104" s="157"/>
      <c r="BD104" s="175"/>
      <c r="BE104" s="170"/>
      <c r="BF104" s="157"/>
      <c r="BG104" s="157"/>
      <c r="BH104" s="157"/>
      <c r="BI104" s="175"/>
      <c r="BJ104" s="170"/>
      <c r="BK104" s="331"/>
      <c r="BL104" s="331"/>
      <c r="BM104" s="331"/>
      <c r="BN104" s="521"/>
      <c r="BO104" s="392"/>
      <c r="BP104" s="331"/>
      <c r="BQ104" s="331"/>
      <c r="BR104" s="331"/>
      <c r="BS104" s="521"/>
      <c r="BT104" s="392"/>
      <c r="BU104" s="331"/>
      <c r="BV104" s="331"/>
      <c r="BW104" s="331"/>
      <c r="BX104" s="521"/>
      <c r="BY104" s="392"/>
      <c r="BZ104" s="331"/>
      <c r="CA104" s="331"/>
      <c r="CB104" s="331"/>
      <c r="CC104" s="521"/>
      <c r="CD104" s="392"/>
      <c r="CE104" s="331"/>
      <c r="CF104" s="331"/>
      <c r="CG104" s="331"/>
      <c r="CH104" s="521"/>
      <c r="CI104" s="392"/>
      <c r="CJ104" s="331"/>
      <c r="CK104" s="331"/>
      <c r="CL104" s="331"/>
      <c r="CM104" s="521"/>
      <c r="CN104" s="392"/>
      <c r="CO104" s="331"/>
      <c r="CP104" s="331"/>
      <c r="CQ104" s="331"/>
      <c r="CR104" s="521"/>
      <c r="CS104" s="392"/>
      <c r="CT104" s="331">
        <v>350</v>
      </c>
      <c r="CU104" s="331">
        <v>350</v>
      </c>
      <c r="CV104" s="331">
        <v>350</v>
      </c>
      <c r="CW104" s="666">
        <v>350</v>
      </c>
      <c r="CX104" s="726">
        <f>CW104</f>
        <v>350</v>
      </c>
      <c r="CY104" s="331">
        <v>350</v>
      </c>
      <c r="CZ104" s="331">
        <v>350</v>
      </c>
      <c r="DA104" s="838">
        <v>350</v>
      </c>
      <c r="DB104" s="885">
        <v>350</v>
      </c>
      <c r="DC104" s="839">
        <f>DB104</f>
        <v>350</v>
      </c>
      <c r="DD104" s="838">
        <v>350</v>
      </c>
      <c r="DE104" s="331">
        <v>350</v>
      </c>
      <c r="DF104" s="838">
        <v>350</v>
      </c>
      <c r="DG104" s="331">
        <v>350</v>
      </c>
      <c r="DH104" s="392">
        <f>DG104</f>
        <v>350</v>
      </c>
      <c r="DI104" s="331">
        <v>350</v>
      </c>
      <c r="DJ104" s="331">
        <v>350</v>
      </c>
      <c r="DK104" s="331">
        <v>350</v>
      </c>
      <c r="DL104" s="331">
        <v>350</v>
      </c>
      <c r="DM104" s="392">
        <f>DL104</f>
        <v>350</v>
      </c>
      <c r="DN104" s="331">
        <v>350</v>
      </c>
      <c r="DO104" s="331">
        <v>350</v>
      </c>
      <c r="DP104" s="331">
        <v>350</v>
      </c>
      <c r="DQ104" s="331">
        <v>350</v>
      </c>
      <c r="DR104" s="392">
        <f>DQ104</f>
        <v>350</v>
      </c>
      <c r="DS104" s="331">
        <v>0</v>
      </c>
      <c r="DT104" s="331">
        <v>0</v>
      </c>
      <c r="DU104" s="331">
        <v>0</v>
      </c>
      <c r="DV104" s="331">
        <v>0</v>
      </c>
      <c r="DW104" s="392">
        <f>DV104</f>
        <v>0</v>
      </c>
      <c r="DX104" s="331">
        <v>0</v>
      </c>
      <c r="DY104" s="331">
        <v>0</v>
      </c>
      <c r="DZ104" s="331">
        <v>0</v>
      </c>
      <c r="EA104" s="331">
        <v>0</v>
      </c>
      <c r="EB104" s="392">
        <f>EA104</f>
        <v>0</v>
      </c>
      <c r="ED104" s="418"/>
      <c r="EK104" s="418"/>
    </row>
    <row r="105" spans="1:141" x14ac:dyDescent="0.2">
      <c r="A105" s="1" t="s">
        <v>644</v>
      </c>
      <c r="B105" s="179"/>
      <c r="C105" s="175"/>
      <c r="D105" s="175"/>
      <c r="E105" s="175"/>
      <c r="F105" s="175"/>
      <c r="G105" s="170"/>
      <c r="H105" s="157"/>
      <c r="I105" s="157"/>
      <c r="J105" s="157"/>
      <c r="K105" s="175"/>
      <c r="L105" s="170"/>
      <c r="M105" s="157"/>
      <c r="N105" s="157"/>
      <c r="O105" s="157"/>
      <c r="P105" s="175"/>
      <c r="Q105" s="170"/>
      <c r="R105" s="157"/>
      <c r="S105" s="157"/>
      <c r="T105" s="157"/>
      <c r="U105" s="175"/>
      <c r="V105" s="170"/>
      <c r="W105" s="175"/>
      <c r="X105" s="175"/>
      <c r="Y105" s="175"/>
      <c r="Z105" s="175"/>
      <c r="AA105" s="170"/>
      <c r="AB105" s="157"/>
      <c r="AC105" s="157"/>
      <c r="AD105" s="157"/>
      <c r="AE105" s="175"/>
      <c r="AF105" s="170"/>
      <c r="AG105" s="157"/>
      <c r="AH105" s="157"/>
      <c r="AI105" s="157"/>
      <c r="AJ105" s="175"/>
      <c r="AK105" s="170"/>
      <c r="AL105" s="157"/>
      <c r="AM105" s="157"/>
      <c r="AN105" s="157"/>
      <c r="AO105" s="175"/>
      <c r="AP105" s="170"/>
      <c r="AQ105" s="157"/>
      <c r="AR105" s="157"/>
      <c r="AS105" s="157"/>
      <c r="AT105" s="175"/>
      <c r="AU105" s="170"/>
      <c r="AV105" s="157"/>
      <c r="AW105" s="157"/>
      <c r="AX105" s="157"/>
      <c r="AY105" s="175"/>
      <c r="AZ105" s="170"/>
      <c r="BA105" s="157"/>
      <c r="BB105" s="157"/>
      <c r="BC105" s="157"/>
      <c r="BD105" s="175"/>
      <c r="BE105" s="170"/>
      <c r="BF105" s="157"/>
      <c r="BG105" s="157"/>
      <c r="BH105" s="157"/>
      <c r="BI105" s="175"/>
      <c r="BJ105" s="170"/>
      <c r="BK105" s="331"/>
      <c r="BL105" s="331"/>
      <c r="BM105" s="331"/>
      <c r="BN105" s="521"/>
      <c r="BO105" s="392"/>
      <c r="BP105" s="331"/>
      <c r="BQ105" s="331"/>
      <c r="BR105" s="331"/>
      <c r="BS105" s="521"/>
      <c r="BT105" s="392"/>
      <c r="BU105" s="331"/>
      <c r="BV105" s="331"/>
      <c r="BW105" s="331"/>
      <c r="BX105" s="521"/>
      <c r="BY105" s="392"/>
      <c r="BZ105" s="331"/>
      <c r="CA105" s="331"/>
      <c r="CB105" s="331"/>
      <c r="CC105" s="521"/>
      <c r="CD105" s="392"/>
      <c r="CE105" s="331"/>
      <c r="CF105" s="331"/>
      <c r="CG105" s="331"/>
      <c r="CH105" s="521"/>
      <c r="CI105" s="392"/>
      <c r="CJ105" s="331"/>
      <c r="CK105" s="331"/>
      <c r="CL105" s="331"/>
      <c r="CM105" s="521"/>
      <c r="CN105" s="392"/>
      <c r="CO105" s="331"/>
      <c r="CP105" s="331"/>
      <c r="CQ105" s="331"/>
      <c r="CR105" s="521"/>
      <c r="CS105" s="392"/>
      <c r="CT105" s="331"/>
      <c r="CU105" s="331"/>
      <c r="CV105" s="331"/>
      <c r="CW105" s="666"/>
      <c r="CX105" s="726"/>
      <c r="CY105" s="331"/>
      <c r="CZ105" s="331"/>
      <c r="DA105" s="838"/>
      <c r="DB105" s="885"/>
      <c r="DC105" s="839"/>
      <c r="DD105" s="838"/>
      <c r="DE105" s="331"/>
      <c r="DF105" s="838"/>
      <c r="DG105" s="331"/>
      <c r="DH105" s="392"/>
      <c r="DI105" s="331"/>
      <c r="DJ105" s="331">
        <v>761.1</v>
      </c>
      <c r="DK105" s="331">
        <v>758.3</v>
      </c>
      <c r="DL105" s="331">
        <f t="shared" ref="DL105:EB105" si="216">DK105</f>
        <v>758.3</v>
      </c>
      <c r="DM105" s="392">
        <f t="shared" si="216"/>
        <v>758.3</v>
      </c>
      <c r="DN105" s="331">
        <f t="shared" si="216"/>
        <v>758.3</v>
      </c>
      <c r="DO105" s="331">
        <f t="shared" si="216"/>
        <v>758.3</v>
      </c>
      <c r="DP105" s="331">
        <f t="shared" si="216"/>
        <v>758.3</v>
      </c>
      <c r="DQ105" s="331">
        <f t="shared" si="216"/>
        <v>758.3</v>
      </c>
      <c r="DR105" s="392">
        <f t="shared" si="216"/>
        <v>758.3</v>
      </c>
      <c r="DS105" s="331">
        <f t="shared" si="216"/>
        <v>758.3</v>
      </c>
      <c r="DT105" s="331">
        <f t="shared" si="216"/>
        <v>758.3</v>
      </c>
      <c r="DU105" s="331">
        <f t="shared" si="216"/>
        <v>758.3</v>
      </c>
      <c r="DV105" s="331">
        <f t="shared" si="216"/>
        <v>758.3</v>
      </c>
      <c r="DW105" s="392">
        <f t="shared" si="216"/>
        <v>758.3</v>
      </c>
      <c r="DX105" s="331">
        <f t="shared" si="216"/>
        <v>758.3</v>
      </c>
      <c r="DY105" s="331">
        <f t="shared" si="216"/>
        <v>758.3</v>
      </c>
      <c r="DZ105" s="331">
        <f t="shared" si="216"/>
        <v>758.3</v>
      </c>
      <c r="EA105" s="331">
        <f t="shared" si="216"/>
        <v>758.3</v>
      </c>
      <c r="EB105" s="392">
        <f t="shared" si="216"/>
        <v>758.3</v>
      </c>
      <c r="ED105" s="418"/>
      <c r="EK105" s="418"/>
    </row>
    <row r="106" spans="1:141" x14ac:dyDescent="0.2">
      <c r="A106" s="1" t="s">
        <v>624</v>
      </c>
      <c r="B106" s="179"/>
      <c r="C106" s="175"/>
      <c r="D106" s="175"/>
      <c r="E106" s="175"/>
      <c r="F106" s="175"/>
      <c r="G106" s="170"/>
      <c r="H106" s="157"/>
      <c r="I106" s="157"/>
      <c r="J106" s="157"/>
      <c r="K106" s="175"/>
      <c r="L106" s="170"/>
      <c r="M106" s="157"/>
      <c r="N106" s="157"/>
      <c r="O106" s="157"/>
      <c r="P106" s="175"/>
      <c r="Q106" s="170"/>
      <c r="R106" s="157"/>
      <c r="S106" s="157"/>
      <c r="T106" s="157"/>
      <c r="U106" s="175"/>
      <c r="V106" s="170"/>
      <c r="W106" s="175"/>
      <c r="X106" s="175"/>
      <c r="Y106" s="175"/>
      <c r="Z106" s="175"/>
      <c r="AA106" s="170"/>
      <c r="AB106" s="157"/>
      <c r="AC106" s="157"/>
      <c r="AD106" s="157"/>
      <c r="AE106" s="175"/>
      <c r="AF106" s="170"/>
      <c r="AG106" s="157"/>
      <c r="AH106" s="157"/>
      <c r="AI106" s="157"/>
      <c r="AJ106" s="175"/>
      <c r="AK106" s="170"/>
      <c r="AL106" s="157"/>
      <c r="AM106" s="157"/>
      <c r="AN106" s="157"/>
      <c r="AO106" s="175"/>
      <c r="AP106" s="170"/>
      <c r="AQ106" s="157"/>
      <c r="AR106" s="157"/>
      <c r="AS106" s="157"/>
      <c r="AT106" s="175"/>
      <c r="AU106" s="170"/>
      <c r="AV106" s="157"/>
      <c r="AW106" s="157"/>
      <c r="AX106" s="157"/>
      <c r="AY106" s="175"/>
      <c r="AZ106" s="170"/>
      <c r="BA106" s="157"/>
      <c r="BB106" s="157"/>
      <c r="BC106" s="157"/>
      <c r="BD106" s="175"/>
      <c r="BE106" s="170"/>
      <c r="BF106" s="157"/>
      <c r="BG106" s="157"/>
      <c r="BH106" s="157"/>
      <c r="BI106" s="175"/>
      <c r="BJ106" s="170"/>
      <c r="BK106" s="331"/>
      <c r="BL106" s="331"/>
      <c r="BM106" s="331"/>
      <c r="BN106" s="521"/>
      <c r="BO106" s="392"/>
      <c r="BP106" s="331"/>
      <c r="BQ106" s="331"/>
      <c r="BR106" s="331"/>
      <c r="BS106" s="521"/>
      <c r="BT106" s="392"/>
      <c r="BU106" s="331"/>
      <c r="BV106" s="331"/>
      <c r="BW106" s="331"/>
      <c r="BX106" s="521"/>
      <c r="BY106" s="392"/>
      <c r="BZ106" s="331"/>
      <c r="CA106" s="331"/>
      <c r="CB106" s="331"/>
      <c r="CC106" s="521"/>
      <c r="CD106" s="392"/>
      <c r="CE106" s="331"/>
      <c r="CF106" s="331"/>
      <c r="CG106" s="331"/>
      <c r="CH106" s="521"/>
      <c r="CI106" s="392"/>
      <c r="CJ106" s="331"/>
      <c r="CK106" s="331"/>
      <c r="CL106" s="331"/>
      <c r="CM106" s="521"/>
      <c r="CN106" s="392"/>
      <c r="CO106" s="331"/>
      <c r="CP106" s="331"/>
      <c r="CQ106" s="331"/>
      <c r="CR106" s="521"/>
      <c r="CS106" s="392"/>
      <c r="CT106" s="331"/>
      <c r="CU106" s="331"/>
      <c r="CV106" s="331"/>
      <c r="CW106" s="666"/>
      <c r="CX106" s="726"/>
      <c r="CY106" s="331"/>
      <c r="CZ106" s="331"/>
      <c r="DA106" s="838"/>
      <c r="DB106" s="885"/>
      <c r="DC106" s="839"/>
      <c r="DD106" s="838"/>
      <c r="DE106" s="331"/>
      <c r="DF106" s="838">
        <f>500+250</f>
        <v>750</v>
      </c>
      <c r="DG106" s="838">
        <f>500+250</f>
        <v>750</v>
      </c>
      <c r="DH106" s="392">
        <f t="shared" ref="DH106:DH107" si="217">DG106</f>
        <v>750</v>
      </c>
      <c r="DI106" s="331">
        <v>750</v>
      </c>
      <c r="DJ106" s="331">
        <v>750</v>
      </c>
      <c r="DK106" s="331">
        <v>750</v>
      </c>
      <c r="DL106" s="331">
        <v>750</v>
      </c>
      <c r="DM106" s="392">
        <f t="shared" ref="DM106:DM107" si="218">DL106</f>
        <v>750</v>
      </c>
      <c r="DN106" s="331">
        <v>750</v>
      </c>
      <c r="DO106" s="331">
        <v>750</v>
      </c>
      <c r="DP106" s="331">
        <v>750</v>
      </c>
      <c r="DQ106" s="331">
        <v>750</v>
      </c>
      <c r="DR106" s="392">
        <f t="shared" ref="DR106:DR107" si="219">DQ106</f>
        <v>750</v>
      </c>
      <c r="DS106" s="331">
        <v>750</v>
      </c>
      <c r="DT106" s="331">
        <v>750</v>
      </c>
      <c r="DU106" s="331">
        <v>750</v>
      </c>
      <c r="DV106" s="331">
        <v>750</v>
      </c>
      <c r="DW106" s="392">
        <f t="shared" ref="DW106:DW107" si="220">DV106</f>
        <v>750</v>
      </c>
      <c r="DX106" s="331">
        <v>750</v>
      </c>
      <c r="DY106" s="331">
        <v>750</v>
      </c>
      <c r="DZ106" s="331">
        <v>750</v>
      </c>
      <c r="EA106" s="331">
        <v>750</v>
      </c>
      <c r="EB106" s="392">
        <f t="shared" ref="EB106:EB107" si="221">EA106</f>
        <v>750</v>
      </c>
      <c r="ED106" s="418"/>
      <c r="EK106" s="418"/>
    </row>
    <row r="107" spans="1:141" x14ac:dyDescent="0.2">
      <c r="A107" s="1" t="s">
        <v>625</v>
      </c>
      <c r="B107" s="179"/>
      <c r="C107" s="175"/>
      <c r="D107" s="175"/>
      <c r="E107" s="175"/>
      <c r="F107" s="175"/>
      <c r="G107" s="170"/>
      <c r="H107" s="157"/>
      <c r="I107" s="157"/>
      <c r="J107" s="157"/>
      <c r="K107" s="175"/>
      <c r="L107" s="170"/>
      <c r="M107" s="157"/>
      <c r="N107" s="157"/>
      <c r="O107" s="157"/>
      <c r="P107" s="175"/>
      <c r="Q107" s="170"/>
      <c r="R107" s="157"/>
      <c r="S107" s="157"/>
      <c r="T107" s="157"/>
      <c r="U107" s="175"/>
      <c r="V107" s="170"/>
      <c r="W107" s="175"/>
      <c r="X107" s="175"/>
      <c r="Y107" s="175"/>
      <c r="Z107" s="175"/>
      <c r="AA107" s="170"/>
      <c r="AB107" s="157"/>
      <c r="AC107" s="157"/>
      <c r="AD107" s="157"/>
      <c r="AE107" s="175"/>
      <c r="AF107" s="170"/>
      <c r="AG107" s="157"/>
      <c r="AH107" s="157"/>
      <c r="AI107" s="157"/>
      <c r="AJ107" s="175"/>
      <c r="AK107" s="170"/>
      <c r="AL107" s="157"/>
      <c r="AM107" s="157"/>
      <c r="AN107" s="157"/>
      <c r="AO107" s="175"/>
      <c r="AP107" s="170"/>
      <c r="AQ107" s="157"/>
      <c r="AR107" s="157"/>
      <c r="AS107" s="157"/>
      <c r="AT107" s="175"/>
      <c r="AU107" s="170"/>
      <c r="AV107" s="157"/>
      <c r="AW107" s="157"/>
      <c r="AX107" s="157"/>
      <c r="AY107" s="175"/>
      <c r="AZ107" s="170"/>
      <c r="BA107" s="157"/>
      <c r="BB107" s="157"/>
      <c r="BC107" s="157"/>
      <c r="BD107" s="175"/>
      <c r="BE107" s="170"/>
      <c r="BF107" s="157"/>
      <c r="BG107" s="157"/>
      <c r="BH107" s="157"/>
      <c r="BI107" s="175"/>
      <c r="BJ107" s="170"/>
      <c r="BK107" s="331"/>
      <c r="BL107" s="331"/>
      <c r="BM107" s="331"/>
      <c r="BN107" s="521"/>
      <c r="BO107" s="392"/>
      <c r="BP107" s="331"/>
      <c r="BQ107" s="331"/>
      <c r="BR107" s="331"/>
      <c r="BS107" s="521"/>
      <c r="BT107" s="392"/>
      <c r="BU107" s="331"/>
      <c r="BV107" s="331"/>
      <c r="BW107" s="331"/>
      <c r="BX107" s="521"/>
      <c r="BY107" s="392"/>
      <c r="BZ107" s="331"/>
      <c r="CA107" s="331"/>
      <c r="CB107" s="331"/>
      <c r="CC107" s="521"/>
      <c r="CD107" s="392"/>
      <c r="CE107" s="331"/>
      <c r="CF107" s="331"/>
      <c r="CG107" s="331"/>
      <c r="CH107" s="521"/>
      <c r="CI107" s="392"/>
      <c r="CJ107" s="331"/>
      <c r="CK107" s="331"/>
      <c r="CL107" s="331"/>
      <c r="CM107" s="521"/>
      <c r="CN107" s="392"/>
      <c r="CO107" s="331"/>
      <c r="CP107" s="331"/>
      <c r="CQ107" s="331"/>
      <c r="CR107" s="521"/>
      <c r="CS107" s="392"/>
      <c r="CT107" s="331"/>
      <c r="CU107" s="331"/>
      <c r="CV107" s="331"/>
      <c r="CW107" s="666"/>
      <c r="CX107" s="726"/>
      <c r="CY107" s="331"/>
      <c r="CZ107" s="331"/>
      <c r="DA107" s="838"/>
      <c r="DB107" s="885"/>
      <c r="DC107" s="839"/>
      <c r="DD107" s="838"/>
      <c r="DE107" s="331"/>
      <c r="DF107" s="331">
        <v>500</v>
      </c>
      <c r="DG107" s="331">
        <v>500</v>
      </c>
      <c r="DH107" s="392">
        <f t="shared" si="217"/>
        <v>500</v>
      </c>
      <c r="DI107" s="331">
        <v>500</v>
      </c>
      <c r="DJ107" s="331">
        <v>500</v>
      </c>
      <c r="DK107" s="331">
        <v>500</v>
      </c>
      <c r="DL107" s="331">
        <v>500</v>
      </c>
      <c r="DM107" s="392">
        <f t="shared" si="218"/>
        <v>500</v>
      </c>
      <c r="DN107" s="331">
        <v>500</v>
      </c>
      <c r="DO107" s="331">
        <v>500</v>
      </c>
      <c r="DP107" s="331">
        <v>500</v>
      </c>
      <c r="DQ107" s="331">
        <v>500</v>
      </c>
      <c r="DR107" s="392">
        <f t="shared" si="219"/>
        <v>500</v>
      </c>
      <c r="DS107" s="331">
        <v>500</v>
      </c>
      <c r="DT107" s="331">
        <v>500</v>
      </c>
      <c r="DU107" s="331">
        <v>500</v>
      </c>
      <c r="DV107" s="331">
        <v>500</v>
      </c>
      <c r="DW107" s="392">
        <f t="shared" si="220"/>
        <v>500</v>
      </c>
      <c r="DX107" s="331">
        <v>500</v>
      </c>
      <c r="DY107" s="331">
        <v>500</v>
      </c>
      <c r="DZ107" s="331">
        <v>500</v>
      </c>
      <c r="EA107" s="331">
        <v>500</v>
      </c>
      <c r="EB107" s="392">
        <f t="shared" si="221"/>
        <v>500</v>
      </c>
      <c r="ED107" s="418"/>
      <c r="EK107" s="418"/>
    </row>
    <row r="108" spans="1:141" x14ac:dyDescent="0.2">
      <c r="A108" s="1" t="s">
        <v>377</v>
      </c>
      <c r="B108" s="179"/>
      <c r="C108" s="175"/>
      <c r="D108" s="175"/>
      <c r="E108" s="175"/>
      <c r="F108" s="175"/>
      <c r="G108" s="170"/>
      <c r="H108" s="157"/>
      <c r="I108" s="157"/>
      <c r="J108" s="157"/>
      <c r="K108" s="175"/>
      <c r="L108" s="170"/>
      <c r="M108" s="157"/>
      <c r="N108" s="157"/>
      <c r="O108" s="157"/>
      <c r="P108" s="175"/>
      <c r="Q108" s="170"/>
      <c r="R108" s="157"/>
      <c r="S108" s="157"/>
      <c r="T108" s="157"/>
      <c r="U108" s="175"/>
      <c r="V108" s="170"/>
      <c r="W108" s="175"/>
      <c r="X108" s="175"/>
      <c r="Y108" s="175"/>
      <c r="Z108" s="175"/>
      <c r="AA108" s="170"/>
      <c r="AB108" s="157"/>
      <c r="AC108" s="157"/>
      <c r="AD108" s="157"/>
      <c r="AE108" s="175"/>
      <c r="AF108" s="170"/>
      <c r="AG108" s="157"/>
      <c r="AH108" s="157"/>
      <c r="AI108" s="157"/>
      <c r="AJ108" s="175"/>
      <c r="AK108" s="170"/>
      <c r="AL108" s="157"/>
      <c r="AM108" s="157"/>
      <c r="AN108" s="157"/>
      <c r="AO108" s="175"/>
      <c r="AP108" s="170"/>
      <c r="AQ108" s="157"/>
      <c r="AR108" s="157"/>
      <c r="AS108" s="157"/>
      <c r="AT108" s="175"/>
      <c r="AU108" s="170"/>
      <c r="AV108" s="157"/>
      <c r="AW108" s="157"/>
      <c r="AX108" s="157"/>
      <c r="AY108" s="175"/>
      <c r="AZ108" s="170"/>
      <c r="BA108" s="157"/>
      <c r="BB108" s="157"/>
      <c r="BC108" s="157"/>
      <c r="BD108" s="175"/>
      <c r="BE108" s="170"/>
      <c r="BF108" s="157"/>
      <c r="BG108" s="157"/>
      <c r="BH108" s="157"/>
      <c r="BI108" s="175"/>
      <c r="BJ108" s="170"/>
      <c r="BK108" s="525">
        <v>0</v>
      </c>
      <c r="BL108" s="525">
        <v>0</v>
      </c>
      <c r="BM108" s="525">
        <v>0</v>
      </c>
      <c r="BN108" s="525">
        <v>0</v>
      </c>
      <c r="BO108" s="524">
        <f>BN108</f>
        <v>0</v>
      </c>
      <c r="BP108" s="525">
        <v>0</v>
      </c>
      <c r="BQ108" s="525">
        <v>0</v>
      </c>
      <c r="BR108" s="525">
        <v>0</v>
      </c>
      <c r="BS108" s="525">
        <v>0</v>
      </c>
      <c r="BT108" s="524">
        <f>BS108</f>
        <v>0</v>
      </c>
      <c r="BU108" s="525">
        <v>0</v>
      </c>
      <c r="BV108" s="525">
        <v>0</v>
      </c>
      <c r="BW108" s="525">
        <v>0</v>
      </c>
      <c r="BX108" s="525">
        <v>0</v>
      </c>
      <c r="BY108" s="524">
        <f>BX108</f>
        <v>0</v>
      </c>
      <c r="BZ108" s="525">
        <v>0</v>
      </c>
      <c r="CA108" s="525">
        <v>0</v>
      </c>
      <c r="CB108" s="525">
        <v>0</v>
      </c>
      <c r="CC108" s="525">
        <v>0</v>
      </c>
      <c r="CD108" s="524">
        <f>CC108</f>
        <v>0</v>
      </c>
      <c r="CE108" s="525">
        <v>0</v>
      </c>
      <c r="CF108" s="525">
        <v>0</v>
      </c>
      <c r="CG108" s="525">
        <v>0</v>
      </c>
      <c r="CH108" s="525">
        <v>0</v>
      </c>
      <c r="CI108" s="524">
        <f>CH108</f>
        <v>0</v>
      </c>
      <c r="CJ108" s="525">
        <v>0</v>
      </c>
      <c r="CK108" s="525">
        <v>0</v>
      </c>
      <c r="CL108" s="525">
        <v>0</v>
      </c>
      <c r="CM108" s="525">
        <v>0</v>
      </c>
      <c r="CN108" s="524">
        <f>CM108</f>
        <v>0</v>
      </c>
      <c r="CO108" s="525">
        <v>0</v>
      </c>
      <c r="CP108" s="525">
        <v>0</v>
      </c>
      <c r="CQ108" s="525">
        <v>0</v>
      </c>
      <c r="CR108" s="525">
        <v>0</v>
      </c>
      <c r="CS108" s="524">
        <f>CR108</f>
        <v>0</v>
      </c>
      <c r="CT108" s="427">
        <v>0</v>
      </c>
      <c r="CU108" s="427">
        <v>0</v>
      </c>
      <c r="CV108" s="427">
        <v>0</v>
      </c>
      <c r="CW108" s="705">
        <v>0</v>
      </c>
      <c r="CX108" s="747">
        <f>CW108</f>
        <v>0</v>
      </c>
      <c r="CY108" s="427">
        <v>0</v>
      </c>
      <c r="CZ108" s="427">
        <v>0</v>
      </c>
      <c r="DA108" s="427">
        <v>0</v>
      </c>
      <c r="DB108" s="886">
        <v>0</v>
      </c>
      <c r="DC108" s="524">
        <f>DB108</f>
        <v>0</v>
      </c>
      <c r="DD108" s="427">
        <v>0</v>
      </c>
      <c r="DE108" s="427">
        <v>0</v>
      </c>
      <c r="DF108" s="427">
        <v>0</v>
      </c>
      <c r="DG108" s="427">
        <v>0</v>
      </c>
      <c r="DH108" s="524">
        <f>DG108</f>
        <v>0</v>
      </c>
      <c r="DI108" s="427">
        <v>0</v>
      </c>
      <c r="DJ108" s="427">
        <v>0</v>
      </c>
      <c r="DK108" s="427">
        <v>0</v>
      </c>
      <c r="DL108" s="427">
        <v>0</v>
      </c>
      <c r="DM108" s="524">
        <f>DL108</f>
        <v>0</v>
      </c>
      <c r="DN108" s="427">
        <v>0</v>
      </c>
      <c r="DO108" s="427">
        <v>0</v>
      </c>
      <c r="DP108" s="427">
        <v>0</v>
      </c>
      <c r="DQ108" s="427">
        <v>0</v>
      </c>
      <c r="DR108" s="524">
        <f>DQ108</f>
        <v>0</v>
      </c>
      <c r="DS108" s="427">
        <v>0</v>
      </c>
      <c r="DT108" s="427">
        <v>0</v>
      </c>
      <c r="DU108" s="427">
        <v>0</v>
      </c>
      <c r="DV108" s="427">
        <v>0</v>
      </c>
      <c r="DW108" s="524">
        <f>DV108</f>
        <v>0</v>
      </c>
      <c r="DX108" s="427">
        <v>0</v>
      </c>
      <c r="DY108" s="427">
        <v>0</v>
      </c>
      <c r="DZ108" s="427">
        <v>0</v>
      </c>
      <c r="EA108" s="427">
        <v>0</v>
      </c>
      <c r="EB108" s="524">
        <f>EA108</f>
        <v>0</v>
      </c>
      <c r="ED108" s="418"/>
      <c r="EK108" s="418"/>
    </row>
    <row r="109" spans="1:141" x14ac:dyDescent="0.2">
      <c r="A109" s="1" t="s">
        <v>540</v>
      </c>
      <c r="B109" s="179"/>
      <c r="C109" s="175"/>
      <c r="D109" s="175"/>
      <c r="E109" s="175"/>
      <c r="F109" s="175"/>
      <c r="G109" s="170"/>
      <c r="H109" s="157"/>
      <c r="I109" s="157"/>
      <c r="J109" s="157"/>
      <c r="K109" s="175"/>
      <c r="L109" s="170"/>
      <c r="M109" s="157"/>
      <c r="N109" s="157"/>
      <c r="O109" s="157"/>
      <c r="P109" s="175"/>
      <c r="Q109" s="170"/>
      <c r="R109" s="157"/>
      <c r="S109" s="157"/>
      <c r="T109" s="157"/>
      <c r="U109" s="175"/>
      <c r="V109" s="170"/>
      <c r="W109" s="175"/>
      <c r="X109" s="175"/>
      <c r="Y109" s="175"/>
      <c r="Z109" s="175"/>
      <c r="AA109" s="170"/>
      <c r="AB109" s="157"/>
      <c r="AC109" s="157"/>
      <c r="AD109" s="157"/>
      <c r="AE109" s="175"/>
      <c r="AF109" s="170"/>
      <c r="AG109" s="157"/>
      <c r="AH109" s="157"/>
      <c r="AI109" s="157"/>
      <c r="AJ109" s="175"/>
      <c r="AK109" s="170"/>
      <c r="AL109" s="157"/>
      <c r="AM109" s="157"/>
      <c r="AN109" s="157"/>
      <c r="AO109" s="175"/>
      <c r="AP109" s="170"/>
      <c r="AQ109" s="157"/>
      <c r="AR109" s="157"/>
      <c r="AS109" s="157"/>
      <c r="AT109" s="175"/>
      <c r="AU109" s="170"/>
      <c r="AV109" s="157"/>
      <c r="AW109" s="157"/>
      <c r="AX109" s="157"/>
      <c r="AY109" s="175"/>
      <c r="AZ109" s="170"/>
      <c r="BA109" s="157"/>
      <c r="BB109" s="157"/>
      <c r="BC109" s="157"/>
      <c r="BD109" s="175"/>
      <c r="BE109" s="170"/>
      <c r="BF109" s="157"/>
      <c r="BG109" s="157"/>
      <c r="BH109" s="157"/>
      <c r="BI109" s="175"/>
      <c r="BJ109" s="170"/>
      <c r="BK109" s="521">
        <f t="shared" ref="BK109:CP109" si="222">SUM(BK101:BK108)</f>
        <v>1.746</v>
      </c>
      <c r="BL109" s="521">
        <f t="shared" si="222"/>
        <v>1.5509999999999999</v>
      </c>
      <c r="BM109" s="521">
        <f t="shared" si="222"/>
        <v>1.3560000000000001</v>
      </c>
      <c r="BN109" s="521">
        <f t="shared" si="222"/>
        <v>550.12099999999998</v>
      </c>
      <c r="BO109" s="392">
        <f t="shared" si="222"/>
        <v>550.12099999999998</v>
      </c>
      <c r="BP109" s="521">
        <f t="shared" si="222"/>
        <v>550</v>
      </c>
      <c r="BQ109" s="521">
        <f t="shared" si="222"/>
        <v>549.9</v>
      </c>
      <c r="BR109" s="521">
        <f t="shared" si="222"/>
        <v>549.79999999999995</v>
      </c>
      <c r="BS109" s="521">
        <f t="shared" si="222"/>
        <v>549.6</v>
      </c>
      <c r="BT109" s="392">
        <f t="shared" si="222"/>
        <v>549.6</v>
      </c>
      <c r="BU109" s="521">
        <f t="shared" si="222"/>
        <v>549.5</v>
      </c>
      <c r="BV109" s="521">
        <f t="shared" si="222"/>
        <v>549.4</v>
      </c>
      <c r="BW109" s="521">
        <f t="shared" si="222"/>
        <v>549.4</v>
      </c>
      <c r="BX109" s="521">
        <f t="shared" si="222"/>
        <v>549.29999999999995</v>
      </c>
      <c r="BY109" s="392">
        <f t="shared" si="222"/>
        <v>549.29999999999995</v>
      </c>
      <c r="BZ109" s="521">
        <f t="shared" si="222"/>
        <v>549.29999999999995</v>
      </c>
      <c r="CA109" s="521">
        <f t="shared" si="222"/>
        <v>549.29999999999995</v>
      </c>
      <c r="CB109" s="521">
        <f t="shared" si="222"/>
        <v>549.4</v>
      </c>
      <c r="CC109" s="521">
        <f t="shared" si="222"/>
        <v>549.4</v>
      </c>
      <c r="CD109" s="392">
        <f t="shared" si="222"/>
        <v>549.4</v>
      </c>
      <c r="CE109" s="521">
        <f t="shared" si="222"/>
        <v>549.4</v>
      </c>
      <c r="CF109" s="521">
        <f t="shared" si="222"/>
        <v>549.4</v>
      </c>
      <c r="CG109" s="521">
        <f t="shared" si="222"/>
        <v>549.4</v>
      </c>
      <c r="CH109" s="521">
        <f t="shared" si="222"/>
        <v>549.5</v>
      </c>
      <c r="CI109" s="392">
        <f t="shared" si="222"/>
        <v>549.5</v>
      </c>
      <c r="CJ109" s="521">
        <f t="shared" si="222"/>
        <v>549.5</v>
      </c>
      <c r="CK109" s="521">
        <f t="shared" si="222"/>
        <v>549.6</v>
      </c>
      <c r="CL109" s="521">
        <f t="shared" si="222"/>
        <v>549.6</v>
      </c>
      <c r="CM109" s="521">
        <f t="shared" si="222"/>
        <v>549.6</v>
      </c>
      <c r="CN109" s="392">
        <f t="shared" si="222"/>
        <v>549.6</v>
      </c>
      <c r="CO109" s="521">
        <f t="shared" si="222"/>
        <v>549.6</v>
      </c>
      <c r="CP109" s="521">
        <f t="shared" si="222"/>
        <v>549.6</v>
      </c>
      <c r="CQ109" s="521">
        <f t="shared" ref="CQ109:DR109" si="223">SUM(CQ101:CQ108)</f>
        <v>549.70000000000005</v>
      </c>
      <c r="CR109" s="521">
        <f t="shared" si="223"/>
        <v>1299.5</v>
      </c>
      <c r="CS109" s="392">
        <f t="shared" si="223"/>
        <v>1299.5</v>
      </c>
      <c r="CT109" s="331">
        <f t="shared" si="223"/>
        <v>2050</v>
      </c>
      <c r="CU109" s="331">
        <f t="shared" si="223"/>
        <v>2050</v>
      </c>
      <c r="CV109" s="331">
        <f>SUM(CV99:CV108)</f>
        <v>2050</v>
      </c>
      <c r="CW109" s="331">
        <f>SUM(CW99:CW108)</f>
        <v>2050</v>
      </c>
      <c r="CX109" s="726">
        <f t="shared" si="223"/>
        <v>2050</v>
      </c>
      <c r="CY109" s="331">
        <f>SUM(CY99:CY108)</f>
        <v>2050</v>
      </c>
      <c r="CZ109" s="331">
        <f t="shared" ref="CZ109:DB109" si="224">SUM(CZ99:CZ108)</f>
        <v>2050</v>
      </c>
      <c r="DA109" s="331">
        <f t="shared" si="224"/>
        <v>2900</v>
      </c>
      <c r="DB109" s="885">
        <f t="shared" si="224"/>
        <v>2350</v>
      </c>
      <c r="DC109" s="392">
        <f>SUM(DC99:DC108)</f>
        <v>2350</v>
      </c>
      <c r="DD109" s="331">
        <f>SUM(DD99:DD108)</f>
        <v>2350</v>
      </c>
      <c r="DE109" s="331">
        <f t="shared" ref="DE109" si="225">SUM(DE99:DE108)</f>
        <v>2350</v>
      </c>
      <c r="DF109" s="331">
        <f t="shared" ref="DF109" si="226">SUM(DF99:DF108)</f>
        <v>3600</v>
      </c>
      <c r="DG109" s="331">
        <f t="shared" ref="DG109" si="227">SUM(DG99:DG108)</f>
        <v>3600</v>
      </c>
      <c r="DH109" s="392">
        <f>SUM(DH99:DH108)</f>
        <v>3600</v>
      </c>
      <c r="DI109" s="331">
        <f>SUM(DI99:DI108)</f>
        <v>3200</v>
      </c>
      <c r="DJ109" s="331">
        <f t="shared" ref="DJ109:DL109" si="228">SUM(DJ99:DJ108)</f>
        <v>3961.1</v>
      </c>
      <c r="DK109" s="331">
        <f t="shared" si="228"/>
        <v>3958.3</v>
      </c>
      <c r="DL109" s="331">
        <f t="shared" si="228"/>
        <v>3958.3</v>
      </c>
      <c r="DM109" s="392">
        <f>SUM(DM99:DM108)</f>
        <v>3958.3</v>
      </c>
      <c r="DN109" s="331">
        <f>SUM(DN99:DN108)</f>
        <v>3958.3</v>
      </c>
      <c r="DO109" s="331">
        <f t="shared" ref="DO109" si="229">SUM(DO99:DO108)</f>
        <v>3958.3</v>
      </c>
      <c r="DP109" s="331">
        <f t="shared" ref="DP109" si="230">SUM(DP99:DP108)</f>
        <v>3958.3</v>
      </c>
      <c r="DQ109" s="331">
        <f t="shared" ref="DQ109" si="231">SUM(DQ99:DQ108)</f>
        <v>3958.3</v>
      </c>
      <c r="DR109" s="392">
        <f t="shared" si="223"/>
        <v>3108.3</v>
      </c>
      <c r="DS109" s="331">
        <f>SUM(DS99:DS108)</f>
        <v>3608.3</v>
      </c>
      <c r="DT109" s="331">
        <f t="shared" ref="DT109" si="232">SUM(DT99:DT108)</f>
        <v>3608.3</v>
      </c>
      <c r="DU109" s="331">
        <f t="shared" ref="DU109" si="233">SUM(DU99:DU108)</f>
        <v>3608.3</v>
      </c>
      <c r="DV109" s="331">
        <f t="shared" ref="DV109" si="234">SUM(DV99:DV108)</f>
        <v>3608.3</v>
      </c>
      <c r="DW109" s="392">
        <f t="shared" ref="DW109:EB109" si="235">SUM(DW101:DW108)</f>
        <v>2758.3</v>
      </c>
      <c r="DX109" s="331">
        <f>SUM(DX99:DX108)</f>
        <v>3608.3</v>
      </c>
      <c r="DY109" s="331">
        <f t="shared" ref="DY109" si="236">SUM(DY99:DY108)</f>
        <v>3608.3</v>
      </c>
      <c r="DZ109" s="331">
        <f t="shared" ref="DZ109" si="237">SUM(DZ99:DZ108)</f>
        <v>3608.3</v>
      </c>
      <c r="EA109" s="331">
        <f t="shared" ref="EA109" si="238">SUM(EA99:EA108)</f>
        <v>3608.3</v>
      </c>
      <c r="EB109" s="392">
        <f t="shared" si="235"/>
        <v>2758.3</v>
      </c>
      <c r="ED109" s="418"/>
      <c r="EK109" s="418"/>
    </row>
    <row r="110" spans="1:141" x14ac:dyDescent="0.2">
      <c r="A110" s="1" t="s">
        <v>83</v>
      </c>
      <c r="B110" s="179"/>
      <c r="C110" s="175"/>
      <c r="D110" s="175"/>
      <c r="E110" s="175"/>
      <c r="F110" s="175"/>
      <c r="G110" s="170"/>
      <c r="H110" s="157"/>
      <c r="I110" s="157"/>
      <c r="J110" s="157"/>
      <c r="K110" s="175"/>
      <c r="L110" s="170"/>
      <c r="M110" s="157"/>
      <c r="N110" s="157"/>
      <c r="O110" s="157"/>
      <c r="P110" s="175"/>
      <c r="Q110" s="170"/>
      <c r="R110" s="157"/>
      <c r="S110" s="157"/>
      <c r="T110" s="157"/>
      <c r="U110" s="175"/>
      <c r="V110" s="170"/>
      <c r="W110" s="175"/>
      <c r="X110" s="175"/>
      <c r="Y110" s="175"/>
      <c r="Z110" s="175"/>
      <c r="AA110" s="170"/>
      <c r="AB110" s="157"/>
      <c r="AC110" s="157"/>
      <c r="AD110" s="157"/>
      <c r="AE110" s="175"/>
      <c r="AF110" s="170"/>
      <c r="AG110" s="157"/>
      <c r="AH110" s="157"/>
      <c r="AI110" s="157"/>
      <c r="AJ110" s="175"/>
      <c r="AK110" s="170"/>
      <c r="AL110" s="157"/>
      <c r="AM110" s="157"/>
      <c r="AN110" s="157"/>
      <c r="AO110" s="175"/>
      <c r="AP110" s="170"/>
      <c r="AQ110" s="157"/>
      <c r="AR110" s="157"/>
      <c r="AS110" s="157"/>
      <c r="AT110" s="175"/>
      <c r="AU110" s="170"/>
      <c r="AV110" s="157"/>
      <c r="AW110" s="157"/>
      <c r="AX110" s="157"/>
      <c r="AY110" s="175"/>
      <c r="AZ110" s="170"/>
      <c r="BA110" s="157"/>
      <c r="BB110" s="157"/>
      <c r="BC110" s="157"/>
      <c r="BD110" s="175"/>
      <c r="BE110" s="170"/>
      <c r="BF110" s="157"/>
      <c r="BG110" s="157"/>
      <c r="BH110" s="157"/>
      <c r="BI110" s="175"/>
      <c r="BJ110" s="170"/>
      <c r="BK110" s="521"/>
      <c r="BL110" s="521"/>
      <c r="BM110" s="521"/>
      <c r="BN110" s="521"/>
      <c r="BO110" s="392"/>
      <c r="BP110" s="521"/>
      <c r="BQ110" s="521"/>
      <c r="BR110" s="521"/>
      <c r="BS110" s="521"/>
      <c r="BT110" s="392"/>
      <c r="BU110" s="521"/>
      <c r="BV110" s="521"/>
      <c r="BW110" s="521"/>
      <c r="BX110" s="521"/>
      <c r="BY110" s="392"/>
      <c r="BZ110" s="521"/>
      <c r="CA110" s="521"/>
      <c r="CB110" s="521"/>
      <c r="CC110" s="521"/>
      <c r="CD110" s="392"/>
      <c r="CE110" s="521"/>
      <c r="CF110" s="521"/>
      <c r="CG110" s="521"/>
      <c r="CH110" s="521"/>
      <c r="CI110" s="392"/>
      <c r="CJ110" s="521"/>
      <c r="CK110" s="521"/>
      <c r="CL110" s="521"/>
      <c r="CM110" s="521"/>
      <c r="CN110" s="392"/>
      <c r="CO110" s="521"/>
      <c r="CP110" s="521"/>
      <c r="CQ110" s="521"/>
      <c r="CR110" s="521"/>
      <c r="CS110" s="392"/>
      <c r="CT110" s="331">
        <v>2.1</v>
      </c>
      <c r="CU110" s="331">
        <v>2</v>
      </c>
      <c r="CV110" s="331">
        <v>1.9</v>
      </c>
      <c r="CW110" s="666"/>
      <c r="CX110" s="726"/>
      <c r="CY110" s="331"/>
      <c r="CZ110" s="331"/>
      <c r="DA110" s="331"/>
      <c r="DB110" s="885"/>
      <c r="DC110" s="392"/>
      <c r="DD110" s="331"/>
      <c r="DE110" s="331"/>
      <c r="DF110" s="331"/>
      <c r="DG110" s="331"/>
      <c r="DH110" s="392"/>
      <c r="DI110" s="331">
        <v>-14.3</v>
      </c>
      <c r="DJ110" s="331">
        <v>-18.600000000000001</v>
      </c>
      <c r="DK110" s="331">
        <f>-18-4.8</f>
        <v>-22.8</v>
      </c>
      <c r="DL110" s="331"/>
      <c r="DM110" s="392"/>
      <c r="DN110" s="331"/>
      <c r="DO110" s="331"/>
      <c r="DP110" s="331"/>
      <c r="DQ110" s="331"/>
      <c r="DR110" s="392"/>
      <c r="DS110" s="331"/>
      <c r="DT110" s="331"/>
      <c r="DU110" s="331"/>
      <c r="DV110" s="331"/>
      <c r="DW110" s="392"/>
      <c r="DX110" s="331"/>
      <c r="DY110" s="331"/>
      <c r="DZ110" s="331"/>
      <c r="EA110" s="331"/>
      <c r="EB110" s="392"/>
      <c r="ED110" s="418"/>
      <c r="EK110" s="418"/>
    </row>
    <row r="111" spans="1:141" x14ac:dyDescent="0.2">
      <c r="A111" s="7" t="s">
        <v>37</v>
      </c>
      <c r="B111" s="179"/>
      <c r="C111" s="175"/>
      <c r="D111" s="175"/>
      <c r="E111" s="175"/>
      <c r="F111" s="175"/>
      <c r="G111" s="170"/>
      <c r="H111" s="157"/>
      <c r="I111" s="157"/>
      <c r="J111" s="157"/>
      <c r="K111" s="175"/>
      <c r="L111" s="170"/>
      <c r="M111" s="157"/>
      <c r="N111" s="157"/>
      <c r="O111" s="157"/>
      <c r="P111" s="175"/>
      <c r="Q111" s="170"/>
      <c r="R111" s="157"/>
      <c r="S111" s="157"/>
      <c r="T111" s="157"/>
      <c r="U111" s="175"/>
      <c r="V111" s="170"/>
      <c r="W111" s="175"/>
      <c r="X111" s="175"/>
      <c r="Y111" s="175"/>
      <c r="Z111" s="175"/>
      <c r="AA111" s="170"/>
      <c r="AB111" s="157"/>
      <c r="AC111" s="157"/>
      <c r="AD111" s="157"/>
      <c r="AE111" s="175"/>
      <c r="AF111" s="170"/>
      <c r="AG111" s="157"/>
      <c r="AH111" s="157"/>
      <c r="AI111" s="157"/>
      <c r="AJ111" s="175"/>
      <c r="AK111" s="170"/>
      <c r="AL111" s="157"/>
      <c r="AM111" s="157"/>
      <c r="AN111" s="157"/>
      <c r="AO111" s="175"/>
      <c r="AP111" s="170"/>
      <c r="AQ111" s="157"/>
      <c r="AR111" s="157"/>
      <c r="AS111" s="157"/>
      <c r="AT111" s="175"/>
      <c r="AU111" s="170"/>
      <c r="AV111" s="157"/>
      <c r="AW111" s="157"/>
      <c r="AX111" s="157"/>
      <c r="AY111" s="175"/>
      <c r="AZ111" s="170"/>
      <c r="BA111" s="157"/>
      <c r="BB111" s="157"/>
      <c r="BC111" s="157"/>
      <c r="BD111" s="175"/>
      <c r="BE111" s="170"/>
      <c r="BF111" s="157"/>
      <c r="BG111" s="157"/>
      <c r="BH111" s="157"/>
      <c r="BI111" s="175"/>
      <c r="BJ111" s="170"/>
      <c r="BK111" s="521">
        <f t="shared" ref="BK111:CP111" si="239">BK45</f>
        <v>1.746</v>
      </c>
      <c r="BL111" s="521">
        <f t="shared" si="239"/>
        <v>1.5509999999999999</v>
      </c>
      <c r="BM111" s="521">
        <f t="shared" si="239"/>
        <v>1.3560000000000001</v>
      </c>
      <c r="BN111" s="521">
        <f t="shared" si="239"/>
        <v>550.12099999999998</v>
      </c>
      <c r="BO111" s="392">
        <f t="shared" si="239"/>
        <v>550.12099999999998</v>
      </c>
      <c r="BP111" s="521">
        <f t="shared" si="239"/>
        <v>550</v>
      </c>
      <c r="BQ111" s="521">
        <f t="shared" si="239"/>
        <v>549.9</v>
      </c>
      <c r="BR111" s="521">
        <f t="shared" si="239"/>
        <v>549.79999999999995</v>
      </c>
      <c r="BS111" s="521">
        <f t="shared" si="239"/>
        <v>549.6</v>
      </c>
      <c r="BT111" s="392">
        <f t="shared" si="239"/>
        <v>549.6</v>
      </c>
      <c r="BU111" s="521">
        <f t="shared" si="239"/>
        <v>549.5</v>
      </c>
      <c r="BV111" s="521">
        <f t="shared" si="239"/>
        <v>549.4</v>
      </c>
      <c r="BW111" s="521">
        <f t="shared" si="239"/>
        <v>549.4</v>
      </c>
      <c r="BX111" s="521">
        <f t="shared" si="239"/>
        <v>549.29999999999995</v>
      </c>
      <c r="BY111" s="392">
        <f t="shared" si="239"/>
        <v>549.29999999999995</v>
      </c>
      <c r="BZ111" s="521">
        <f t="shared" si="239"/>
        <v>549.29999999999995</v>
      </c>
      <c r="CA111" s="521">
        <f t="shared" si="239"/>
        <v>549.29999999999995</v>
      </c>
      <c r="CB111" s="521">
        <f t="shared" si="239"/>
        <v>549.4</v>
      </c>
      <c r="CC111" s="521">
        <f t="shared" si="239"/>
        <v>549.4</v>
      </c>
      <c r="CD111" s="392">
        <f t="shared" si="239"/>
        <v>549.4</v>
      </c>
      <c r="CE111" s="521">
        <f t="shared" si="239"/>
        <v>549.4</v>
      </c>
      <c r="CF111" s="521">
        <f t="shared" si="239"/>
        <v>549.4</v>
      </c>
      <c r="CG111" s="521">
        <f t="shared" si="239"/>
        <v>549.4</v>
      </c>
      <c r="CH111" s="521">
        <f t="shared" si="239"/>
        <v>549.5</v>
      </c>
      <c r="CI111" s="392">
        <f t="shared" si="239"/>
        <v>549.5</v>
      </c>
      <c r="CJ111" s="521">
        <f t="shared" si="239"/>
        <v>549.5</v>
      </c>
      <c r="CK111" s="521">
        <f t="shared" si="239"/>
        <v>549.6</v>
      </c>
      <c r="CL111" s="521">
        <f t="shared" si="239"/>
        <v>549.6</v>
      </c>
      <c r="CM111" s="521">
        <f t="shared" si="239"/>
        <v>549.6</v>
      </c>
      <c r="CN111" s="392">
        <f t="shared" si="239"/>
        <v>549.6</v>
      </c>
      <c r="CO111" s="521">
        <f t="shared" si="239"/>
        <v>549.6</v>
      </c>
      <c r="CP111" s="521">
        <f t="shared" si="239"/>
        <v>549.6</v>
      </c>
      <c r="CQ111" s="521">
        <f t="shared" ref="CQ111:DR111" si="240">CQ45</f>
        <v>549.70000000000005</v>
      </c>
      <c r="CR111" s="521">
        <f t="shared" si="240"/>
        <v>1299.4000000000001</v>
      </c>
      <c r="CS111" s="392">
        <f t="shared" si="240"/>
        <v>1299.4000000000001</v>
      </c>
      <c r="CT111" s="331">
        <f t="shared" si="240"/>
        <v>2047.9</v>
      </c>
      <c r="CU111" s="331">
        <f t="shared" si="240"/>
        <v>2048</v>
      </c>
      <c r="CV111" s="331">
        <f t="shared" si="240"/>
        <v>2048.1</v>
      </c>
      <c r="CW111" s="666">
        <f t="shared" si="240"/>
        <v>2048.3000000000002</v>
      </c>
      <c r="CX111" s="726">
        <f t="shared" si="240"/>
        <v>2048.3000000000002</v>
      </c>
      <c r="CY111" s="331">
        <f t="shared" si="240"/>
        <v>2048.4</v>
      </c>
      <c r="CZ111" s="331">
        <f t="shared" si="240"/>
        <v>2048.5</v>
      </c>
      <c r="DA111" s="331">
        <f t="shared" si="240"/>
        <v>2347.4</v>
      </c>
      <c r="DB111" s="885">
        <f t="shared" si="240"/>
        <v>2347.5</v>
      </c>
      <c r="DC111" s="392">
        <f t="shared" si="240"/>
        <v>2347.5</v>
      </c>
      <c r="DD111" s="331">
        <f t="shared" si="240"/>
        <v>1947.9</v>
      </c>
      <c r="DE111" s="331">
        <f t="shared" si="240"/>
        <v>2447.6</v>
      </c>
      <c r="DF111" s="331">
        <f t="shared" si="240"/>
        <v>3202.4</v>
      </c>
      <c r="DG111" s="331">
        <f t="shared" si="240"/>
        <v>3202.2</v>
      </c>
      <c r="DH111" s="392">
        <f t="shared" si="240"/>
        <v>3202.2</v>
      </c>
      <c r="DI111" s="331">
        <f t="shared" si="240"/>
        <v>3185.7</v>
      </c>
      <c r="DJ111" s="331">
        <f t="shared" si="240"/>
        <v>3942.5</v>
      </c>
      <c r="DK111" s="331">
        <f t="shared" si="240"/>
        <v>3935.5</v>
      </c>
      <c r="DL111" s="331">
        <f t="shared" si="240"/>
        <v>3932.6</v>
      </c>
      <c r="DM111" s="392">
        <f t="shared" si="240"/>
        <v>3932.6</v>
      </c>
      <c r="DN111" s="331">
        <f t="shared" si="240"/>
        <v>5432.6</v>
      </c>
      <c r="DO111" s="331">
        <f t="shared" si="240"/>
        <v>5432.6</v>
      </c>
      <c r="DP111" s="331">
        <f t="shared" si="240"/>
        <v>5432.6</v>
      </c>
      <c r="DQ111" s="331">
        <f t="shared" si="240"/>
        <v>5432.6</v>
      </c>
      <c r="DR111" s="392">
        <f t="shared" si="240"/>
        <v>5432.6</v>
      </c>
      <c r="DS111" s="331">
        <f t="shared" ref="DS111:EB111" si="241">DS45</f>
        <v>6932.6</v>
      </c>
      <c r="DT111" s="331">
        <f t="shared" si="241"/>
        <v>6932.6</v>
      </c>
      <c r="DU111" s="331">
        <f t="shared" si="241"/>
        <v>6932.6</v>
      </c>
      <c r="DV111" s="331">
        <f t="shared" si="241"/>
        <v>6932.6</v>
      </c>
      <c r="DW111" s="392">
        <f t="shared" si="241"/>
        <v>6932.6</v>
      </c>
      <c r="DX111" s="331">
        <f t="shared" si="241"/>
        <v>7932.6</v>
      </c>
      <c r="DY111" s="331">
        <f t="shared" si="241"/>
        <v>7932.6</v>
      </c>
      <c r="DZ111" s="331">
        <f t="shared" si="241"/>
        <v>7932.6</v>
      </c>
      <c r="EA111" s="331">
        <f t="shared" si="241"/>
        <v>7932.6</v>
      </c>
      <c r="EB111" s="392">
        <f t="shared" si="241"/>
        <v>7932.6</v>
      </c>
      <c r="ED111" s="418"/>
      <c r="EK111" s="418"/>
    </row>
    <row r="112" spans="1:141" x14ac:dyDescent="0.2">
      <c r="A112" s="7"/>
      <c r="B112" s="179"/>
      <c r="C112" s="175"/>
      <c r="D112" s="175"/>
      <c r="E112" s="175"/>
      <c r="F112" s="175"/>
      <c r="G112" s="170"/>
      <c r="H112" s="157"/>
      <c r="I112" s="157"/>
      <c r="J112" s="157"/>
      <c r="K112" s="175"/>
      <c r="L112" s="170"/>
      <c r="M112" s="157"/>
      <c r="N112" s="157"/>
      <c r="O112" s="157"/>
      <c r="P112" s="175"/>
      <c r="Q112" s="170"/>
      <c r="R112" s="157"/>
      <c r="S112" s="157"/>
      <c r="T112" s="157"/>
      <c r="U112" s="175"/>
      <c r="V112" s="170"/>
      <c r="W112" s="175"/>
      <c r="X112" s="175"/>
      <c r="Y112" s="175"/>
      <c r="Z112" s="175"/>
      <c r="AA112" s="170"/>
      <c r="AB112" s="157"/>
      <c r="AC112" s="157"/>
      <c r="AD112" s="157"/>
      <c r="AE112" s="175"/>
      <c r="AF112" s="170"/>
      <c r="AG112" s="157"/>
      <c r="AH112" s="157"/>
      <c r="AI112" s="157"/>
      <c r="AJ112" s="175"/>
      <c r="AK112" s="170"/>
      <c r="AL112" s="157"/>
      <c r="AM112" s="157"/>
      <c r="AN112" s="157"/>
      <c r="AO112" s="175"/>
      <c r="AP112" s="170"/>
      <c r="AQ112" s="157"/>
      <c r="AR112" s="157"/>
      <c r="AS112" s="157"/>
      <c r="AT112" s="175"/>
      <c r="AU112" s="170"/>
      <c r="AV112" s="157"/>
      <c r="AW112" s="157"/>
      <c r="AX112" s="157"/>
      <c r="AY112" s="175"/>
      <c r="AZ112" s="170"/>
      <c r="BA112" s="157"/>
      <c r="BB112" s="157"/>
      <c r="BC112" s="157"/>
      <c r="BD112" s="175"/>
      <c r="BE112" s="170"/>
      <c r="BF112" s="157"/>
      <c r="BG112" s="157"/>
      <c r="BH112" s="157"/>
      <c r="BI112" s="175"/>
      <c r="BJ112" s="170"/>
      <c r="BK112" s="331"/>
      <c r="BL112" s="331"/>
      <c r="BM112" s="331"/>
      <c r="BN112" s="521"/>
      <c r="BO112" s="392"/>
      <c r="BP112" s="331"/>
      <c r="BQ112" s="331"/>
      <c r="BR112" s="331"/>
      <c r="BS112" s="521"/>
      <c r="BT112" s="392"/>
      <c r="BU112" s="331"/>
      <c r="BV112" s="331"/>
      <c r="BW112" s="331"/>
      <c r="BX112" s="521"/>
      <c r="BY112" s="392"/>
      <c r="BZ112" s="331"/>
      <c r="CA112" s="331"/>
      <c r="CB112" s="331"/>
      <c r="CC112" s="521"/>
      <c r="CD112" s="392"/>
      <c r="CE112" s="331"/>
      <c r="CF112" s="331"/>
      <c r="CG112" s="331"/>
      <c r="CH112" s="521"/>
      <c r="CI112" s="392"/>
      <c r="CJ112" s="331"/>
      <c r="CK112" s="331"/>
      <c r="CL112" s="331"/>
      <c r="CM112" s="521"/>
      <c r="CN112" s="392"/>
      <c r="CO112" s="331"/>
      <c r="CP112" s="331"/>
      <c r="CQ112" s="331"/>
      <c r="CR112" s="521"/>
      <c r="CS112" s="392"/>
      <c r="CT112" s="331"/>
      <c r="CU112" s="331"/>
      <c r="CV112" s="331"/>
      <c r="CW112" s="666"/>
      <c r="CX112" s="726"/>
      <c r="CY112" s="331"/>
      <c r="CZ112" s="331"/>
      <c r="DA112" s="331"/>
      <c r="DB112" s="885"/>
      <c r="DC112" s="392"/>
      <c r="DD112" s="331"/>
      <c r="DE112" s="331"/>
      <c r="DF112" s="331"/>
      <c r="DG112" s="331"/>
      <c r="DH112" s="392"/>
      <c r="DI112" s="331"/>
      <c r="DJ112" s="331"/>
      <c r="DK112" s="331"/>
      <c r="DL112" s="331"/>
      <c r="DM112" s="392"/>
      <c r="DN112" s="331"/>
      <c r="DO112" s="331"/>
      <c r="DP112" s="331"/>
      <c r="DQ112" s="331"/>
      <c r="DR112" s="392"/>
      <c r="DS112" s="331"/>
      <c r="DT112" s="331"/>
      <c r="DU112" s="331"/>
      <c r="DV112" s="331"/>
      <c r="DW112" s="392"/>
      <c r="DX112" s="331"/>
      <c r="DY112" s="331"/>
      <c r="DZ112" s="331"/>
      <c r="EA112" s="331"/>
      <c r="EB112" s="392"/>
      <c r="ED112" s="418"/>
      <c r="EK112" s="418"/>
    </row>
    <row r="113" spans="1:141" x14ac:dyDescent="0.2">
      <c r="A113" s="7" t="s">
        <v>84</v>
      </c>
      <c r="B113" s="179"/>
      <c r="C113" s="175"/>
      <c r="D113" s="175"/>
      <c r="E113" s="175"/>
      <c r="F113" s="175"/>
      <c r="G113" s="170"/>
      <c r="H113" s="157"/>
      <c r="I113" s="157"/>
      <c r="J113" s="157"/>
      <c r="K113" s="175"/>
      <c r="L113" s="170"/>
      <c r="M113" s="157"/>
      <c r="N113" s="157"/>
      <c r="O113" s="157"/>
      <c r="P113" s="175"/>
      <c r="Q113" s="170"/>
      <c r="R113" s="157"/>
      <c r="S113" s="157"/>
      <c r="T113" s="157"/>
      <c r="U113" s="175"/>
      <c r="V113" s="170"/>
      <c r="W113" s="175"/>
      <c r="X113" s="175"/>
      <c r="Y113" s="175"/>
      <c r="Z113" s="175"/>
      <c r="AA113" s="170"/>
      <c r="AB113" s="157"/>
      <c r="AC113" s="157"/>
      <c r="AD113" s="157"/>
      <c r="AE113" s="175"/>
      <c r="AF113" s="170"/>
      <c r="AG113" s="157"/>
      <c r="AH113" s="157"/>
      <c r="AI113" s="157"/>
      <c r="AJ113" s="175"/>
      <c r="AK113" s="170"/>
      <c r="AL113" s="157"/>
      <c r="AM113" s="157"/>
      <c r="AN113" s="157"/>
      <c r="AO113" s="175"/>
      <c r="AP113" s="170"/>
      <c r="AQ113" s="157"/>
      <c r="AR113" s="157"/>
      <c r="AS113" s="157"/>
      <c r="AT113" s="175"/>
      <c r="AU113" s="170"/>
      <c r="AV113" s="157"/>
      <c r="AW113" s="157"/>
      <c r="AX113" s="157"/>
      <c r="AY113" s="175"/>
      <c r="AZ113" s="170"/>
      <c r="BA113" s="157"/>
      <c r="BB113" s="157"/>
      <c r="BC113" s="157"/>
      <c r="BD113" s="175"/>
      <c r="BE113" s="170"/>
      <c r="BF113" s="157"/>
      <c r="BG113" s="157"/>
      <c r="BH113" s="157"/>
      <c r="BI113" s="175"/>
      <c r="BJ113" s="170"/>
      <c r="BK113" s="331"/>
      <c r="BL113" s="331"/>
      <c r="BM113" s="331"/>
      <c r="BN113" s="521"/>
      <c r="BO113" s="392"/>
      <c r="BP113" s="331"/>
      <c r="BQ113" s="331"/>
      <c r="BR113" s="331"/>
      <c r="BS113" s="521"/>
      <c r="BT113" s="392"/>
      <c r="BU113" s="331"/>
      <c r="BV113" s="331"/>
      <c r="BW113" s="331"/>
      <c r="BX113" s="521"/>
      <c r="BY113" s="392"/>
      <c r="BZ113" s="331"/>
      <c r="CA113" s="331"/>
      <c r="CB113" s="331"/>
      <c r="CC113" s="521"/>
      <c r="CD113" s="392"/>
      <c r="CE113" s="331"/>
      <c r="CF113" s="331"/>
      <c r="CG113" s="331"/>
      <c r="CH113" s="521"/>
      <c r="CI113" s="392"/>
      <c r="CJ113" s="331"/>
      <c r="CK113" s="331"/>
      <c r="CL113" s="331"/>
      <c r="CM113" s="521"/>
      <c r="CN113" s="392"/>
      <c r="CO113" s="331"/>
      <c r="CP113" s="331"/>
      <c r="CQ113" s="331"/>
      <c r="CR113" s="521"/>
      <c r="CS113" s="392"/>
      <c r="CT113" s="331"/>
      <c r="CU113" s="331"/>
      <c r="CV113" s="331"/>
      <c r="CW113" s="666"/>
      <c r="CX113" s="726"/>
      <c r="CY113" s="331"/>
      <c r="CZ113" s="331"/>
      <c r="DA113" s="331"/>
      <c r="DB113" s="885"/>
      <c r="DC113" s="392"/>
      <c r="DD113" s="331"/>
      <c r="DE113" s="331"/>
      <c r="DF113" s="331"/>
      <c r="DG113" s="331"/>
      <c r="DH113" s="392"/>
      <c r="DI113" s="331"/>
      <c r="DJ113" s="331"/>
      <c r="DK113" s="331"/>
      <c r="DL113" s="331"/>
      <c r="DM113" s="392"/>
      <c r="DN113" s="331"/>
      <c r="DO113" s="331"/>
      <c r="DP113" s="331"/>
      <c r="DQ113" s="331"/>
      <c r="DR113" s="392"/>
      <c r="DS113" s="331"/>
      <c r="DT113" s="331"/>
      <c r="DU113" s="331"/>
      <c r="DV113" s="331"/>
      <c r="DW113" s="392"/>
      <c r="DX113" s="331"/>
      <c r="DY113" s="331"/>
      <c r="DZ113" s="331"/>
      <c r="EA113" s="331"/>
      <c r="EB113" s="392"/>
      <c r="ED113" s="418"/>
      <c r="EK113" s="418"/>
    </row>
    <row r="114" spans="1:141" x14ac:dyDescent="0.2">
      <c r="A114" s="1" t="s">
        <v>610</v>
      </c>
      <c r="B114" s="179"/>
      <c r="C114" s="175"/>
      <c r="D114" s="175"/>
      <c r="E114" s="175"/>
      <c r="F114" s="175"/>
      <c r="G114" s="170"/>
      <c r="H114" s="157"/>
      <c r="I114" s="157"/>
      <c r="J114" s="157"/>
      <c r="K114" s="175"/>
      <c r="L114" s="170"/>
      <c r="M114" s="157"/>
      <c r="N114" s="157"/>
      <c r="O114" s="157"/>
      <c r="P114" s="175"/>
      <c r="Q114" s="170"/>
      <c r="R114" s="157"/>
      <c r="S114" s="157"/>
      <c r="T114" s="157"/>
      <c r="U114" s="175"/>
      <c r="V114" s="170"/>
      <c r="W114" s="175"/>
      <c r="X114" s="175"/>
      <c r="Y114" s="175"/>
      <c r="Z114" s="175"/>
      <c r="AA114" s="170"/>
      <c r="AB114" s="157"/>
      <c r="AC114" s="157"/>
      <c r="AD114" s="157"/>
      <c r="AE114" s="175"/>
      <c r="AF114" s="170"/>
      <c r="AG114" s="157"/>
      <c r="AH114" s="157"/>
      <c r="AI114" s="157"/>
      <c r="AJ114" s="175"/>
      <c r="AK114" s="170"/>
      <c r="AL114" s="157"/>
      <c r="AM114" s="157"/>
      <c r="AN114" s="157"/>
      <c r="AO114" s="175"/>
      <c r="AP114" s="170"/>
      <c r="AQ114" s="157"/>
      <c r="AR114" s="157"/>
      <c r="AS114" s="157"/>
      <c r="AT114" s="175"/>
      <c r="AU114" s="170"/>
      <c r="AV114" s="157"/>
      <c r="AW114" s="157"/>
      <c r="AX114" s="157"/>
      <c r="AY114" s="175"/>
      <c r="AZ114" s="170"/>
      <c r="BA114" s="157"/>
      <c r="BB114" s="157"/>
      <c r="BC114" s="157"/>
      <c r="BD114" s="175"/>
      <c r="BE114" s="170"/>
      <c r="BF114" s="157"/>
      <c r="BG114" s="157"/>
      <c r="BH114" s="157"/>
      <c r="BI114" s="175"/>
      <c r="BJ114" s="170"/>
      <c r="BK114" s="331"/>
      <c r="BL114" s="331"/>
      <c r="BM114" s="331"/>
      <c r="BN114" s="521"/>
      <c r="BO114" s="392"/>
      <c r="BP114" s="331"/>
      <c r="BQ114" s="331"/>
      <c r="BR114" s="331"/>
      <c r="BS114" s="521"/>
      <c r="BT114" s="392"/>
      <c r="BU114" s="331"/>
      <c r="BV114" s="331"/>
      <c r="BW114" s="331"/>
      <c r="BX114" s="521"/>
      <c r="BY114" s="392"/>
      <c r="BZ114" s="331"/>
      <c r="CA114" s="331"/>
      <c r="CB114" s="331"/>
      <c r="CC114" s="521"/>
      <c r="CD114" s="392"/>
      <c r="CE114" s="331"/>
      <c r="CF114" s="331"/>
      <c r="CG114" s="331"/>
      <c r="CH114" s="521"/>
      <c r="CI114" s="392"/>
      <c r="CJ114" s="331"/>
      <c r="CK114" s="331"/>
      <c r="CL114" s="331"/>
      <c r="CM114" s="521"/>
      <c r="CN114" s="392"/>
      <c r="CO114" s="331"/>
      <c r="CP114" s="331"/>
      <c r="CQ114" s="331"/>
      <c r="CR114" s="521"/>
      <c r="CS114" s="392"/>
      <c r="CT114" s="610"/>
      <c r="CU114" s="610"/>
      <c r="CV114" s="640"/>
      <c r="CW114" s="706"/>
      <c r="CX114" s="726"/>
      <c r="CY114" s="610"/>
      <c r="CZ114" s="610"/>
      <c r="DA114" s="640">
        <v>2.819E-2</v>
      </c>
      <c r="DB114" s="887">
        <v>2.819E-2</v>
      </c>
      <c r="DC114" s="392"/>
      <c r="DD114" s="840">
        <v>2.819E-2</v>
      </c>
      <c r="DE114" s="610">
        <f t="shared" ref="DE114:DE115" si="242">DD114</f>
        <v>2.819E-2</v>
      </c>
      <c r="DF114" s="610">
        <v>2.819E-2</v>
      </c>
      <c r="DG114" s="610">
        <v>2.819E-2</v>
      </c>
      <c r="DH114" s="392"/>
      <c r="DI114" s="610">
        <v>2.819E-2</v>
      </c>
      <c r="DJ114" s="610">
        <v>2.819E-2</v>
      </c>
      <c r="DK114" s="610">
        <f t="shared" ref="DK114:DK115" si="243">DJ114</f>
        <v>2.819E-2</v>
      </c>
      <c r="DL114" s="610">
        <f t="shared" ref="DL114:DL115" si="244">DK114</f>
        <v>2.819E-2</v>
      </c>
      <c r="DM114" s="392"/>
      <c r="DN114" s="613">
        <f t="shared" ref="DN114:DN122" si="245">DL114</f>
        <v>2.819E-2</v>
      </c>
      <c r="DO114" s="613">
        <f t="shared" ref="DO114:DO115" si="246">DN114</f>
        <v>2.819E-2</v>
      </c>
      <c r="DP114" s="613">
        <f t="shared" ref="DP114:DP115" si="247">DO114</f>
        <v>2.819E-2</v>
      </c>
      <c r="DQ114" s="613">
        <f t="shared" ref="DQ114:DQ115" si="248">DP114</f>
        <v>2.819E-2</v>
      </c>
      <c r="DR114" s="392"/>
      <c r="DS114" s="613">
        <f t="shared" ref="DS114:DS122" si="249">DQ114</f>
        <v>2.819E-2</v>
      </c>
      <c r="DT114" s="613">
        <f t="shared" ref="DT114:DT115" si="250">DS114</f>
        <v>2.819E-2</v>
      </c>
      <c r="DU114" s="613">
        <f t="shared" ref="DU114:DU115" si="251">DT114</f>
        <v>2.819E-2</v>
      </c>
      <c r="DV114" s="613">
        <f t="shared" ref="DV114:DV115" si="252">DU114</f>
        <v>2.819E-2</v>
      </c>
      <c r="DW114" s="392"/>
      <c r="DX114" s="613">
        <f t="shared" ref="DX114:DX122" si="253">DV114</f>
        <v>2.819E-2</v>
      </c>
      <c r="DY114" s="613">
        <f t="shared" ref="DY114:DY115" si="254">DX114</f>
        <v>2.819E-2</v>
      </c>
      <c r="DZ114" s="613">
        <f t="shared" ref="DZ114:DZ115" si="255">DY114</f>
        <v>2.819E-2</v>
      </c>
      <c r="EA114" s="613">
        <f t="shared" ref="EA114:EA115" si="256">DZ114</f>
        <v>2.819E-2</v>
      </c>
      <c r="EB114" s="392"/>
      <c r="ED114" s="418"/>
      <c r="EK114" s="418"/>
    </row>
    <row r="115" spans="1:141" x14ac:dyDescent="0.2">
      <c r="A115" s="1" t="s">
        <v>609</v>
      </c>
      <c r="B115" s="179"/>
      <c r="C115" s="175"/>
      <c r="D115" s="175"/>
      <c r="E115" s="175"/>
      <c r="F115" s="175"/>
      <c r="G115" s="170"/>
      <c r="H115" s="157"/>
      <c r="I115" s="157"/>
      <c r="J115" s="157"/>
      <c r="K115" s="175"/>
      <c r="L115" s="170"/>
      <c r="M115" s="157"/>
      <c r="N115" s="157"/>
      <c r="O115" s="157"/>
      <c r="P115" s="175"/>
      <c r="Q115" s="170"/>
      <c r="R115" s="157"/>
      <c r="S115" s="157"/>
      <c r="T115" s="157"/>
      <c r="U115" s="175"/>
      <c r="V115" s="170"/>
      <c r="W115" s="175"/>
      <c r="X115" s="175"/>
      <c r="Y115" s="175"/>
      <c r="Z115" s="175"/>
      <c r="AA115" s="170"/>
      <c r="AB115" s="157"/>
      <c r="AC115" s="157"/>
      <c r="AD115" s="157"/>
      <c r="AE115" s="175"/>
      <c r="AF115" s="170"/>
      <c r="AG115" s="157"/>
      <c r="AH115" s="157"/>
      <c r="AI115" s="157"/>
      <c r="AJ115" s="175"/>
      <c r="AK115" s="170"/>
      <c r="AL115" s="157"/>
      <c r="AM115" s="157"/>
      <c r="AN115" s="157"/>
      <c r="AO115" s="175"/>
      <c r="AP115" s="170"/>
      <c r="AQ115" s="157"/>
      <c r="AR115" s="157"/>
      <c r="AS115" s="157"/>
      <c r="AT115" s="175"/>
      <c r="AU115" s="170"/>
      <c r="AV115" s="157"/>
      <c r="AW115" s="157"/>
      <c r="AX115" s="157"/>
      <c r="AY115" s="175"/>
      <c r="AZ115" s="170"/>
      <c r="BA115" s="157"/>
      <c r="BB115" s="157"/>
      <c r="BC115" s="157"/>
      <c r="BD115" s="175"/>
      <c r="BE115" s="170"/>
      <c r="BF115" s="157"/>
      <c r="BG115" s="157"/>
      <c r="BH115" s="157"/>
      <c r="BI115" s="175"/>
      <c r="BJ115" s="170"/>
      <c r="BK115" s="331"/>
      <c r="BL115" s="331"/>
      <c r="BM115" s="331"/>
      <c r="BN115" s="521"/>
      <c r="BO115" s="392"/>
      <c r="BP115" s="331"/>
      <c r="BQ115" s="331"/>
      <c r="BR115" s="331"/>
      <c r="BS115" s="521"/>
      <c r="BT115" s="392"/>
      <c r="BU115" s="331"/>
      <c r="BV115" s="331"/>
      <c r="BW115" s="331"/>
      <c r="BX115" s="521"/>
      <c r="BY115" s="392"/>
      <c r="BZ115" s="331"/>
      <c r="CA115" s="331"/>
      <c r="CB115" s="331"/>
      <c r="CC115" s="521"/>
      <c r="CD115" s="392"/>
      <c r="CE115" s="331"/>
      <c r="CF115" s="331"/>
      <c r="CG115" s="331"/>
      <c r="CH115" s="521"/>
      <c r="CI115" s="392"/>
      <c r="CJ115" s="331"/>
      <c r="CK115" s="331"/>
      <c r="CL115" s="331"/>
      <c r="CM115" s="521"/>
      <c r="CN115" s="392"/>
      <c r="CO115" s="331"/>
      <c r="CP115" s="331"/>
      <c r="CQ115" s="331"/>
      <c r="CR115" s="521"/>
      <c r="CS115" s="392"/>
      <c r="CT115" s="610"/>
      <c r="CU115" s="610"/>
      <c r="CV115" s="640"/>
      <c r="CW115" s="706"/>
      <c r="CX115" s="726"/>
      <c r="CY115" s="610"/>
      <c r="CZ115" s="610"/>
      <c r="DA115" s="640">
        <v>4.3479999999999998E-2</v>
      </c>
      <c r="DB115" s="887">
        <v>4.3479999999999998E-2</v>
      </c>
      <c r="DC115" s="392"/>
      <c r="DD115" s="840">
        <v>4.3479999999999998E-2</v>
      </c>
      <c r="DE115" s="610">
        <f t="shared" si="242"/>
        <v>4.3479999999999998E-2</v>
      </c>
      <c r="DF115" s="610">
        <v>4.3479999999999998E-2</v>
      </c>
      <c r="DG115" s="610">
        <v>4.3479999999999998E-2</v>
      </c>
      <c r="DH115" s="392"/>
      <c r="DI115" s="610">
        <v>4.3479999999999998E-2</v>
      </c>
      <c r="DJ115" s="610">
        <v>4.3479999999999998E-2</v>
      </c>
      <c r="DK115" s="610">
        <f t="shared" si="243"/>
        <v>4.3479999999999998E-2</v>
      </c>
      <c r="DL115" s="610">
        <f t="shared" si="244"/>
        <v>4.3479999999999998E-2</v>
      </c>
      <c r="DM115" s="392"/>
      <c r="DN115" s="613">
        <f t="shared" si="245"/>
        <v>4.3479999999999998E-2</v>
      </c>
      <c r="DO115" s="613">
        <f t="shared" si="246"/>
        <v>4.3479999999999998E-2</v>
      </c>
      <c r="DP115" s="613">
        <f t="shared" si="247"/>
        <v>4.3479999999999998E-2</v>
      </c>
      <c r="DQ115" s="613">
        <f t="shared" si="248"/>
        <v>4.3479999999999998E-2</v>
      </c>
      <c r="DR115" s="392"/>
      <c r="DS115" s="613">
        <f t="shared" si="249"/>
        <v>4.3479999999999998E-2</v>
      </c>
      <c r="DT115" s="613">
        <f t="shared" si="250"/>
        <v>4.3479999999999998E-2</v>
      </c>
      <c r="DU115" s="613">
        <f t="shared" si="251"/>
        <v>4.3479999999999998E-2</v>
      </c>
      <c r="DV115" s="613">
        <f t="shared" si="252"/>
        <v>4.3479999999999998E-2</v>
      </c>
      <c r="DW115" s="392"/>
      <c r="DX115" s="613">
        <f t="shared" si="253"/>
        <v>4.3479999999999998E-2</v>
      </c>
      <c r="DY115" s="613">
        <f t="shared" si="254"/>
        <v>4.3479999999999998E-2</v>
      </c>
      <c r="DZ115" s="613">
        <f t="shared" si="255"/>
        <v>4.3479999999999998E-2</v>
      </c>
      <c r="EA115" s="613">
        <f t="shared" si="256"/>
        <v>4.3479999999999998E-2</v>
      </c>
      <c r="EB115" s="392"/>
      <c r="ED115" s="418"/>
      <c r="EK115" s="418"/>
    </row>
    <row r="116" spans="1:141" x14ac:dyDescent="0.2">
      <c r="A116" s="1" t="s">
        <v>373</v>
      </c>
      <c r="B116" s="179"/>
      <c r="C116" s="175"/>
      <c r="D116" s="175"/>
      <c r="E116" s="175"/>
      <c r="F116" s="175"/>
      <c r="G116" s="170"/>
      <c r="H116" s="157"/>
      <c r="I116" s="157"/>
      <c r="J116" s="157"/>
      <c r="K116" s="175"/>
      <c r="L116" s="170"/>
      <c r="M116" s="157"/>
      <c r="N116" s="157"/>
      <c r="O116" s="157"/>
      <c r="P116" s="175"/>
      <c r="Q116" s="170"/>
      <c r="R116" s="157"/>
      <c r="S116" s="157"/>
      <c r="T116" s="157"/>
      <c r="U116" s="175"/>
      <c r="V116" s="170"/>
      <c r="W116" s="175"/>
      <c r="X116" s="175"/>
      <c r="Y116" s="175"/>
      <c r="Z116" s="175"/>
      <c r="AA116" s="170"/>
      <c r="AB116" s="157"/>
      <c r="AC116" s="157"/>
      <c r="AD116" s="157"/>
      <c r="AE116" s="175"/>
      <c r="AF116" s="170"/>
      <c r="AG116" s="157"/>
      <c r="AH116" s="157"/>
      <c r="AI116" s="157"/>
      <c r="AJ116" s="175"/>
      <c r="AK116" s="170"/>
      <c r="AL116" s="157"/>
      <c r="AM116" s="157"/>
      <c r="AN116" s="157"/>
      <c r="AO116" s="175"/>
      <c r="AP116" s="170"/>
      <c r="AQ116" s="157"/>
      <c r="AR116" s="157"/>
      <c r="AS116" s="157"/>
      <c r="AT116" s="175"/>
      <c r="AU116" s="170"/>
      <c r="AV116" s="157"/>
      <c r="AW116" s="157"/>
      <c r="AX116" s="157"/>
      <c r="AY116" s="175"/>
      <c r="AZ116" s="170"/>
      <c r="BA116" s="157"/>
      <c r="BB116" s="157"/>
      <c r="BC116" s="157"/>
      <c r="BD116" s="175"/>
      <c r="BE116" s="170"/>
      <c r="BF116" s="157"/>
      <c r="BG116" s="157"/>
      <c r="BH116" s="157"/>
      <c r="BI116" s="175"/>
      <c r="BJ116" s="170"/>
      <c r="BK116" s="331"/>
      <c r="BL116" s="331"/>
      <c r="BM116" s="331"/>
      <c r="BN116" s="521"/>
      <c r="BO116" s="392"/>
      <c r="BP116" s="331"/>
      <c r="BQ116" s="331"/>
      <c r="BR116" s="331"/>
      <c r="BS116" s="521"/>
      <c r="BT116" s="392"/>
      <c r="BU116" s="331"/>
      <c r="BV116" s="331"/>
      <c r="BW116" s="331"/>
      <c r="BX116" s="521"/>
      <c r="BY116" s="392"/>
      <c r="BZ116" s="331"/>
      <c r="CA116" s="331"/>
      <c r="CB116" s="331"/>
      <c r="CC116" s="521"/>
      <c r="CD116" s="392"/>
      <c r="CE116" s="331"/>
      <c r="CF116" s="331"/>
      <c r="CG116" s="331"/>
      <c r="CH116" s="521"/>
      <c r="CI116" s="392"/>
      <c r="CJ116" s="331"/>
      <c r="CK116" s="331"/>
      <c r="CL116" s="331"/>
      <c r="CM116" s="521"/>
      <c r="CN116" s="392"/>
      <c r="CO116" s="331"/>
      <c r="CP116" s="331"/>
      <c r="CQ116" s="331"/>
      <c r="CR116" s="521"/>
      <c r="CS116" s="392"/>
      <c r="CT116" s="610">
        <v>6.2920000000000004E-2</v>
      </c>
      <c r="CU116" s="610">
        <v>6.2920000000000004E-2</v>
      </c>
      <c r="CV116" s="640">
        <f>CU116</f>
        <v>6.2920000000000004E-2</v>
      </c>
      <c r="CW116" s="706">
        <f>CV116</f>
        <v>6.2920000000000004E-2</v>
      </c>
      <c r="CX116" s="726"/>
      <c r="CY116" s="610">
        <f t="shared" ref="CY116:CY119" si="257">CW116</f>
        <v>6.2920000000000004E-2</v>
      </c>
      <c r="CZ116" s="610">
        <f t="shared" ref="CZ116:DA119" si="258">CY116</f>
        <v>6.2920000000000004E-2</v>
      </c>
      <c r="DA116" s="610">
        <f t="shared" si="258"/>
        <v>6.2920000000000004E-2</v>
      </c>
      <c r="DB116" s="887"/>
      <c r="DC116" s="392"/>
      <c r="DD116" s="840"/>
      <c r="DE116" s="610"/>
      <c r="DF116" s="610"/>
      <c r="DG116" s="613"/>
      <c r="DH116" s="392"/>
      <c r="DI116" s="610"/>
      <c r="DJ116" s="613"/>
      <c r="DK116" s="610"/>
      <c r="DL116" s="610"/>
      <c r="DM116" s="392"/>
      <c r="DN116" s="613">
        <f t="shared" si="245"/>
        <v>0</v>
      </c>
      <c r="DO116" s="613">
        <f t="shared" ref="DO116:DQ122" si="259">DN116</f>
        <v>0</v>
      </c>
      <c r="DP116" s="613">
        <f t="shared" si="259"/>
        <v>0</v>
      </c>
      <c r="DQ116" s="613">
        <f t="shared" si="259"/>
        <v>0</v>
      </c>
      <c r="DR116" s="392"/>
      <c r="DS116" s="613">
        <f t="shared" si="249"/>
        <v>0</v>
      </c>
      <c r="DT116" s="613">
        <f t="shared" ref="DT116:DV122" si="260">DS116</f>
        <v>0</v>
      </c>
      <c r="DU116" s="613">
        <f t="shared" si="260"/>
        <v>0</v>
      </c>
      <c r="DV116" s="613">
        <f t="shared" si="260"/>
        <v>0</v>
      </c>
      <c r="DW116" s="392"/>
      <c r="DX116" s="613">
        <f t="shared" si="253"/>
        <v>0</v>
      </c>
      <c r="DY116" s="613">
        <f t="shared" ref="DY116:EA122" si="261">DX116</f>
        <v>0</v>
      </c>
      <c r="DZ116" s="613">
        <f t="shared" si="261"/>
        <v>0</v>
      </c>
      <c r="EA116" s="613">
        <f t="shared" si="261"/>
        <v>0</v>
      </c>
      <c r="EB116" s="392"/>
      <c r="ED116" s="418"/>
      <c r="EK116" s="418"/>
    </row>
    <row r="117" spans="1:141" x14ac:dyDescent="0.2">
      <c r="A117" s="1" t="s">
        <v>374</v>
      </c>
      <c r="B117" s="179"/>
      <c r="C117" s="175"/>
      <c r="D117" s="175"/>
      <c r="E117" s="175"/>
      <c r="F117" s="175"/>
      <c r="G117" s="170"/>
      <c r="H117" s="157"/>
      <c r="I117" s="157"/>
      <c r="J117" s="157"/>
      <c r="K117" s="175"/>
      <c r="L117" s="170"/>
      <c r="M117" s="157"/>
      <c r="N117" s="157"/>
      <c r="O117" s="157"/>
      <c r="P117" s="175"/>
      <c r="Q117" s="170"/>
      <c r="R117" s="157"/>
      <c r="S117" s="157"/>
      <c r="T117" s="157"/>
      <c r="U117" s="175"/>
      <c r="V117" s="170"/>
      <c r="W117" s="175"/>
      <c r="X117" s="175"/>
      <c r="Y117" s="175"/>
      <c r="Z117" s="175"/>
      <c r="AA117" s="170"/>
      <c r="AB117" s="157"/>
      <c r="AC117" s="157"/>
      <c r="AD117" s="157"/>
      <c r="AE117" s="175"/>
      <c r="AF117" s="170"/>
      <c r="AG117" s="157"/>
      <c r="AH117" s="157"/>
      <c r="AI117" s="157"/>
      <c r="AJ117" s="175"/>
      <c r="AK117" s="170"/>
      <c r="AL117" s="157"/>
      <c r="AM117" s="157"/>
      <c r="AN117" s="157"/>
      <c r="AO117" s="175"/>
      <c r="AP117" s="170"/>
      <c r="AQ117" s="157"/>
      <c r="AR117" s="157"/>
      <c r="AS117" s="157"/>
      <c r="AT117" s="175"/>
      <c r="AU117" s="170"/>
      <c r="AV117" s="157"/>
      <c r="AW117" s="157"/>
      <c r="AX117" s="157"/>
      <c r="AY117" s="175"/>
      <c r="AZ117" s="170"/>
      <c r="BA117" s="157"/>
      <c r="BB117" s="157"/>
      <c r="BC117" s="157"/>
      <c r="BD117" s="175"/>
      <c r="BE117" s="170"/>
      <c r="BF117" s="157"/>
      <c r="BG117" s="157"/>
      <c r="BH117" s="157"/>
      <c r="BI117" s="175"/>
      <c r="BJ117" s="170"/>
      <c r="BK117" s="331"/>
      <c r="BL117" s="331"/>
      <c r="BM117" s="331"/>
      <c r="BN117" s="521"/>
      <c r="BO117" s="392"/>
      <c r="BP117" s="331"/>
      <c r="BQ117" s="331"/>
      <c r="BR117" s="331"/>
      <c r="BS117" s="521"/>
      <c r="BT117" s="392"/>
      <c r="BU117" s="331"/>
      <c r="BV117" s="331"/>
      <c r="BW117" s="331"/>
      <c r="BX117" s="521"/>
      <c r="BY117" s="392"/>
      <c r="BZ117" s="331"/>
      <c r="CA117" s="331"/>
      <c r="CB117" s="331"/>
      <c r="CC117" s="521"/>
      <c r="CD117" s="392"/>
      <c r="CE117" s="331"/>
      <c r="CF117" s="331"/>
      <c r="CG117" s="331"/>
      <c r="CH117" s="521"/>
      <c r="CI117" s="392"/>
      <c r="CJ117" s="331"/>
      <c r="CK117" s="331"/>
      <c r="CL117" s="331"/>
      <c r="CM117" s="521"/>
      <c r="CN117" s="392"/>
      <c r="CO117" s="331"/>
      <c r="CP117" s="331"/>
      <c r="CQ117" s="331"/>
      <c r="CR117" s="521"/>
      <c r="CS117" s="392"/>
      <c r="CT117" s="610">
        <v>2.86E-2</v>
      </c>
      <c r="CU117" s="610">
        <v>2.86E-2</v>
      </c>
      <c r="CV117" s="640">
        <f t="shared" ref="CV117:CW119" si="262">CU117</f>
        <v>2.86E-2</v>
      </c>
      <c r="CW117" s="706">
        <f t="shared" si="262"/>
        <v>2.86E-2</v>
      </c>
      <c r="CX117" s="726"/>
      <c r="CY117" s="610">
        <f t="shared" si="257"/>
        <v>2.86E-2</v>
      </c>
      <c r="CZ117" s="610">
        <f t="shared" si="258"/>
        <v>2.86E-2</v>
      </c>
      <c r="DA117" s="610">
        <f t="shared" si="258"/>
        <v>2.86E-2</v>
      </c>
      <c r="DB117" s="887">
        <v>2.86E-2</v>
      </c>
      <c r="DC117" s="392"/>
      <c r="DD117" s="840">
        <v>2.86E-2</v>
      </c>
      <c r="DE117" s="610">
        <f>DD117</f>
        <v>2.86E-2</v>
      </c>
      <c r="DF117" s="610">
        <v>2.86E-2</v>
      </c>
      <c r="DG117" s="610">
        <v>2.86E-2</v>
      </c>
      <c r="DH117" s="392"/>
      <c r="DI117" s="610">
        <v>2.86E-2</v>
      </c>
      <c r="DJ117" s="610">
        <v>2.86E-2</v>
      </c>
      <c r="DK117" s="610">
        <f t="shared" ref="DK117:DL120" si="263">DJ117</f>
        <v>2.86E-2</v>
      </c>
      <c r="DL117" s="610">
        <f t="shared" si="263"/>
        <v>2.86E-2</v>
      </c>
      <c r="DM117" s="392"/>
      <c r="DN117" s="613">
        <f t="shared" si="245"/>
        <v>2.86E-2</v>
      </c>
      <c r="DO117" s="613">
        <f t="shared" si="259"/>
        <v>2.86E-2</v>
      </c>
      <c r="DP117" s="613">
        <f t="shared" si="259"/>
        <v>2.86E-2</v>
      </c>
      <c r="DQ117" s="613">
        <f t="shared" si="259"/>
        <v>2.86E-2</v>
      </c>
      <c r="DR117" s="392"/>
      <c r="DS117" s="613">
        <f t="shared" si="249"/>
        <v>2.86E-2</v>
      </c>
      <c r="DT117" s="613">
        <f t="shared" si="260"/>
        <v>2.86E-2</v>
      </c>
      <c r="DU117" s="613">
        <f t="shared" si="260"/>
        <v>2.86E-2</v>
      </c>
      <c r="DV117" s="613">
        <f t="shared" si="260"/>
        <v>2.86E-2</v>
      </c>
      <c r="DW117" s="392"/>
      <c r="DX117" s="613">
        <f t="shared" si="253"/>
        <v>2.86E-2</v>
      </c>
      <c r="DY117" s="613">
        <f t="shared" si="261"/>
        <v>2.86E-2</v>
      </c>
      <c r="DZ117" s="613">
        <f t="shared" si="261"/>
        <v>2.86E-2</v>
      </c>
      <c r="EA117" s="613">
        <f t="shared" si="261"/>
        <v>2.86E-2</v>
      </c>
      <c r="EB117" s="392"/>
      <c r="ED117" s="418"/>
      <c r="EK117" s="418"/>
    </row>
    <row r="118" spans="1:141" x14ac:dyDescent="0.2">
      <c r="A118" s="1" t="s">
        <v>375</v>
      </c>
      <c r="B118" s="179"/>
      <c r="C118" s="175"/>
      <c r="D118" s="175"/>
      <c r="E118" s="175"/>
      <c r="F118" s="175"/>
      <c r="G118" s="170"/>
      <c r="H118" s="157"/>
      <c r="I118" s="157"/>
      <c r="J118" s="157"/>
      <c r="K118" s="175"/>
      <c r="L118" s="170"/>
      <c r="M118" s="157"/>
      <c r="N118" s="157"/>
      <c r="O118" s="157"/>
      <c r="P118" s="175"/>
      <c r="Q118" s="170"/>
      <c r="R118" s="157"/>
      <c r="S118" s="157"/>
      <c r="T118" s="157"/>
      <c r="U118" s="175"/>
      <c r="V118" s="170"/>
      <c r="W118" s="175"/>
      <c r="X118" s="175"/>
      <c r="Y118" s="175"/>
      <c r="Z118" s="175"/>
      <c r="AA118" s="170"/>
      <c r="AB118" s="157"/>
      <c r="AC118" s="157"/>
      <c r="AD118" s="157"/>
      <c r="AE118" s="175"/>
      <c r="AF118" s="170"/>
      <c r="AG118" s="157"/>
      <c r="AH118" s="157"/>
      <c r="AI118" s="157"/>
      <c r="AJ118" s="175"/>
      <c r="AK118" s="170"/>
      <c r="AL118" s="157"/>
      <c r="AM118" s="157"/>
      <c r="AN118" s="157"/>
      <c r="AO118" s="175"/>
      <c r="AP118" s="170"/>
      <c r="AQ118" s="157"/>
      <c r="AR118" s="157"/>
      <c r="AS118" s="157"/>
      <c r="AT118" s="175"/>
      <c r="AU118" s="170"/>
      <c r="AV118" s="157"/>
      <c r="AW118" s="157"/>
      <c r="AX118" s="157"/>
      <c r="AY118" s="175"/>
      <c r="AZ118" s="170"/>
      <c r="BA118" s="157"/>
      <c r="BB118" s="157"/>
      <c r="BC118" s="157"/>
      <c r="BD118" s="175"/>
      <c r="BE118" s="170"/>
      <c r="BF118" s="157"/>
      <c r="BG118" s="157"/>
      <c r="BH118" s="157"/>
      <c r="BI118" s="175"/>
      <c r="BJ118" s="170"/>
      <c r="BK118" s="331"/>
      <c r="BL118" s="331"/>
      <c r="BM118" s="331"/>
      <c r="BN118" s="521"/>
      <c r="BO118" s="392"/>
      <c r="BP118" s="331"/>
      <c r="BQ118" s="331"/>
      <c r="BR118" s="331"/>
      <c r="BS118" s="521"/>
      <c r="BT118" s="392"/>
      <c r="BU118" s="331"/>
      <c r="BV118" s="331"/>
      <c r="BW118" s="331"/>
      <c r="BX118" s="521"/>
      <c r="BY118" s="392"/>
      <c r="BZ118" s="331"/>
      <c r="CA118" s="331"/>
      <c r="CB118" s="331"/>
      <c r="CC118" s="521"/>
      <c r="CD118" s="392"/>
      <c r="CE118" s="331"/>
      <c r="CF118" s="331"/>
      <c r="CG118" s="331"/>
      <c r="CH118" s="521"/>
      <c r="CI118" s="392"/>
      <c r="CJ118" s="331"/>
      <c r="CK118" s="331"/>
      <c r="CL118" s="331"/>
      <c r="CM118" s="521"/>
      <c r="CN118" s="392"/>
      <c r="CO118" s="331"/>
      <c r="CP118" s="331"/>
      <c r="CQ118" s="331"/>
      <c r="CR118" s="521"/>
      <c r="CS118" s="392"/>
      <c r="CT118" s="610">
        <v>9.41E-3</v>
      </c>
      <c r="CU118" s="610">
        <v>9.41E-3</v>
      </c>
      <c r="CV118" s="640">
        <f t="shared" si="262"/>
        <v>9.41E-3</v>
      </c>
      <c r="CW118" s="706">
        <f t="shared" si="262"/>
        <v>9.41E-3</v>
      </c>
      <c r="CX118" s="726"/>
      <c r="CY118" s="610">
        <f t="shared" si="257"/>
        <v>9.41E-3</v>
      </c>
      <c r="CZ118" s="610">
        <f t="shared" si="258"/>
        <v>9.41E-3</v>
      </c>
      <c r="DA118" s="610">
        <f t="shared" si="258"/>
        <v>9.41E-3</v>
      </c>
      <c r="DB118" s="887">
        <v>9.41E-3</v>
      </c>
      <c r="DC118" s="392"/>
      <c r="DD118" s="840">
        <v>9.41E-3</v>
      </c>
      <c r="DE118" s="610">
        <f>DD118</f>
        <v>9.41E-3</v>
      </c>
      <c r="DF118" s="610">
        <v>9.41E-3</v>
      </c>
      <c r="DG118" s="610">
        <v>9.41E-3</v>
      </c>
      <c r="DH118" s="392"/>
      <c r="DI118" s="610">
        <v>9.41E-3</v>
      </c>
      <c r="DJ118" s="610">
        <v>9.41E-3</v>
      </c>
      <c r="DK118" s="610">
        <f t="shared" si="263"/>
        <v>9.41E-3</v>
      </c>
      <c r="DL118" s="610">
        <f t="shared" si="263"/>
        <v>9.41E-3</v>
      </c>
      <c r="DM118" s="392"/>
      <c r="DN118" s="613">
        <f t="shared" si="245"/>
        <v>9.41E-3</v>
      </c>
      <c r="DO118" s="613">
        <f t="shared" si="259"/>
        <v>9.41E-3</v>
      </c>
      <c r="DP118" s="613">
        <f t="shared" si="259"/>
        <v>9.41E-3</v>
      </c>
      <c r="DQ118" s="613">
        <f t="shared" si="259"/>
        <v>9.41E-3</v>
      </c>
      <c r="DR118" s="392"/>
      <c r="DS118" s="613">
        <f t="shared" si="249"/>
        <v>9.41E-3</v>
      </c>
      <c r="DT118" s="613">
        <f t="shared" si="260"/>
        <v>9.41E-3</v>
      </c>
      <c r="DU118" s="613">
        <f t="shared" si="260"/>
        <v>9.41E-3</v>
      </c>
      <c r="DV118" s="613">
        <f t="shared" si="260"/>
        <v>9.41E-3</v>
      </c>
      <c r="DW118" s="392"/>
      <c r="DX118" s="613">
        <f t="shared" si="253"/>
        <v>9.41E-3</v>
      </c>
      <c r="DY118" s="613">
        <f t="shared" si="261"/>
        <v>9.41E-3</v>
      </c>
      <c r="DZ118" s="613">
        <f t="shared" si="261"/>
        <v>9.41E-3</v>
      </c>
      <c r="EA118" s="613">
        <f t="shared" si="261"/>
        <v>9.41E-3</v>
      </c>
      <c r="EB118" s="392"/>
      <c r="ED118" s="418"/>
      <c r="EK118" s="418"/>
    </row>
    <row r="119" spans="1:141" x14ac:dyDescent="0.2">
      <c r="A119" s="1" t="s">
        <v>376</v>
      </c>
      <c r="B119" s="179"/>
      <c r="C119" s="175"/>
      <c r="D119" s="175"/>
      <c r="E119" s="175"/>
      <c r="F119" s="175"/>
      <c r="G119" s="170"/>
      <c r="H119" s="157"/>
      <c r="I119" s="157"/>
      <c r="J119" s="157"/>
      <c r="K119" s="175"/>
      <c r="L119" s="170"/>
      <c r="M119" s="157"/>
      <c r="N119" s="157"/>
      <c r="O119" s="157"/>
      <c r="P119" s="175"/>
      <c r="Q119" s="170"/>
      <c r="R119" s="157"/>
      <c r="S119" s="157"/>
      <c r="T119" s="157"/>
      <c r="U119" s="175"/>
      <c r="V119" s="170"/>
      <c r="W119" s="175"/>
      <c r="X119" s="175"/>
      <c r="Y119" s="175"/>
      <c r="Z119" s="175"/>
      <c r="AA119" s="170"/>
      <c r="AB119" s="157"/>
      <c r="AC119" s="157"/>
      <c r="AD119" s="157"/>
      <c r="AE119" s="175"/>
      <c r="AF119" s="170"/>
      <c r="AG119" s="157"/>
      <c r="AH119" s="157"/>
      <c r="AI119" s="157"/>
      <c r="AJ119" s="175"/>
      <c r="AK119" s="170"/>
      <c r="AL119" s="157"/>
      <c r="AM119" s="157"/>
      <c r="AN119" s="157"/>
      <c r="AO119" s="175"/>
      <c r="AP119" s="170"/>
      <c r="AQ119" s="157"/>
      <c r="AR119" s="157"/>
      <c r="AS119" s="157"/>
      <c r="AT119" s="175"/>
      <c r="AU119" s="170"/>
      <c r="AV119" s="157"/>
      <c r="AW119" s="157"/>
      <c r="AX119" s="157"/>
      <c r="AY119" s="175"/>
      <c r="AZ119" s="170"/>
      <c r="BA119" s="157"/>
      <c r="BB119" s="157"/>
      <c r="BC119" s="157"/>
      <c r="BD119" s="175"/>
      <c r="BE119" s="170"/>
      <c r="BF119" s="157"/>
      <c r="BG119" s="157"/>
      <c r="BH119" s="157"/>
      <c r="BI119" s="175"/>
      <c r="BJ119" s="170"/>
      <c r="BK119" s="331"/>
      <c r="BL119" s="331"/>
      <c r="BM119" s="331"/>
      <c r="BN119" s="521"/>
      <c r="BO119" s="392"/>
      <c r="BP119" s="331"/>
      <c r="BQ119" s="331"/>
      <c r="BR119" s="331"/>
      <c r="BS119" s="521"/>
      <c r="BT119" s="392"/>
      <c r="BU119" s="331"/>
      <c r="BV119" s="331"/>
      <c r="BW119" s="331"/>
      <c r="BX119" s="521"/>
      <c r="BY119" s="392"/>
      <c r="BZ119" s="331"/>
      <c r="CA119" s="331"/>
      <c r="CB119" s="331"/>
      <c r="CC119" s="521"/>
      <c r="CD119" s="392"/>
      <c r="CE119" s="331"/>
      <c r="CF119" s="331"/>
      <c r="CG119" s="331"/>
      <c r="CH119" s="521"/>
      <c r="CI119" s="392"/>
      <c r="CJ119" s="331"/>
      <c r="CK119" s="331"/>
      <c r="CL119" s="331"/>
      <c r="CM119" s="521"/>
      <c r="CN119" s="392"/>
      <c r="CO119" s="331"/>
      <c r="CP119" s="331"/>
      <c r="CQ119" s="331"/>
      <c r="CR119" s="521"/>
      <c r="CS119" s="392"/>
      <c r="CT119" s="610">
        <v>2.0119999999999999E-2</v>
      </c>
      <c r="CU119" s="610">
        <v>2.0119999999999999E-2</v>
      </c>
      <c r="CV119" s="640">
        <f t="shared" si="262"/>
        <v>2.0119999999999999E-2</v>
      </c>
      <c r="CW119" s="706">
        <f t="shared" si="262"/>
        <v>2.0119999999999999E-2</v>
      </c>
      <c r="CX119" s="726"/>
      <c r="CY119" s="610">
        <f t="shared" si="257"/>
        <v>2.0119999999999999E-2</v>
      </c>
      <c r="CZ119" s="610">
        <f t="shared" si="258"/>
        <v>2.0119999999999999E-2</v>
      </c>
      <c r="DA119" s="610">
        <f t="shared" si="258"/>
        <v>2.0119999999999999E-2</v>
      </c>
      <c r="DB119" s="887">
        <v>2.0119999999999999E-2</v>
      </c>
      <c r="DC119" s="392"/>
      <c r="DD119" s="840">
        <v>2.0119999999999999E-2</v>
      </c>
      <c r="DE119" s="610">
        <f>DD119</f>
        <v>2.0119999999999999E-2</v>
      </c>
      <c r="DF119" s="610">
        <v>2.0119999999999999E-2</v>
      </c>
      <c r="DG119" s="610">
        <v>2.0119999999999999E-2</v>
      </c>
      <c r="DH119" s="392"/>
      <c r="DI119" s="610">
        <v>2.0119999999999999E-2</v>
      </c>
      <c r="DJ119" s="610">
        <v>2.0119999999999999E-2</v>
      </c>
      <c r="DK119" s="610">
        <f t="shared" si="263"/>
        <v>2.0119999999999999E-2</v>
      </c>
      <c r="DL119" s="610">
        <f t="shared" si="263"/>
        <v>2.0119999999999999E-2</v>
      </c>
      <c r="DM119" s="392"/>
      <c r="DN119" s="613">
        <f t="shared" si="245"/>
        <v>2.0119999999999999E-2</v>
      </c>
      <c r="DO119" s="613">
        <f t="shared" si="259"/>
        <v>2.0119999999999999E-2</v>
      </c>
      <c r="DP119" s="613">
        <f t="shared" si="259"/>
        <v>2.0119999999999999E-2</v>
      </c>
      <c r="DQ119" s="613">
        <f t="shared" si="259"/>
        <v>2.0119999999999999E-2</v>
      </c>
      <c r="DR119" s="392"/>
      <c r="DS119" s="613">
        <f t="shared" si="249"/>
        <v>2.0119999999999999E-2</v>
      </c>
      <c r="DT119" s="613">
        <f t="shared" si="260"/>
        <v>2.0119999999999999E-2</v>
      </c>
      <c r="DU119" s="613">
        <f t="shared" si="260"/>
        <v>2.0119999999999999E-2</v>
      </c>
      <c r="DV119" s="613">
        <f t="shared" si="260"/>
        <v>2.0119999999999999E-2</v>
      </c>
      <c r="DW119" s="392"/>
      <c r="DX119" s="613">
        <f t="shared" si="253"/>
        <v>2.0119999999999999E-2</v>
      </c>
      <c r="DY119" s="613">
        <f t="shared" si="261"/>
        <v>2.0119999999999999E-2</v>
      </c>
      <c r="DZ119" s="613">
        <f t="shared" si="261"/>
        <v>2.0119999999999999E-2</v>
      </c>
      <c r="EA119" s="613">
        <f t="shared" si="261"/>
        <v>2.0119999999999999E-2</v>
      </c>
      <c r="EB119" s="392"/>
      <c r="ED119" s="418"/>
      <c r="EK119" s="418"/>
    </row>
    <row r="120" spans="1:141" x14ac:dyDescent="0.2">
      <c r="A120" s="1" t="s">
        <v>644</v>
      </c>
      <c r="B120" s="179"/>
      <c r="C120" s="175"/>
      <c r="D120" s="175"/>
      <c r="E120" s="175"/>
      <c r="F120" s="175"/>
      <c r="G120" s="170"/>
      <c r="H120" s="157"/>
      <c r="I120" s="157"/>
      <c r="J120" s="157"/>
      <c r="K120" s="175"/>
      <c r="L120" s="170"/>
      <c r="M120" s="157"/>
      <c r="N120" s="157"/>
      <c r="O120" s="157"/>
      <c r="P120" s="175"/>
      <c r="Q120" s="170"/>
      <c r="R120" s="157"/>
      <c r="S120" s="157"/>
      <c r="T120" s="157"/>
      <c r="U120" s="175"/>
      <c r="V120" s="170"/>
      <c r="W120" s="175"/>
      <c r="X120" s="175"/>
      <c r="Y120" s="175"/>
      <c r="Z120" s="175"/>
      <c r="AA120" s="170"/>
      <c r="AB120" s="157"/>
      <c r="AC120" s="157"/>
      <c r="AD120" s="157"/>
      <c r="AE120" s="175"/>
      <c r="AF120" s="170"/>
      <c r="AG120" s="157"/>
      <c r="AH120" s="157"/>
      <c r="AI120" s="157"/>
      <c r="AJ120" s="175"/>
      <c r="AK120" s="170"/>
      <c r="AL120" s="157"/>
      <c r="AM120" s="157"/>
      <c r="AN120" s="157"/>
      <c r="AO120" s="175"/>
      <c r="AP120" s="170"/>
      <c r="AQ120" s="157"/>
      <c r="AR120" s="157"/>
      <c r="AS120" s="157"/>
      <c r="AT120" s="175"/>
      <c r="AU120" s="170"/>
      <c r="AV120" s="157"/>
      <c r="AW120" s="157"/>
      <c r="AX120" s="157"/>
      <c r="AY120" s="175"/>
      <c r="AZ120" s="170"/>
      <c r="BA120" s="157"/>
      <c r="BB120" s="157"/>
      <c r="BC120" s="157"/>
      <c r="BD120" s="175"/>
      <c r="BE120" s="170"/>
      <c r="BF120" s="157"/>
      <c r="BG120" s="157"/>
      <c r="BH120" s="157"/>
      <c r="BI120" s="175"/>
      <c r="BJ120" s="170"/>
      <c r="BK120" s="331"/>
      <c r="BL120" s="331"/>
      <c r="BM120" s="331"/>
      <c r="BN120" s="521"/>
      <c r="BO120" s="392"/>
      <c r="BP120" s="331"/>
      <c r="BQ120" s="331"/>
      <c r="BR120" s="331"/>
      <c r="BS120" s="521"/>
      <c r="BT120" s="392"/>
      <c r="BU120" s="331"/>
      <c r="BV120" s="331"/>
      <c r="BW120" s="331"/>
      <c r="BX120" s="521"/>
      <c r="BY120" s="392"/>
      <c r="BZ120" s="331"/>
      <c r="CA120" s="331"/>
      <c r="CB120" s="331"/>
      <c r="CC120" s="521"/>
      <c r="CD120" s="392"/>
      <c r="CE120" s="331"/>
      <c r="CF120" s="331"/>
      <c r="CG120" s="331"/>
      <c r="CH120" s="521"/>
      <c r="CI120" s="392"/>
      <c r="CJ120" s="331"/>
      <c r="CK120" s="331"/>
      <c r="CL120" s="331"/>
      <c r="CM120" s="521"/>
      <c r="CN120" s="392"/>
      <c r="CO120" s="331"/>
      <c r="CP120" s="331"/>
      <c r="CQ120" s="331"/>
      <c r="CR120" s="521"/>
      <c r="CS120" s="392"/>
      <c r="CT120" s="610"/>
      <c r="CU120" s="610"/>
      <c r="CV120" s="640"/>
      <c r="CW120" s="706"/>
      <c r="CX120" s="726"/>
      <c r="CY120" s="610"/>
      <c r="CZ120" s="610"/>
      <c r="DA120" s="610"/>
      <c r="DB120" s="887"/>
      <c r="DC120" s="392"/>
      <c r="DD120" s="840"/>
      <c r="DE120" s="610"/>
      <c r="DF120" s="610"/>
      <c r="DG120" s="610"/>
      <c r="DH120" s="392"/>
      <c r="DI120" s="610"/>
      <c r="DJ120" s="610">
        <v>4.62E-3</v>
      </c>
      <c r="DK120" s="610">
        <v>4.62E-3</v>
      </c>
      <c r="DL120" s="610">
        <f t="shared" si="263"/>
        <v>4.62E-3</v>
      </c>
      <c r="DM120" s="392"/>
      <c r="DN120" s="613">
        <f t="shared" si="245"/>
        <v>4.62E-3</v>
      </c>
      <c r="DO120" s="613">
        <f t="shared" si="259"/>
        <v>4.62E-3</v>
      </c>
      <c r="DP120" s="613">
        <f t="shared" si="259"/>
        <v>4.62E-3</v>
      </c>
      <c r="DQ120" s="613">
        <f t="shared" si="259"/>
        <v>4.62E-3</v>
      </c>
      <c r="DR120" s="392"/>
      <c r="DS120" s="613">
        <f t="shared" si="249"/>
        <v>4.62E-3</v>
      </c>
      <c r="DT120" s="613">
        <f t="shared" si="260"/>
        <v>4.62E-3</v>
      </c>
      <c r="DU120" s="613">
        <f t="shared" si="260"/>
        <v>4.62E-3</v>
      </c>
      <c r="DV120" s="613">
        <f t="shared" si="260"/>
        <v>4.62E-3</v>
      </c>
      <c r="DW120" s="392"/>
      <c r="DX120" s="613">
        <f t="shared" si="253"/>
        <v>4.62E-3</v>
      </c>
      <c r="DY120" s="613">
        <f t="shared" si="261"/>
        <v>4.62E-3</v>
      </c>
      <c r="DZ120" s="613">
        <f t="shared" si="261"/>
        <v>4.62E-3</v>
      </c>
      <c r="EA120" s="613">
        <f t="shared" si="261"/>
        <v>4.62E-3</v>
      </c>
      <c r="EB120" s="392"/>
      <c r="ED120" s="418"/>
      <c r="EK120" s="418"/>
    </row>
    <row r="121" spans="1:141" x14ac:dyDescent="0.2">
      <c r="A121" s="1" t="s">
        <v>624</v>
      </c>
      <c r="B121" s="179"/>
      <c r="C121" s="175"/>
      <c r="D121" s="175"/>
      <c r="E121" s="175"/>
      <c r="F121" s="175"/>
      <c r="G121" s="170"/>
      <c r="H121" s="157"/>
      <c r="I121" s="157"/>
      <c r="J121" s="157"/>
      <c r="K121" s="175"/>
      <c r="L121" s="170"/>
      <c r="M121" s="157"/>
      <c r="N121" s="157"/>
      <c r="O121" s="157"/>
      <c r="P121" s="175"/>
      <c r="Q121" s="170"/>
      <c r="R121" s="157"/>
      <c r="S121" s="157"/>
      <c r="T121" s="157"/>
      <c r="U121" s="175"/>
      <c r="V121" s="170"/>
      <c r="W121" s="175"/>
      <c r="X121" s="175"/>
      <c r="Y121" s="175"/>
      <c r="Z121" s="175"/>
      <c r="AA121" s="170"/>
      <c r="AB121" s="157"/>
      <c r="AC121" s="157"/>
      <c r="AD121" s="157"/>
      <c r="AE121" s="175"/>
      <c r="AF121" s="170"/>
      <c r="AG121" s="157"/>
      <c r="AH121" s="157"/>
      <c r="AI121" s="157"/>
      <c r="AJ121" s="175"/>
      <c r="AK121" s="170"/>
      <c r="AL121" s="157"/>
      <c r="AM121" s="157"/>
      <c r="AN121" s="157"/>
      <c r="AO121" s="175"/>
      <c r="AP121" s="170"/>
      <c r="AQ121" s="157"/>
      <c r="AR121" s="157"/>
      <c r="AS121" s="157"/>
      <c r="AT121" s="175"/>
      <c r="AU121" s="170"/>
      <c r="AV121" s="157"/>
      <c r="AW121" s="157"/>
      <c r="AX121" s="157"/>
      <c r="AY121" s="175"/>
      <c r="AZ121" s="170"/>
      <c r="BA121" s="157"/>
      <c r="BB121" s="157"/>
      <c r="BC121" s="157"/>
      <c r="BD121" s="175"/>
      <c r="BE121" s="170"/>
      <c r="BF121" s="157"/>
      <c r="BG121" s="157"/>
      <c r="BH121" s="157"/>
      <c r="BI121" s="175"/>
      <c r="BJ121" s="170"/>
      <c r="BK121" s="331"/>
      <c r="BL121" s="331"/>
      <c r="BM121" s="331"/>
      <c r="BN121" s="521"/>
      <c r="BO121" s="392"/>
      <c r="BP121" s="331"/>
      <c r="BQ121" s="331"/>
      <c r="BR121" s="331"/>
      <c r="BS121" s="521"/>
      <c r="BT121" s="392"/>
      <c r="BU121" s="331"/>
      <c r="BV121" s="331"/>
      <c r="BW121" s="331"/>
      <c r="BX121" s="521"/>
      <c r="BY121" s="392"/>
      <c r="BZ121" s="331"/>
      <c r="CA121" s="331"/>
      <c r="CB121" s="331"/>
      <c r="CC121" s="521"/>
      <c r="CD121" s="392"/>
      <c r="CE121" s="331"/>
      <c r="CF121" s="331"/>
      <c r="CG121" s="331"/>
      <c r="CH121" s="521"/>
      <c r="CI121" s="392"/>
      <c r="CJ121" s="331"/>
      <c r="CK121" s="331"/>
      <c r="CL121" s="331"/>
      <c r="CM121" s="521"/>
      <c r="CN121" s="392"/>
      <c r="CO121" s="331"/>
      <c r="CP121" s="331"/>
      <c r="CQ121" s="331"/>
      <c r="CR121" s="521"/>
      <c r="CS121" s="392"/>
      <c r="CT121" s="610"/>
      <c r="CU121" s="610"/>
      <c r="CV121" s="640"/>
      <c r="CW121" s="706"/>
      <c r="CX121" s="726"/>
      <c r="CY121" s="610"/>
      <c r="CZ121" s="610"/>
      <c r="DA121" s="610"/>
      <c r="DB121" s="887"/>
      <c r="DC121" s="392"/>
      <c r="DD121" s="840"/>
      <c r="DE121" s="610"/>
      <c r="DF121" s="610">
        <f>(2.293%*2/3)+(1.6%/3)</f>
        <v>2.0620000000000003E-2</v>
      </c>
      <c r="DG121" s="610">
        <f>(2.293%*2/3)+(1.6%/3)</f>
        <v>2.0620000000000003E-2</v>
      </c>
      <c r="DH121" s="392"/>
      <c r="DI121" s="610">
        <v>1.6E-2</v>
      </c>
      <c r="DJ121" s="610">
        <v>1.6E-2</v>
      </c>
      <c r="DK121" s="610">
        <f t="shared" ref="DK121:DK122" si="264">DJ121</f>
        <v>1.6E-2</v>
      </c>
      <c r="DL121" s="610">
        <f t="shared" ref="DL121:DL122" si="265">DK121</f>
        <v>1.6E-2</v>
      </c>
      <c r="DM121" s="392"/>
      <c r="DN121" s="613">
        <f t="shared" si="245"/>
        <v>1.6E-2</v>
      </c>
      <c r="DO121" s="613">
        <f t="shared" si="259"/>
        <v>1.6E-2</v>
      </c>
      <c r="DP121" s="613">
        <f t="shared" si="259"/>
        <v>1.6E-2</v>
      </c>
      <c r="DQ121" s="613">
        <f t="shared" si="259"/>
        <v>1.6E-2</v>
      </c>
      <c r="DR121" s="392"/>
      <c r="DS121" s="613">
        <f t="shared" si="249"/>
        <v>1.6E-2</v>
      </c>
      <c r="DT121" s="613">
        <f t="shared" si="260"/>
        <v>1.6E-2</v>
      </c>
      <c r="DU121" s="613">
        <f t="shared" si="260"/>
        <v>1.6E-2</v>
      </c>
      <c r="DV121" s="613">
        <f t="shared" si="260"/>
        <v>1.6E-2</v>
      </c>
      <c r="DW121" s="392"/>
      <c r="DX121" s="613">
        <f t="shared" si="253"/>
        <v>1.6E-2</v>
      </c>
      <c r="DY121" s="613">
        <f t="shared" si="261"/>
        <v>1.6E-2</v>
      </c>
      <c r="DZ121" s="613">
        <f t="shared" si="261"/>
        <v>1.6E-2</v>
      </c>
      <c r="EA121" s="613">
        <f t="shared" si="261"/>
        <v>1.6E-2</v>
      </c>
      <c r="EB121" s="392"/>
      <c r="ED121" s="418"/>
      <c r="EK121" s="418"/>
    </row>
    <row r="122" spans="1:141" ht="13.5" customHeight="1" x14ac:dyDescent="0.2">
      <c r="A122" s="1" t="s">
        <v>625</v>
      </c>
      <c r="B122" s="179"/>
      <c r="C122" s="175"/>
      <c r="D122" s="175"/>
      <c r="E122" s="175"/>
      <c r="F122" s="175"/>
      <c r="G122" s="170"/>
      <c r="H122" s="157"/>
      <c r="I122" s="157"/>
      <c r="J122" s="157"/>
      <c r="K122" s="175"/>
      <c r="L122" s="170"/>
      <c r="M122" s="157"/>
      <c r="N122" s="157"/>
      <c r="O122" s="157"/>
      <c r="P122" s="175"/>
      <c r="Q122" s="170"/>
      <c r="R122" s="157"/>
      <c r="S122" s="157"/>
      <c r="T122" s="157"/>
      <c r="U122" s="175"/>
      <c r="V122" s="170"/>
      <c r="W122" s="175"/>
      <c r="X122" s="175"/>
      <c r="Y122" s="175"/>
      <c r="Z122" s="175"/>
      <c r="AA122" s="170"/>
      <c r="AB122" s="157"/>
      <c r="AC122" s="157"/>
      <c r="AD122" s="157"/>
      <c r="AE122" s="175"/>
      <c r="AF122" s="170"/>
      <c r="AG122" s="157"/>
      <c r="AH122" s="157"/>
      <c r="AI122" s="157"/>
      <c r="AJ122" s="175"/>
      <c r="AK122" s="170"/>
      <c r="AL122" s="157"/>
      <c r="AM122" s="157"/>
      <c r="AN122" s="157"/>
      <c r="AO122" s="175"/>
      <c r="AP122" s="170"/>
      <c r="AQ122" s="157"/>
      <c r="AR122" s="157"/>
      <c r="AS122" s="157"/>
      <c r="AT122" s="175"/>
      <c r="AU122" s="170"/>
      <c r="AV122" s="157"/>
      <c r="AW122" s="157"/>
      <c r="AX122" s="157"/>
      <c r="AY122" s="175"/>
      <c r="AZ122" s="170"/>
      <c r="BA122" s="157"/>
      <c r="BB122" s="157"/>
      <c r="BC122" s="157"/>
      <c r="BD122" s="175"/>
      <c r="BE122" s="170"/>
      <c r="BF122" s="157"/>
      <c r="BG122" s="157"/>
      <c r="BH122" s="157"/>
      <c r="BI122" s="175"/>
      <c r="BJ122" s="170"/>
      <c r="BK122" s="331"/>
      <c r="BL122" s="331"/>
      <c r="BM122" s="331"/>
      <c r="BN122" s="521"/>
      <c r="BO122" s="392"/>
      <c r="BP122" s="331"/>
      <c r="BQ122" s="331"/>
      <c r="BR122" s="331"/>
      <c r="BS122" s="521"/>
      <c r="BT122" s="392"/>
      <c r="BU122" s="331"/>
      <c r="BV122" s="331"/>
      <c r="BW122" s="331"/>
      <c r="BX122" s="521"/>
      <c r="BY122" s="392"/>
      <c r="BZ122" s="331"/>
      <c r="CA122" s="331"/>
      <c r="CB122" s="331"/>
      <c r="CC122" s="521"/>
      <c r="CD122" s="392"/>
      <c r="CE122" s="331"/>
      <c r="CF122" s="331"/>
      <c r="CG122" s="331"/>
      <c r="CH122" s="521"/>
      <c r="CI122" s="392"/>
      <c r="CJ122" s="331"/>
      <c r="CK122" s="331"/>
      <c r="CL122" s="331"/>
      <c r="CM122" s="521"/>
      <c r="CN122" s="392"/>
      <c r="CO122" s="331"/>
      <c r="CP122" s="331"/>
      <c r="CQ122" s="331"/>
      <c r="CR122" s="521"/>
      <c r="CS122" s="392"/>
      <c r="CT122" s="612"/>
      <c r="CU122" s="612"/>
      <c r="CV122" s="641"/>
      <c r="CW122" s="707"/>
      <c r="CX122" s="726"/>
      <c r="CY122" s="612"/>
      <c r="CZ122" s="612"/>
      <c r="DA122" s="612"/>
      <c r="DB122" s="888"/>
      <c r="DC122" s="392"/>
      <c r="DD122" s="841"/>
      <c r="DE122" s="612"/>
      <c r="DF122" s="612">
        <v>2.511E-2</v>
      </c>
      <c r="DG122" s="612">
        <v>2.511E-2</v>
      </c>
      <c r="DH122" s="392"/>
      <c r="DI122" s="610">
        <v>2.511E-2</v>
      </c>
      <c r="DJ122" s="610">
        <v>2.511E-2</v>
      </c>
      <c r="DK122" s="610">
        <f t="shared" si="264"/>
        <v>2.511E-2</v>
      </c>
      <c r="DL122" s="610">
        <f t="shared" si="265"/>
        <v>2.511E-2</v>
      </c>
      <c r="DM122" s="392"/>
      <c r="DN122" s="613">
        <f t="shared" si="245"/>
        <v>2.511E-2</v>
      </c>
      <c r="DO122" s="613">
        <f t="shared" si="259"/>
        <v>2.511E-2</v>
      </c>
      <c r="DP122" s="613">
        <f t="shared" si="259"/>
        <v>2.511E-2</v>
      </c>
      <c r="DQ122" s="613">
        <f t="shared" si="259"/>
        <v>2.511E-2</v>
      </c>
      <c r="DR122" s="392"/>
      <c r="DS122" s="613">
        <f t="shared" si="249"/>
        <v>2.511E-2</v>
      </c>
      <c r="DT122" s="613">
        <f t="shared" si="260"/>
        <v>2.511E-2</v>
      </c>
      <c r="DU122" s="613">
        <f t="shared" si="260"/>
        <v>2.511E-2</v>
      </c>
      <c r="DV122" s="613">
        <f t="shared" si="260"/>
        <v>2.511E-2</v>
      </c>
      <c r="DW122" s="392"/>
      <c r="DX122" s="613">
        <f t="shared" si="253"/>
        <v>2.511E-2</v>
      </c>
      <c r="DY122" s="613">
        <f t="shared" si="261"/>
        <v>2.511E-2</v>
      </c>
      <c r="DZ122" s="613">
        <f t="shared" si="261"/>
        <v>2.511E-2</v>
      </c>
      <c r="EA122" s="613">
        <f t="shared" si="261"/>
        <v>2.511E-2</v>
      </c>
      <c r="EB122" s="392"/>
      <c r="ED122" s="418"/>
      <c r="EK122" s="418"/>
    </row>
    <row r="123" spans="1:141" x14ac:dyDescent="0.2">
      <c r="A123" s="7" t="s">
        <v>380</v>
      </c>
      <c r="B123" s="179"/>
      <c r="C123" s="175"/>
      <c r="D123" s="175"/>
      <c r="E123" s="175"/>
      <c r="F123" s="175"/>
      <c r="G123" s="170"/>
      <c r="H123" s="157"/>
      <c r="I123" s="157"/>
      <c r="J123" s="157"/>
      <c r="K123" s="175"/>
      <c r="L123" s="170"/>
      <c r="M123" s="157"/>
      <c r="N123" s="157"/>
      <c r="O123" s="157"/>
      <c r="P123" s="175"/>
      <c r="Q123" s="170"/>
      <c r="R123" s="157"/>
      <c r="S123" s="157"/>
      <c r="T123" s="157"/>
      <c r="U123" s="175"/>
      <c r="V123" s="170"/>
      <c r="W123" s="175"/>
      <c r="X123" s="175"/>
      <c r="Y123" s="175"/>
      <c r="Z123" s="175"/>
      <c r="AA123" s="170"/>
      <c r="AB123" s="157"/>
      <c r="AC123" s="157"/>
      <c r="AD123" s="157"/>
      <c r="AE123" s="175"/>
      <c r="AF123" s="170"/>
      <c r="AG123" s="157"/>
      <c r="AH123" s="157"/>
      <c r="AI123" s="157"/>
      <c r="AJ123" s="175"/>
      <c r="AK123" s="170"/>
      <c r="AL123" s="157"/>
      <c r="AM123" s="157"/>
      <c r="AN123" s="157"/>
      <c r="AO123" s="175"/>
      <c r="AP123" s="170"/>
      <c r="AQ123" s="157"/>
      <c r="AR123" s="157"/>
      <c r="AS123" s="157"/>
      <c r="AT123" s="175"/>
      <c r="AU123" s="170"/>
      <c r="AV123" s="157"/>
      <c r="AW123" s="157"/>
      <c r="AX123" s="157"/>
      <c r="AY123" s="175"/>
      <c r="AZ123" s="170"/>
      <c r="BA123" s="157"/>
      <c r="BB123" s="157"/>
      <c r="BC123" s="157"/>
      <c r="BD123" s="175"/>
      <c r="BE123" s="170"/>
      <c r="BF123" s="157"/>
      <c r="BG123" s="157"/>
      <c r="BH123" s="157"/>
      <c r="BI123" s="175"/>
      <c r="BJ123" s="170"/>
      <c r="BK123" s="331"/>
      <c r="BL123" s="331"/>
      <c r="BM123" s="331"/>
      <c r="BN123" s="521"/>
      <c r="BO123" s="392"/>
      <c r="BP123" s="331"/>
      <c r="BQ123" s="331"/>
      <c r="BR123" s="331"/>
      <c r="BS123" s="521"/>
      <c r="BT123" s="392"/>
      <c r="BU123" s="331"/>
      <c r="BV123" s="331"/>
      <c r="BW123" s="331"/>
      <c r="BX123" s="521"/>
      <c r="BY123" s="392"/>
      <c r="BZ123" s="331"/>
      <c r="CA123" s="331"/>
      <c r="CB123" s="331"/>
      <c r="CC123" s="521"/>
      <c r="CD123" s="392"/>
      <c r="CE123" s="331"/>
      <c r="CF123" s="331"/>
      <c r="CG123" s="331"/>
      <c r="CH123" s="521"/>
      <c r="CI123" s="392"/>
      <c r="CJ123" s="331"/>
      <c r="CK123" s="331"/>
      <c r="CL123" s="331"/>
      <c r="CM123" s="521"/>
      <c r="CN123" s="392"/>
      <c r="CO123" s="331"/>
      <c r="CP123" s="331"/>
      <c r="CQ123" s="331"/>
      <c r="CR123" s="238">
        <f>CR101/CR109*0.045+CR102/CR109*0.0286</f>
        <v>3.5537345132743363E-2</v>
      </c>
      <c r="CS123" s="392"/>
      <c r="CT123" s="611">
        <f>SUMPRODUCT(CT101:CT104,CT116:CT119)/CT109</f>
        <v>3.2615609756097556E-2</v>
      </c>
      <c r="CU123" s="611">
        <f>SUMPRODUCT(CU101:CU104,CU116:CU119)/CU109</f>
        <v>3.2615609756097556E-2</v>
      </c>
      <c r="CV123" s="611">
        <f>SUMPRODUCT(CV99:CV104,CV114:CV119)/CV109</f>
        <v>3.2615609756097556E-2</v>
      </c>
      <c r="CW123" s="611">
        <f>SUMPRODUCT(CW99:CW104,CW114:CW119)/CW109</f>
        <v>3.2615609756097556E-2</v>
      </c>
      <c r="CX123" s="726"/>
      <c r="CY123" s="611">
        <f>SUMPRODUCT(CY99:CY104,CY114:CY119)/CY109</f>
        <v>3.2615609756097556E-2</v>
      </c>
      <c r="CZ123" s="611">
        <f>SUMPRODUCT(CZ99:CZ104,CZ114:CZ119)/CZ109</f>
        <v>3.2615609756097556E-2</v>
      </c>
      <c r="DA123" s="611">
        <f>SUMPRODUCT(DA99:DA104,DA114:DA119)/DA109</f>
        <v>3.3163793103448275E-2</v>
      </c>
      <c r="DB123" s="889">
        <f>SUMPRODUCT(DB99:DB104,DB114:DB119)/DB109</f>
        <v>2.6199574468085112E-2</v>
      </c>
      <c r="DC123" s="392"/>
      <c r="DD123" s="611">
        <f>SUMPRODUCT(DD99:DD104,DD114:DD119)/DD109</f>
        <v>2.6199574468085112E-2</v>
      </c>
      <c r="DE123" s="611">
        <f>SUMPRODUCT(DE99:DE104,DE114:DE119)/DE109</f>
        <v>2.6199574468085112E-2</v>
      </c>
      <c r="DF123" s="611">
        <f>SUMPRODUCT(DF99:DF107,DF114:DF122)/DF109</f>
        <v>2.4885833333333333E-2</v>
      </c>
      <c r="DG123" s="611">
        <f>SUMPRODUCT(DG99:DG107,DG114:DG122)/DG109</f>
        <v>2.4885833333333333E-2</v>
      </c>
      <c r="DH123" s="392"/>
      <c r="DI123" s="611">
        <f t="shared" ref="DI123:DL123" si="266">SUMPRODUCT(DI99:DI107,DI114:DI122)/DI109</f>
        <v>2.5737500000000003E-2</v>
      </c>
      <c r="DJ123" s="611">
        <f t="shared" si="266"/>
        <v>2.167990760142385E-2</v>
      </c>
      <c r="DK123" s="611">
        <f t="shared" si="266"/>
        <v>2.1691975342950257E-2</v>
      </c>
      <c r="DL123" s="611">
        <f t="shared" si="266"/>
        <v>2.1691975342950257E-2</v>
      </c>
      <c r="DM123" s="392"/>
      <c r="DN123" s="611">
        <f t="shared" ref="DN123:DQ123" si="267">SUMPRODUCT(DN99:DN107,DN114:DN122)/DN109</f>
        <v>2.1691975342950257E-2</v>
      </c>
      <c r="DO123" s="611">
        <f t="shared" si="267"/>
        <v>2.1691975342950257E-2</v>
      </c>
      <c r="DP123" s="611">
        <f t="shared" si="267"/>
        <v>2.1691975342950257E-2</v>
      </c>
      <c r="DQ123" s="611">
        <f t="shared" si="267"/>
        <v>2.1691975342950257E-2</v>
      </c>
      <c r="DR123" s="392"/>
      <c r="DS123" s="611">
        <f t="shared" ref="DS123:DV123" si="268">SUMPRODUCT(DS99:DS107,DS114:DS122)/DS109</f>
        <v>2.1844454729373942E-2</v>
      </c>
      <c r="DT123" s="611">
        <f t="shared" si="268"/>
        <v>2.1844454729373942E-2</v>
      </c>
      <c r="DU123" s="611">
        <f t="shared" si="268"/>
        <v>2.1844454729373942E-2</v>
      </c>
      <c r="DV123" s="611">
        <f t="shared" si="268"/>
        <v>2.1844454729373942E-2</v>
      </c>
      <c r="DW123" s="392"/>
      <c r="DX123" s="611">
        <f t="shared" ref="DX123:EA123" si="269">SUMPRODUCT(DX99:DX107,DX114:DX122)/DX109</f>
        <v>2.1844454729373942E-2</v>
      </c>
      <c r="DY123" s="611">
        <f t="shared" si="269"/>
        <v>2.1844454729373942E-2</v>
      </c>
      <c r="DZ123" s="611">
        <f t="shared" si="269"/>
        <v>2.1844454729373942E-2</v>
      </c>
      <c r="EA123" s="611">
        <f t="shared" si="269"/>
        <v>2.1844454729373942E-2</v>
      </c>
      <c r="EB123" s="392"/>
      <c r="ED123" s="418"/>
      <c r="EK123" s="418"/>
    </row>
    <row r="124" spans="1:141" x14ac:dyDescent="0.2">
      <c r="A124" s="7"/>
      <c r="B124" s="179"/>
      <c r="C124" s="175"/>
      <c r="D124" s="175"/>
      <c r="E124" s="175"/>
      <c r="F124" s="175"/>
      <c r="G124" s="170"/>
      <c r="H124" s="157"/>
      <c r="I124" s="157"/>
      <c r="J124" s="157"/>
      <c r="K124" s="175"/>
      <c r="L124" s="170"/>
      <c r="M124" s="157"/>
      <c r="N124" s="157"/>
      <c r="O124" s="157"/>
      <c r="P124" s="175"/>
      <c r="Q124" s="170"/>
      <c r="R124" s="157"/>
      <c r="S124" s="157"/>
      <c r="T124" s="157"/>
      <c r="U124" s="175"/>
      <c r="V124" s="170"/>
      <c r="W124" s="175"/>
      <c r="X124" s="175"/>
      <c r="Y124" s="175"/>
      <c r="Z124" s="175"/>
      <c r="AA124" s="170"/>
      <c r="AB124" s="157"/>
      <c r="AC124" s="157"/>
      <c r="AD124" s="157"/>
      <c r="AE124" s="175"/>
      <c r="AF124" s="170"/>
      <c r="AG124" s="157"/>
      <c r="AH124" s="157"/>
      <c r="AI124" s="157"/>
      <c r="AJ124" s="175"/>
      <c r="AK124" s="170"/>
      <c r="AL124" s="157"/>
      <c r="AM124" s="157"/>
      <c r="AN124" s="157"/>
      <c r="AO124" s="175"/>
      <c r="AP124" s="170"/>
      <c r="AQ124" s="157"/>
      <c r="AR124" s="157"/>
      <c r="AS124" s="157"/>
      <c r="AT124" s="175"/>
      <c r="AU124" s="170"/>
      <c r="AV124" s="157"/>
      <c r="AW124" s="157"/>
      <c r="AX124" s="157"/>
      <c r="AY124" s="175"/>
      <c r="AZ124" s="170"/>
      <c r="BA124" s="157"/>
      <c r="BB124" s="157"/>
      <c r="BC124" s="157"/>
      <c r="BD124" s="175"/>
      <c r="BE124" s="170"/>
      <c r="BF124" s="157"/>
      <c r="BG124" s="157"/>
      <c r="BH124" s="157"/>
      <c r="BI124" s="175"/>
      <c r="BJ124" s="170"/>
      <c r="BK124" s="331"/>
      <c r="BL124" s="331"/>
      <c r="BM124" s="331"/>
      <c r="BN124" s="521"/>
      <c r="BO124" s="392"/>
      <c r="BP124" s="331"/>
      <c r="BQ124" s="331"/>
      <c r="BR124" s="331"/>
      <c r="BS124" s="521"/>
      <c r="BT124" s="392"/>
      <c r="BU124" s="331"/>
      <c r="BV124" s="331"/>
      <c r="BW124" s="331"/>
      <c r="BX124" s="521"/>
      <c r="BY124" s="392"/>
      <c r="BZ124" s="331"/>
      <c r="CA124" s="331"/>
      <c r="CB124" s="331"/>
      <c r="CC124" s="521"/>
      <c r="CD124" s="392"/>
      <c r="CE124" s="331"/>
      <c r="CF124" s="331"/>
      <c r="CG124" s="331"/>
      <c r="CH124" s="521"/>
      <c r="CI124" s="392"/>
      <c r="CJ124" s="331"/>
      <c r="CK124" s="331"/>
      <c r="CL124" s="331"/>
      <c r="CM124" s="521"/>
      <c r="CN124" s="392"/>
      <c r="CO124" s="331"/>
      <c r="CP124" s="331"/>
      <c r="CQ124" s="331"/>
      <c r="CR124" s="521"/>
      <c r="CS124" s="392"/>
      <c r="CT124" s="331"/>
      <c r="CU124" s="331"/>
      <c r="CV124" s="331"/>
      <c r="CW124" s="666"/>
      <c r="CX124" s="726"/>
      <c r="CY124" s="331"/>
      <c r="CZ124" s="331"/>
      <c r="DA124" s="331"/>
      <c r="DB124" s="885"/>
      <c r="DC124" s="392"/>
      <c r="DD124" s="331"/>
      <c r="DE124" s="331"/>
      <c r="DF124" s="331"/>
      <c r="DG124" s="331"/>
      <c r="DH124" s="392"/>
      <c r="DI124" s="331"/>
      <c r="DJ124" s="331"/>
      <c r="DK124" s="331"/>
      <c r="DL124" s="331"/>
      <c r="DM124" s="392"/>
      <c r="DN124" s="331"/>
      <c r="DO124" s="331"/>
      <c r="DP124" s="331"/>
      <c r="DQ124" s="331"/>
      <c r="DR124" s="392"/>
      <c r="DS124" s="331"/>
      <c r="DT124" s="331"/>
      <c r="DU124" s="331"/>
      <c r="DV124" s="331"/>
      <c r="DW124" s="392"/>
      <c r="DX124" s="331"/>
      <c r="DY124" s="331"/>
      <c r="DZ124" s="331"/>
      <c r="EA124" s="331"/>
      <c r="EB124" s="392"/>
      <c r="ED124" s="418"/>
      <c r="EK124" s="418"/>
    </row>
    <row r="125" spans="1:141" s="289" customFormat="1" x14ac:dyDescent="0.2">
      <c r="A125" s="82" t="s">
        <v>378</v>
      </c>
      <c r="B125" s="433"/>
      <c r="C125" s="602"/>
      <c r="D125" s="602"/>
      <c r="E125" s="602"/>
      <c r="F125" s="602"/>
      <c r="G125" s="603"/>
      <c r="H125" s="604"/>
      <c r="I125" s="604"/>
      <c r="J125" s="604"/>
      <c r="K125" s="602"/>
      <c r="L125" s="603"/>
      <c r="M125" s="604"/>
      <c r="N125" s="604"/>
      <c r="O125" s="604"/>
      <c r="P125" s="602"/>
      <c r="Q125" s="603"/>
      <c r="R125" s="604"/>
      <c r="S125" s="604"/>
      <c r="T125" s="604"/>
      <c r="U125" s="602"/>
      <c r="V125" s="603"/>
      <c r="W125" s="602"/>
      <c r="X125" s="602"/>
      <c r="Y125" s="602"/>
      <c r="Z125" s="602"/>
      <c r="AA125" s="603"/>
      <c r="AB125" s="604"/>
      <c r="AC125" s="604"/>
      <c r="AD125" s="604"/>
      <c r="AE125" s="602"/>
      <c r="AF125" s="603"/>
      <c r="AG125" s="604"/>
      <c r="AH125" s="604"/>
      <c r="AI125" s="604"/>
      <c r="AJ125" s="602"/>
      <c r="AK125" s="603"/>
      <c r="AL125" s="604"/>
      <c r="AM125" s="604"/>
      <c r="AN125" s="604"/>
      <c r="AO125" s="602"/>
      <c r="AP125" s="603"/>
      <c r="AQ125" s="604"/>
      <c r="AR125" s="604"/>
      <c r="AS125" s="604"/>
      <c r="AT125" s="602"/>
      <c r="AU125" s="603"/>
      <c r="AV125" s="604"/>
      <c r="AW125" s="604"/>
      <c r="AX125" s="604"/>
      <c r="AY125" s="602"/>
      <c r="AZ125" s="603"/>
      <c r="BA125" s="604"/>
      <c r="BB125" s="604"/>
      <c r="BC125" s="604"/>
      <c r="BD125" s="602"/>
      <c r="BE125" s="603"/>
      <c r="BF125" s="604"/>
      <c r="BG125" s="604"/>
      <c r="BH125" s="604"/>
      <c r="BI125" s="602"/>
      <c r="BJ125" s="603"/>
      <c r="BK125" s="552"/>
      <c r="BL125" s="552"/>
      <c r="BM125" s="552"/>
      <c r="BN125" s="605"/>
      <c r="BO125" s="573"/>
      <c r="BP125" s="552"/>
      <c r="BQ125" s="552"/>
      <c r="BR125" s="552"/>
      <c r="BS125" s="605"/>
      <c r="BT125" s="573"/>
      <c r="BU125" s="552"/>
      <c r="BV125" s="552"/>
      <c r="BW125" s="552"/>
      <c r="BX125" s="605"/>
      <c r="BY125" s="573"/>
      <c r="BZ125" s="552"/>
      <c r="CA125" s="552"/>
      <c r="CB125" s="552"/>
      <c r="CC125" s="605"/>
      <c r="CD125" s="573"/>
      <c r="CE125" s="552">
        <f>IS!CE34</f>
        <v>7.9</v>
      </c>
      <c r="CF125" s="552">
        <f>IS!CF34</f>
        <v>7.1</v>
      </c>
      <c r="CG125" s="552">
        <f>IS!CG34</f>
        <v>8.5</v>
      </c>
      <c r="CH125" s="552">
        <f>IS!CH34</f>
        <v>9.8000000000000007</v>
      </c>
      <c r="CI125" s="573"/>
      <c r="CJ125" s="552">
        <f>IS!CJ34</f>
        <v>8.6</v>
      </c>
      <c r="CK125" s="552">
        <f>IS!CK34</f>
        <v>8.8000000000000007</v>
      </c>
      <c r="CL125" s="552">
        <f>IS!CL34</f>
        <v>8.9</v>
      </c>
      <c r="CM125" s="552">
        <f>IS!CM34</f>
        <v>6.4</v>
      </c>
      <c r="CN125" s="573"/>
      <c r="CO125" s="552">
        <f>IS!CO34</f>
        <v>6.6</v>
      </c>
      <c r="CP125" s="552">
        <f>IS!CP34</f>
        <v>6.1</v>
      </c>
      <c r="CQ125" s="552">
        <f>IS!CQ34</f>
        <v>6.3</v>
      </c>
      <c r="CR125" s="552">
        <f>IS!CR34</f>
        <v>9.1</v>
      </c>
      <c r="CS125" s="573">
        <f>SUM(CO125:CR125)</f>
        <v>28.1</v>
      </c>
      <c r="CT125" s="552">
        <f>IS!CT34</f>
        <v>14.5</v>
      </c>
      <c r="CU125" s="552">
        <f>IS!CU34</f>
        <v>16.7</v>
      </c>
      <c r="CV125" s="552">
        <f>IS!CV34</f>
        <v>16.399999999999999</v>
      </c>
      <c r="CW125" s="666">
        <f>IS!CW34</f>
        <v>16.399999999999999</v>
      </c>
      <c r="CX125" s="726">
        <f>SUM(CT125:CW125)</f>
        <v>63.999999999999993</v>
      </c>
      <c r="CY125" s="331">
        <f>IS!CY34</f>
        <v>16.3</v>
      </c>
      <c r="CZ125" s="331">
        <f>IS!CZ34</f>
        <v>16.899999999999999</v>
      </c>
      <c r="DA125" s="331">
        <f>IS!DA34</f>
        <v>19.100000000000001</v>
      </c>
      <c r="DB125" s="885">
        <f>IS!DB34</f>
        <v>18.2</v>
      </c>
      <c r="DC125" s="392">
        <f>SUM(CY125:DB125)</f>
        <v>70.5</v>
      </c>
      <c r="DD125" s="552">
        <f>IS!DD34</f>
        <v>16.5</v>
      </c>
      <c r="DE125" s="552">
        <f>IS!DE34</f>
        <v>18.3</v>
      </c>
      <c r="DF125" s="552">
        <f>IS!DF34</f>
        <v>21.8</v>
      </c>
      <c r="DG125" s="552">
        <f>IS!DG34</f>
        <v>24.7</v>
      </c>
      <c r="DH125" s="573">
        <f>SUM(DD125:DG125)</f>
        <v>81.3</v>
      </c>
      <c r="DI125" s="552">
        <f>IS!DI34</f>
        <v>23.8</v>
      </c>
      <c r="DJ125" s="552">
        <f>IS!DJ34</f>
        <v>22.9</v>
      </c>
      <c r="DK125" s="331">
        <f>IS!DK34</f>
        <v>23.5</v>
      </c>
      <c r="DL125" s="331">
        <f>IS!DL34</f>
        <v>22.3</v>
      </c>
      <c r="DM125" s="392">
        <f>SUM(DI125:DL125)</f>
        <v>92.5</v>
      </c>
      <c r="DN125" s="552">
        <f>IS!DN34</f>
        <v>25.9</v>
      </c>
      <c r="DO125" s="552">
        <f>IS!DO34</f>
        <v>33.953750000000007</v>
      </c>
      <c r="DP125" s="552">
        <f>IS!DP34</f>
        <v>32.308262685056313</v>
      </c>
      <c r="DQ125" s="552">
        <f>IS!DQ34</f>
        <v>33.953750000000007</v>
      </c>
      <c r="DR125" s="573">
        <f>SUM(DN125:DQ125)</f>
        <v>126.11576268505632</v>
      </c>
      <c r="DS125" s="552">
        <f>IS!DS34</f>
        <v>38.641250000000007</v>
      </c>
      <c r="DT125" s="552">
        <f>IS!DT34</f>
        <v>43.328750000000007</v>
      </c>
      <c r="DU125" s="552">
        <f>IS!DU34</f>
        <v>41.228925724408455</v>
      </c>
      <c r="DV125" s="552">
        <f>IS!DV34</f>
        <v>43.328750000000007</v>
      </c>
      <c r="DW125" s="573">
        <f>SUM(DS125:DV125)</f>
        <v>166.52767572440848</v>
      </c>
      <c r="DX125" s="552">
        <f>IS!DX34</f>
        <v>46.453750000000007</v>
      </c>
      <c r="DY125" s="552">
        <f>IS!DY34</f>
        <v>49.578750000000007</v>
      </c>
      <c r="DZ125" s="552">
        <f>IS!DZ34</f>
        <v>47.176034417309886</v>
      </c>
      <c r="EA125" s="552">
        <f>IS!EA34</f>
        <v>49.578750000000007</v>
      </c>
      <c r="EB125" s="573">
        <f>SUM(DX125:EA125)</f>
        <v>192.78728441730991</v>
      </c>
      <c r="ED125" s="606"/>
      <c r="EE125"/>
      <c r="EF125"/>
      <c r="EG125"/>
      <c r="EH125"/>
      <c r="EI125"/>
      <c r="EJ125"/>
      <c r="EK125" s="606"/>
    </row>
    <row r="126" spans="1:141" s="289" customFormat="1" x14ac:dyDescent="0.2">
      <c r="A126" s="82" t="s">
        <v>379</v>
      </c>
      <c r="B126" s="433"/>
      <c r="C126" s="602"/>
      <c r="D126" s="602"/>
      <c r="E126" s="602"/>
      <c r="F126" s="602"/>
      <c r="G126" s="603"/>
      <c r="H126" s="604"/>
      <c r="I126" s="604"/>
      <c r="J126" s="604"/>
      <c r="K126" s="602"/>
      <c r="L126" s="603"/>
      <c r="M126" s="604"/>
      <c r="N126" s="604"/>
      <c r="O126" s="604"/>
      <c r="P126" s="602"/>
      <c r="Q126" s="603"/>
      <c r="R126" s="604"/>
      <c r="S126" s="604"/>
      <c r="T126" s="604"/>
      <c r="U126" s="602"/>
      <c r="V126" s="603"/>
      <c r="W126" s="602"/>
      <c r="X126" s="602"/>
      <c r="Y126" s="602"/>
      <c r="Z126" s="602"/>
      <c r="AA126" s="603"/>
      <c r="AB126" s="604"/>
      <c r="AC126" s="604"/>
      <c r="AD126" s="604"/>
      <c r="AE126" s="602"/>
      <c r="AF126" s="603"/>
      <c r="AG126" s="604"/>
      <c r="AH126" s="604"/>
      <c r="AI126" s="604"/>
      <c r="AJ126" s="602"/>
      <c r="AK126" s="603"/>
      <c r="AL126" s="604"/>
      <c r="AM126" s="604"/>
      <c r="AN126" s="604"/>
      <c r="AO126" s="602"/>
      <c r="AP126" s="603"/>
      <c r="AQ126" s="604"/>
      <c r="AR126" s="604"/>
      <c r="AS126" s="604"/>
      <c r="AT126" s="602"/>
      <c r="AU126" s="603"/>
      <c r="AV126" s="604"/>
      <c r="AW126" s="604"/>
      <c r="AX126" s="604"/>
      <c r="AY126" s="602"/>
      <c r="AZ126" s="603"/>
      <c r="BA126" s="604"/>
      <c r="BB126" s="604"/>
      <c r="BC126" s="604"/>
      <c r="BD126" s="602"/>
      <c r="BE126" s="603"/>
      <c r="BF126" s="604"/>
      <c r="BG126" s="604"/>
      <c r="BH126" s="604"/>
      <c r="BI126" s="602"/>
      <c r="BJ126" s="603"/>
      <c r="BK126" s="552"/>
      <c r="BL126" s="552"/>
      <c r="BM126" s="552"/>
      <c r="BN126" s="605"/>
      <c r="BO126" s="573"/>
      <c r="BP126" s="552"/>
      <c r="BQ126" s="552"/>
      <c r="BR126" s="552"/>
      <c r="BS126" s="605"/>
      <c r="BT126" s="573"/>
      <c r="BU126" s="552"/>
      <c r="BV126" s="552"/>
      <c r="BW126" s="552"/>
      <c r="BX126" s="605"/>
      <c r="BY126" s="573"/>
      <c r="BZ126" s="552"/>
      <c r="CA126" s="552"/>
      <c r="CB126" s="552"/>
      <c r="CC126" s="605"/>
      <c r="CD126" s="573"/>
      <c r="CE126" s="293">
        <f>CE125/CE109*4</f>
        <v>5.7517291590826358E-2</v>
      </c>
      <c r="CF126" s="293">
        <f>CF125/CF109*4</f>
        <v>5.1692755733527482E-2</v>
      </c>
      <c r="CG126" s="293">
        <f>CG125/CG109*4</f>
        <v>6.1885693483800512E-2</v>
      </c>
      <c r="CH126" s="293">
        <f>CH125/CH109*4</f>
        <v>7.1337579617834407E-2</v>
      </c>
      <c r="CI126" s="573"/>
      <c r="CJ126" s="293">
        <f>CJ125/CJ109*4</f>
        <v>6.2602365787079159E-2</v>
      </c>
      <c r="CK126" s="293">
        <f>CK125/CK109*4</f>
        <v>6.4046579330422126E-2</v>
      </c>
      <c r="CL126" s="293">
        <f>CL125/CL109*4</f>
        <v>6.4774381368267825E-2</v>
      </c>
      <c r="CM126" s="293">
        <f>CM125/CM109*4</f>
        <v>4.6579330422125184E-2</v>
      </c>
      <c r="CN126" s="573"/>
      <c r="CO126" s="293">
        <f>CO125/AVERAGE(CN109:CO109)*4</f>
        <v>4.8034934497816588E-2</v>
      </c>
      <c r="CP126" s="293">
        <f>CP125/AVERAGE(CO109:CP109)*4</f>
        <v>4.4395924308588061E-2</v>
      </c>
      <c r="CQ126" s="293">
        <f>CQ125/AVERAGE(CP109:CQ109)*4</f>
        <v>4.5847357409260429E-2</v>
      </c>
      <c r="CR126" s="293">
        <f>CR125/AVERAGE(CQ109:CR109)*4</f>
        <v>3.9368375513735669E-2</v>
      </c>
      <c r="CS126" s="573"/>
      <c r="CT126" s="293">
        <f>CT125/AVERAGE(CS109:CT109)*4</f>
        <v>3.4632034632034632E-2</v>
      </c>
      <c r="CU126" s="293">
        <f>CU125/AVERAGE(CT109:CU109)*4</f>
        <v>3.2585365853658538E-2</v>
      </c>
      <c r="CV126" s="293">
        <f>CV125/AVERAGE(CU109:CV109)*4</f>
        <v>3.2000000000000001E-2</v>
      </c>
      <c r="CW126" s="708">
        <f>CW125/AVERAGE(CV109:CW109)*4</f>
        <v>3.2000000000000001E-2</v>
      </c>
      <c r="CX126" s="726"/>
      <c r="CY126" s="65">
        <f>CY125/AVERAGE(CX109:CY109)*4</f>
        <v>3.1804878048780488E-2</v>
      </c>
      <c r="CZ126" s="65">
        <f>CZ125/AVERAGE(CY109:CZ109)*4</f>
        <v>3.2975609756097556E-2</v>
      </c>
      <c r="DA126" s="65">
        <f>DA125/AVERAGE(CZ109:DA109)*4</f>
        <v>3.0868686868686872E-2</v>
      </c>
      <c r="DB126" s="890">
        <f>DB125/AVERAGE(DA109:DB109)*4</f>
        <v>2.7733333333333332E-2</v>
      </c>
      <c r="DC126" s="392"/>
      <c r="DD126" s="293">
        <f>DD125/AVERAGE(DC109:DD109)*4</f>
        <v>2.8085106382978724E-2</v>
      </c>
      <c r="DE126" s="293">
        <f>DE125/AVERAGE(DD109:DE109)*4</f>
        <v>3.1148936170212766E-2</v>
      </c>
      <c r="DF126" s="293">
        <f>DF125/AVERAGE(DE109:DF109)*4</f>
        <v>2.9310924369747901E-2</v>
      </c>
      <c r="DG126" s="293">
        <f>DG125/AVERAGE(DF109:DG109)*4</f>
        <v>2.7444444444444445E-2</v>
      </c>
      <c r="DH126" s="573"/>
      <c r="DI126" s="293">
        <f>DI125/AVERAGE(DH109:DH109)*4</f>
        <v>2.6444444444444444E-2</v>
      </c>
      <c r="DJ126" s="293">
        <f>DJ125/AVERAGE(DI109:DJ109)*4</f>
        <v>2.5582661881554506E-2</v>
      </c>
      <c r="DK126" s="65">
        <f>DK125/AVERAGE(DJ109:DK109)*4</f>
        <v>2.3739172159507035E-2</v>
      </c>
      <c r="DL126" s="65">
        <f>DL125/AVERAGE(DK109:DL109)*4</f>
        <v>2.2534926609908294E-2</v>
      </c>
      <c r="DM126" s="392"/>
      <c r="DN126" s="293">
        <f>DN125/AVERAGE(DM109:DN109)*4</f>
        <v>2.6172851981911424E-2</v>
      </c>
      <c r="DO126" s="293">
        <f>DO125/AVERAGE(DN109:DO109)*4</f>
        <v>3.4311446833236496E-2</v>
      </c>
      <c r="DP126" s="293">
        <f>DP125/AVERAGE(DO109:DP109)*4</f>
        <v>3.2648624596474558E-2</v>
      </c>
      <c r="DQ126" s="293">
        <f>DQ125/AVERAGE(DP109:DQ109)*4</f>
        <v>3.4311446833236496E-2</v>
      </c>
      <c r="DR126" s="573"/>
      <c r="DS126" s="293">
        <f>DS125/AVERAGE(DR109:DS109)*4</f>
        <v>4.6024774439448538E-2</v>
      </c>
      <c r="DT126" s="293">
        <f>DT125/AVERAGE(DS109:DT109)*4</f>
        <v>4.8032314386276087E-2</v>
      </c>
      <c r="DU126" s="293">
        <f>DU125/AVERAGE(DT109:DU109)*4</f>
        <v>4.5704543108287504E-2</v>
      </c>
      <c r="DV126" s="293">
        <f>DV125/AVERAGE(DU109:DV109)*4</f>
        <v>4.8032314386276087E-2</v>
      </c>
      <c r="DW126" s="573"/>
      <c r="DX126" s="293">
        <f>DX125/AVERAGE(DW109:DX109)*4</f>
        <v>5.8371815411679712E-2</v>
      </c>
      <c r="DY126" s="293">
        <f>DY125/AVERAGE(DX109:DY109)*4</f>
        <v>5.4960784857134945E-2</v>
      </c>
      <c r="DZ126" s="293">
        <f>DZ125/AVERAGE(DY109:DZ109)*4</f>
        <v>5.2297241822808392E-2</v>
      </c>
      <c r="EA126" s="293">
        <f>EA125/AVERAGE(DZ109:EA109)*4</f>
        <v>5.4960784857134945E-2</v>
      </c>
      <c r="EB126" s="573"/>
      <c r="ED126" s="606"/>
      <c r="EE126"/>
      <c r="EF126"/>
      <c r="EG126"/>
      <c r="EH126"/>
      <c r="EI126"/>
      <c r="EJ126"/>
      <c r="EK126" s="606"/>
    </row>
    <row r="127" spans="1:141" x14ac:dyDescent="0.2">
      <c r="A127" s="1"/>
      <c r="B127" s="179"/>
      <c r="C127" s="175"/>
      <c r="D127" s="175"/>
      <c r="E127" s="175"/>
      <c r="F127" s="175"/>
      <c r="G127" s="170"/>
      <c r="H127" s="157"/>
      <c r="I127" s="157"/>
      <c r="J127" s="157"/>
      <c r="K127" s="175"/>
      <c r="L127" s="170"/>
      <c r="M127" s="157"/>
      <c r="N127" s="157"/>
      <c r="O127" s="157"/>
      <c r="P127" s="175"/>
      <c r="Q127" s="170"/>
      <c r="R127" s="157"/>
      <c r="S127" s="157"/>
      <c r="T127" s="157"/>
      <c r="U127" s="175"/>
      <c r="V127" s="170"/>
      <c r="W127" s="175"/>
      <c r="X127" s="175"/>
      <c r="Y127" s="175"/>
      <c r="Z127" s="175"/>
      <c r="AA127" s="170"/>
      <c r="AB127" s="157"/>
      <c r="AC127" s="157"/>
      <c r="AD127" s="157"/>
      <c r="AE127" s="175"/>
      <c r="AF127" s="170"/>
      <c r="AG127" s="157"/>
      <c r="AH127" s="157"/>
      <c r="AI127" s="157"/>
      <c r="AJ127" s="175"/>
      <c r="AK127" s="170"/>
      <c r="AL127" s="157"/>
      <c r="AM127" s="157"/>
      <c r="AN127" s="157"/>
      <c r="AO127" s="175"/>
      <c r="AP127" s="170"/>
      <c r="AQ127" s="157"/>
      <c r="AR127" s="157"/>
      <c r="AS127" s="157"/>
      <c r="AT127" s="175"/>
      <c r="AU127" s="170"/>
      <c r="AV127" s="157"/>
      <c r="AW127" s="157"/>
      <c r="AX127" s="157"/>
      <c r="AY127" s="175"/>
      <c r="AZ127" s="170"/>
      <c r="BA127" s="157"/>
      <c r="BB127" s="157"/>
      <c r="BC127" s="157"/>
      <c r="BD127" s="175"/>
      <c r="BE127" s="170"/>
      <c r="BF127" s="157"/>
      <c r="BG127" s="157"/>
      <c r="BH127" s="157"/>
      <c r="BI127" s="175"/>
      <c r="BJ127" s="170"/>
      <c r="BK127" s="157"/>
      <c r="BL127" s="157"/>
      <c r="BM127" s="157"/>
      <c r="BN127" s="175"/>
      <c r="BO127" s="170"/>
      <c r="BP127" s="157"/>
      <c r="BQ127" s="157"/>
      <c r="BR127" s="157"/>
      <c r="BS127" s="175"/>
      <c r="BT127" s="170"/>
      <c r="BU127" s="157"/>
      <c r="BV127" s="157"/>
      <c r="BW127" s="157"/>
      <c r="BX127" s="175"/>
      <c r="BY127" s="170"/>
      <c r="BZ127" s="157"/>
      <c r="CA127" s="157"/>
      <c r="CB127" s="157"/>
      <c r="CC127" s="175"/>
      <c r="CD127" s="170"/>
      <c r="CE127" s="157"/>
      <c r="CF127" s="157"/>
      <c r="CG127" s="157"/>
      <c r="CH127" s="175"/>
      <c r="CI127" s="170"/>
      <c r="CJ127" s="157"/>
      <c r="CK127" s="157"/>
      <c r="CL127" s="157"/>
      <c r="CM127" s="175"/>
      <c r="CN127" s="170"/>
      <c r="CO127" s="157"/>
      <c r="CP127" s="157"/>
      <c r="CQ127" s="157"/>
      <c r="CR127" s="175"/>
      <c r="CS127" s="170"/>
      <c r="CT127" s="157"/>
      <c r="CU127" s="157"/>
      <c r="CV127" s="157"/>
      <c r="CW127" s="678"/>
      <c r="CX127" s="742"/>
      <c r="CY127" s="157"/>
      <c r="CZ127" s="157"/>
      <c r="DA127" s="157"/>
      <c r="DB127" s="861"/>
      <c r="DC127" s="170"/>
      <c r="DD127" s="157"/>
      <c r="DE127" s="157"/>
      <c r="DF127" s="157"/>
      <c r="DG127" s="175"/>
      <c r="DH127" s="170"/>
      <c r="DI127" s="157"/>
      <c r="DJ127" s="157"/>
      <c r="DK127" s="157"/>
      <c r="DL127" s="157"/>
      <c r="DM127" s="170"/>
      <c r="DN127" s="157"/>
      <c r="DO127" s="157"/>
      <c r="DP127" s="157"/>
      <c r="DQ127" s="157"/>
      <c r="DR127" s="170"/>
      <c r="DS127" s="157"/>
      <c r="DT127" s="157"/>
      <c r="DU127" s="157"/>
      <c r="DV127" s="157"/>
      <c r="DW127" s="170"/>
      <c r="DX127" s="157"/>
      <c r="DY127" s="157"/>
      <c r="DZ127" s="157"/>
      <c r="EA127" s="157"/>
      <c r="EB127" s="170"/>
      <c r="ED127" s="418"/>
      <c r="EK127" s="418"/>
    </row>
    <row r="128" spans="1:141" x14ac:dyDescent="0.2">
      <c r="A128" s="1"/>
      <c r="B128" s="179"/>
      <c r="C128" s="175"/>
      <c r="D128" s="175"/>
      <c r="E128" s="175"/>
      <c r="F128" s="175"/>
      <c r="G128" s="170"/>
      <c r="H128" s="157"/>
      <c r="I128" s="157"/>
      <c r="J128" s="157"/>
      <c r="K128" s="175"/>
      <c r="L128" s="170"/>
      <c r="M128" s="157"/>
      <c r="N128" s="157"/>
      <c r="O128" s="157"/>
      <c r="P128" s="175"/>
      <c r="Q128" s="170"/>
      <c r="R128" s="157"/>
      <c r="S128" s="157"/>
      <c r="T128" s="157"/>
      <c r="U128" s="175"/>
      <c r="V128" s="170"/>
      <c r="W128" s="175"/>
      <c r="X128" s="175"/>
      <c r="Y128" s="175"/>
      <c r="Z128" s="175"/>
      <c r="AA128" s="170"/>
      <c r="AB128" s="157"/>
      <c r="AC128" s="157"/>
      <c r="AD128" s="157"/>
      <c r="AE128" s="175"/>
      <c r="AF128" s="170"/>
      <c r="AG128" s="157"/>
      <c r="AH128" s="157"/>
      <c r="AI128" s="157"/>
      <c r="AJ128" s="175"/>
      <c r="AK128" s="170"/>
      <c r="AL128" s="157"/>
      <c r="AM128" s="157"/>
      <c r="AN128" s="157"/>
      <c r="AO128" s="175"/>
      <c r="AP128" s="170"/>
      <c r="AQ128" s="157"/>
      <c r="AR128" s="157"/>
      <c r="AS128" s="157"/>
      <c r="AT128" s="175"/>
      <c r="AU128" s="170"/>
      <c r="AV128" s="157"/>
      <c r="AW128" s="157"/>
      <c r="AX128" s="157"/>
      <c r="AY128" s="175"/>
      <c r="AZ128" s="170"/>
      <c r="BA128" s="157"/>
      <c r="BB128" s="157"/>
      <c r="BC128" s="157"/>
      <c r="BD128" s="175"/>
      <c r="BE128" s="170"/>
      <c r="BF128" s="157"/>
      <c r="BG128" s="157"/>
      <c r="BH128" s="157"/>
      <c r="BI128" s="175"/>
      <c r="BJ128" s="170"/>
      <c r="BK128" s="157"/>
      <c r="BL128" s="157"/>
      <c r="BM128" s="157"/>
      <c r="BN128" s="175"/>
      <c r="BO128" s="170"/>
      <c r="BP128" s="157"/>
      <c r="BQ128" s="157"/>
      <c r="BR128" s="157"/>
      <c r="BS128" s="175"/>
      <c r="BT128" s="170"/>
      <c r="BU128" s="157"/>
      <c r="BV128" s="157"/>
      <c r="BW128" s="157"/>
      <c r="BX128" s="175"/>
      <c r="BY128" s="170"/>
      <c r="BZ128" s="157"/>
      <c r="CA128" s="157"/>
      <c r="CB128" s="157"/>
      <c r="CC128" s="175"/>
      <c r="CD128" s="170"/>
      <c r="CE128" s="157"/>
      <c r="CF128" s="157"/>
      <c r="CG128" s="157"/>
      <c r="CH128" s="175"/>
      <c r="CI128" s="170"/>
      <c r="CJ128" s="157"/>
      <c r="CK128" s="157"/>
      <c r="CL128" s="157"/>
      <c r="CM128" s="175"/>
      <c r="CN128" s="170"/>
      <c r="CO128" s="157"/>
      <c r="CP128" s="157"/>
      <c r="CQ128" s="157"/>
      <c r="CR128" s="175"/>
      <c r="CS128" s="170"/>
      <c r="CT128" s="157"/>
      <c r="CU128" s="157"/>
      <c r="CV128" s="157"/>
      <c r="CW128" s="678"/>
      <c r="CX128" s="742"/>
      <c r="CY128" s="157"/>
      <c r="CZ128" s="157"/>
      <c r="DA128" s="157"/>
      <c r="DB128" s="861"/>
      <c r="DC128" s="170"/>
      <c r="DD128" s="157"/>
      <c r="DE128" s="157"/>
      <c r="DF128" s="157"/>
      <c r="DG128" s="175"/>
      <c r="DH128" s="170"/>
      <c r="DI128" s="157"/>
      <c r="DJ128" s="157"/>
      <c r="DK128" s="157"/>
      <c r="DL128" s="157"/>
      <c r="DM128" s="170"/>
      <c r="DN128" s="157"/>
      <c r="DO128" s="157"/>
      <c r="DP128" s="157"/>
      <c r="DQ128" s="157"/>
      <c r="DR128" s="170"/>
      <c r="DS128" s="157"/>
      <c r="DT128" s="157"/>
      <c r="DU128" s="157"/>
      <c r="DV128" s="157"/>
      <c r="DW128" s="170"/>
      <c r="DX128" s="157"/>
      <c r="DY128" s="157"/>
      <c r="DZ128" s="157"/>
      <c r="EA128" s="157"/>
      <c r="EB128" s="170"/>
      <c r="ED128" s="418"/>
      <c r="EK128" s="418"/>
    </row>
    <row r="129" spans="1:141" hidden="1" outlineLevel="1" x14ac:dyDescent="0.2">
      <c r="A129" s="1" t="s">
        <v>145</v>
      </c>
      <c r="B129" s="179"/>
      <c r="C129" s="175"/>
      <c r="D129" s="175"/>
      <c r="E129" s="175"/>
      <c r="F129" s="175"/>
      <c r="G129" s="170"/>
      <c r="H129" s="157"/>
      <c r="I129" s="157"/>
      <c r="J129" s="157"/>
      <c r="K129" s="175"/>
      <c r="L129" s="170"/>
      <c r="M129" s="157"/>
      <c r="N129" s="157"/>
      <c r="O129" s="157"/>
      <c r="P129" s="175"/>
      <c r="Q129" s="170"/>
      <c r="R129" s="157"/>
      <c r="S129" s="157"/>
      <c r="T129" s="157"/>
      <c r="U129" s="175"/>
      <c r="V129" s="170"/>
      <c r="W129" s="175"/>
      <c r="X129" s="175"/>
      <c r="Y129" s="175"/>
      <c r="Z129" s="175"/>
      <c r="AA129" s="170"/>
      <c r="AB129" s="157"/>
      <c r="AC129" s="157"/>
      <c r="AD129" s="157"/>
      <c r="AE129" s="175"/>
      <c r="AF129" s="170"/>
      <c r="AG129" s="157"/>
      <c r="AH129" s="157"/>
      <c r="AI129" s="157"/>
      <c r="AJ129" s="175"/>
      <c r="AK129" s="170"/>
      <c r="AL129" s="157"/>
      <c r="AM129" s="157"/>
      <c r="AN129" s="157"/>
      <c r="AO129" s="175"/>
      <c r="AP129" s="170"/>
      <c r="AQ129" s="157"/>
      <c r="AR129" s="157"/>
      <c r="AS129" s="157"/>
      <c r="AT129" s="175"/>
      <c r="AU129" s="170"/>
      <c r="AV129" s="157"/>
      <c r="AW129" s="157"/>
      <c r="AX129" s="157"/>
      <c r="AY129" s="175"/>
      <c r="AZ129" s="170"/>
      <c r="BA129" s="157"/>
      <c r="BB129" s="157"/>
      <c r="BC129" s="157"/>
      <c r="BD129" s="175"/>
      <c r="BE129" s="170"/>
      <c r="BF129" s="157"/>
      <c r="BG129" s="157"/>
      <c r="BH129" s="157"/>
      <c r="BI129" s="175"/>
      <c r="BJ129" s="170"/>
      <c r="BK129" s="65">
        <f>(IS!BK34*4)/((AVERAGE(BK45,BJ45)+AVERAGE(BK35,BJ35)))</f>
        <v>5.2399916160134147E-2</v>
      </c>
      <c r="BL129" s="65">
        <f>(IS!BL34*4)/((AVERAGE(BL45,BK45)+AVERAGE(BL35,BK35)))</f>
        <v>0</v>
      </c>
      <c r="BM129" s="65">
        <f>(IS!BM34*4)/((AVERAGE(BM45,BL45)+AVERAGE(BM35,BL35)))</f>
        <v>0</v>
      </c>
      <c r="BN129" s="65">
        <f>(IS!BN34*4)/((AVERAGE(BN45,BM45)+AVERAGE(BN35,BM35)))</f>
        <v>0</v>
      </c>
      <c r="BO129" s="61"/>
      <c r="BP129" s="65">
        <f>(IS!BP34*4)/((AVERAGE(BP45,BO45)+AVERAGE(BP35,BO35)))</f>
        <v>5.8464811491583502E-2</v>
      </c>
      <c r="BQ129" s="65">
        <f>(IS!BQ34*4)/((AVERAGE(BQ45,BP45)+AVERAGE(BQ35,BP35)))</f>
        <v>3.8435140700068635E-2</v>
      </c>
      <c r="BR129" s="65">
        <f>(IS!BR34*4)/((AVERAGE(BR45,BQ45)+AVERAGE(BR35,BQ35)))</f>
        <v>4.1366757673533552E-2</v>
      </c>
      <c r="BS129" s="65">
        <f>(IS!BS34*4)/((AVERAGE(BS45,BR45)+AVERAGE(BS35,BR35)))</f>
        <v>4.1510521764197172E-2</v>
      </c>
      <c r="BT129" s="61">
        <f>(IS!BT34*4)/((AVERAGE(BT45,BS45)+AVERAGE(BT35,BS35)))</f>
        <v>0.16917471883415175</v>
      </c>
      <c r="BU129" s="65"/>
      <c r="BV129" s="65">
        <f>(IS!BV34*4)/((AVERAGE(BV45,BU45)+AVERAGE(BV35,BU35)))</f>
        <v>4.4083957649681135E-2</v>
      </c>
      <c r="BW129" s="65">
        <f>(IS!BW34*4)/((AVERAGE(BW45,BV45)+AVERAGE(BW35,BV35)))</f>
        <v>5.1932367149758456E-2</v>
      </c>
      <c r="BX129" s="65">
        <f>(IS!BX34*4)/((AVERAGE(BX45,BW45)+AVERAGE(BX35,BW35)))</f>
        <v>6.2619459361063085E-2</v>
      </c>
      <c r="BY129" s="61">
        <f>(IS!BY34*4)/((AVERAGE(BY45,BX45)+AVERAGE(BY35,BX35)))</f>
        <v>0.28472601492809035</v>
      </c>
      <c r="BZ129" s="65">
        <f>(IS!BZ34*4)/((AVERAGE(BZ45,BY45)+AVERAGE(BZ35,BY35)))</f>
        <v>5.9712361186965227E-2</v>
      </c>
      <c r="CA129" s="65">
        <f>(IS!CA34*4)/((AVERAGE(CA45,BZ45)+AVERAGE(CA35,BZ35)))</f>
        <v>5.825596213362462E-2</v>
      </c>
      <c r="CB129" s="65">
        <f>(IS!CB34*4)/((AVERAGE(CB45,CA45)+AVERAGE(CB35,CA35)))</f>
        <v>5.7522526622371908E-2</v>
      </c>
      <c r="CC129" s="65">
        <f>(IS!CC34*4)/((AVERAGE(CC45,CB45)+AVERAGE(CC35,CB35)))</f>
        <v>6.261376046596287E-2</v>
      </c>
      <c r="CD129" s="61"/>
      <c r="CE129" s="65">
        <f>(IS!CE34*4)/((AVERAGE(CE45,CD45)+AVERAGE(CE35,CD35)))</f>
        <v>5.7517291590826358E-2</v>
      </c>
      <c r="CF129" s="65">
        <f>(IS!CF34*4)/((AVERAGE(CF45,CE45)+AVERAGE(CF35,CE35)))</f>
        <v>5.1692755733527482E-2</v>
      </c>
      <c r="CG129" s="65">
        <f>(IS!CG34*4)/((AVERAGE(CG45,CF45)+AVERAGE(CG35,CF35)))</f>
        <v>6.1885693483800512E-2</v>
      </c>
      <c r="CH129" s="65">
        <f>(IS!CH34*4)/((AVERAGE(CH45,CG45)+AVERAGE(CH35,CG35)))</f>
        <v>7.134407134407135E-2</v>
      </c>
      <c r="CI129" s="61">
        <f>(IS!CI34*4)/((AVERAGE(CI45,CH45)+AVERAGE(CI35,CH35)))</f>
        <v>0.24240218380345765</v>
      </c>
      <c r="CJ129" s="65">
        <f>(IS!CJ34*4)/((AVERAGE(CJ45,CI45)+AVERAGE(CJ35,CI35)))</f>
        <v>6.2602365787079159E-2</v>
      </c>
      <c r="CK129" s="65">
        <f>(IS!CK34*4)/((AVERAGE(CK45,CJ45)+AVERAGE(CK35,CJ35)))</f>
        <v>6.4052406514420901E-2</v>
      </c>
      <c r="CL129" s="65">
        <f>(IS!CL34*4)/((AVERAGE(CL45,CK45)+AVERAGE(CL35,CK35)))</f>
        <v>6.4774381368267825E-2</v>
      </c>
      <c r="CM129" s="65">
        <f>(IS!CM34*4)/((AVERAGE(CM45,CL45)+AVERAGE(CM35,CL35)))</f>
        <v>4.6579330422125184E-2</v>
      </c>
      <c r="CN129" s="61">
        <f>(IS!CN34*4)/((AVERAGE(CN45,CM45)+AVERAGE(CN35,CM35)))</f>
        <v>0.23799126637554582</v>
      </c>
      <c r="CO129" s="65">
        <f>(IS!CO34*4)/((AVERAGE(CO45,CN45)+AVERAGE(CO35,CN35)))</f>
        <v>4.8034934497816588E-2</v>
      </c>
      <c r="CP129" s="65">
        <f>(IS!CP34*4)/((AVERAGE(CP45,CO45)+AVERAGE(CP35,CO35)))</f>
        <v>4.4395924308588061E-2</v>
      </c>
      <c r="CQ129" s="65">
        <f>(IS!CQ34*4)/((AVERAGE(CQ45,CP45)+AVERAGE(CQ35,CP35)))</f>
        <v>4.5847357409260429E-2</v>
      </c>
      <c r="CR129" s="65">
        <f>(IS!CR34*4)/((AVERAGE(CR45,CQ45)+AVERAGE(CR35,CQ35)))</f>
        <v>3.9370504569790701E-2</v>
      </c>
      <c r="CS129" s="61">
        <f>(IS!CS34*4)/((AVERAGE(CS45,CR45)+AVERAGE(CS35,CR35)))</f>
        <v>8.650146221332923E-2</v>
      </c>
      <c r="CT129" s="65">
        <f>(IS!CT34*4)/((AVERAGE(CT45,CS45)+AVERAGE(CT35,CS35)))</f>
        <v>3.4654796403071127E-2</v>
      </c>
      <c r="CU129" s="65">
        <f>(IS!CU34*4)/((AVERAGE(CU45,CT45)+AVERAGE(CU35,CT35)))</f>
        <v>3.2617983837496027E-2</v>
      </c>
      <c r="CV129" s="65">
        <f>CU129</f>
        <v>3.2617983837496027E-2</v>
      </c>
      <c r="CW129" s="708">
        <f>CV129</f>
        <v>3.2617983837496027E-2</v>
      </c>
      <c r="CX129" s="753"/>
      <c r="CY129" s="65">
        <f>CW129</f>
        <v>3.2617983837496027E-2</v>
      </c>
      <c r="CZ129" s="65">
        <f t="shared" ref="CZ129:DB130" si="270">CY129</f>
        <v>3.2617983837496027E-2</v>
      </c>
      <c r="DA129" s="65">
        <f t="shared" si="270"/>
        <v>3.2617983837496027E-2</v>
      </c>
      <c r="DB129" s="890">
        <f t="shared" si="270"/>
        <v>3.2617983837496027E-2</v>
      </c>
      <c r="DC129" s="61"/>
      <c r="DD129" s="65">
        <f>DB129</f>
        <v>3.2617983837496027E-2</v>
      </c>
      <c r="DE129" s="65">
        <f t="shared" ref="DE129:DG130" si="271">DD129</f>
        <v>3.2617983837496027E-2</v>
      </c>
      <c r="DF129" s="65">
        <f t="shared" si="271"/>
        <v>3.2617983837496027E-2</v>
      </c>
      <c r="DG129" s="65">
        <f t="shared" si="271"/>
        <v>3.2617983837496027E-2</v>
      </c>
      <c r="DH129" s="61"/>
      <c r="DI129" s="65">
        <f>DG129</f>
        <v>3.2617983837496027E-2</v>
      </c>
      <c r="DJ129" s="65">
        <f t="shared" ref="DJ129:DL130" si="272">DI129</f>
        <v>3.2617983837496027E-2</v>
      </c>
      <c r="DK129" s="65">
        <f t="shared" si="272"/>
        <v>3.2617983837496027E-2</v>
      </c>
      <c r="DL129" s="65">
        <f t="shared" si="272"/>
        <v>3.2617983837496027E-2</v>
      </c>
      <c r="DM129" s="61"/>
      <c r="DN129" s="65">
        <f>DL129</f>
        <v>3.2617983837496027E-2</v>
      </c>
      <c r="DO129" s="65">
        <f t="shared" ref="DO129:DQ130" si="273">DN129</f>
        <v>3.2617983837496027E-2</v>
      </c>
      <c r="DP129" s="65">
        <f t="shared" si="273"/>
        <v>3.2617983837496027E-2</v>
      </c>
      <c r="DQ129" s="65">
        <f t="shared" si="273"/>
        <v>3.2617983837496027E-2</v>
      </c>
      <c r="DR129" s="170"/>
      <c r="DS129" s="65">
        <f>DQ129</f>
        <v>3.2617983837496027E-2</v>
      </c>
      <c r="DT129" s="65">
        <f t="shared" ref="DT129:DV130" si="274">DS129</f>
        <v>3.2617983837496027E-2</v>
      </c>
      <c r="DU129" s="65">
        <f t="shared" si="274"/>
        <v>3.2617983837496027E-2</v>
      </c>
      <c r="DV129" s="65">
        <f t="shared" si="274"/>
        <v>3.2617983837496027E-2</v>
      </c>
      <c r="DW129" s="170"/>
      <c r="DX129" s="65">
        <f>DV129</f>
        <v>3.2617983837496027E-2</v>
      </c>
      <c r="DY129" s="65">
        <f t="shared" ref="DY129:EA130" si="275">DX129</f>
        <v>3.2617983837496027E-2</v>
      </c>
      <c r="DZ129" s="65">
        <f t="shared" si="275"/>
        <v>3.2617983837496027E-2</v>
      </c>
      <c r="EA129" s="65">
        <f t="shared" si="275"/>
        <v>3.2617983837496027E-2</v>
      </c>
      <c r="EB129" s="170"/>
      <c r="ED129" s="418"/>
      <c r="EK129" s="418"/>
    </row>
    <row r="130" spans="1:141" hidden="1" outlineLevel="1" x14ac:dyDescent="0.2">
      <c r="A130" s="1" t="s">
        <v>144</v>
      </c>
      <c r="B130" s="179"/>
      <c r="C130" s="175"/>
      <c r="D130" s="175"/>
      <c r="E130" s="175"/>
      <c r="F130" s="175"/>
      <c r="G130" s="170"/>
      <c r="H130" s="157"/>
      <c r="I130" s="157"/>
      <c r="J130" s="157"/>
      <c r="K130" s="175"/>
      <c r="L130" s="170"/>
      <c r="M130" s="157"/>
      <c r="N130" s="157"/>
      <c r="O130" s="157"/>
      <c r="P130" s="175"/>
      <c r="Q130" s="170"/>
      <c r="R130" s="157"/>
      <c r="S130" s="157"/>
      <c r="T130" s="157"/>
      <c r="U130" s="175"/>
      <c r="V130" s="170"/>
      <c r="W130" s="175"/>
      <c r="X130" s="175"/>
      <c r="Y130" s="175"/>
      <c r="Z130" s="175"/>
      <c r="AA130" s="170"/>
      <c r="AB130" s="157"/>
      <c r="AC130" s="157"/>
      <c r="AD130" s="157"/>
      <c r="AE130" s="175"/>
      <c r="AF130" s="170"/>
      <c r="AG130" s="157"/>
      <c r="AH130" s="157"/>
      <c r="AI130" s="157"/>
      <c r="AJ130" s="175"/>
      <c r="AK130" s="170"/>
      <c r="AL130" s="157"/>
      <c r="AM130" s="157"/>
      <c r="AN130" s="157"/>
      <c r="AO130" s="175"/>
      <c r="AP130" s="170"/>
      <c r="AQ130" s="157"/>
      <c r="AR130" s="157"/>
      <c r="AS130" s="157"/>
      <c r="AT130" s="175"/>
      <c r="AU130" s="170"/>
      <c r="AV130" s="157"/>
      <c r="AW130" s="157"/>
      <c r="AX130" s="157"/>
      <c r="AY130" s="175"/>
      <c r="AZ130" s="170"/>
      <c r="BA130" s="157"/>
      <c r="BB130" s="157"/>
      <c r="BC130" s="157"/>
      <c r="BD130" s="175"/>
      <c r="BE130" s="170"/>
      <c r="BF130" s="157"/>
      <c r="BG130" s="157"/>
      <c r="BH130" s="157"/>
      <c r="BI130" s="175"/>
      <c r="BJ130" s="170"/>
      <c r="BK130" s="65">
        <f>(IS!BK33*4)/(AVERAGE(BK9,BJ9)+(AVERAGE(BK10,BJ10)+(AVERAGE(BK11,BJ11))))</f>
        <v>0.12133277310546739</v>
      </c>
      <c r="BL130" s="65">
        <f>(IS!BL33*4)/(AVERAGE(BL9,BK9)+(AVERAGE(BL10,BK10)+(AVERAGE(BL11,BK11))))</f>
        <v>0</v>
      </c>
      <c r="BM130" s="65">
        <f>(IS!BM33*4)/(AVERAGE(BM9,BL9)+(AVERAGE(BM10,BL10)+(AVERAGE(BM11,BL11))))</f>
        <v>0</v>
      </c>
      <c r="BN130" s="65">
        <f>(IS!BN33*4)/(AVERAGE(BN9,BM9)+(AVERAGE(BN10,BM10)+(AVERAGE(BN11,BM11))))</f>
        <v>0</v>
      </c>
      <c r="BO130" s="61"/>
      <c r="BP130" s="65">
        <f>(IS!BP33*4)/(AVERAGE(BP9,BO9)+(AVERAGE(BP10,BO10)+(AVERAGE(BP11,BO11))))</f>
        <v>8.7876529369855461E-2</v>
      </c>
      <c r="BQ130" s="65">
        <f>(IS!BQ33*4)/(AVERAGE(BQ9,BP9)+(AVERAGE(BQ10,BP10)+(AVERAGE(BQ11,BP11))))</f>
        <v>1.7642518469511521E-3</v>
      </c>
      <c r="BR130" s="65">
        <f>(IS!BR33*4)/(AVERAGE(BR9,BQ9)+(AVERAGE(BR10,BQ10)+(AVERAGE(BR11,BQ11))))</f>
        <v>9.9833610648918485E-3</v>
      </c>
      <c r="BS130" s="65">
        <f>(IS!BS33*4)/(AVERAGE(BS9,BR9)+(AVERAGE(BS10,BR10)+(AVERAGE(BS11,BR11))))</f>
        <v>-3.3333333333333333E-2</v>
      </c>
      <c r="BT130" s="61">
        <f>(IS!BT33*4)/(AVERAGE(BT9,BS9)+(AVERAGE(BT10,BS10)+(AVERAGE(BT11,BS11))))</f>
        <v>0.11169717654359292</v>
      </c>
      <c r="BU130" s="65"/>
      <c r="BV130" s="65">
        <f>(IS!BV33*4)/(AVERAGE(BV9,BU9)+(AVERAGE(BV10,BU10)+(AVERAGE(BV11,BU11))))</f>
        <v>3.4782608695652174E-2</v>
      </c>
      <c r="BW130" s="65">
        <f>(IS!BW33*4)/(AVERAGE(BW9,BV9)+(AVERAGE(BW10,BV10)+(AVERAGE(BW11,BV11))))</f>
        <v>0.23574144486692014</v>
      </c>
      <c r="BX130" s="65">
        <f>(IS!BX33*4)/(AVERAGE(BX9,BW9)+(AVERAGE(BX10,BW10)+(AVERAGE(BX11,BW11))))</f>
        <v>0.17072197846031112</v>
      </c>
      <c r="BY130" s="61">
        <f>(IS!BY33*4)/(AVERAGE(BY9,BX9)+(AVERAGE(BY10,BX10)+(AVERAGE(BY11,BX11))))</f>
        <v>0.21978681879597661</v>
      </c>
      <c r="BZ130" s="65">
        <f>(IS!BZ33*4)/(AVERAGE(BZ9,BY9)+(AVERAGE(BZ10,BY10)+(AVERAGE(BZ11,BY11))))</f>
        <v>9.9268340913585135E-2</v>
      </c>
      <c r="CA130" s="65">
        <f>(IS!CA33*4)/(AVERAGE(CA9,BZ9)+(AVERAGE(CA10,BZ10)+(AVERAGE(CA11,BZ11))))</f>
        <v>1.4185467441334036E-2</v>
      </c>
      <c r="CB130" s="65">
        <f>(IS!CB33*4)/(AVERAGE(CB9,CA9)+(AVERAGE(CB10,CA10)+(AVERAGE(CB11,CA11))))</f>
        <v>-4.1651171439196725E-3</v>
      </c>
      <c r="CC130" s="65">
        <f>(IS!CC33*4)/(AVERAGE(CC9,CB9)+(AVERAGE(CC10,CB10)+(AVERAGE(CC11,CB11))))</f>
        <v>6.1586051743532058E-2</v>
      </c>
      <c r="CD130" s="61"/>
      <c r="CE130" s="65">
        <f>(IS!CE33*4)/(AVERAGE(CE9,CD9)+(AVERAGE(CE10,CD10)+(AVERAGE(CE11,CD11))))</f>
        <v>3.2911464731594432E-2</v>
      </c>
      <c r="CF130" s="65">
        <f>(IS!CF33*4)/(AVERAGE(CF9,CE9)+(AVERAGE(CF10,CE10)+(AVERAGE(CF11,CE11))))</f>
        <v>4.0019104597672252E-2</v>
      </c>
      <c r="CG130" s="65">
        <f>(IS!CG33*4)/(AVERAGE(CG9,CF9)+(AVERAGE(CG10,CF10)+(AVERAGE(CG11,CF11))))</f>
        <v>3.2989690721649485E-2</v>
      </c>
      <c r="CH130" s="65">
        <f>(IS!CH33*4)/(AVERAGE(CH9,CG9)+(AVERAGE(CH10,CG10)+(AVERAGE(CH11,CG11))))</f>
        <v>0.13129496402877699</v>
      </c>
      <c r="CI130" s="61">
        <f>(IS!CI33*4)/(AVERAGE(CI9,CH9)+(AVERAGE(CI10,CH10)+(AVERAGE(CI11,CH11))))</f>
        <v>0.22626420246745016</v>
      </c>
      <c r="CJ130" s="65">
        <f>(IS!CJ33*4)/(AVERAGE(CJ9,CI9)+(AVERAGE(CJ10,CI10)+(AVERAGE(CJ11,CI11))))</f>
        <v>4.2924211938296444E-2</v>
      </c>
      <c r="CK130" s="65">
        <f>(IS!CK33*4)/(AVERAGE(CK9,CJ9)+(AVERAGE(CK10,CJ10)+(AVERAGE(CK11,CJ11))))</f>
        <v>6.2651136993899056E-2</v>
      </c>
      <c r="CL130" s="65">
        <f>(IS!CL33*4)/(AVERAGE(CL9,CK9)+(AVERAGE(CL10,CK10)+(AVERAGE(CL11,CK11))))</f>
        <v>1.639933219214269E-2</v>
      </c>
      <c r="CM130" s="65">
        <f>(IS!CM33*4)/(AVERAGE(CM9,CL9)+(AVERAGE(CM10,CL10)+(AVERAGE(CM11,CL11))))</f>
        <v>4.6398800335200469E-2</v>
      </c>
      <c r="CN130" s="61">
        <f>(IS!CN33*4)/(AVERAGE(CN9,CM9)+(AVERAGE(CN10,CM10)+(AVERAGE(CN11,CM11))))</f>
        <v>0.18556701030927836</v>
      </c>
      <c r="CO130" s="65">
        <f>(IS!CO33*4)/(AVERAGE(CO9,CN9)+(AVERAGE(CO10,CN10)+(AVERAGE(CO11,CN11))))</f>
        <v>-5.1593390708741969E-3</v>
      </c>
      <c r="CP130" s="65">
        <f>(IS!CP33*4)/(AVERAGE(CP9,CO9)+(AVERAGE(CP10,CO10)+(AVERAGE(CP11,CO11))))</f>
        <v>9.7753403569538655E-2</v>
      </c>
      <c r="CQ130" s="65">
        <f>(IS!CQ33*4)/(AVERAGE(CQ9,CP9)+(AVERAGE(CQ10,CP10)+(AVERAGE(CQ11,CP11))))</f>
        <v>7.4826296098343134E-3</v>
      </c>
      <c r="CR130" s="65">
        <f>(IS!CR33*4)/(AVERAGE(CR9,CQ9)+(AVERAGE(CR10,CQ10)+(AVERAGE(CR11,CQ11))))</f>
        <v>0.10928174911426458</v>
      </c>
      <c r="CS130" s="61">
        <f>(IS!CS33*4)/(AVERAGE(CS9,CR9)+(AVERAGE(CS10,CR10)+(AVERAGE(CS11,CR11))))</f>
        <v>0.15276145710928321</v>
      </c>
      <c r="CT130" s="65">
        <f>(IS!CT33*4)/(AVERAGE(CT9,CS9)+(AVERAGE(CT10,CS10)+(AVERAGE(CT11,CS11))))</f>
        <v>3.2086861402584772E-2</v>
      </c>
      <c r="CU130" s="65">
        <f>(IS!CU33*4)/(AVERAGE(CU9,CT9)+(AVERAGE(CU10,CT10)+(AVERAGE(CU11,CT11))))</f>
        <v>4.4607336403220253E-2</v>
      </c>
      <c r="CV130" s="65">
        <f>CU130</f>
        <v>4.4607336403220253E-2</v>
      </c>
      <c r="CW130" s="708">
        <f>CV130</f>
        <v>4.4607336403220253E-2</v>
      </c>
      <c r="CX130" s="753"/>
      <c r="CY130" s="65">
        <f>CW130</f>
        <v>4.4607336403220253E-2</v>
      </c>
      <c r="CZ130" s="65">
        <f t="shared" si="270"/>
        <v>4.4607336403220253E-2</v>
      </c>
      <c r="DA130" s="65">
        <f t="shared" si="270"/>
        <v>4.4607336403220253E-2</v>
      </c>
      <c r="DB130" s="890">
        <f t="shared" si="270"/>
        <v>4.4607336403220253E-2</v>
      </c>
      <c r="DC130" s="61"/>
      <c r="DD130" s="65">
        <f>DB130</f>
        <v>4.4607336403220253E-2</v>
      </c>
      <c r="DE130" s="65">
        <f t="shared" si="271"/>
        <v>4.4607336403220253E-2</v>
      </c>
      <c r="DF130" s="65">
        <f t="shared" si="271"/>
        <v>4.4607336403220253E-2</v>
      </c>
      <c r="DG130" s="65">
        <f t="shared" si="271"/>
        <v>4.4607336403220253E-2</v>
      </c>
      <c r="DH130" s="61"/>
      <c r="DI130" s="65">
        <f>DG130</f>
        <v>4.4607336403220253E-2</v>
      </c>
      <c r="DJ130" s="65">
        <f t="shared" si="272"/>
        <v>4.4607336403220253E-2</v>
      </c>
      <c r="DK130" s="65">
        <f t="shared" si="272"/>
        <v>4.4607336403220253E-2</v>
      </c>
      <c r="DL130" s="65">
        <f t="shared" si="272"/>
        <v>4.4607336403220253E-2</v>
      </c>
      <c r="DM130" s="61"/>
      <c r="DN130" s="65">
        <f>DL130</f>
        <v>4.4607336403220253E-2</v>
      </c>
      <c r="DO130" s="65">
        <f t="shared" si="273"/>
        <v>4.4607336403220253E-2</v>
      </c>
      <c r="DP130" s="65">
        <f t="shared" si="273"/>
        <v>4.4607336403220253E-2</v>
      </c>
      <c r="DQ130" s="65">
        <f t="shared" si="273"/>
        <v>4.4607336403220253E-2</v>
      </c>
      <c r="DR130" s="170"/>
      <c r="DS130" s="65">
        <f>DQ130</f>
        <v>4.4607336403220253E-2</v>
      </c>
      <c r="DT130" s="65">
        <f t="shared" si="274"/>
        <v>4.4607336403220253E-2</v>
      </c>
      <c r="DU130" s="65">
        <f t="shared" si="274"/>
        <v>4.4607336403220253E-2</v>
      </c>
      <c r="DV130" s="65">
        <f t="shared" si="274"/>
        <v>4.4607336403220253E-2</v>
      </c>
      <c r="DW130" s="170"/>
      <c r="DX130" s="65">
        <f>DV130</f>
        <v>4.4607336403220253E-2</v>
      </c>
      <c r="DY130" s="65">
        <f t="shared" si="275"/>
        <v>4.4607336403220253E-2</v>
      </c>
      <c r="DZ130" s="65">
        <f t="shared" si="275"/>
        <v>4.4607336403220253E-2</v>
      </c>
      <c r="EA130" s="65">
        <f t="shared" si="275"/>
        <v>4.4607336403220253E-2</v>
      </c>
      <c r="EB130" s="170"/>
      <c r="ED130" s="418"/>
      <c r="EK130" s="418"/>
    </row>
    <row r="131" spans="1:141" collapsed="1" x14ac:dyDescent="0.2">
      <c r="A131" s="1"/>
      <c r="B131" s="179"/>
      <c r="C131" s="175"/>
      <c r="D131" s="175"/>
      <c r="E131" s="175"/>
      <c r="F131" s="175"/>
      <c r="G131" s="170"/>
      <c r="H131" s="157"/>
      <c r="I131" s="157"/>
      <c r="J131" s="157"/>
      <c r="K131" s="175"/>
      <c r="L131" s="170"/>
      <c r="M131" s="157"/>
      <c r="N131" s="157"/>
      <c r="O131" s="157"/>
      <c r="P131" s="175"/>
      <c r="Q131" s="170"/>
      <c r="R131" s="157"/>
      <c r="S131" s="157"/>
      <c r="T131" s="157"/>
      <c r="U131" s="175"/>
      <c r="V131" s="170"/>
      <c r="W131" s="175"/>
      <c r="X131" s="175"/>
      <c r="Y131" s="175"/>
      <c r="Z131" s="175"/>
      <c r="AA131" s="170"/>
      <c r="AB131" s="157"/>
      <c r="AC131" s="157"/>
      <c r="AD131" s="157"/>
      <c r="AE131" s="175"/>
      <c r="AF131" s="170"/>
      <c r="AG131" s="157"/>
      <c r="AH131" s="157"/>
      <c r="AI131" s="157"/>
      <c r="AJ131" s="175"/>
      <c r="AK131" s="170"/>
      <c r="AL131" s="157"/>
      <c r="AM131" s="157"/>
      <c r="AN131" s="157"/>
      <c r="AO131" s="175"/>
      <c r="AP131" s="170"/>
      <c r="AQ131" s="157"/>
      <c r="AR131" s="157"/>
      <c r="AS131" s="157"/>
      <c r="AT131" s="175"/>
      <c r="AU131" s="170"/>
      <c r="AV131" s="157"/>
      <c r="AW131" s="157"/>
      <c r="AX131" s="157"/>
      <c r="AY131" s="175"/>
      <c r="AZ131" s="170"/>
      <c r="BA131" s="157"/>
      <c r="BB131" s="157"/>
      <c r="BC131" s="157"/>
      <c r="BD131" s="175"/>
      <c r="BE131" s="170"/>
      <c r="BF131" s="157"/>
      <c r="BG131" s="157"/>
      <c r="BH131" s="157"/>
      <c r="BI131" s="175"/>
      <c r="BJ131" s="170"/>
      <c r="BK131" s="157"/>
      <c r="BL131" s="157"/>
      <c r="BM131" s="157"/>
      <c r="BN131" s="175"/>
      <c r="BO131" s="221">
        <v>-634.37400000000002</v>
      </c>
      <c r="BP131" s="157"/>
      <c r="BQ131" s="157"/>
      <c r="BR131" s="157"/>
      <c r="BS131" s="175"/>
      <c r="BT131" s="170"/>
      <c r="BU131" s="157"/>
      <c r="BV131" s="157"/>
      <c r="BW131" s="157"/>
      <c r="BX131" s="175"/>
      <c r="BY131" s="170"/>
      <c r="BZ131" s="157"/>
      <c r="CA131" s="157"/>
      <c r="CB131" s="157"/>
      <c r="CC131" s="175"/>
      <c r="CD131" s="170"/>
      <c r="CE131" s="157"/>
      <c r="CF131" s="157"/>
      <c r="CG131" s="157"/>
      <c r="CH131" s="175"/>
      <c r="CI131" s="170"/>
      <c r="CJ131" s="157"/>
      <c r="CK131" s="157"/>
      <c r="CL131" s="157"/>
      <c r="CM131" s="175"/>
      <c r="CN131" s="170"/>
      <c r="CO131" s="157"/>
      <c r="CP131" s="157"/>
      <c r="CQ131" s="157"/>
      <c r="CR131" s="175"/>
      <c r="CS131" s="170"/>
      <c r="CT131" s="157"/>
      <c r="CU131" s="157"/>
      <c r="CV131" s="157"/>
      <c r="CW131" s="678"/>
      <c r="CX131" s="742"/>
      <c r="CY131" s="157"/>
      <c r="CZ131" s="157"/>
      <c r="DA131" s="157"/>
      <c r="DB131" s="861"/>
      <c r="DC131" s="170"/>
      <c r="DD131" s="157"/>
      <c r="DE131" s="157"/>
      <c r="DF131" s="157"/>
      <c r="DG131" s="175"/>
      <c r="DH131" s="170"/>
      <c r="DI131" s="157"/>
      <c r="DJ131" s="157"/>
      <c r="DK131" s="157"/>
      <c r="DL131" s="157"/>
      <c r="DM131" s="170"/>
      <c r="DN131" s="157"/>
      <c r="DO131" s="157"/>
      <c r="DP131" s="157"/>
      <c r="DQ131" s="157"/>
      <c r="DR131" s="170"/>
      <c r="DS131" s="157"/>
      <c r="DT131" s="157"/>
      <c r="DU131" s="157"/>
      <c r="DV131" s="157"/>
      <c r="DW131" s="170"/>
      <c r="DX131" s="157"/>
      <c r="DY131" s="157"/>
      <c r="DZ131" s="157"/>
      <c r="EA131" s="157"/>
      <c r="EB131" s="170"/>
      <c r="ED131" s="418"/>
      <c r="EK131" s="418"/>
    </row>
    <row r="132" spans="1:141" x14ac:dyDescent="0.2">
      <c r="A132" s="1" t="s">
        <v>143</v>
      </c>
      <c r="B132" s="179"/>
      <c r="C132" s="175"/>
      <c r="D132" s="175"/>
      <c r="E132" s="175"/>
      <c r="F132" s="175"/>
      <c r="G132" s="170"/>
      <c r="H132" s="157"/>
      <c r="I132" s="157"/>
      <c r="J132" s="157"/>
      <c r="K132" s="175"/>
      <c r="L132" s="170"/>
      <c r="M132" s="157"/>
      <c r="N132" s="157"/>
      <c r="O132" s="157"/>
      <c r="P132" s="175"/>
      <c r="Q132" s="170"/>
      <c r="R132" s="157"/>
      <c r="S132" s="157"/>
      <c r="T132" s="157"/>
      <c r="U132" s="175"/>
      <c r="V132" s="170"/>
      <c r="W132" s="175"/>
      <c r="X132" s="175"/>
      <c r="Y132" s="175"/>
      <c r="Z132" s="175"/>
      <c r="AA132" s="170"/>
      <c r="AB132" s="157"/>
      <c r="AC132" s="157"/>
      <c r="AD132" s="157"/>
      <c r="AE132" s="175"/>
      <c r="AF132" s="170"/>
      <c r="AG132" s="157"/>
      <c r="AH132" s="157"/>
      <c r="AI132" s="157"/>
      <c r="AJ132" s="175"/>
      <c r="AK132" s="170"/>
      <c r="AL132" s="157"/>
      <c r="AM132" s="157"/>
      <c r="AN132" s="157"/>
      <c r="AO132" s="175"/>
      <c r="AP132" s="170"/>
      <c r="AQ132" s="157"/>
      <c r="AR132" s="157"/>
      <c r="AS132" s="157"/>
      <c r="AT132" s="175"/>
      <c r="AU132" s="170"/>
      <c r="AV132" s="157"/>
      <c r="AW132" s="157"/>
      <c r="AX132" s="157"/>
      <c r="AY132" s="175"/>
      <c r="AZ132" s="170">
        <v>0</v>
      </c>
      <c r="BA132" s="175">
        <v>0</v>
      </c>
      <c r="BB132" s="175">
        <v>0</v>
      </c>
      <c r="BC132" s="175">
        <v>0</v>
      </c>
      <c r="BD132" s="175">
        <v>0</v>
      </c>
      <c r="BE132" s="170">
        <v>0</v>
      </c>
      <c r="BF132" s="175">
        <v>0</v>
      </c>
      <c r="BG132" s="175">
        <v>0</v>
      </c>
      <c r="BH132" s="175">
        <v>0</v>
      </c>
      <c r="BI132" s="175">
        <v>0</v>
      </c>
      <c r="BJ132" s="170">
        <v>0</v>
      </c>
      <c r="BK132" s="175">
        <v>0</v>
      </c>
      <c r="BL132" s="175">
        <v>0</v>
      </c>
      <c r="BM132" s="175">
        <v>0</v>
      </c>
      <c r="BN132" s="175">
        <v>0</v>
      </c>
      <c r="BO132" s="170">
        <v>0</v>
      </c>
      <c r="BP132" s="175">
        <v>0</v>
      </c>
      <c r="BQ132" s="175">
        <v>0</v>
      </c>
      <c r="BR132" s="175">
        <v>0</v>
      </c>
      <c r="BS132" s="175">
        <v>0</v>
      </c>
      <c r="BT132" s="170">
        <v>0</v>
      </c>
      <c r="BU132" s="175">
        <v>0</v>
      </c>
      <c r="BV132" s="175">
        <v>0</v>
      </c>
      <c r="BW132" s="175">
        <v>0</v>
      </c>
      <c r="BX132" s="175">
        <v>0</v>
      </c>
      <c r="BY132" s="170">
        <v>0</v>
      </c>
      <c r="BZ132" s="175">
        <v>0</v>
      </c>
      <c r="CA132" s="175">
        <v>0</v>
      </c>
      <c r="CB132" s="175">
        <v>0</v>
      </c>
      <c r="CC132" s="175">
        <v>0</v>
      </c>
      <c r="CD132" s="170">
        <v>0</v>
      </c>
      <c r="CE132" s="175">
        <v>0</v>
      </c>
      <c r="CF132" s="175">
        <v>0</v>
      </c>
      <c r="CG132" s="175">
        <v>0</v>
      </c>
      <c r="CH132" s="175">
        <v>0</v>
      </c>
      <c r="CI132" s="170">
        <v>0</v>
      </c>
      <c r="CJ132" s="175">
        <v>0</v>
      </c>
      <c r="CK132" s="175">
        <v>0</v>
      </c>
      <c r="CL132" s="175">
        <v>0</v>
      </c>
      <c r="CM132" s="175">
        <v>0</v>
      </c>
      <c r="CN132" s="170">
        <v>0</v>
      </c>
      <c r="CO132" s="175">
        <v>0</v>
      </c>
      <c r="CP132" s="175">
        <v>0</v>
      </c>
      <c r="CQ132" s="175">
        <v>0</v>
      </c>
      <c r="CR132" s="175">
        <v>0</v>
      </c>
      <c r="CS132" s="170">
        <v>0</v>
      </c>
      <c r="CT132" s="175">
        <v>0</v>
      </c>
      <c r="CU132" s="175">
        <v>0</v>
      </c>
      <c r="CV132" s="175">
        <v>0</v>
      </c>
      <c r="CW132" s="678">
        <v>0</v>
      </c>
      <c r="CX132" s="742">
        <v>0</v>
      </c>
      <c r="CY132" s="175">
        <v>0</v>
      </c>
      <c r="CZ132" s="175">
        <v>0</v>
      </c>
      <c r="DA132" s="175">
        <v>0</v>
      </c>
      <c r="DB132" s="861">
        <v>0</v>
      </c>
      <c r="DC132" s="170">
        <v>0</v>
      </c>
      <c r="DD132" s="175">
        <v>0</v>
      </c>
      <c r="DE132" s="175">
        <v>0</v>
      </c>
      <c r="DF132" s="175">
        <v>0</v>
      </c>
      <c r="DG132" s="175">
        <v>0</v>
      </c>
      <c r="DH132" s="170">
        <v>0</v>
      </c>
      <c r="DI132" s="175">
        <v>0</v>
      </c>
      <c r="DJ132" s="175">
        <v>0</v>
      </c>
      <c r="DK132" s="175">
        <v>0</v>
      </c>
      <c r="DL132" s="175">
        <v>0</v>
      </c>
      <c r="DM132" s="170">
        <v>0</v>
      </c>
      <c r="DN132" s="175">
        <v>0</v>
      </c>
      <c r="DO132" s="175">
        <v>0</v>
      </c>
      <c r="DP132" s="175">
        <v>0</v>
      </c>
      <c r="DQ132" s="175">
        <v>0</v>
      </c>
      <c r="DR132" s="170">
        <v>0</v>
      </c>
      <c r="DS132" s="175">
        <v>0</v>
      </c>
      <c r="DT132" s="175">
        <v>0</v>
      </c>
      <c r="DU132" s="175">
        <v>0</v>
      </c>
      <c r="DV132" s="175">
        <v>0</v>
      </c>
      <c r="DW132" s="170">
        <v>0</v>
      </c>
      <c r="DX132" s="175">
        <v>0</v>
      </c>
      <c r="DY132" s="175">
        <v>0</v>
      </c>
      <c r="DZ132" s="175">
        <v>0</v>
      </c>
      <c r="EA132" s="175">
        <v>0</v>
      </c>
      <c r="EB132" s="170">
        <v>0</v>
      </c>
      <c r="ED132" s="418"/>
      <c r="EK132" s="418"/>
    </row>
    <row r="133" spans="1:141" x14ac:dyDescent="0.2">
      <c r="A133" s="1" t="s">
        <v>142</v>
      </c>
      <c r="B133" s="179"/>
      <c r="C133" s="175"/>
      <c r="D133" s="175"/>
      <c r="E133" s="175"/>
      <c r="F133" s="175"/>
      <c r="G133" s="170"/>
      <c r="H133" s="157"/>
      <c r="I133" s="157"/>
      <c r="J133" s="157"/>
      <c r="K133" s="175"/>
      <c r="L133" s="170"/>
      <c r="M133" s="157"/>
      <c r="N133" s="157"/>
      <c r="O133" s="157"/>
      <c r="P133" s="175"/>
      <c r="Q133" s="170"/>
      <c r="R133" s="157"/>
      <c r="S133" s="157"/>
      <c r="T133" s="157"/>
      <c r="U133" s="175"/>
      <c r="V133" s="170"/>
      <c r="W133" s="175"/>
      <c r="X133" s="175"/>
      <c r="Y133" s="175"/>
      <c r="Z133" s="175"/>
      <c r="AA133" s="170"/>
      <c r="AB133" s="157"/>
      <c r="AC133" s="157"/>
      <c r="AD133" s="157"/>
      <c r="AE133" s="175"/>
      <c r="AF133" s="170"/>
      <c r="AG133" s="157"/>
      <c r="AH133" s="157"/>
      <c r="AI133" s="157"/>
      <c r="AJ133" s="175"/>
      <c r="AK133" s="170"/>
      <c r="AL133" s="157"/>
      <c r="AM133" s="157"/>
      <c r="AN133" s="157"/>
      <c r="AO133" s="175"/>
      <c r="AP133" s="170"/>
      <c r="AQ133" s="157"/>
      <c r="AR133" s="157"/>
      <c r="AS133" s="157"/>
      <c r="AT133" s="175"/>
      <c r="AU133" s="170"/>
      <c r="AV133" s="157"/>
      <c r="AW133" s="157"/>
      <c r="AX133" s="157"/>
      <c r="AY133" s="175"/>
      <c r="AZ133" s="170"/>
      <c r="BA133" s="157"/>
      <c r="BB133" s="157"/>
      <c r="BC133" s="157"/>
      <c r="BD133" s="175"/>
      <c r="BE133" s="169">
        <f>-(1139.25-34.505-239.028)</f>
        <v>-865.71699999999987</v>
      </c>
      <c r="BF133" s="220">
        <f>(BF51+BF52+BF53)-(BE51+BE52+BE53)</f>
        <v>-29.536999999999978</v>
      </c>
      <c r="BG133" s="220">
        <f>(BG51+BG52+BG53)-(BF51+BF52+BF53)</f>
        <v>50.447000000000003</v>
      </c>
      <c r="BH133" s="220">
        <f>(BH51+BH52+BH53)-(BG51+BG52+BG53)</f>
        <v>-69.045000000000016</v>
      </c>
      <c r="BI133" s="220">
        <f>(BI51+BI52+BI53)-(BH51+BH52+BH53)</f>
        <v>-42.076999999999998</v>
      </c>
      <c r="BJ133" s="221">
        <f>(SUM(BJ51:BJ53))-(SUM(BE51:BE53))-352.162</f>
        <v>-442.37399999999997</v>
      </c>
      <c r="BK133" s="220">
        <f>(BK51+BK52+BK53)-(BJ51+BJ52+BJ53)</f>
        <v>9.9999999999766942E-4</v>
      </c>
      <c r="BL133" s="220">
        <f>(BL51+BL52+BL53)-(BK51+BK52+BK53)-378.975</f>
        <v>-378.98599999999999</v>
      </c>
      <c r="BM133" s="220">
        <f>(BM51+BM52+BM53)-(BL51+BL52+BL53)-15.134</f>
        <v>-15.135000000000005</v>
      </c>
      <c r="BN133" s="220">
        <f>(BN51+BN52+BN53)-(BM51+BM52+BM53)-234.129</f>
        <v>-234.136</v>
      </c>
      <c r="BO133" s="221">
        <f>(SUM(BO51:BO53))-(SUM(BJ51:BJ53))-634.374+17.304</f>
        <v>-617.08800000000008</v>
      </c>
      <c r="BP133" s="220">
        <f>(BP51+BP52+BP53)-(BO51+BO52+BO53)</f>
        <v>-3.0999999999998806E-2</v>
      </c>
      <c r="BQ133" s="220">
        <f>(BQ51+BQ52+BQ53)-(BP51+BP52+BP53)</f>
        <v>0</v>
      </c>
      <c r="BR133" s="220">
        <f>(BR51+BR52+BR53)-(BQ51+BQ52+BQ53)</f>
        <v>0</v>
      </c>
      <c r="BS133" s="220">
        <f>(BS51+BS52+BS53)-(BR51+BR52+BR53)</f>
        <v>0</v>
      </c>
      <c r="BT133" s="221">
        <f>(SUM(BT51:BT53))-(SUM(BO51:BO53))</f>
        <v>-3.0999999999998806E-2</v>
      </c>
      <c r="BU133" s="220">
        <f>(BU51+BU52+BU53)-(BT51+BT52+BT53)</f>
        <v>32.9</v>
      </c>
      <c r="BV133" s="220">
        <f>(BV51+BV52+BV53)-(BU51+BU52+BU53)</f>
        <v>28.300000000000011</v>
      </c>
      <c r="BW133" s="220">
        <f>(BW51+BW52+BW53)-(BV51+BV52+BV53)</f>
        <v>25.699999999999989</v>
      </c>
      <c r="BX133" s="220">
        <f>(BX51+BX52+BX53)-(BW51+BW52+BW53)</f>
        <v>60.099999999999994</v>
      </c>
      <c r="BY133" s="221">
        <f>(SUM(BY51:BY53))-(SUM(BT51:BT53))</f>
        <v>147</v>
      </c>
      <c r="BZ133" s="220">
        <f>(BZ51+BZ52+BZ53)-(BY51+BY52+BY53)</f>
        <v>71.400000000000006</v>
      </c>
      <c r="CA133" s="220">
        <f>(CA51+CA52+CA53)-(BZ51+BZ52+BZ53)</f>
        <v>57.499999999999943</v>
      </c>
      <c r="CB133" s="220">
        <f>(CB51+CB52+CB53)-(CA51+CA52+CA53)</f>
        <v>-113.79999999999995</v>
      </c>
      <c r="CC133" s="220">
        <f>(CC51+CC52+CC53)-(CB51+CB52+CB53)</f>
        <v>-55.899999999999977</v>
      </c>
      <c r="CD133" s="125">
        <f>(SUM(CD51:CD53))-(SUM(BY51:BY53))</f>
        <v>-40.799999999999983</v>
      </c>
      <c r="CE133" s="111">
        <f>(CE51+CE52+CE53)-(CD51+CD52+CD53)</f>
        <v>122.69999999999999</v>
      </c>
      <c r="CF133" s="111">
        <f>(CF51+CF52+CF53)-(CE51+CE52+CE53)</f>
        <v>80.5</v>
      </c>
      <c r="CG133" s="111">
        <f>(CG51+CG52+CG53)-(CF51+CF52+CF53)</f>
        <v>-173.8</v>
      </c>
      <c r="CH133" s="111">
        <f>(CH51+CH52+CH53)-(CG51+CG52+CG53)</f>
        <v>-134.5</v>
      </c>
      <c r="CI133" s="125">
        <f>(SUM(CI51:CI53))-(SUM(CD51:CD53))</f>
        <v>-105.10000000000002</v>
      </c>
      <c r="CJ133" s="111">
        <f>(CJ51+CJ52+CJ53)-(CI51+CI52+CI53)</f>
        <v>138.30000000000001</v>
      </c>
      <c r="CK133" s="111">
        <f>(CK51+CK52+CK53)-(CJ51+CJ52+CJ53)</f>
        <v>180.60000000000002</v>
      </c>
      <c r="CL133" s="111">
        <f>(CL51+CL52+CL53)-(CK51+CK52+CK53)</f>
        <v>91.599999999999966</v>
      </c>
      <c r="CM133" s="111">
        <f>(CM51+CM52+CM53)-(CL51+CL52+CL53)</f>
        <v>-411.59999999999997</v>
      </c>
      <c r="CN133" s="125">
        <f>(SUM(CN51:CN53))-(SUM(CI51:CI53))</f>
        <v>-1.0999999999999943</v>
      </c>
      <c r="CO133" s="111">
        <f>(CO51+CO52+CO53)-(CN51+CN52+CN53)</f>
        <v>0</v>
      </c>
      <c r="CP133" s="111">
        <f>(CP51+CP52+CP53)-(CO51+CO52+CO53)</f>
        <v>0</v>
      </c>
      <c r="CQ133" s="111">
        <f>+CF!CQ68+CF!CQ60+CF!CQ61+CF!CQ63+CF!CQ21+CF!CQ22+CF!CQ23</f>
        <v>129.19999999999999</v>
      </c>
      <c r="CR133" s="111">
        <f>+CF!CR68+CF!CR60+CF!CR61+CF!CR63+CF!CR21+CF!CR22+CF!CR23</f>
        <v>113.30000000000004</v>
      </c>
      <c r="CS133" s="125">
        <f>+CF!CS68+CF!CS60+CF!CS61+CF!CS63+CF!CS21+CF!CS22+CF!CS23</f>
        <v>59.5</v>
      </c>
      <c r="CT133" s="111">
        <f>+CF!CT68+CF!CT60+CF!CT61+CF!CT63+CF!CT21+CF!CT22+CF!CT23</f>
        <v>69.099999999999994</v>
      </c>
      <c r="CU133" s="111">
        <f>+CF!CU68+CF!CU60+CF!CU61+CF!CU63+CF!CU21+CF!CU22+CF!CU23</f>
        <v>-90.800000000000026</v>
      </c>
      <c r="CV133" s="111">
        <f>+CF!CV68+CF!CV60+CF!CV61+CF!CV63+CF!CV21+CF!CV22+CF!CV23</f>
        <v>-211.70000000000005</v>
      </c>
      <c r="CW133" s="659">
        <f>+CF!CW68+CF!CW60+CF!CW61+CF!CW63+CF!CW21+CF!CW22+CF!CW23</f>
        <v>-202.29999999999998</v>
      </c>
      <c r="CX133" s="719">
        <f>SUM(CT133:CW133)</f>
        <v>-435.70000000000005</v>
      </c>
      <c r="CY133" s="111">
        <f>+CF!CY68+CF!CY60+CF!CY61+CF!CY63+CF!CY21+CF!CY22+CF!CY23</f>
        <v>-99</v>
      </c>
      <c r="CZ133" s="111">
        <f>+CF!CZ68+CF!CZ60+CF!CZ61+CF!CZ63+CF!CZ21+CF!CZ22+CF!CZ23</f>
        <v>-32.099999999999973</v>
      </c>
      <c r="DA133" s="111">
        <f>+CF!DA68+CF!DA60+CF!DA61+CF!DA63+CF!DA21+CF!DA22+CF!DA23</f>
        <v>-486.90000000000009</v>
      </c>
      <c r="DB133" s="813">
        <f>+CF!DB68+CF!DB60+CF!DB61+CF!DB63+CF!DB21+CF!DB22+CF!DB23</f>
        <v>-416.49999999999989</v>
      </c>
      <c r="DC133" s="125">
        <f>SUM(CY133:DB133)</f>
        <v>-1034.5</v>
      </c>
      <c r="DD133" s="220">
        <f>+CF!DD68+CF!DD60+CF!DD61+CF!DD63+CF!DD21+CF!DD22+CF!DD23</f>
        <v>-140.1</v>
      </c>
      <c r="DE133" s="220">
        <f>+CF!DE68+CF!DE60+CF!DE61+CF!DE63+CF!DE21+CF!DE22+CF!DE23</f>
        <v>-1256.2</v>
      </c>
      <c r="DF133" s="220">
        <f>+CF!DF68+CF!DF60+CF!DF61+CF!DF63+CF!DF21+CF!DF22+CF!DF23</f>
        <v>85.2</v>
      </c>
      <c r="DG133" s="220">
        <f>+CF!DG68+CF!DG60+CF!DG61+CF!DG63+CF!DG21+CF!DG22+CF!DG23</f>
        <v>-305.69999999999976</v>
      </c>
      <c r="DH133" s="221">
        <f>SUM(DD133:DG133)</f>
        <v>-1616.7999999999997</v>
      </c>
      <c r="DI133" s="220">
        <f>+CF!DI68+CF!DI60+CF!DI61+CF!DI63+CF!DI21+CF!DI22+CF!DI23</f>
        <v>-301.90000000000003</v>
      </c>
      <c r="DJ133" s="220">
        <f>+CF!DJ68+CF!DJ60+CF!DJ61+CF!DJ63+CF!DJ21+CF!DJ22+CF!DJ23</f>
        <v>-541.79999999999995</v>
      </c>
      <c r="DK133" s="220">
        <f>+CF!DK68+CF!DK60+CF!DK61+CF!DK63+CF!DK21+CF!DK22+CF!DK23</f>
        <v>-90.200000000000017</v>
      </c>
      <c r="DL133" s="220">
        <f>+CF!DL68+CF!DL60+CF!DL61+CF!DL63+CF!DL21+CF!DL22+CF!DL23</f>
        <v>-781.80000000000007</v>
      </c>
      <c r="DM133" s="221">
        <f>SUM(DI133:DL133)</f>
        <v>-1715.7000000000003</v>
      </c>
      <c r="DN133" s="220">
        <f>+CF!DN68+CF!DN60+CF!DN61+CF!DN63+CF!DN21+CF!DN22+CF!DN23</f>
        <v>-884</v>
      </c>
      <c r="DO133" s="220">
        <f>+CF!DO68+CF!DO60+CF!DO61+CF!DO63+CF!DO21+CF!DO22+CF!DO23</f>
        <v>-654</v>
      </c>
      <c r="DP133" s="220">
        <f>+CF!DP68+CF!DP60+CF!DP61+CF!DP63+CF!DP21+CF!DP22+CF!DP23</f>
        <v>-664</v>
      </c>
      <c r="DQ133" s="220">
        <f>+CF!DQ68+CF!DQ60+CF!DQ61+CF!DQ63+CF!DQ21+CF!DQ22+CF!DQ23</f>
        <v>-644</v>
      </c>
      <c r="DR133" s="221">
        <f>SUM(DN133:DQ133)</f>
        <v>-2846</v>
      </c>
      <c r="DS133" s="220">
        <f>+CF!DS68+CF!DS60+CF!DS61+CF!DS63+CF!DS21+CF!DS22+CF!DS23</f>
        <v>-574</v>
      </c>
      <c r="DT133" s="220">
        <f>+CF!DT68+CF!DT60+CF!DT61+CF!DT63+CF!DT21+CF!DT22+CF!DT23</f>
        <v>-594</v>
      </c>
      <c r="DU133" s="220">
        <f>+CF!DU68+CF!DU60+CF!DU61+CF!DU63+CF!DU21+CF!DU22+CF!DU23</f>
        <v>-614</v>
      </c>
      <c r="DV133" s="220">
        <f>+CF!DV68+CF!DV60+CF!DV61+CF!DV63+CF!DV21+CF!DV22+CF!DV23</f>
        <v>-584</v>
      </c>
      <c r="DW133" s="221">
        <f>SUM(DS133:DV133)</f>
        <v>-2366</v>
      </c>
      <c r="DX133" s="220">
        <f>+CF!DX68+CF!DX60+CF!DX61+CF!DX63+CF!DX21+CF!DX22+CF!DX23</f>
        <v>-370</v>
      </c>
      <c r="DY133" s="220">
        <f>+CF!DY68+CF!DY60+CF!DY61+CF!DY63+CF!DY21+CF!DY22+CF!DY23</f>
        <v>-390</v>
      </c>
      <c r="DZ133" s="220">
        <f>+CF!DZ68+CF!DZ60+CF!DZ61+CF!DZ63+CF!DZ21+CF!DZ22+CF!DZ23</f>
        <v>-810</v>
      </c>
      <c r="EA133" s="220">
        <f>+CF!EA68+CF!EA60+CF!EA61+CF!EA63+CF!EA21+CF!EA22+CF!EA23</f>
        <v>-778</v>
      </c>
      <c r="EB133" s="221">
        <f>SUM(DX133:EA133)</f>
        <v>-2348</v>
      </c>
      <c r="ED133" s="418"/>
      <c r="EK133" s="418"/>
    </row>
    <row r="134" spans="1:141" x14ac:dyDescent="0.2">
      <c r="A134" s="1" t="s">
        <v>141</v>
      </c>
      <c r="B134" s="179"/>
      <c r="C134" s="175"/>
      <c r="D134" s="175"/>
      <c r="E134" s="175"/>
      <c r="F134" s="175"/>
      <c r="G134" s="170"/>
      <c r="H134" s="157"/>
      <c r="I134" s="157"/>
      <c r="J134" s="157"/>
      <c r="K134" s="175"/>
      <c r="L134" s="170"/>
      <c r="M134" s="157"/>
      <c r="N134" s="157"/>
      <c r="O134" s="157"/>
      <c r="P134" s="175"/>
      <c r="Q134" s="170"/>
      <c r="R134" s="157"/>
      <c r="S134" s="157"/>
      <c r="T134" s="157"/>
      <c r="U134" s="175"/>
      <c r="V134" s="170"/>
      <c r="W134" s="175"/>
      <c r="X134" s="175"/>
      <c r="Y134" s="175"/>
      <c r="Z134" s="175"/>
      <c r="AA134" s="170"/>
      <c r="AB134" s="157"/>
      <c r="AC134" s="157"/>
      <c r="AD134" s="157"/>
      <c r="AE134" s="175"/>
      <c r="AF134" s="170"/>
      <c r="AG134" s="157"/>
      <c r="AH134" s="157"/>
      <c r="AI134" s="157"/>
      <c r="AJ134" s="175"/>
      <c r="AK134" s="170"/>
      <c r="AL134" s="157"/>
      <c r="AM134" s="157"/>
      <c r="AN134" s="157"/>
      <c r="AO134" s="175"/>
      <c r="AP134" s="170"/>
      <c r="AQ134" s="157"/>
      <c r="AR134" s="157"/>
      <c r="AS134" s="157"/>
      <c r="AT134" s="175"/>
      <c r="AU134" s="170"/>
      <c r="AV134" s="157"/>
      <c r="AW134" s="157"/>
      <c r="AX134" s="157"/>
      <c r="AY134" s="175"/>
      <c r="AZ134" s="170"/>
      <c r="BA134" s="157"/>
      <c r="BB134" s="157"/>
      <c r="BC134" s="157"/>
      <c r="BD134" s="175"/>
      <c r="BE134" s="170"/>
      <c r="BF134" s="157">
        <v>2040.183</v>
      </c>
      <c r="BG134" s="157">
        <v>50.040999999999997</v>
      </c>
      <c r="BH134" s="111">
        <v>-69.045000000000002</v>
      </c>
      <c r="BI134" s="175">
        <v>428.66699999999997</v>
      </c>
      <c r="BJ134" s="170">
        <v>2089.4070000000002</v>
      </c>
      <c r="BK134" s="157">
        <v>0</v>
      </c>
      <c r="BL134" s="157">
        <v>0</v>
      </c>
      <c r="BM134" s="157">
        <v>0</v>
      </c>
      <c r="BN134" s="175">
        <v>0</v>
      </c>
      <c r="BO134" s="170">
        <v>0</v>
      </c>
      <c r="BP134" s="111">
        <f>-(BN50+IS!BP41-BS!BP50)</f>
        <v>-248.86599999999999</v>
      </c>
      <c r="BQ134" s="157">
        <f>-(BO50+IS!BQ41-BS!BQ50)+61.366</f>
        <v>78.940000000000069</v>
      </c>
      <c r="BR134" s="157">
        <v>0</v>
      </c>
      <c r="BS134" s="175">
        <v>0</v>
      </c>
      <c r="BT134" s="125">
        <f>SUM(BP134:BS134)</f>
        <v>-169.92599999999993</v>
      </c>
      <c r="BU134" s="157">
        <v>0</v>
      </c>
      <c r="BV134" s="157">
        <v>0</v>
      </c>
      <c r="BW134" s="157">
        <v>0</v>
      </c>
      <c r="BX134" s="113">
        <v>-17.600000000000001</v>
      </c>
      <c r="BY134" s="125">
        <f>SUM(BU134:BX134)</f>
        <v>-17.600000000000001</v>
      </c>
      <c r="BZ134" s="157">
        <v>0</v>
      </c>
      <c r="CA134" s="157">
        <v>0</v>
      </c>
      <c r="CB134" s="157">
        <v>0</v>
      </c>
      <c r="CC134" s="175">
        <v>0</v>
      </c>
      <c r="CD134" s="170">
        <f>SUM(BZ134:CC134)</f>
        <v>0</v>
      </c>
      <c r="CE134" s="157">
        <v>0</v>
      </c>
      <c r="CF134" s="157">
        <v>0</v>
      </c>
      <c r="CG134" s="157">
        <v>0</v>
      </c>
      <c r="CH134" s="175">
        <v>0</v>
      </c>
      <c r="CI134" s="170">
        <f>SUM(CE134:CH134)</f>
        <v>0</v>
      </c>
      <c r="CJ134" s="157">
        <v>0</v>
      </c>
      <c r="CK134" s="157">
        <v>0</v>
      </c>
      <c r="CL134" s="157">
        <v>0</v>
      </c>
      <c r="CM134" s="175"/>
      <c r="CN134" s="170">
        <f>SUM(CJ134:CM134)</f>
        <v>0</v>
      </c>
      <c r="CO134" s="157">
        <v>0</v>
      </c>
      <c r="CP134" s="157">
        <v>0</v>
      </c>
      <c r="CQ134" s="157">
        <v>0</v>
      </c>
      <c r="CR134" s="175">
        <v>0</v>
      </c>
      <c r="CS134" s="170">
        <f>SUM(CO134:CR134)</f>
        <v>0</v>
      </c>
      <c r="CT134" s="157">
        <v>0</v>
      </c>
      <c r="CU134" s="157">
        <v>0</v>
      </c>
      <c r="CV134" s="157">
        <v>0</v>
      </c>
      <c r="CW134" s="678">
        <v>0</v>
      </c>
      <c r="CX134" s="742">
        <f>SUM(CT134:CW134)</f>
        <v>0</v>
      </c>
      <c r="CY134" s="157">
        <v>0</v>
      </c>
      <c r="CZ134" s="157">
        <v>0</v>
      </c>
      <c r="DA134" s="157">
        <v>0</v>
      </c>
      <c r="DB134" s="861">
        <v>0</v>
      </c>
      <c r="DC134" s="170">
        <f>SUM(CY134:DB134)</f>
        <v>0</v>
      </c>
      <c r="DD134" s="157">
        <v>0</v>
      </c>
      <c r="DE134" s="157">
        <v>0</v>
      </c>
      <c r="DF134" s="157">
        <v>0</v>
      </c>
      <c r="DG134" s="175">
        <v>0</v>
      </c>
      <c r="DH134" s="170">
        <f>SUM(DD134:DG134)</f>
        <v>0</v>
      </c>
      <c r="DI134" s="157">
        <v>0</v>
      </c>
      <c r="DJ134" s="157">
        <v>0</v>
      </c>
      <c r="DK134" s="157">
        <v>0</v>
      </c>
      <c r="DL134" s="157">
        <v>0</v>
      </c>
      <c r="DM134" s="170">
        <f>SUM(DI134:DL134)</f>
        <v>0</v>
      </c>
      <c r="DN134" s="157">
        <v>0</v>
      </c>
      <c r="DO134" s="157">
        <v>0</v>
      </c>
      <c r="DP134" s="157">
        <v>0</v>
      </c>
      <c r="DQ134" s="157">
        <v>0</v>
      </c>
      <c r="DR134" s="170">
        <f>SUM(DN134:DQ134)</f>
        <v>0</v>
      </c>
      <c r="DS134" s="157">
        <v>0</v>
      </c>
      <c r="DT134" s="157">
        <v>0</v>
      </c>
      <c r="DU134" s="157">
        <v>0</v>
      </c>
      <c r="DV134" s="157">
        <v>0</v>
      </c>
      <c r="DW134" s="170">
        <f>SUM(DS134:DV134)</f>
        <v>0</v>
      </c>
      <c r="DX134" s="157">
        <v>0</v>
      </c>
      <c r="DY134" s="157">
        <v>0</v>
      </c>
      <c r="DZ134" s="157">
        <v>0</v>
      </c>
      <c r="EA134" s="157">
        <v>0</v>
      </c>
      <c r="EB134" s="170">
        <f>SUM(DX134:EA134)</f>
        <v>0</v>
      </c>
      <c r="ED134" s="418"/>
      <c r="EK134" s="418"/>
    </row>
    <row r="135" spans="1:141" x14ac:dyDescent="0.2">
      <c r="A135" s="1"/>
      <c r="B135" s="179"/>
      <c r="C135" s="175"/>
      <c r="D135" s="175"/>
      <c r="E135" s="175"/>
      <c r="F135" s="175"/>
      <c r="G135" s="170"/>
      <c r="H135" s="157"/>
      <c r="I135" s="157"/>
      <c r="J135" s="157"/>
      <c r="K135" s="175"/>
      <c r="L135" s="170"/>
      <c r="M135" s="157"/>
      <c r="N135" s="157"/>
      <c r="O135" s="157"/>
      <c r="P135" s="175"/>
      <c r="Q135" s="170"/>
      <c r="R135" s="157"/>
      <c r="S135" s="157"/>
      <c r="T135" s="157"/>
      <c r="U135" s="175"/>
      <c r="V135" s="170"/>
      <c r="W135" s="175"/>
      <c r="X135" s="175"/>
      <c r="Y135" s="175"/>
      <c r="Z135" s="175"/>
      <c r="AA135" s="170"/>
      <c r="AB135" s="157"/>
      <c r="AC135" s="157"/>
      <c r="AD135" s="157"/>
      <c r="AE135" s="175"/>
      <c r="AF135" s="170"/>
      <c r="AG135" s="157"/>
      <c r="AH135" s="157"/>
      <c r="AI135" s="157"/>
      <c r="AJ135" s="175"/>
      <c r="AK135" s="170"/>
      <c r="AL135" s="157"/>
      <c r="AM135" s="157"/>
      <c r="AN135" s="157"/>
      <c r="AO135" s="175"/>
      <c r="AP135" s="170"/>
      <c r="AQ135" s="157"/>
      <c r="AR135" s="157"/>
      <c r="AS135" s="157"/>
      <c r="AT135" s="175"/>
      <c r="AU135" s="170"/>
      <c r="AV135" s="157"/>
      <c r="AW135" s="157"/>
      <c r="AX135" s="157"/>
      <c r="AY135" s="175"/>
      <c r="AZ135" s="170"/>
      <c r="BA135" s="157"/>
      <c r="BB135" s="157"/>
      <c r="BC135" s="157"/>
      <c r="BD135" s="175"/>
      <c r="BE135" s="170"/>
      <c r="BF135" s="157"/>
      <c r="BG135" s="157"/>
      <c r="BH135" s="157"/>
      <c r="BI135" s="175"/>
      <c r="BJ135" s="170"/>
      <c r="BK135" s="157"/>
      <c r="BL135" s="157"/>
      <c r="BM135" s="157"/>
      <c r="BN135" s="175"/>
      <c r="BO135" s="170"/>
      <c r="BP135" s="157"/>
      <c r="BQ135" s="157"/>
      <c r="BR135" s="157"/>
      <c r="BS135" s="175"/>
      <c r="BT135" s="170"/>
      <c r="BU135" s="157"/>
      <c r="BV135" s="157"/>
      <c r="BW135" s="157"/>
      <c r="BX135" s="175"/>
      <c r="BY135" s="170"/>
      <c r="BZ135" s="157"/>
      <c r="CA135" s="157"/>
      <c r="CB135" s="157"/>
      <c r="CC135" s="175"/>
      <c r="CD135" s="170"/>
      <c r="CE135" s="157"/>
      <c r="CF135" s="157"/>
      <c r="CG135" s="157"/>
      <c r="CH135" s="175"/>
      <c r="CI135" s="170"/>
      <c r="CJ135" s="157"/>
      <c r="CK135" s="157"/>
      <c r="CL135" s="157"/>
      <c r="CM135" s="175"/>
      <c r="CN135" s="170"/>
      <c r="CO135" s="157"/>
      <c r="CP135" s="157"/>
      <c r="CQ135" s="157"/>
      <c r="CR135" s="175"/>
      <c r="CS135" s="170"/>
      <c r="CT135" s="157"/>
      <c r="CU135" s="157"/>
      <c r="CV135" s="157"/>
      <c r="CW135" s="678"/>
      <c r="CX135" s="742"/>
      <c r="CY135" s="157"/>
      <c r="CZ135" s="157"/>
      <c r="DA135" s="157"/>
      <c r="DB135" s="861"/>
      <c r="DC135" s="170"/>
      <c r="DD135" s="157"/>
      <c r="DE135" s="157"/>
      <c r="DF135" s="157"/>
      <c r="DG135" s="175"/>
      <c r="DH135" s="170"/>
      <c r="DI135" s="157"/>
      <c r="DJ135" s="157"/>
      <c r="DK135" s="157"/>
      <c r="DL135" s="157"/>
      <c r="DM135" s="170"/>
      <c r="DN135" s="157"/>
      <c r="DO135" s="157"/>
      <c r="DP135" s="157"/>
      <c r="DQ135" s="157"/>
      <c r="DR135" s="170"/>
      <c r="DS135" s="157"/>
      <c r="DT135" s="157"/>
      <c r="DU135" s="157"/>
      <c r="DV135" s="157"/>
      <c r="DW135" s="170"/>
      <c r="DX135" s="157"/>
      <c r="DY135" s="157"/>
      <c r="DZ135" s="157"/>
      <c r="EA135" s="157"/>
      <c r="EB135" s="170"/>
      <c r="ED135" s="418"/>
      <c r="EK135" s="418"/>
    </row>
    <row r="136" spans="1:141" x14ac:dyDescent="0.2">
      <c r="A136" s="1"/>
      <c r="B136" s="179"/>
      <c r="C136" s="175"/>
      <c r="D136" s="175"/>
      <c r="E136" s="175"/>
      <c r="F136" s="175"/>
      <c r="G136" s="170"/>
      <c r="H136" s="157"/>
      <c r="I136" s="157"/>
      <c r="J136" s="157"/>
      <c r="K136" s="175"/>
      <c r="L136" s="170"/>
      <c r="M136" s="157"/>
      <c r="N136" s="157"/>
      <c r="O136" s="157"/>
      <c r="P136" s="175"/>
      <c r="Q136" s="170"/>
      <c r="R136" s="157"/>
      <c r="S136" s="157"/>
      <c r="T136" s="157"/>
      <c r="U136" s="175"/>
      <c r="V136" s="170"/>
      <c r="W136" s="175"/>
      <c r="X136" s="175"/>
      <c r="Y136" s="175"/>
      <c r="Z136" s="175"/>
      <c r="AA136" s="170"/>
      <c r="AB136" s="157"/>
      <c r="AC136" s="157"/>
      <c r="AD136" s="157"/>
      <c r="AE136" s="175"/>
      <c r="AF136" s="170"/>
      <c r="AG136" s="157"/>
      <c r="AH136" s="157"/>
      <c r="AI136" s="157"/>
      <c r="AJ136" s="175"/>
      <c r="AK136" s="170"/>
      <c r="AL136" s="157"/>
      <c r="AM136" s="157"/>
      <c r="AN136" s="157"/>
      <c r="AO136" s="175"/>
      <c r="AP136" s="170"/>
      <c r="AQ136" s="157"/>
      <c r="AR136" s="157"/>
      <c r="AS136" s="157"/>
      <c r="AT136" s="175"/>
      <c r="AU136" s="170"/>
      <c r="AV136" s="157"/>
      <c r="AW136" s="157"/>
      <c r="AX136" s="157"/>
      <c r="AY136" s="175"/>
      <c r="AZ136" s="170"/>
      <c r="BA136" s="157"/>
      <c r="BB136" s="157"/>
      <c r="BC136" s="157"/>
      <c r="BD136" s="175"/>
      <c r="BE136" s="170"/>
      <c r="BF136" s="157"/>
      <c r="BG136" s="157"/>
      <c r="BH136" s="157"/>
      <c r="BI136" s="175"/>
      <c r="BJ136" s="170"/>
      <c r="BK136" s="157"/>
      <c r="BL136" s="157"/>
      <c r="BM136" s="157"/>
      <c r="BN136" s="175"/>
      <c r="BO136" s="170"/>
      <c r="BP136" s="157"/>
      <c r="BQ136" s="157"/>
      <c r="BR136" s="157"/>
      <c r="BS136" s="175"/>
      <c r="BT136" s="170"/>
      <c r="BU136" s="157"/>
      <c r="BV136" s="157"/>
      <c r="BW136" s="157"/>
      <c r="BX136" s="175"/>
      <c r="BY136" s="170"/>
      <c r="BZ136" s="157"/>
      <c r="CA136" s="157"/>
      <c r="CB136" s="157"/>
      <c r="CC136" s="175"/>
      <c r="CD136" s="170"/>
      <c r="CE136" s="157"/>
      <c r="CF136" s="157"/>
      <c r="CG136" s="157"/>
      <c r="CH136" s="175"/>
      <c r="CI136" s="170"/>
      <c r="CJ136" s="157"/>
      <c r="CK136" s="157"/>
      <c r="CL136" s="157"/>
      <c r="CM136" s="175"/>
      <c r="CN136" s="170"/>
      <c r="CO136" s="157"/>
      <c r="CP136" s="157"/>
      <c r="CQ136" s="157"/>
      <c r="CR136" s="175"/>
      <c r="CS136" s="170"/>
      <c r="CT136" s="157"/>
      <c r="CU136" s="157"/>
      <c r="CV136" s="157"/>
      <c r="CW136" s="678"/>
      <c r="CX136" s="742"/>
      <c r="CY136" s="157"/>
      <c r="CZ136" s="157"/>
      <c r="DA136" s="157"/>
      <c r="DB136" s="861"/>
      <c r="DC136" s="170"/>
      <c r="DD136" s="157"/>
      <c r="DE136" s="157"/>
      <c r="DF136" s="157"/>
      <c r="DG136" s="175"/>
      <c r="DH136" s="170"/>
      <c r="DI136" s="157"/>
      <c r="DJ136" s="157"/>
      <c r="DK136" s="157"/>
      <c r="DL136" s="157"/>
      <c r="DM136" s="170"/>
      <c r="DN136" s="157"/>
      <c r="DO136" s="157"/>
      <c r="DP136" s="157"/>
      <c r="DQ136" s="157"/>
      <c r="DR136" s="170"/>
      <c r="DS136" s="157"/>
      <c r="DT136" s="157"/>
      <c r="DU136" s="157"/>
      <c r="DV136" s="157"/>
      <c r="DW136" s="170"/>
      <c r="DX136" s="157"/>
      <c r="DY136" s="157"/>
      <c r="DZ136" s="157"/>
      <c r="EA136" s="157"/>
      <c r="EB136" s="170"/>
      <c r="ED136" s="418"/>
      <c r="EK136" s="418"/>
    </row>
    <row r="137" spans="1:141" x14ac:dyDescent="0.2">
      <c r="A137" s="1"/>
      <c r="B137" s="179"/>
      <c r="C137" s="175"/>
      <c r="D137" s="175"/>
      <c r="E137" s="175"/>
      <c r="F137" s="175"/>
      <c r="G137" s="170"/>
      <c r="H137" s="157"/>
      <c r="I137" s="157"/>
      <c r="J137" s="157"/>
      <c r="K137" s="175"/>
      <c r="L137" s="170"/>
      <c r="M137" s="157"/>
      <c r="N137" s="157"/>
      <c r="O137" s="157"/>
      <c r="P137" s="175"/>
      <c r="Q137" s="170"/>
      <c r="R137" s="157"/>
      <c r="S137" s="157"/>
      <c r="T137" s="157"/>
      <c r="U137" s="175"/>
      <c r="V137" s="170"/>
      <c r="W137" s="175"/>
      <c r="X137" s="175"/>
      <c r="Y137" s="175"/>
      <c r="Z137" s="175"/>
      <c r="AA137" s="170"/>
      <c r="AB137" s="157"/>
      <c r="AC137" s="157"/>
      <c r="AD137" s="157"/>
      <c r="AE137" s="175"/>
      <c r="AF137" s="170"/>
      <c r="AG137" s="157"/>
      <c r="AH137" s="157"/>
      <c r="AI137" s="157"/>
      <c r="AJ137" s="175"/>
      <c r="AK137" s="170"/>
      <c r="AL137" s="157"/>
      <c r="AM137" s="157"/>
      <c r="AN137" s="157"/>
      <c r="AO137" s="175"/>
      <c r="AP137" s="170"/>
      <c r="AQ137" s="157"/>
      <c r="AR137" s="157"/>
      <c r="AS137" s="157"/>
      <c r="AT137" s="175"/>
      <c r="AU137" s="170"/>
      <c r="AV137" s="157"/>
      <c r="AW137" s="157"/>
      <c r="AX137" s="157"/>
      <c r="AY137" s="175"/>
      <c r="AZ137" s="170"/>
      <c r="BA137" s="157"/>
      <c r="BB137" s="157"/>
      <c r="BC137" s="157"/>
      <c r="BD137" s="175"/>
      <c r="BE137" s="170"/>
      <c r="BF137" s="157"/>
      <c r="BG137" s="157"/>
      <c r="BH137" s="157"/>
      <c r="BI137" s="175"/>
      <c r="BJ137" s="170"/>
      <c r="BK137" s="157"/>
      <c r="BL137" s="157"/>
      <c r="BM137" s="157"/>
      <c r="BN137" s="175"/>
      <c r="BO137" s="170"/>
      <c r="BP137" s="157"/>
      <c r="BQ137" s="157"/>
      <c r="BR137" s="157"/>
      <c r="BS137" s="175"/>
      <c r="BT137" s="170"/>
      <c r="BU137" s="157"/>
      <c r="BV137" s="157"/>
      <c r="BW137" s="157"/>
      <c r="BX137" s="175"/>
      <c r="BY137" s="170"/>
      <c r="BZ137" s="157"/>
      <c r="CA137" s="157"/>
      <c r="CB137" s="157"/>
      <c r="CC137" s="175"/>
      <c r="CD137" s="170"/>
      <c r="CE137" s="157"/>
      <c r="CF137" s="157"/>
      <c r="CG137" s="157"/>
      <c r="CH137" s="175"/>
      <c r="CI137" s="170"/>
      <c r="CJ137" s="157"/>
      <c r="CK137" s="157"/>
      <c r="CL137" s="157"/>
      <c r="CM137" s="175"/>
      <c r="CN137" s="170"/>
      <c r="CO137" s="157"/>
      <c r="CP137" s="157"/>
      <c r="CQ137" s="157"/>
      <c r="CR137" s="175"/>
      <c r="CS137" s="170"/>
      <c r="CT137" s="157"/>
      <c r="CU137" s="157"/>
      <c r="CV137" s="157"/>
      <c r="CW137" s="678"/>
      <c r="CX137" s="742"/>
      <c r="CY137" s="157"/>
      <c r="CZ137" s="157"/>
      <c r="DA137" s="157"/>
      <c r="DB137" s="861"/>
      <c r="DC137" s="170"/>
      <c r="DD137" s="157"/>
      <c r="DE137" s="157"/>
      <c r="DF137" s="157"/>
      <c r="DG137" s="175"/>
      <c r="DH137" s="170"/>
      <c r="DI137" s="157"/>
      <c r="DJ137" s="157"/>
      <c r="DK137" s="157"/>
      <c r="DL137" s="157"/>
      <c r="DM137" s="170"/>
      <c r="DN137" s="157"/>
      <c r="DO137" s="157"/>
      <c r="DP137" s="157"/>
      <c r="DQ137" s="157"/>
      <c r="DR137" s="170"/>
      <c r="DS137" s="157"/>
      <c r="DT137" s="157"/>
      <c r="DU137" s="157"/>
      <c r="DV137" s="157"/>
      <c r="DW137" s="170"/>
      <c r="DX137" s="157"/>
      <c r="DY137" s="157"/>
      <c r="DZ137" s="157"/>
      <c r="EA137" s="157"/>
      <c r="EB137" s="170"/>
      <c r="ED137" s="418"/>
      <c r="EK137" s="418"/>
    </row>
    <row r="138" spans="1:141" x14ac:dyDescent="0.2">
      <c r="A138" s="1"/>
      <c r="B138" s="179"/>
      <c r="C138" s="175"/>
      <c r="D138" s="175"/>
      <c r="E138" s="175"/>
      <c r="F138" s="175"/>
      <c r="G138" s="170"/>
      <c r="H138" s="157"/>
      <c r="I138" s="157"/>
      <c r="J138" s="157"/>
      <c r="K138" s="175"/>
      <c r="L138" s="170"/>
      <c r="M138" s="157"/>
      <c r="N138" s="157"/>
      <c r="O138" s="157"/>
      <c r="P138" s="175"/>
      <c r="Q138" s="170"/>
      <c r="R138" s="157"/>
      <c r="S138" s="157"/>
      <c r="T138" s="157"/>
      <c r="U138" s="175"/>
      <c r="V138" s="170"/>
      <c r="W138" s="175"/>
      <c r="X138" s="175"/>
      <c r="Y138" s="175"/>
      <c r="Z138" s="175"/>
      <c r="AA138" s="170"/>
      <c r="AB138" s="157"/>
      <c r="AC138" s="157"/>
      <c r="AD138" s="157"/>
      <c r="AE138" s="175"/>
      <c r="AF138" s="170"/>
      <c r="AG138" s="157"/>
      <c r="AH138" s="157"/>
      <c r="AI138" s="157"/>
      <c r="AJ138" s="175"/>
      <c r="AK138" s="170"/>
      <c r="AL138" s="157"/>
      <c r="AM138" s="157"/>
      <c r="AN138" s="157"/>
      <c r="AO138" s="175"/>
      <c r="AP138" s="170"/>
      <c r="AQ138" s="157"/>
      <c r="AR138" s="157"/>
      <c r="AS138" s="157"/>
      <c r="AT138" s="175"/>
      <c r="AU138" s="170"/>
      <c r="AV138" s="157"/>
      <c r="AW138" s="157"/>
      <c r="AX138" s="157"/>
      <c r="AY138" s="175"/>
      <c r="AZ138" s="170"/>
      <c r="BA138" s="157"/>
      <c r="BB138" s="157"/>
      <c r="BC138" s="157"/>
      <c r="BD138" s="175"/>
      <c r="BE138" s="170"/>
      <c r="BF138" s="157"/>
      <c r="BG138" s="157"/>
      <c r="BH138" s="157"/>
      <c r="BI138" s="175"/>
      <c r="BJ138" s="170"/>
      <c r="BK138" s="157"/>
      <c r="BL138" s="157"/>
      <c r="BM138" s="157"/>
      <c r="BN138" s="175"/>
      <c r="BO138" s="170"/>
      <c r="BP138" s="157"/>
      <c r="BQ138" s="157"/>
      <c r="BR138" s="157"/>
      <c r="BS138" s="175"/>
      <c r="BT138" s="170"/>
      <c r="BU138" s="157"/>
      <c r="BV138" s="157"/>
      <c r="BW138" s="157"/>
      <c r="BX138" s="175"/>
      <c r="BY138" s="170"/>
      <c r="BZ138" s="157"/>
      <c r="CA138" s="157"/>
      <c r="CB138" s="157"/>
      <c r="CC138" s="175"/>
      <c r="CD138" s="170"/>
      <c r="CE138" s="157"/>
      <c r="CF138" s="157"/>
      <c r="CG138" s="157"/>
      <c r="CH138" s="175"/>
      <c r="CI138" s="170"/>
      <c r="CJ138" s="157"/>
      <c r="CK138" s="157"/>
      <c r="CL138" s="157"/>
      <c r="CM138" s="175"/>
      <c r="CN138" s="170"/>
      <c r="CO138" s="157"/>
      <c r="CP138" s="157"/>
      <c r="CQ138" s="157"/>
      <c r="CR138" s="175"/>
      <c r="CS138" s="170"/>
      <c r="CT138" s="157"/>
      <c r="CU138" s="157"/>
      <c r="CV138" s="157"/>
      <c r="CW138" s="678"/>
      <c r="CX138" s="742"/>
      <c r="CY138" s="157"/>
      <c r="CZ138" s="157"/>
      <c r="DA138" s="157"/>
      <c r="DB138" s="861"/>
      <c r="DC138" s="170"/>
      <c r="DD138" s="157"/>
      <c r="DE138" s="157"/>
      <c r="DF138" s="157"/>
      <c r="DG138" s="175"/>
      <c r="DH138" s="170"/>
      <c r="DI138" s="157"/>
      <c r="DJ138" s="157"/>
      <c r="DK138" s="157"/>
      <c r="DL138" s="157"/>
      <c r="DM138" s="170"/>
      <c r="DN138" s="157"/>
      <c r="DO138" s="157"/>
      <c r="DP138" s="157"/>
      <c r="DQ138" s="157"/>
      <c r="DR138" s="170"/>
      <c r="DS138" s="157"/>
      <c r="DT138" s="157"/>
      <c r="DU138" s="157"/>
      <c r="DV138" s="157"/>
      <c r="DW138" s="170"/>
      <c r="DX138" s="157"/>
      <c r="DY138" s="157"/>
      <c r="DZ138" s="157"/>
      <c r="EA138" s="157"/>
      <c r="EB138" s="170"/>
      <c r="ED138" s="418"/>
      <c r="EK138" s="418"/>
    </row>
    <row r="139" spans="1:141" x14ac:dyDescent="0.2">
      <c r="A139" s="83" t="s">
        <v>140</v>
      </c>
      <c r="B139" s="179"/>
      <c r="C139" s="175"/>
      <c r="D139" s="175"/>
      <c r="E139" s="175"/>
      <c r="F139" s="175"/>
      <c r="G139" s="170"/>
      <c r="H139" s="157"/>
      <c r="I139" s="157"/>
      <c r="J139" s="157"/>
      <c r="K139" s="175"/>
      <c r="L139" s="170"/>
      <c r="M139" s="157"/>
      <c r="N139" s="157"/>
      <c r="O139" s="157"/>
      <c r="P139" s="175"/>
      <c r="Q139" s="170"/>
      <c r="R139" s="157"/>
      <c r="S139" s="157"/>
      <c r="T139" s="157"/>
      <c r="U139" s="175"/>
      <c r="V139" s="170"/>
      <c r="W139" s="175"/>
      <c r="X139" s="175"/>
      <c r="Y139" s="175"/>
      <c r="Z139" s="175"/>
      <c r="AA139" s="170"/>
      <c r="AB139" s="157"/>
      <c r="AC139" s="157"/>
      <c r="AD139" s="157"/>
      <c r="AE139" s="175"/>
      <c r="AF139" s="170"/>
      <c r="AG139" s="157"/>
      <c r="AH139" s="157"/>
      <c r="AI139" s="157"/>
      <c r="AJ139" s="175"/>
      <c r="AK139" s="170"/>
      <c r="AL139" s="157"/>
      <c r="AM139" s="157"/>
      <c r="AN139" s="157"/>
      <c r="AO139" s="175"/>
      <c r="AP139" s="170"/>
      <c r="AQ139" s="157"/>
      <c r="AR139" s="157"/>
      <c r="AS139" s="157"/>
      <c r="AT139" s="175"/>
      <c r="AU139" s="170"/>
      <c r="AV139" s="157"/>
      <c r="AW139" s="157"/>
      <c r="AX139" s="157"/>
      <c r="AY139" s="175"/>
      <c r="AZ139" s="170"/>
      <c r="BA139" s="157"/>
      <c r="BB139" s="157"/>
      <c r="BC139" s="157"/>
      <c r="BD139" s="175"/>
      <c r="BE139" s="170"/>
      <c r="BF139" s="157"/>
      <c r="BG139" s="157"/>
      <c r="BH139" s="157"/>
      <c r="BI139" s="175"/>
      <c r="BJ139" s="170"/>
      <c r="BK139" s="157"/>
      <c r="BL139" s="157"/>
      <c r="BM139" s="157"/>
      <c r="BN139" s="175"/>
      <c r="BO139" s="170"/>
      <c r="BP139" s="157"/>
      <c r="BQ139" s="157"/>
      <c r="BR139" s="157"/>
      <c r="BS139" s="175"/>
      <c r="BT139" s="170"/>
      <c r="BU139" s="157"/>
      <c r="BV139" s="157"/>
      <c r="BW139" s="157"/>
      <c r="BX139" s="175"/>
      <c r="BY139" s="170"/>
      <c r="BZ139" s="157"/>
      <c r="CA139" s="157"/>
      <c r="CB139" s="157"/>
      <c r="CC139" s="175"/>
      <c r="CD139" s="170"/>
      <c r="CE139" s="157"/>
      <c r="CF139" s="157"/>
      <c r="CG139" s="157"/>
      <c r="CH139" s="175"/>
      <c r="CI139" s="170"/>
      <c r="CJ139" s="157"/>
      <c r="CK139" s="157"/>
      <c r="CL139" s="157"/>
      <c r="CM139" s="175"/>
      <c r="CN139" s="170"/>
      <c r="CO139" s="157"/>
      <c r="CP139" s="157"/>
      <c r="CQ139" s="157"/>
      <c r="CR139" s="175"/>
      <c r="CS139" s="170"/>
      <c r="CT139" s="157"/>
      <c r="CU139" s="157"/>
      <c r="CV139" s="157"/>
      <c r="CW139" s="678"/>
      <c r="CX139" s="742"/>
      <c r="CY139" s="157"/>
      <c r="CZ139" s="157"/>
      <c r="DA139" s="157"/>
      <c r="DB139" s="861"/>
      <c r="DC139" s="170"/>
      <c r="DD139" s="157"/>
      <c r="DE139" s="157"/>
      <c r="DF139" s="157"/>
      <c r="DG139" s="175"/>
      <c r="DH139" s="170"/>
      <c r="DI139" s="157"/>
      <c r="DJ139" s="157"/>
      <c r="DK139" s="157"/>
      <c r="DL139" s="157"/>
      <c r="DM139" s="170"/>
      <c r="DN139" s="157"/>
      <c r="DO139" s="157"/>
      <c r="DP139" s="157"/>
      <c r="DQ139" s="157"/>
      <c r="DR139" s="170"/>
      <c r="DS139" s="157"/>
      <c r="DT139" s="157"/>
      <c r="DU139" s="157"/>
      <c r="DV139" s="157"/>
      <c r="DW139" s="170"/>
      <c r="DX139" s="157"/>
      <c r="DY139" s="157"/>
      <c r="DZ139" s="157"/>
      <c r="EA139" s="157"/>
      <c r="EB139" s="170"/>
      <c r="ED139" s="418"/>
      <c r="EK139" s="418"/>
    </row>
    <row r="140" spans="1:141" x14ac:dyDescent="0.2">
      <c r="A140" s="222" t="s">
        <v>139</v>
      </c>
      <c r="B140" s="224"/>
      <c r="C140" s="225"/>
      <c r="D140" s="225"/>
      <c r="E140" s="225"/>
      <c r="F140" s="225"/>
      <c r="G140" s="226"/>
      <c r="H140" s="225"/>
      <c r="I140" s="225"/>
      <c r="J140" s="225"/>
      <c r="K140" s="225"/>
      <c r="L140" s="226"/>
      <c r="M140" s="225"/>
      <c r="N140" s="225"/>
      <c r="O140" s="225"/>
      <c r="P140" s="225"/>
      <c r="Q140" s="226"/>
      <c r="R140" s="225"/>
      <c r="S140" s="225"/>
      <c r="T140" s="225"/>
      <c r="U140" s="225"/>
      <c r="V140" s="226"/>
      <c r="W140" s="225"/>
      <c r="X140" s="225"/>
      <c r="Y140" s="225"/>
      <c r="Z140" s="225"/>
      <c r="AA140" s="226"/>
      <c r="AB140" s="225"/>
      <c r="AC140" s="225"/>
      <c r="AD140" s="225"/>
      <c r="AE140" s="225"/>
      <c r="AF140" s="226"/>
      <c r="AG140" s="225"/>
      <c r="AH140" s="225"/>
      <c r="AI140" s="225"/>
      <c r="AJ140" s="225"/>
      <c r="AK140" s="226"/>
      <c r="AL140" s="225"/>
      <c r="AM140" s="225"/>
      <c r="AN140" s="225"/>
      <c r="AO140" s="225"/>
      <c r="AP140" s="226"/>
      <c r="AQ140" s="225"/>
      <c r="AR140" s="225"/>
      <c r="AS140" s="225"/>
      <c r="AT140" s="225"/>
      <c r="AU140" s="226"/>
      <c r="AV140" s="225"/>
      <c r="AW140" s="225"/>
      <c r="AX140" s="225"/>
      <c r="AY140" s="225"/>
      <c r="AZ140" s="226"/>
      <c r="BA140" s="225"/>
      <c r="BB140" s="225"/>
      <c r="BC140" s="225"/>
      <c r="BD140" s="225"/>
      <c r="BE140" s="226"/>
      <c r="BF140" s="225"/>
      <c r="BG140" s="225"/>
      <c r="BH140" s="225"/>
      <c r="BI140" s="225"/>
      <c r="BJ140" s="226">
        <f>BE55</f>
        <v>2090.2620000000002</v>
      </c>
      <c r="BK140" s="225">
        <f>BJ55</f>
        <v>2228.5059999999999</v>
      </c>
      <c r="BL140" s="225">
        <f>BK55</f>
        <v>2438.855</v>
      </c>
      <c r="BM140" s="225">
        <f>BL55</f>
        <v>2212.299</v>
      </c>
      <c r="BN140" s="225">
        <f>BM55</f>
        <v>2355.7850000000003</v>
      </c>
      <c r="BO140" s="226">
        <f>BJ55</f>
        <v>2228.5059999999999</v>
      </c>
      <c r="BP140" s="225">
        <f>BO55</f>
        <v>2284.1169999999997</v>
      </c>
      <c r="BQ140" s="225">
        <f>BP55</f>
        <v>2253.1999999999998</v>
      </c>
      <c r="BR140" s="225">
        <f>BQ55</f>
        <v>2440.7999999999997</v>
      </c>
      <c r="BS140" s="225">
        <f>BR55</f>
        <v>2477.2999999999997</v>
      </c>
      <c r="BT140" s="226">
        <f>BO55</f>
        <v>2284.1169999999997</v>
      </c>
      <c r="BU140" s="225">
        <f>BT55</f>
        <v>2490.9</v>
      </c>
      <c r="BV140" s="225">
        <f>BU55</f>
        <v>2584.6</v>
      </c>
      <c r="BW140" s="225">
        <f>BV55</f>
        <v>2630.3999999999996</v>
      </c>
      <c r="BX140" s="225">
        <f>BW55</f>
        <v>2818</v>
      </c>
      <c r="BY140" s="226">
        <f>BT55</f>
        <v>2490.9</v>
      </c>
      <c r="BZ140" s="225">
        <f>BY55</f>
        <v>3045.7</v>
      </c>
      <c r="CA140" s="225">
        <f>BZ55</f>
        <v>3351.2999999999997</v>
      </c>
      <c r="CB140" s="225">
        <f>CA55</f>
        <v>3541</v>
      </c>
      <c r="CC140" s="225">
        <f>CB55</f>
        <v>3520.9</v>
      </c>
      <c r="CD140" s="226">
        <f>BY55</f>
        <v>3045.7</v>
      </c>
      <c r="CE140" s="225">
        <f>CD55</f>
        <v>3674.6999999999994</v>
      </c>
      <c r="CF140" s="225">
        <f>CE55</f>
        <v>4051.7</v>
      </c>
      <c r="CG140" s="225">
        <f>CF55</f>
        <v>4317.8</v>
      </c>
      <c r="CH140" s="225">
        <f>CG55</f>
        <v>4338.8999999999996</v>
      </c>
      <c r="CI140" s="226">
        <f>CD55</f>
        <v>3674.6999999999994</v>
      </c>
      <c r="CJ140" s="225">
        <f>CI55</f>
        <v>4384.8999999999996</v>
      </c>
      <c r="CK140" s="225">
        <f>CJ55</f>
        <v>4772.8</v>
      </c>
      <c r="CL140" s="225">
        <f>CK55</f>
        <v>5133.9000000000005</v>
      </c>
      <c r="CM140" s="225">
        <f>CL55</f>
        <v>5385</v>
      </c>
      <c r="CN140" s="226">
        <f>CI55</f>
        <v>4384.8999999999996</v>
      </c>
      <c r="CO140" s="225">
        <f>CN55</f>
        <v>5108.9999999999991</v>
      </c>
      <c r="CP140" s="225">
        <f>CO55</f>
        <v>5169.2999999999993</v>
      </c>
      <c r="CQ140" s="225">
        <f>CP55</f>
        <v>5321.4</v>
      </c>
      <c r="CR140" s="225">
        <f>CQ55</f>
        <v>5741.5</v>
      </c>
      <c r="CS140" s="226">
        <f>CN55</f>
        <v>5108.9999999999991</v>
      </c>
      <c r="CT140" s="225">
        <f>CS55</f>
        <v>4480.2000000000007</v>
      </c>
      <c r="CU140" s="225">
        <f>CT55</f>
        <v>4887.3999999999996</v>
      </c>
      <c r="CV140" s="225">
        <f>CU55</f>
        <v>4945.1000000000004</v>
      </c>
      <c r="CW140" s="695">
        <f>CV55</f>
        <v>5068.7999999999993</v>
      </c>
      <c r="CX140" s="755">
        <f>CS55</f>
        <v>4480.2000000000007</v>
      </c>
      <c r="CY140" s="225">
        <f>CX55</f>
        <v>5272</v>
      </c>
      <c r="CZ140" s="225">
        <f>CY55</f>
        <v>5775.4</v>
      </c>
      <c r="DA140" s="225">
        <f>CZ55</f>
        <v>6008.7000000000007</v>
      </c>
      <c r="DB140" s="858">
        <f>DA55</f>
        <v>5856.5</v>
      </c>
      <c r="DC140" s="226">
        <f>CX55</f>
        <v>5272</v>
      </c>
      <c r="DD140" s="225">
        <f>DC55</f>
        <v>5818.0000000000009</v>
      </c>
      <c r="DE140" s="225">
        <f>DD55</f>
        <v>5981.5</v>
      </c>
      <c r="DF140" s="225">
        <f>DE55</f>
        <v>5094.6000000000004</v>
      </c>
      <c r="DG140" s="225">
        <f>DF55</f>
        <v>5721.7999999999993</v>
      </c>
      <c r="DH140" s="226">
        <f>DC55</f>
        <v>5818.0000000000009</v>
      </c>
      <c r="DI140" s="225">
        <f>DH55</f>
        <v>5884.0000000000009</v>
      </c>
      <c r="DJ140" s="225">
        <f>DI55</f>
        <v>5796.6</v>
      </c>
      <c r="DK140" s="225">
        <f>DJ55</f>
        <v>5605</v>
      </c>
      <c r="DL140" s="225">
        <f>DK55</f>
        <v>5843.4</v>
      </c>
      <c r="DM140" s="226">
        <f>DH55</f>
        <v>5884.0000000000009</v>
      </c>
      <c r="DN140" s="225">
        <f>DM55</f>
        <v>5450.0999999999995</v>
      </c>
      <c r="DO140" s="225">
        <f>DN55</f>
        <v>6390.163801428087</v>
      </c>
      <c r="DP140" s="225">
        <f>DO55</f>
        <v>6051.0378924058969</v>
      </c>
      <c r="DQ140" s="225">
        <f>DP55</f>
        <v>5865.1656163059833</v>
      </c>
      <c r="DR140" s="226">
        <f>DM55</f>
        <v>5450.0999999999995</v>
      </c>
      <c r="DS140" s="225">
        <f>DR55</f>
        <v>5721.447107032951</v>
      </c>
      <c r="DT140" s="225">
        <f>DS55</f>
        <v>5577.5742534879155</v>
      </c>
      <c r="DU140" s="225">
        <f>DT55</f>
        <v>5333.1469605475886</v>
      </c>
      <c r="DV140" s="225">
        <f>DU55</f>
        <v>5244.7632862023165</v>
      </c>
      <c r="DW140" s="226">
        <f>DR55</f>
        <v>5721.447107032951</v>
      </c>
      <c r="DX140" s="225">
        <f>DW55</f>
        <v>5204.1232678263841</v>
      </c>
      <c r="DY140" s="225">
        <f>DX55</f>
        <v>5283.8697091291851</v>
      </c>
      <c r="DZ140" s="225">
        <f>DY55</f>
        <v>5260.5010702281834</v>
      </c>
      <c r="EA140" s="225">
        <f>DZ55</f>
        <v>5011.2136807771149</v>
      </c>
      <c r="EB140" s="226">
        <f>DW55</f>
        <v>5204.1232678263841</v>
      </c>
      <c r="ED140" s="418"/>
      <c r="EK140" s="418"/>
    </row>
    <row r="141" spans="1:141" x14ac:dyDescent="0.2">
      <c r="A141" s="1" t="s">
        <v>525</v>
      </c>
      <c r="B141" s="179"/>
      <c r="C141" s="175"/>
      <c r="D141" s="175"/>
      <c r="E141" s="175"/>
      <c r="F141" s="175"/>
      <c r="G141" s="170"/>
      <c r="H141" s="157"/>
      <c r="I141" s="157"/>
      <c r="J141" s="157"/>
      <c r="K141" s="175"/>
      <c r="L141" s="170"/>
      <c r="M141" s="157"/>
      <c r="N141" s="157"/>
      <c r="O141" s="157"/>
      <c r="P141" s="175"/>
      <c r="Q141" s="170"/>
      <c r="R141" s="157"/>
      <c r="S141" s="157"/>
      <c r="T141" s="157"/>
      <c r="U141" s="175"/>
      <c r="V141" s="170"/>
      <c r="W141" s="175"/>
      <c r="X141" s="175"/>
      <c r="Y141" s="175"/>
      <c r="Z141" s="175"/>
      <c r="AA141" s="170"/>
      <c r="AB141" s="157"/>
      <c r="AC141" s="157"/>
      <c r="AD141" s="157"/>
      <c r="AE141" s="175"/>
      <c r="AF141" s="170"/>
      <c r="AG141" s="157"/>
      <c r="AH141" s="157"/>
      <c r="AI141" s="157"/>
      <c r="AJ141" s="175"/>
      <c r="AK141" s="170"/>
      <c r="AL141" s="157"/>
      <c r="AM141" s="157"/>
      <c r="AN141" s="157"/>
      <c r="AO141" s="175"/>
      <c r="AP141" s="170"/>
      <c r="AQ141" s="157"/>
      <c r="AR141" s="157"/>
      <c r="AS141" s="157"/>
      <c r="AT141" s="175"/>
      <c r="AU141" s="170"/>
      <c r="AV141" s="157"/>
      <c r="AW141" s="157"/>
      <c r="AX141" s="157"/>
      <c r="AY141" s="175"/>
      <c r="AZ141" s="170"/>
      <c r="BA141" s="157"/>
      <c r="BB141" s="157"/>
      <c r="BC141" s="157"/>
      <c r="BD141" s="175"/>
      <c r="BE141" s="170"/>
      <c r="BF141" s="157"/>
      <c r="BG141" s="157"/>
      <c r="BH141" s="157"/>
      <c r="BI141" s="175"/>
      <c r="BJ141" s="216">
        <f>IS!BJ41</f>
        <v>581.50700000000029</v>
      </c>
      <c r="BK141" s="215">
        <f>IS!BK41</f>
        <v>205.01300000000003</v>
      </c>
      <c r="BL141" s="215">
        <f>IS!BL41</f>
        <v>150.83999999999995</v>
      </c>
      <c r="BM141" s="215">
        <f>IS!BM41</f>
        <v>158.34300000000005</v>
      </c>
      <c r="BN141" s="215">
        <f>IS!BN41</f>
        <v>158.50299999999993</v>
      </c>
      <c r="BO141" s="216">
        <f>IS!BO41</f>
        <v>672.69899999999996</v>
      </c>
      <c r="BP141" s="215">
        <f>IS!BP41</f>
        <v>208.09999999999994</v>
      </c>
      <c r="BQ141" s="215">
        <f>IS!BQ41</f>
        <v>108.66</v>
      </c>
      <c r="BR141" s="311">
        <f>IS!BR41</f>
        <v>-6.8000000000002458</v>
      </c>
      <c r="BS141" s="311">
        <f>IS!BS41</f>
        <v>5.5000000000000266</v>
      </c>
      <c r="BT141" s="388">
        <f>IS!BT41</f>
        <v>315.45999999999964</v>
      </c>
      <c r="BU141" s="311">
        <f>IS!BU41</f>
        <v>64.299999999999812</v>
      </c>
      <c r="BV141" s="311">
        <f>IS!BV41</f>
        <v>25.100000000000122</v>
      </c>
      <c r="BW141" s="311">
        <f>IS!BW41</f>
        <v>148.20000000000005</v>
      </c>
      <c r="BX141" s="311">
        <f>IS!BX41</f>
        <v>153.50000000000023</v>
      </c>
      <c r="BY141" s="388">
        <f>IS!BY41</f>
        <v>391.1</v>
      </c>
      <c r="BZ141" s="311">
        <f>IS!BZ41</f>
        <v>243.50000000000017</v>
      </c>
      <c r="CA141" s="311">
        <f>IS!CA41</f>
        <v>217.80000000000041</v>
      </c>
      <c r="CB141" s="311">
        <f>IS!CB41</f>
        <v>208.49999999999997</v>
      </c>
      <c r="CC141" s="311">
        <f>IS!CC41</f>
        <v>278.50000000000023</v>
      </c>
      <c r="CD141" s="388">
        <f>IS!CD41</f>
        <v>948.29999999999905</v>
      </c>
      <c r="CE141" s="311">
        <f>IS!CE41</f>
        <v>347.60000000000025</v>
      </c>
      <c r="CF141" s="311">
        <f>IS!CF41</f>
        <v>262.39999999999975</v>
      </c>
      <c r="CG141" s="311">
        <f>IS!CG41</f>
        <v>279.8000000000003</v>
      </c>
      <c r="CH141" s="311">
        <f>IS!CH41</f>
        <v>358.30000000000007</v>
      </c>
      <c r="CI141" s="388">
        <f>IS!CI41</f>
        <v>1248.1000000000004</v>
      </c>
      <c r="CJ141" s="311">
        <f>IS!CJ41</f>
        <v>382.20000000000016</v>
      </c>
      <c r="CK141" s="311">
        <f>IS!CK41</f>
        <v>310.09999999999968</v>
      </c>
      <c r="CL141" s="311">
        <f>IS!CL41</f>
        <v>333.29999999999984</v>
      </c>
      <c r="CM141" s="311">
        <f>IS!CM41</f>
        <v>359.3</v>
      </c>
      <c r="CN141" s="388">
        <f>IS!CN41</f>
        <v>1384.8999999999996</v>
      </c>
      <c r="CO141" s="311">
        <f>IS!CO41</f>
        <v>432.40000000000003</v>
      </c>
      <c r="CP141" s="311">
        <f>IS!CP41</f>
        <v>390.6999999999997</v>
      </c>
      <c r="CQ141" s="311">
        <f>IS!CQ41</f>
        <v>417.8000000000003</v>
      </c>
      <c r="CR141" s="311">
        <f>IS!CR41</f>
        <v>-1232.0999999999999</v>
      </c>
      <c r="CS141" s="388">
        <f>IS!CS41</f>
        <v>8.7999999999966576</v>
      </c>
      <c r="CT141" s="311">
        <f>IS!CT41</f>
        <v>540.70000000000039</v>
      </c>
      <c r="CU141" s="311">
        <f>IS!CU41</f>
        <v>426.90000000000038</v>
      </c>
      <c r="CV141" s="311">
        <f>IS!CV41</f>
        <v>512.49999999999989</v>
      </c>
      <c r="CW141" s="709">
        <f>IS!CW41</f>
        <v>587.60000000000048</v>
      </c>
      <c r="CX141" s="731">
        <f>IS!CX41</f>
        <v>2067.7000000000021</v>
      </c>
      <c r="CY141" s="311">
        <f>IS!CY41</f>
        <v>984.50000000000091</v>
      </c>
      <c r="CZ141" s="311">
        <f>IS!CZ41</f>
        <v>495.59999999999997</v>
      </c>
      <c r="DA141" s="311">
        <f>IS!DA41</f>
        <v>626.49999999999966</v>
      </c>
      <c r="DB141" s="891">
        <f>IS!DB41</f>
        <v>652.49999999999943</v>
      </c>
      <c r="DC141" s="388">
        <f>IS!DC41</f>
        <v>2759.1000000000013</v>
      </c>
      <c r="DD141" s="311">
        <f>IS!DD41</f>
        <v>687.69999999999993</v>
      </c>
      <c r="DE141" s="311">
        <f>IS!DE41</f>
        <v>574.99999999999977</v>
      </c>
      <c r="DF141" s="311">
        <f>IS!DF41</f>
        <v>754.49999999999989</v>
      </c>
      <c r="DG141" s="311">
        <f>IS!DG41</f>
        <v>801.80000000000086</v>
      </c>
      <c r="DH141" s="388">
        <f>IS!DH41</f>
        <v>2819.0000000000018</v>
      </c>
      <c r="DI141" s="311">
        <f>IS!DI41</f>
        <v>751.49999999999943</v>
      </c>
      <c r="DJ141" s="311">
        <f>IS!DJ41</f>
        <v>652.80000000000018</v>
      </c>
      <c r="DK141" s="311">
        <f>IS!DK41</f>
        <v>691.30000000000007</v>
      </c>
      <c r="DL141" s="311">
        <f>IS!DL41</f>
        <v>789.30000000000018</v>
      </c>
      <c r="DM141" s="388">
        <f>IS!DM41</f>
        <v>2884.9000000000019</v>
      </c>
      <c r="DN141" s="311">
        <f>IS!DN41</f>
        <v>2250.1000000000013</v>
      </c>
      <c r="DO141" s="311">
        <f>IS!DO41</f>
        <v>738.64484583115814</v>
      </c>
      <c r="DP141" s="311">
        <f>IS!DP41</f>
        <v>898.39189352469089</v>
      </c>
      <c r="DQ141" s="311">
        <f>IS!DQ41</f>
        <v>918.38637463422469</v>
      </c>
      <c r="DR141" s="388">
        <f>IS!DR41</f>
        <v>4805.5231139900761</v>
      </c>
      <c r="DS141" s="311">
        <f>IS!DS41</f>
        <v>927.06256434926024</v>
      </c>
      <c r="DT141" s="311">
        <f>IS!DT41</f>
        <v>845.51603866751259</v>
      </c>
      <c r="DU141" s="311">
        <f>IS!DU41</f>
        <v>1018.0062247124669</v>
      </c>
      <c r="DV141" s="311">
        <f>IS!DV41</f>
        <v>1033.7648557923969</v>
      </c>
      <c r="DW141" s="388">
        <f>IS!DW41</f>
        <v>3824.3496835216347</v>
      </c>
      <c r="DX141" s="311">
        <f>IS!DX41</f>
        <v>1033.745280655859</v>
      </c>
      <c r="DY141" s="311">
        <f>IS!DY41</f>
        <v>951.0646494225241</v>
      </c>
      <c r="DZ141" s="311">
        <f>IS!DZ41</f>
        <v>1141.2731421997314</v>
      </c>
      <c r="EA141" s="311">
        <f>IS!EA41</f>
        <v>1156.8257106101939</v>
      </c>
      <c r="EB141" s="388">
        <f>IS!EB41</f>
        <v>4282.9087828883148</v>
      </c>
      <c r="ED141" s="418"/>
      <c r="EK141" s="418"/>
    </row>
    <row r="142" spans="1:141" x14ac:dyDescent="0.2">
      <c r="A142" s="1" t="s">
        <v>464</v>
      </c>
      <c r="B142" s="179"/>
      <c r="C142" s="175"/>
      <c r="D142" s="175"/>
      <c r="E142" s="175"/>
      <c r="F142" s="175"/>
      <c r="G142" s="170"/>
      <c r="H142" s="157"/>
      <c r="I142" s="157"/>
      <c r="J142" s="157"/>
      <c r="K142" s="175"/>
      <c r="L142" s="170"/>
      <c r="M142" s="157"/>
      <c r="N142" s="157"/>
      <c r="O142" s="157"/>
      <c r="P142" s="175"/>
      <c r="Q142" s="170"/>
      <c r="R142" s="157"/>
      <c r="S142" s="157"/>
      <c r="T142" s="157"/>
      <c r="U142" s="175"/>
      <c r="V142" s="170"/>
      <c r="W142" s="175"/>
      <c r="X142" s="175"/>
      <c r="Y142" s="175"/>
      <c r="Z142" s="175"/>
      <c r="AA142" s="170"/>
      <c r="AB142" s="157"/>
      <c r="AC142" s="157"/>
      <c r="AD142" s="157"/>
      <c r="AE142" s="175"/>
      <c r="AF142" s="170"/>
      <c r="AG142" s="157"/>
      <c r="AH142" s="157"/>
      <c r="AI142" s="157"/>
      <c r="AJ142" s="175"/>
      <c r="AK142" s="170"/>
      <c r="AL142" s="157"/>
      <c r="AM142" s="157"/>
      <c r="AN142" s="157"/>
      <c r="AO142" s="175"/>
      <c r="AP142" s="170"/>
      <c r="AQ142" s="157"/>
      <c r="AR142" s="157"/>
      <c r="AS142" s="157"/>
      <c r="AT142" s="175"/>
      <c r="AU142" s="170"/>
      <c r="AV142" s="157"/>
      <c r="AW142" s="157"/>
      <c r="AX142" s="157"/>
      <c r="AY142" s="175"/>
      <c r="AZ142" s="170"/>
      <c r="BA142" s="157"/>
      <c r="BB142" s="157"/>
      <c r="BC142" s="157"/>
      <c r="BD142" s="175"/>
      <c r="BE142" s="170"/>
      <c r="BF142" s="157"/>
      <c r="BG142" s="157"/>
      <c r="BH142" s="157"/>
      <c r="BI142" s="175"/>
      <c r="BJ142" s="125">
        <f>(BJ51-BE51)+(BJ52-BE52)+(BJ53-BE53)</f>
        <v>-90.211999999999989</v>
      </c>
      <c r="BK142" s="113">
        <f>(BK51-BJ51)+(BK52-BJ52)+(BK53-BJ53)</f>
        <v>1.0000000000000009E-3</v>
      </c>
      <c r="BL142" s="113">
        <f>(BL51-BK51)+(BL52-BK52)+(BL53-BK53)</f>
        <v>-1.100000000000001E-2</v>
      </c>
      <c r="BM142" s="113">
        <f>(BM51-BL51)+(BM52-BL52)+(BM53-BL53)</f>
        <v>-1.0000000000000009E-3</v>
      </c>
      <c r="BN142" s="113">
        <f>(BN51-BM51)+(BN52-BM52)+(BN53-BM53)</f>
        <v>-7.0000000000000062E-3</v>
      </c>
      <c r="BO142" s="125">
        <f>(BO51-BJ51)+(BO52-BJ52)+(BO53-BJ53)</f>
        <v>-1.8000000000000016E-2</v>
      </c>
      <c r="BP142" s="113">
        <f>(BP51-BO51)+(BP52-BO52)+(BP53-BO53)</f>
        <v>-3.1000000000002137E-2</v>
      </c>
      <c r="BQ142" s="113">
        <f>(BQ51-BP51)+(BQ52-BP52)+(BQ53-BP53)</f>
        <v>0</v>
      </c>
      <c r="BR142" s="113">
        <f>(BR51-BQ51)+(BR52-BQ52)+(BR53-BQ53)</f>
        <v>0</v>
      </c>
      <c r="BS142" s="113">
        <f>(BS51-BR51)+(BS52-BR52)+(BS53-BR53)</f>
        <v>0</v>
      </c>
      <c r="BT142" s="125">
        <f>(BT51-BO51)+(BT52-BO52)+(BT53-BO53)</f>
        <v>-3.1000000000002137E-2</v>
      </c>
      <c r="BU142" s="113">
        <f>(BU51-BT51)+(BU52-BT52)+(BU53-BT53)</f>
        <v>32.9</v>
      </c>
      <c r="BV142" s="113">
        <f>(BV51-BU51)+(BV52-BU52)+(BV53-BU53)</f>
        <v>28.300000000000004</v>
      </c>
      <c r="BW142" s="113">
        <f>(BW51-BV51)+(BW52-BV52)+(BW53-BV53)</f>
        <v>25.700000000000003</v>
      </c>
      <c r="BX142" s="113">
        <f>(BX51-BW51)+(BX52-BW52)+(BX53-BW53)</f>
        <v>60.099999999999994</v>
      </c>
      <c r="BY142" s="125">
        <f>(BY51-BT51)+(BY52-BT52)+(BY53-BT53)</f>
        <v>147</v>
      </c>
      <c r="BZ142" s="113">
        <f>(BZ51-BY51)+(BZ52-BY52)+(BZ53-BY53)</f>
        <v>71.400000000000006</v>
      </c>
      <c r="CA142" s="113">
        <f>(CA51-BZ51)+(CA52-BZ52)+(CA53-BZ53)</f>
        <v>57.499999999999972</v>
      </c>
      <c r="CB142" s="113">
        <f>(CB51-CA51)+(CB52-CA52)+(CB53-CA53)</f>
        <v>-113.79999999999998</v>
      </c>
      <c r="CC142" s="113">
        <f>(CC51-CB51)+(CC52-CB52)+(CC53-CB53)</f>
        <v>-55.899999999999991</v>
      </c>
      <c r="CD142" s="125">
        <f>(CD51-BY51)+(CD52-BY52)+(CD53-BY53)</f>
        <v>-40.799999999999997</v>
      </c>
      <c r="CE142" s="113">
        <f>(CE51-CD51)+(CE52-CD52)+(CE53-CD53)</f>
        <v>122.7</v>
      </c>
      <c r="CF142" s="113">
        <f>(CF51-CE51)+(CF52-CE52)+(CF53-CE53)</f>
        <v>80.5</v>
      </c>
      <c r="CG142" s="113">
        <f>(CG51-CF51)+(CG52-CF52)+(CG53-CF53)</f>
        <v>-173.8</v>
      </c>
      <c r="CH142" s="113">
        <f>(CH51-CG51)+(CH52-CG52)+(CH53-CG53)</f>
        <v>-134.5</v>
      </c>
      <c r="CI142" s="125">
        <f>(CI51-CD51)+(CI52-CD52)+(CI53-CD53)</f>
        <v>-105.10000000000001</v>
      </c>
      <c r="CJ142" s="113">
        <f>(CJ51-CI51)+(CJ52-CI52)+(CJ53-CI53)</f>
        <v>138.29999999999998</v>
      </c>
      <c r="CK142" s="113">
        <f>(CK51-CJ51)+(CK52-CJ52)+(CK53-CJ53)</f>
        <v>180.60000000000002</v>
      </c>
      <c r="CL142" s="113">
        <f>(CL51-CK51)+(CL52-CK52)+(CL53-CK53)</f>
        <v>91.599999999999966</v>
      </c>
      <c r="CM142" s="113">
        <f>(CM51-CL51)+(CM52-CL52)+(CM53-CL53)</f>
        <v>-411.6</v>
      </c>
      <c r="CN142" s="125">
        <f>(CN51-CI51)+(CN52-CI52)+(CN53-CI53)</f>
        <v>-1.1000000000000014</v>
      </c>
      <c r="CO142" s="113">
        <f>(CO51-CN51)+(CO52-CN52)+(CO53-CN53)</f>
        <v>0</v>
      </c>
      <c r="CP142" s="113">
        <f>(CP51-CO51)+(CP52-CO52)+(CP53-CO53)</f>
        <v>0</v>
      </c>
      <c r="CQ142" s="113">
        <f>(CQ51-CP51)+(CQ52-CP52)+(CQ53-CP53)</f>
        <v>128.39999999999998</v>
      </c>
      <c r="CR142" s="113">
        <f>(CR51-CQ51)+(CR52-CQ52)+(CR53-CQ53)</f>
        <v>114.40000000000003</v>
      </c>
      <c r="CS142" s="125">
        <f>(CS51-CN51)+(CS52-CN52)+(CS53-CN53)</f>
        <v>242.8</v>
      </c>
      <c r="CT142" s="113">
        <f>(CT51-CS51)+(CT52-CS52)+(CT53-CS53)</f>
        <v>61.599999999999966</v>
      </c>
      <c r="CU142" s="113">
        <f>(CU51-CT51)+(CU52-CT52)+(CU53-CT53)</f>
        <v>-169.1</v>
      </c>
      <c r="CV142" s="113">
        <f>(CV51-CU51)+(CV52-CU52)+(CV53-CU53)</f>
        <v>-135.19999999999999</v>
      </c>
      <c r="CW142" s="670">
        <f>(CW51-CV51)+(CW52-CV52)+(CW53-CV53)</f>
        <v>-9.9999999999994316E-2</v>
      </c>
      <c r="CX142" s="719">
        <f>(CX51-CS51)+(CX52-CS52)+(CX53-CS53)</f>
        <v>-242.80000000000004</v>
      </c>
      <c r="CY142" s="113">
        <f>(CY51-CX51)+(CY52-CX52)+(CY53-CX53)</f>
        <v>9.9999999999994316E-2</v>
      </c>
      <c r="CZ142" s="113">
        <f>(CZ51-CY51)+(CZ52-CY52)+(CZ53-CY53)</f>
        <v>2.400000000000003</v>
      </c>
      <c r="DA142" s="113">
        <f>(DA51-CZ51)+(DA52-CZ52)+(DA53-CZ53)</f>
        <v>0</v>
      </c>
      <c r="DB142" s="871">
        <f>(DB51-DA51)+(DB52-DA52)+(DB53-DA53)</f>
        <v>0</v>
      </c>
      <c r="DC142" s="125">
        <f>(DC51-CX51)+(DC52-CX52)+(DC53-CX53)</f>
        <v>2.5</v>
      </c>
      <c r="DD142" s="113">
        <f>(DD51-DC51)+(DD52-DC52)+(DD53-DC53)</f>
        <v>0</v>
      </c>
      <c r="DE142" s="113">
        <f>(DE51-DD51)+(DE52-DD52)+(DE53-DD53)</f>
        <v>0</v>
      </c>
      <c r="DF142" s="113">
        <f>(DF51-DE51)+(DF52-DE52)+(DF53-DE53)</f>
        <v>105.80000000000001</v>
      </c>
      <c r="DG142" s="113">
        <f>(DG51-DF51)+(DG52-DF52)+(DG53-DF53)</f>
        <v>-105.80000000000001</v>
      </c>
      <c r="DH142" s="125">
        <f>(DH51-DC51)+(DH52-DC52)+(DH53-DC53)</f>
        <v>0</v>
      </c>
      <c r="DI142" s="113">
        <f>(DI51-DH51)+(DI52-DH52)+(DI53-DH53)</f>
        <v>0</v>
      </c>
      <c r="DJ142" s="113">
        <f>(DJ51-DI51)+(DJ52-DI52)+(DJ53-DI53)</f>
        <v>-0.10000000000000009</v>
      </c>
      <c r="DK142" s="113">
        <f>(DK51-DJ51)+(DK52-DJ52)+(DK53-DJ53)</f>
        <v>0</v>
      </c>
      <c r="DL142" s="113">
        <f>(DL51-DK51)+(DL52-DK52)+(DL53-DK53)</f>
        <v>0</v>
      </c>
      <c r="DM142" s="125">
        <f>(DM51-DH51)+(DM52-DH52)+(DM53-DH53)</f>
        <v>-0.10000000000000009</v>
      </c>
      <c r="DN142" s="113">
        <f>(DN51-DM51)+(DN52-DM52)+(DN53-DM53)</f>
        <v>-884</v>
      </c>
      <c r="DO142" s="113">
        <f>(DO51-DN51)+(DO52-DN52)+(DO53-DN53)</f>
        <v>-654.00000000000011</v>
      </c>
      <c r="DP142" s="113">
        <f>(DP51-DO51)+(DP52-DO52)+(DP53-DO53)</f>
        <v>-664</v>
      </c>
      <c r="DQ142" s="113">
        <f>(DQ51-DP51)+(DQ52-DP52)+(DQ53-DP53)</f>
        <v>-644</v>
      </c>
      <c r="DR142" s="125">
        <f>(DR51-DM51)+(DR52-DM52)+(DR53-DM53)</f>
        <v>-2846</v>
      </c>
      <c r="DS142" s="113">
        <f>(DS51-DR51)+(DS52-DR52)+(DS53-DR53)</f>
        <v>-574</v>
      </c>
      <c r="DT142" s="113">
        <f>(DT51-DS51)+(DT52-DS52)+(DT53-DS53)</f>
        <v>-594</v>
      </c>
      <c r="DU142" s="113">
        <f>(DU51-DT51)+(DU52-DT52)+(DU53-DT53)</f>
        <v>-613.99999999999955</v>
      </c>
      <c r="DV142" s="113">
        <f>(DV51-DU51)+(DV52-DU52)+(DV53-DU53)</f>
        <v>-584</v>
      </c>
      <c r="DW142" s="125">
        <f>(DW51-DR51)+(DW52-DR52)+(DW53-DR53)</f>
        <v>-2365.9999999999995</v>
      </c>
      <c r="DX142" s="113">
        <f>(DX51-DW51)+(DX52-DW52)+(DX53-DW53)</f>
        <v>-370</v>
      </c>
      <c r="DY142" s="113">
        <f>(DY51-DX51)+(DY52-DX52)+(DY53-DX53)</f>
        <v>-390</v>
      </c>
      <c r="DZ142" s="113">
        <f>(DZ51-DY51)+(DZ52-DY52)+(DZ53-DY53)</f>
        <v>-810</v>
      </c>
      <c r="EA142" s="113">
        <f>(EA51-DZ51)+(EA52-DZ52)+(EA53-DZ53)</f>
        <v>-778</v>
      </c>
      <c r="EB142" s="125">
        <f>(EB51-DW51)+(EB52-DW52)+(EB53-DW53)</f>
        <v>-2348</v>
      </c>
      <c r="ED142" s="418"/>
      <c r="EK142" s="418"/>
    </row>
    <row r="143" spans="1:141" x14ac:dyDescent="0.2">
      <c r="A143" s="1" t="s">
        <v>97</v>
      </c>
      <c r="B143" s="179"/>
      <c r="C143" s="175"/>
      <c r="D143" s="175"/>
      <c r="E143" s="175"/>
      <c r="F143" s="175"/>
      <c r="G143" s="170"/>
      <c r="H143" s="157"/>
      <c r="I143" s="157"/>
      <c r="J143" s="157"/>
      <c r="K143" s="175"/>
      <c r="L143" s="170"/>
      <c r="M143" s="157"/>
      <c r="N143" s="157"/>
      <c r="O143" s="157"/>
      <c r="P143" s="175"/>
      <c r="Q143" s="170"/>
      <c r="R143" s="157"/>
      <c r="S143" s="157"/>
      <c r="T143" s="157"/>
      <c r="U143" s="175"/>
      <c r="V143" s="170"/>
      <c r="W143" s="175"/>
      <c r="X143" s="175"/>
      <c r="Y143" s="175"/>
      <c r="Z143" s="175"/>
      <c r="AA143" s="170"/>
      <c r="AB143" s="157"/>
      <c r="AC143" s="157"/>
      <c r="AD143" s="157"/>
      <c r="AE143" s="175"/>
      <c r="AF143" s="170"/>
      <c r="AG143" s="157"/>
      <c r="AH143" s="157"/>
      <c r="AI143" s="157"/>
      <c r="AJ143" s="175"/>
      <c r="AK143" s="170"/>
      <c r="AL143" s="157"/>
      <c r="AM143" s="157"/>
      <c r="AN143" s="157"/>
      <c r="AO143" s="175"/>
      <c r="AP143" s="170"/>
      <c r="AQ143" s="157"/>
      <c r="AR143" s="157"/>
      <c r="AS143" s="157"/>
      <c r="AT143" s="175"/>
      <c r="AU143" s="170"/>
      <c r="AV143" s="157"/>
      <c r="AW143" s="157"/>
      <c r="AX143" s="157"/>
      <c r="AY143" s="175"/>
      <c r="AZ143" s="170"/>
      <c r="BA143" s="157"/>
      <c r="BB143" s="157"/>
      <c r="BC143" s="157"/>
      <c r="BD143" s="175"/>
      <c r="BE143" s="170"/>
      <c r="BF143" s="157"/>
      <c r="BG143" s="157"/>
      <c r="BH143" s="157"/>
      <c r="BI143" s="175"/>
      <c r="BJ143" s="170">
        <f>BJ54-BE54</f>
        <v>16.359000000000002</v>
      </c>
      <c r="BK143" s="175">
        <f>BK54-BJ54</f>
        <v>11.513999999999996</v>
      </c>
      <c r="BL143" s="175">
        <f>BL54-BK54</f>
        <v>1.5900000000000034</v>
      </c>
      <c r="BM143" s="175">
        <f>BM54-BL54</f>
        <v>0.27799999999999869</v>
      </c>
      <c r="BN143" s="175">
        <f>BN54-BM54</f>
        <v>3.9649999999999963</v>
      </c>
      <c r="BO143" s="170">
        <f>BO54-BJ54</f>
        <v>17.346999999999994</v>
      </c>
      <c r="BP143" s="175">
        <f>BP54-BO54</f>
        <v>9.8800000000000026</v>
      </c>
      <c r="BQ143" s="175">
        <f>BQ54-BP54</f>
        <v>20.599999999999994</v>
      </c>
      <c r="BR143" s="113">
        <f>BR54-BQ54</f>
        <v>-5.5</v>
      </c>
      <c r="BS143" s="113">
        <f>BS54-BR54</f>
        <v>-31.199999999999996</v>
      </c>
      <c r="BT143" s="125">
        <f>BT54-BO54</f>
        <v>-6.2199999999999989</v>
      </c>
      <c r="BU143" s="113">
        <f>BU54-BT54</f>
        <v>-3.5</v>
      </c>
      <c r="BV143" s="113">
        <f>BV54-BU54</f>
        <v>-7.5</v>
      </c>
      <c r="BW143" s="113">
        <f>BW54-BV54</f>
        <v>10.399999999999999</v>
      </c>
      <c r="BX143" s="113">
        <f>BX54-BW54</f>
        <v>17.600000000000009</v>
      </c>
      <c r="BY143" s="125">
        <f>BY54-BT54</f>
        <v>17.000000000000007</v>
      </c>
      <c r="BZ143" s="113">
        <f>BZ54-BY54</f>
        <v>-7.2000000000000028</v>
      </c>
      <c r="CA143" s="113">
        <f>CA54-BZ54</f>
        <v>-10.300000000000004</v>
      </c>
      <c r="CB143" s="113">
        <f>CB54-CA54</f>
        <v>-17.5</v>
      </c>
      <c r="CC143" s="113">
        <f>CC54-CB54</f>
        <v>26.800000000000004</v>
      </c>
      <c r="CD143" s="125">
        <f>CD54-BY54</f>
        <v>-8.2000000000000028</v>
      </c>
      <c r="CE143" s="113">
        <f>CE54-CD54</f>
        <v>5.3999999999999986</v>
      </c>
      <c r="CF143" s="113">
        <f>CF54-CE54</f>
        <v>21.999999999999993</v>
      </c>
      <c r="CG143" s="113">
        <f>CG54-CF54</f>
        <v>12.900000000000006</v>
      </c>
      <c r="CH143" s="113">
        <f>CH54-CG54</f>
        <v>-51.2</v>
      </c>
      <c r="CI143" s="125">
        <f>CI54-CD54</f>
        <v>-10.900000000000006</v>
      </c>
      <c r="CJ143" s="113">
        <f>CJ54-CI54</f>
        <v>-4.1999999999999957</v>
      </c>
      <c r="CK143" s="113">
        <f>CK54-CJ54</f>
        <v>-0.39999999999999858</v>
      </c>
      <c r="CL143" s="113">
        <f>CL54-CK54</f>
        <v>-44.2</v>
      </c>
      <c r="CM143" s="113">
        <f>CM54-CL54</f>
        <v>25.2</v>
      </c>
      <c r="CN143" s="125">
        <f>CN54-CI54</f>
        <v>-23.599999999999998</v>
      </c>
      <c r="CO143" s="113">
        <f>CO54-CN54</f>
        <v>-10.799999999999999</v>
      </c>
      <c r="CP143" s="113">
        <f>CP54-CO54</f>
        <v>-29.200000000000003</v>
      </c>
      <c r="CQ143" s="113">
        <f>CQ54-CP54</f>
        <v>31.8</v>
      </c>
      <c r="CR143" s="113">
        <f>CR54-CQ54</f>
        <v>52.5</v>
      </c>
      <c r="CS143" s="125">
        <f>CS54-CN54</f>
        <v>44.3</v>
      </c>
      <c r="CT143" s="113">
        <f>CT54-CS54</f>
        <v>1.7000000000000028</v>
      </c>
      <c r="CU143" s="113">
        <f>CU54-CT54</f>
        <v>-4.4000000000000057</v>
      </c>
      <c r="CV143" s="113">
        <f>CV54-CU54</f>
        <v>6.6000000000000085</v>
      </c>
      <c r="CW143" s="670">
        <f>CW54-CV54</f>
        <v>-45.600000000000009</v>
      </c>
      <c r="CX143" s="719">
        <f>CX54-CS54</f>
        <v>-41.7</v>
      </c>
      <c r="CY143" s="113">
        <f>CY54-CX54</f>
        <v>-122.3</v>
      </c>
      <c r="CZ143" s="113">
        <f>CZ54-CY54</f>
        <v>-19.900000000000006</v>
      </c>
      <c r="DA143" s="113">
        <f>DA54-CZ54</f>
        <v>-14.199999999999989</v>
      </c>
      <c r="DB143" s="871">
        <f>DB54-DA54</f>
        <v>-68.300000000000011</v>
      </c>
      <c r="DC143" s="125">
        <f>DC54-CX54</f>
        <v>-224.70000000000002</v>
      </c>
      <c r="DD143" s="113">
        <f>DD54-DC54</f>
        <v>-25.699999999999989</v>
      </c>
      <c r="DE143" s="113">
        <f>DE54-DD54</f>
        <v>35.900000000000006</v>
      </c>
      <c r="DF143" s="113">
        <f>DF54-DE54</f>
        <v>60.599999999999994</v>
      </c>
      <c r="DG143" s="113">
        <f>DG54-DF54</f>
        <v>20.199999999999989</v>
      </c>
      <c r="DH143" s="125">
        <f>DH54-DC54</f>
        <v>91</v>
      </c>
      <c r="DI143" s="113">
        <f>DI54-DH54</f>
        <v>-133.9</v>
      </c>
      <c r="DJ143" s="113">
        <f>DJ54-DI54</f>
        <v>35.900000000000006</v>
      </c>
      <c r="DK143" s="113">
        <f>DK54-DJ54</f>
        <v>21.300000000000011</v>
      </c>
      <c r="DL143" s="113">
        <f>DL54-DK54</f>
        <v>29.5</v>
      </c>
      <c r="DM143" s="125">
        <f>DM54-DH54</f>
        <v>-47.199999999999989</v>
      </c>
      <c r="DN143" s="113">
        <f>DN54-DM54</f>
        <v>0</v>
      </c>
      <c r="DO143" s="113">
        <f>DO54-DN54</f>
        <v>0</v>
      </c>
      <c r="DP143" s="113">
        <f>DP54-DO54</f>
        <v>0</v>
      </c>
      <c r="DQ143" s="113">
        <f>DQ54-DP54</f>
        <v>0</v>
      </c>
      <c r="DR143" s="125">
        <f>DR54-DM54</f>
        <v>0</v>
      </c>
      <c r="DS143" s="113">
        <f>DS54-DR54</f>
        <v>0</v>
      </c>
      <c r="DT143" s="113">
        <f>DT54-DS54</f>
        <v>0</v>
      </c>
      <c r="DU143" s="113">
        <f>DU54-DT54</f>
        <v>0</v>
      </c>
      <c r="DV143" s="113">
        <f>DV54-DU54</f>
        <v>0</v>
      </c>
      <c r="DW143" s="125">
        <f>DW54-DR54</f>
        <v>0</v>
      </c>
      <c r="DX143" s="113">
        <f>DX54-DW54</f>
        <v>0</v>
      </c>
      <c r="DY143" s="113">
        <f>DY54-DX54</f>
        <v>0</v>
      </c>
      <c r="DZ143" s="113">
        <f>DZ54-DY54</f>
        <v>0</v>
      </c>
      <c r="EA143" s="113">
        <f>EA54-DZ54</f>
        <v>0</v>
      </c>
      <c r="EB143" s="125">
        <f>EB54-DW54</f>
        <v>0</v>
      </c>
      <c r="ED143" s="418"/>
      <c r="EK143" s="418"/>
    </row>
    <row r="144" spans="1:141" x14ac:dyDescent="0.2">
      <c r="A144" s="1" t="s">
        <v>96</v>
      </c>
      <c r="B144" s="179"/>
      <c r="C144" s="175"/>
      <c r="D144" s="175"/>
      <c r="E144" s="175"/>
      <c r="F144" s="175"/>
      <c r="G144" s="170"/>
      <c r="H144" s="157"/>
      <c r="I144" s="157"/>
      <c r="J144" s="157"/>
      <c r="K144" s="175"/>
      <c r="L144" s="170"/>
      <c r="M144" s="157"/>
      <c r="N144" s="157"/>
      <c r="O144" s="157"/>
      <c r="P144" s="175"/>
      <c r="Q144" s="170"/>
      <c r="R144" s="157"/>
      <c r="S144" s="157"/>
      <c r="T144" s="157"/>
      <c r="U144" s="175"/>
      <c r="V144" s="170"/>
      <c r="W144" s="175"/>
      <c r="X144" s="175"/>
      <c r="Y144" s="175"/>
      <c r="Z144" s="175"/>
      <c r="AA144" s="170"/>
      <c r="AB144" s="157"/>
      <c r="AC144" s="157"/>
      <c r="AD144" s="157"/>
      <c r="AE144" s="175"/>
      <c r="AF144" s="170"/>
      <c r="AG144" s="157"/>
      <c r="AH144" s="157"/>
      <c r="AI144" s="157"/>
      <c r="AJ144" s="175"/>
      <c r="AK144" s="170"/>
      <c r="AL144" s="157"/>
      <c r="AM144" s="157"/>
      <c r="AN144" s="157"/>
      <c r="AO144" s="175"/>
      <c r="AP144" s="170"/>
      <c r="AQ144" s="157"/>
      <c r="AR144" s="157"/>
      <c r="AS144" s="157"/>
      <c r="AT144" s="175"/>
      <c r="AU144" s="170"/>
      <c r="AV144" s="157"/>
      <c r="AW144" s="157"/>
      <c r="AX144" s="157"/>
      <c r="AY144" s="175"/>
      <c r="AZ144" s="170"/>
      <c r="BA144" s="157"/>
      <c r="BB144" s="157"/>
      <c r="BC144" s="157"/>
      <c r="BD144" s="175"/>
      <c r="BE144" s="170"/>
      <c r="BF144" s="157"/>
      <c r="BG144" s="157"/>
      <c r="BH144" s="157"/>
      <c r="BI144" s="175"/>
      <c r="BJ144" s="138">
        <f>BJ50-BE50-BJ141</f>
        <v>-369.41000000000054</v>
      </c>
      <c r="BK144" s="141">
        <f>BK50-BJ50-BK141</f>
        <v>-6.1789999999997463</v>
      </c>
      <c r="BL144" s="141">
        <f>BL50-BK50-BL141</f>
        <v>-378.97500000000014</v>
      </c>
      <c r="BM144" s="141">
        <f>BM50-BL50-BM141</f>
        <v>-15.133999999999759</v>
      </c>
      <c r="BN144" s="141">
        <f>BN50-BM50-BN141</f>
        <v>-234.12900000000013</v>
      </c>
      <c r="BO144" s="138">
        <f>BO50-BJ50-BO141</f>
        <v>-634.4169999999998</v>
      </c>
      <c r="BP144" s="141">
        <f>BP50-BO50-BP141</f>
        <v>-248.86600000000001</v>
      </c>
      <c r="BQ144" s="141">
        <f>BQ50-BP50-BQ141</f>
        <v>58.34</v>
      </c>
      <c r="BR144" s="141">
        <f>BR50-BQ50-BR141</f>
        <v>48.800000000000246</v>
      </c>
      <c r="BS144" s="141">
        <f>BS50-BR50-BS141</f>
        <v>39.300000000000153</v>
      </c>
      <c r="BT144" s="138">
        <f>BT50-BO50-BT141</f>
        <v>-102.42599999999953</v>
      </c>
      <c r="BU144" s="141">
        <f>BU50-BT50-BU141</f>
        <v>0</v>
      </c>
      <c r="BV144" s="141">
        <f>BV50-BU50-BV141</f>
        <v>-0.10000000000012221</v>
      </c>
      <c r="BW144" s="141">
        <f>BW50-BV50-BW141</f>
        <v>3.2999999999999545</v>
      </c>
      <c r="BX144" s="141">
        <f>BX50-BW50-BX141</f>
        <v>-3.5000000000002274</v>
      </c>
      <c r="BY144" s="138">
        <f>BY50-BT50-BY141</f>
        <v>-0.30000000000029559</v>
      </c>
      <c r="BZ144" s="141">
        <f>BZ50-BY50-BZ141</f>
        <v>-2.1000000000000796</v>
      </c>
      <c r="CA144" s="141">
        <f>CA50-BZ50-CA141</f>
        <v>-75.300000000000409</v>
      </c>
      <c r="CB144" s="141">
        <f>CB50-CA50-CB141</f>
        <v>-97.299999999999699</v>
      </c>
      <c r="CC144" s="141">
        <f>CC50-CB50-CC141</f>
        <v>-95.600000000000591</v>
      </c>
      <c r="CD144" s="138">
        <f>CD50-BY50-CD141</f>
        <v>-270.29999999999905</v>
      </c>
      <c r="CE144" s="141">
        <f>CE50-CD50-CE141</f>
        <v>-98.700000000000159</v>
      </c>
      <c r="CF144" s="141">
        <f>CF50-CE50-CF141</f>
        <v>-98.799999999999841</v>
      </c>
      <c r="CG144" s="141">
        <f>CG50-CF50-CG141</f>
        <v>-97.800000000000296</v>
      </c>
      <c r="CH144" s="141">
        <f>CH50-CG50-CH141</f>
        <v>-126.60000000000025</v>
      </c>
      <c r="CI144" s="138">
        <f>CI50-CD50-CI141</f>
        <v>-421.90000000000055</v>
      </c>
      <c r="CJ144" s="141">
        <f>CJ50-CI50-CJ141</f>
        <v>-128.39999999999998</v>
      </c>
      <c r="CK144" s="141">
        <f>CK50-CJ50-CK141</f>
        <v>-129.19999999999914</v>
      </c>
      <c r="CL144" s="141">
        <f>CL50-CK50-CL141</f>
        <v>-129.60000000000002</v>
      </c>
      <c r="CM144" s="141">
        <f>CM50-CL50-CM141</f>
        <v>-248.90000000000038</v>
      </c>
      <c r="CN144" s="138">
        <f>CN50-CI50-CN141</f>
        <v>-636.09999999999945</v>
      </c>
      <c r="CO144" s="141">
        <f>CO50-CN50-CO141</f>
        <v>-361.29999999999967</v>
      </c>
      <c r="CP144" s="141">
        <f>CP50-CO50-CP141</f>
        <v>-209.39999999999952</v>
      </c>
      <c r="CQ144" s="141">
        <f>CQ50-CP50-CQ141</f>
        <v>-157.90000000000066</v>
      </c>
      <c r="CR144" s="141">
        <f>CR50-CQ50-CR141</f>
        <v>-196.09999999999991</v>
      </c>
      <c r="CS144" s="138">
        <f>CS50-CN50-CS141</f>
        <v>-924.69999999999629</v>
      </c>
      <c r="CT144" s="141">
        <f>CT50-CS50-CT141</f>
        <v>-196.80000000000075</v>
      </c>
      <c r="CU144" s="141">
        <f>CU50-CT50-CU141</f>
        <v>-195.70000000000056</v>
      </c>
      <c r="CV144" s="141">
        <f>CV50-CU50-CV141</f>
        <v>-260.1999999999997</v>
      </c>
      <c r="CW144" s="710">
        <f>CW50-CV50-CW141</f>
        <v>-338.69999999999993</v>
      </c>
      <c r="CX144" s="730">
        <f>CX50-CS50-CX141</f>
        <v>-991.40000000000191</v>
      </c>
      <c r="CY144" s="141">
        <f>CY50-CX50-CY141</f>
        <v>-358.90000000000146</v>
      </c>
      <c r="CZ144" s="141">
        <f>CZ50-CY50-CZ141</f>
        <v>-244.79999999999978</v>
      </c>
      <c r="DA144" s="141">
        <f>DA50-CZ50-DA141</f>
        <v>-764.49999999999966</v>
      </c>
      <c r="DB144" s="892">
        <f>DB50-DA50-DB141</f>
        <v>-622.69999999999925</v>
      </c>
      <c r="DC144" s="138">
        <f>DC50-CX50-DC141</f>
        <v>-1990.9000000000015</v>
      </c>
      <c r="DD144" s="141">
        <f>DD50-DC50-DD141</f>
        <v>-498.50000000000011</v>
      </c>
      <c r="DE144" s="141">
        <f>DE50-DD50-DE141</f>
        <v>-1497.8</v>
      </c>
      <c r="DF144" s="141">
        <f>DF50-DE50-DF141</f>
        <v>-293.6999999999997</v>
      </c>
      <c r="DG144" s="141">
        <f>DG50-DF50-DG141</f>
        <v>-554.00000000000068</v>
      </c>
      <c r="DH144" s="138">
        <f>DH50-DC50-DH141</f>
        <v>-2844.0000000000018</v>
      </c>
      <c r="DI144" s="141">
        <f>DI50-DH50-DI141</f>
        <v>-704.99999999999943</v>
      </c>
      <c r="DJ144" s="141">
        <f>DJ50-DI50-DJ141</f>
        <v>-880.20000000000073</v>
      </c>
      <c r="DK144" s="141">
        <f>DK50-DJ50-DK141</f>
        <v>-474.1999999999997</v>
      </c>
      <c r="DL144" s="141">
        <f>DL50-DK50-DL141</f>
        <v>-1212.1000000000004</v>
      </c>
      <c r="DM144" s="138">
        <f>DM50-DH50-DM141</f>
        <v>-3271.5000000000023</v>
      </c>
      <c r="DN144" s="141">
        <f>DN50-DM50-DN141</f>
        <v>-426.0361985719137</v>
      </c>
      <c r="DO144" s="141">
        <f>DO50-DN50-DO141</f>
        <v>-423.77075485334831</v>
      </c>
      <c r="DP144" s="141">
        <f>DP50-DO50-DP141</f>
        <v>-420.26416962460348</v>
      </c>
      <c r="DQ144" s="141">
        <f>DQ50-DP50-DQ141</f>
        <v>-418.104883907258</v>
      </c>
      <c r="DR144" s="138">
        <f>DR50-DM50-DR141</f>
        <v>-1688.1760069571246</v>
      </c>
      <c r="DS144" s="141">
        <f>DS50-DR50-DS141</f>
        <v>-496.93541789429571</v>
      </c>
      <c r="DT144" s="141">
        <f>DT50-DS50-DT141</f>
        <v>-495.94333160783947</v>
      </c>
      <c r="DU144" s="141">
        <f>DU50-DT50-DU141</f>
        <v>-492.38989905773894</v>
      </c>
      <c r="DV144" s="141">
        <f>DV50-DU50-DV141</f>
        <v>-490.40487416832934</v>
      </c>
      <c r="DW144" s="138">
        <f>DW50-DR50-DW141</f>
        <v>-1975.6735227282015</v>
      </c>
      <c r="DX144" s="141">
        <f>DX50-DW50-DX141</f>
        <v>-583.99883935305797</v>
      </c>
      <c r="DY144" s="141">
        <f>DY50-DX50-DY141</f>
        <v>-584.43328832352586</v>
      </c>
      <c r="DZ144" s="141">
        <f>DZ50-DY50-DZ141</f>
        <v>-580.56053165079993</v>
      </c>
      <c r="EA144" s="141">
        <f>EA50-DZ50-EA141</f>
        <v>-577.27564802939582</v>
      </c>
      <c r="EB144" s="138">
        <f>EB50-DW50-EB141</f>
        <v>-2326.268307356786</v>
      </c>
      <c r="ED144" s="418"/>
      <c r="EK144" s="418"/>
    </row>
    <row r="145" spans="1:141" x14ac:dyDescent="0.2">
      <c r="A145" s="222" t="s">
        <v>95</v>
      </c>
      <c r="B145" s="224"/>
      <c r="C145" s="225"/>
      <c r="D145" s="225"/>
      <c r="E145" s="225"/>
      <c r="F145" s="225"/>
      <c r="G145" s="226"/>
      <c r="H145" s="225"/>
      <c r="I145" s="225"/>
      <c r="J145" s="225"/>
      <c r="K145" s="225"/>
      <c r="L145" s="226"/>
      <c r="M145" s="225"/>
      <c r="N145" s="225"/>
      <c r="O145" s="225"/>
      <c r="P145" s="225"/>
      <c r="Q145" s="226"/>
      <c r="R145" s="225"/>
      <c r="S145" s="225"/>
      <c r="T145" s="225"/>
      <c r="U145" s="225"/>
      <c r="V145" s="226"/>
      <c r="W145" s="225"/>
      <c r="X145" s="225"/>
      <c r="Y145" s="225"/>
      <c r="Z145" s="225"/>
      <c r="AA145" s="226"/>
      <c r="AB145" s="225"/>
      <c r="AC145" s="225"/>
      <c r="AD145" s="225"/>
      <c r="AE145" s="225"/>
      <c r="AF145" s="226"/>
      <c r="AG145" s="225"/>
      <c r="AH145" s="225"/>
      <c r="AI145" s="225"/>
      <c r="AJ145" s="225"/>
      <c r="AK145" s="226"/>
      <c r="AL145" s="225"/>
      <c r="AM145" s="225"/>
      <c r="AN145" s="225"/>
      <c r="AO145" s="225"/>
      <c r="AP145" s="226"/>
      <c r="AQ145" s="225"/>
      <c r="AR145" s="225"/>
      <c r="AS145" s="225"/>
      <c r="AT145" s="225"/>
      <c r="AU145" s="226"/>
      <c r="AV145" s="225"/>
      <c r="AW145" s="225"/>
      <c r="AX145" s="225"/>
      <c r="AY145" s="225"/>
      <c r="AZ145" s="226"/>
      <c r="BA145" s="225"/>
      <c r="BB145" s="225"/>
      <c r="BC145" s="225"/>
      <c r="BD145" s="225"/>
      <c r="BE145" s="226"/>
      <c r="BF145" s="225"/>
      <c r="BG145" s="225"/>
      <c r="BH145" s="225"/>
      <c r="BI145" s="225"/>
      <c r="BJ145" s="226">
        <f t="shared" ref="BJ145:CO145" si="276">SUM(BJ140:BJ144)</f>
        <v>2228.5059999999994</v>
      </c>
      <c r="BK145" s="225">
        <f t="shared" si="276"/>
        <v>2438.8550000000005</v>
      </c>
      <c r="BL145" s="225">
        <f t="shared" si="276"/>
        <v>2212.299</v>
      </c>
      <c r="BM145" s="225">
        <f t="shared" si="276"/>
        <v>2355.7849999999999</v>
      </c>
      <c r="BN145" s="225">
        <f t="shared" si="276"/>
        <v>2284.1170000000002</v>
      </c>
      <c r="BO145" s="226">
        <f t="shared" si="276"/>
        <v>2284.1170000000002</v>
      </c>
      <c r="BP145" s="225">
        <f t="shared" si="276"/>
        <v>2253.1999999999998</v>
      </c>
      <c r="BQ145" s="225">
        <f t="shared" si="276"/>
        <v>2440.7999999999997</v>
      </c>
      <c r="BR145" s="225">
        <f t="shared" si="276"/>
        <v>2477.2999999999997</v>
      </c>
      <c r="BS145" s="225">
        <f t="shared" si="276"/>
        <v>2490.9</v>
      </c>
      <c r="BT145" s="226">
        <f t="shared" si="276"/>
        <v>2490.9</v>
      </c>
      <c r="BU145" s="225">
        <f t="shared" si="276"/>
        <v>2584.6</v>
      </c>
      <c r="BV145" s="225">
        <f t="shared" si="276"/>
        <v>2630.4</v>
      </c>
      <c r="BW145" s="225">
        <f t="shared" si="276"/>
        <v>2817.9999999999991</v>
      </c>
      <c r="BX145" s="225">
        <f t="shared" si="276"/>
        <v>3045.7</v>
      </c>
      <c r="BY145" s="226">
        <f t="shared" si="276"/>
        <v>3045.7</v>
      </c>
      <c r="BZ145" s="225">
        <f t="shared" si="276"/>
        <v>3351.3</v>
      </c>
      <c r="CA145" s="225">
        <f t="shared" si="276"/>
        <v>3541</v>
      </c>
      <c r="CB145" s="225">
        <f t="shared" si="276"/>
        <v>3520.9</v>
      </c>
      <c r="CC145" s="225">
        <f t="shared" si="276"/>
        <v>3674.7</v>
      </c>
      <c r="CD145" s="226">
        <f t="shared" si="276"/>
        <v>3674.7</v>
      </c>
      <c r="CE145" s="225">
        <f t="shared" si="276"/>
        <v>4051.6999999999994</v>
      </c>
      <c r="CF145" s="225">
        <f t="shared" si="276"/>
        <v>4317.7999999999993</v>
      </c>
      <c r="CG145" s="225">
        <f t="shared" si="276"/>
        <v>4338.8999999999996</v>
      </c>
      <c r="CH145" s="225">
        <f t="shared" si="276"/>
        <v>4384.8999999999996</v>
      </c>
      <c r="CI145" s="226">
        <f t="shared" si="276"/>
        <v>4384.8999999999987</v>
      </c>
      <c r="CJ145" s="225">
        <f t="shared" si="276"/>
        <v>4772.8</v>
      </c>
      <c r="CK145" s="225">
        <f t="shared" si="276"/>
        <v>5133.9000000000015</v>
      </c>
      <c r="CL145" s="225">
        <f t="shared" si="276"/>
        <v>5385.0000000000009</v>
      </c>
      <c r="CM145" s="225">
        <f t="shared" si="276"/>
        <v>5108.9999999999991</v>
      </c>
      <c r="CN145" s="226">
        <f t="shared" si="276"/>
        <v>5108.9999999999991</v>
      </c>
      <c r="CO145" s="225">
        <f t="shared" si="276"/>
        <v>5169.2999999999993</v>
      </c>
      <c r="CP145" s="225">
        <f t="shared" ref="CP145:DR145" si="277">SUM(CP140:CP144)</f>
        <v>5321.4</v>
      </c>
      <c r="CQ145" s="225">
        <f t="shared" si="277"/>
        <v>5741.4999999999991</v>
      </c>
      <c r="CR145" s="225">
        <f t="shared" si="277"/>
        <v>4480.1999999999989</v>
      </c>
      <c r="CS145" s="226">
        <f t="shared" si="277"/>
        <v>4480.2</v>
      </c>
      <c r="CT145" s="225">
        <f t="shared" si="277"/>
        <v>4887.4000000000005</v>
      </c>
      <c r="CU145" s="225">
        <f t="shared" si="277"/>
        <v>4945.0999999999995</v>
      </c>
      <c r="CV145" s="225">
        <f t="shared" si="277"/>
        <v>5068.8000000000011</v>
      </c>
      <c r="CW145" s="695">
        <f t="shared" si="277"/>
        <v>5271.9999999999991</v>
      </c>
      <c r="CX145" s="755">
        <f t="shared" si="277"/>
        <v>5272.0000000000018</v>
      </c>
      <c r="CY145" s="225">
        <f t="shared" si="277"/>
        <v>5775.4</v>
      </c>
      <c r="CZ145" s="225">
        <f t="shared" si="277"/>
        <v>6008.7</v>
      </c>
      <c r="DA145" s="225">
        <f t="shared" si="277"/>
        <v>5856.5000000000009</v>
      </c>
      <c r="DB145" s="858">
        <f t="shared" si="277"/>
        <v>5818</v>
      </c>
      <c r="DC145" s="226">
        <f t="shared" si="277"/>
        <v>5818</v>
      </c>
      <c r="DD145" s="225">
        <f t="shared" si="277"/>
        <v>5981.5000000000009</v>
      </c>
      <c r="DE145" s="225">
        <f t="shared" si="277"/>
        <v>5094.5999999999995</v>
      </c>
      <c r="DF145" s="225">
        <f t="shared" si="277"/>
        <v>5721.8000000000011</v>
      </c>
      <c r="DG145" s="225">
        <f t="shared" si="277"/>
        <v>5883.9999999999991</v>
      </c>
      <c r="DH145" s="226">
        <f t="shared" si="277"/>
        <v>5884.0000000000018</v>
      </c>
      <c r="DI145" s="225">
        <f t="shared" si="277"/>
        <v>5796.6000000000013</v>
      </c>
      <c r="DJ145" s="225">
        <f t="shared" si="277"/>
        <v>5604.9999999999991</v>
      </c>
      <c r="DK145" s="225">
        <f t="shared" si="277"/>
        <v>5843.4000000000005</v>
      </c>
      <c r="DL145" s="225">
        <f t="shared" si="277"/>
        <v>5450.0999999999995</v>
      </c>
      <c r="DM145" s="226">
        <f t="shared" si="277"/>
        <v>5450.1</v>
      </c>
      <c r="DN145" s="225">
        <f t="shared" si="277"/>
        <v>6390.163801428087</v>
      </c>
      <c r="DO145" s="225">
        <f t="shared" si="277"/>
        <v>6051.0378924058969</v>
      </c>
      <c r="DP145" s="225">
        <f t="shared" si="277"/>
        <v>5865.1656163059843</v>
      </c>
      <c r="DQ145" s="225">
        <f t="shared" si="277"/>
        <v>5721.44710703295</v>
      </c>
      <c r="DR145" s="226">
        <f t="shared" si="277"/>
        <v>5721.447107032951</v>
      </c>
      <c r="DS145" s="225">
        <f t="shared" ref="DS145:EB145" si="278">SUM(DS140:DS144)</f>
        <v>5577.5742534879155</v>
      </c>
      <c r="DT145" s="225">
        <f t="shared" si="278"/>
        <v>5333.1469605475886</v>
      </c>
      <c r="DU145" s="225">
        <f t="shared" si="278"/>
        <v>5244.7632862023174</v>
      </c>
      <c r="DV145" s="225">
        <f t="shared" si="278"/>
        <v>5204.1232678263841</v>
      </c>
      <c r="DW145" s="226">
        <f t="shared" si="278"/>
        <v>5204.1232678263832</v>
      </c>
      <c r="DX145" s="225">
        <f t="shared" si="278"/>
        <v>5283.8697091291851</v>
      </c>
      <c r="DY145" s="225">
        <f t="shared" si="278"/>
        <v>5260.5010702281834</v>
      </c>
      <c r="DZ145" s="225">
        <f t="shared" si="278"/>
        <v>5011.2136807771149</v>
      </c>
      <c r="EA145" s="225">
        <f t="shared" si="278"/>
        <v>4812.763743357913</v>
      </c>
      <c r="EB145" s="226">
        <f t="shared" si="278"/>
        <v>4812.763743357913</v>
      </c>
      <c r="ED145" s="418"/>
      <c r="EK145" s="418"/>
    </row>
    <row r="146" spans="1:141" x14ac:dyDescent="0.2">
      <c r="A146" s="1"/>
      <c r="B146" s="179"/>
      <c r="C146" s="175"/>
      <c r="D146" s="175"/>
      <c r="E146" s="175"/>
      <c r="F146" s="175"/>
      <c r="G146" s="170"/>
      <c r="H146" s="157"/>
      <c r="I146" s="157"/>
      <c r="J146" s="157"/>
      <c r="K146" s="175"/>
      <c r="L146" s="170"/>
      <c r="M146" s="157"/>
      <c r="N146" s="157"/>
      <c r="O146" s="157"/>
      <c r="P146" s="175"/>
      <c r="Q146" s="170"/>
      <c r="R146" s="157"/>
      <c r="S146" s="157"/>
      <c r="T146" s="157"/>
      <c r="U146" s="175"/>
      <c r="V146" s="170"/>
      <c r="W146" s="175"/>
      <c r="X146" s="175"/>
      <c r="Y146" s="175"/>
      <c r="Z146" s="175"/>
      <c r="AA146" s="170"/>
      <c r="AB146" s="157"/>
      <c r="AC146" s="157"/>
      <c r="AD146" s="157"/>
      <c r="AE146" s="175"/>
      <c r="AF146" s="170"/>
      <c r="AG146" s="157"/>
      <c r="AH146" s="157"/>
      <c r="AI146" s="157"/>
      <c r="AJ146" s="175"/>
      <c r="AK146" s="170"/>
      <c r="AL146" s="157"/>
      <c r="AM146" s="157"/>
      <c r="AN146" s="157"/>
      <c r="AO146" s="175"/>
      <c r="AP146" s="170"/>
      <c r="AQ146" s="157"/>
      <c r="AR146" s="157"/>
      <c r="AS146" s="157"/>
      <c r="AT146" s="175"/>
      <c r="AU146" s="170"/>
      <c r="AV146" s="157"/>
      <c r="AW146" s="157"/>
      <c r="AX146" s="157"/>
      <c r="AY146" s="175"/>
      <c r="AZ146" s="170"/>
      <c r="BA146" s="157"/>
      <c r="BB146" s="157"/>
      <c r="BC146" s="157"/>
      <c r="BD146" s="175"/>
      <c r="BE146" s="170"/>
      <c r="BF146" s="157"/>
      <c r="BG146" s="157"/>
      <c r="BH146" s="157"/>
      <c r="BI146" s="175"/>
      <c r="BJ146" s="436">
        <f t="shared" ref="BJ146:CO146" si="279">BJ145-BJ55</f>
        <v>0</v>
      </c>
      <c r="BK146" s="397">
        <f t="shared" si="279"/>
        <v>0</v>
      </c>
      <c r="BL146" s="397">
        <f t="shared" si="279"/>
        <v>0</v>
      </c>
      <c r="BM146" s="397">
        <f t="shared" si="279"/>
        <v>0</v>
      </c>
      <c r="BN146" s="305">
        <f t="shared" si="279"/>
        <v>0</v>
      </c>
      <c r="BO146" s="436">
        <f t="shared" si="279"/>
        <v>0</v>
      </c>
      <c r="BP146" s="397">
        <f t="shared" si="279"/>
        <v>0</v>
      </c>
      <c r="BQ146" s="397">
        <f t="shared" si="279"/>
        <v>0</v>
      </c>
      <c r="BR146" s="397">
        <f t="shared" si="279"/>
        <v>0</v>
      </c>
      <c r="BS146" s="305">
        <f t="shared" si="279"/>
        <v>0</v>
      </c>
      <c r="BT146" s="436">
        <f t="shared" si="279"/>
        <v>0</v>
      </c>
      <c r="BU146" s="397">
        <f t="shared" si="279"/>
        <v>0</v>
      </c>
      <c r="BV146" s="397">
        <f t="shared" si="279"/>
        <v>0</v>
      </c>
      <c r="BW146" s="397">
        <f t="shared" si="279"/>
        <v>0</v>
      </c>
      <c r="BX146" s="305">
        <f t="shared" si="279"/>
        <v>0</v>
      </c>
      <c r="BY146" s="436">
        <f t="shared" si="279"/>
        <v>0</v>
      </c>
      <c r="BZ146" s="397">
        <f t="shared" si="279"/>
        <v>0</v>
      </c>
      <c r="CA146" s="397">
        <f t="shared" si="279"/>
        <v>0</v>
      </c>
      <c r="CB146" s="397">
        <f t="shared" si="279"/>
        <v>0</v>
      </c>
      <c r="CC146" s="305">
        <f t="shared" si="279"/>
        <v>0</v>
      </c>
      <c r="CD146" s="436">
        <f t="shared" si="279"/>
        <v>0</v>
      </c>
      <c r="CE146" s="397">
        <f t="shared" si="279"/>
        <v>0</v>
      </c>
      <c r="CF146" s="397">
        <f t="shared" si="279"/>
        <v>0</v>
      </c>
      <c r="CG146" s="397">
        <f t="shared" si="279"/>
        <v>0</v>
      </c>
      <c r="CH146" s="305">
        <f t="shared" si="279"/>
        <v>0</v>
      </c>
      <c r="CI146" s="436">
        <f t="shared" si="279"/>
        <v>0</v>
      </c>
      <c r="CJ146" s="397">
        <f t="shared" si="279"/>
        <v>0</v>
      </c>
      <c r="CK146" s="397">
        <f t="shared" si="279"/>
        <v>0</v>
      </c>
      <c r="CL146" s="397">
        <f t="shared" si="279"/>
        <v>0</v>
      </c>
      <c r="CM146" s="305">
        <f t="shared" si="279"/>
        <v>0</v>
      </c>
      <c r="CN146" s="436">
        <f t="shared" si="279"/>
        <v>0</v>
      </c>
      <c r="CO146" s="397">
        <f t="shared" si="279"/>
        <v>0</v>
      </c>
      <c r="CP146" s="397">
        <f t="shared" ref="CP146:DU146" si="280">CP145-CP55</f>
        <v>0</v>
      </c>
      <c r="CQ146" s="397">
        <f t="shared" si="280"/>
        <v>0</v>
      </c>
      <c r="CR146" s="305">
        <f t="shared" si="280"/>
        <v>0</v>
      </c>
      <c r="CS146" s="436">
        <f t="shared" si="280"/>
        <v>0</v>
      </c>
      <c r="CT146" s="397">
        <f t="shared" si="280"/>
        <v>0</v>
      </c>
      <c r="CU146" s="397">
        <f t="shared" si="280"/>
        <v>0</v>
      </c>
      <c r="CV146" s="397">
        <f t="shared" si="280"/>
        <v>0</v>
      </c>
      <c r="CW146" s="686">
        <f t="shared" si="280"/>
        <v>0</v>
      </c>
      <c r="CX146" s="725">
        <f t="shared" si="280"/>
        <v>0</v>
      </c>
      <c r="CY146" s="397">
        <f t="shared" si="280"/>
        <v>0</v>
      </c>
      <c r="CZ146" s="397">
        <f t="shared" si="280"/>
        <v>0</v>
      </c>
      <c r="DA146" s="397">
        <f t="shared" si="280"/>
        <v>0</v>
      </c>
      <c r="DB146" s="863">
        <f t="shared" si="280"/>
        <v>0</v>
      </c>
      <c r="DC146" s="436">
        <f t="shared" si="280"/>
        <v>0</v>
      </c>
      <c r="DD146" s="397">
        <f t="shared" si="280"/>
        <v>0</v>
      </c>
      <c r="DE146" s="397">
        <f t="shared" si="280"/>
        <v>0</v>
      </c>
      <c r="DF146" s="397">
        <f t="shared" si="280"/>
        <v>0</v>
      </c>
      <c r="DG146" s="305">
        <f t="shared" si="280"/>
        <v>0</v>
      </c>
      <c r="DH146" s="436">
        <f t="shared" si="280"/>
        <v>0</v>
      </c>
      <c r="DI146" s="397">
        <f t="shared" si="280"/>
        <v>0</v>
      </c>
      <c r="DJ146" s="397">
        <f t="shared" si="280"/>
        <v>0</v>
      </c>
      <c r="DK146" s="397">
        <f t="shared" si="280"/>
        <v>0</v>
      </c>
      <c r="DL146" s="397">
        <f t="shared" si="280"/>
        <v>0</v>
      </c>
      <c r="DM146" s="436">
        <f t="shared" si="280"/>
        <v>0</v>
      </c>
      <c r="DN146" s="397">
        <f t="shared" si="280"/>
        <v>0</v>
      </c>
      <c r="DO146" s="397">
        <f t="shared" si="280"/>
        <v>0</v>
      </c>
      <c r="DP146" s="397">
        <f t="shared" si="280"/>
        <v>0</v>
      </c>
      <c r="DQ146" s="397">
        <f t="shared" si="280"/>
        <v>0</v>
      </c>
      <c r="DR146" s="436">
        <f t="shared" si="280"/>
        <v>0</v>
      </c>
      <c r="DS146" s="397">
        <f t="shared" si="280"/>
        <v>0</v>
      </c>
      <c r="DT146" s="397">
        <f t="shared" si="280"/>
        <v>0</v>
      </c>
      <c r="DU146" s="397">
        <f t="shared" si="280"/>
        <v>0</v>
      </c>
      <c r="DV146" s="397">
        <f t="shared" ref="DV146:EB146" si="281">DV145-DV55</f>
        <v>0</v>
      </c>
      <c r="DW146" s="436">
        <f t="shared" si="281"/>
        <v>0</v>
      </c>
      <c r="DX146" s="397">
        <f t="shared" si="281"/>
        <v>0</v>
      </c>
      <c r="DY146" s="397">
        <f t="shared" si="281"/>
        <v>0</v>
      </c>
      <c r="DZ146" s="397">
        <f t="shared" si="281"/>
        <v>0</v>
      </c>
      <c r="EA146" s="397">
        <f t="shared" si="281"/>
        <v>0</v>
      </c>
      <c r="EB146" s="436">
        <f t="shared" si="281"/>
        <v>0</v>
      </c>
      <c r="ED146" s="418"/>
      <c r="EK146" s="418"/>
    </row>
    <row r="147" spans="1:141" x14ac:dyDescent="0.2">
      <c r="A147" s="1"/>
      <c r="B147" s="179"/>
      <c r="C147" s="175"/>
      <c r="D147" s="175"/>
      <c r="E147" s="175"/>
      <c r="F147" s="175"/>
      <c r="G147" s="170"/>
      <c r="H147" s="157"/>
      <c r="I147" s="157"/>
      <c r="J147" s="157"/>
      <c r="K147" s="175"/>
      <c r="L147" s="170"/>
      <c r="M147" s="157"/>
      <c r="N147" s="157"/>
      <c r="O147" s="157"/>
      <c r="P147" s="175"/>
      <c r="Q147" s="170"/>
      <c r="R147" s="157"/>
      <c r="S147" s="157"/>
      <c r="T147" s="157"/>
      <c r="U147" s="175"/>
      <c r="V147" s="170"/>
      <c r="W147" s="175"/>
      <c r="X147" s="175"/>
      <c r="Y147" s="175"/>
      <c r="Z147" s="175"/>
      <c r="AA147" s="170"/>
      <c r="AB147" s="157"/>
      <c r="AC147" s="157"/>
      <c r="AD147" s="157"/>
      <c r="AE147" s="175"/>
      <c r="AF147" s="170"/>
      <c r="AG147" s="157"/>
      <c r="AH147" s="157"/>
      <c r="AI147" s="157"/>
      <c r="AJ147" s="175"/>
      <c r="AK147" s="170"/>
      <c r="AL147" s="157"/>
      <c r="AM147" s="157"/>
      <c r="AN147" s="157"/>
      <c r="AO147" s="175"/>
      <c r="AP147" s="170"/>
      <c r="AQ147" s="157"/>
      <c r="AR147" s="157"/>
      <c r="AS147" s="157"/>
      <c r="AT147" s="175"/>
      <c r="AU147" s="170"/>
      <c r="AV147" s="157"/>
      <c r="AW147" s="157"/>
      <c r="AX147" s="157"/>
      <c r="AY147" s="175"/>
      <c r="AZ147" s="170"/>
      <c r="BA147" s="157"/>
      <c r="BB147" s="157"/>
      <c r="BC147" s="157"/>
      <c r="BD147" s="175"/>
      <c r="BE147" s="170"/>
      <c r="BF147" s="157"/>
      <c r="BG147" s="157"/>
      <c r="BH147" s="157"/>
      <c r="BI147" s="175"/>
      <c r="BJ147" s="170"/>
      <c r="BK147" s="157">
        <v>18.013999999999999</v>
      </c>
      <c r="BL147" s="157"/>
      <c r="BM147" s="157"/>
      <c r="BN147" s="175"/>
      <c r="BO147" s="170">
        <v>22.306999999999999</v>
      </c>
      <c r="BP147" s="157"/>
      <c r="BQ147" s="157">
        <v>20.6</v>
      </c>
      <c r="BR147" s="157"/>
      <c r="BS147" s="113">
        <v>-31.2</v>
      </c>
      <c r="BT147" s="125">
        <f>30.48-36.7</f>
        <v>-6.2200000000000024</v>
      </c>
      <c r="BU147" s="157"/>
      <c r="BV147" s="157"/>
      <c r="BW147" s="157"/>
      <c r="BX147" s="175">
        <v>17.600000000000001</v>
      </c>
      <c r="BY147" s="170">
        <f>BX147</f>
        <v>17.600000000000001</v>
      </c>
      <c r="BZ147" s="157"/>
      <c r="CA147" s="157"/>
      <c r="CB147" s="157"/>
      <c r="CC147" s="175">
        <v>26.4</v>
      </c>
      <c r="CD147" s="125">
        <f>-31.9+26.4</f>
        <v>-5.5</v>
      </c>
      <c r="CE147" s="111"/>
      <c r="CF147" s="111">
        <v>22.8</v>
      </c>
      <c r="CG147" s="111"/>
      <c r="CH147" s="113">
        <v>-51.4</v>
      </c>
      <c r="CI147" s="125">
        <f>SUM(CE147:CH147)</f>
        <v>-28.599999999999998</v>
      </c>
      <c r="CJ147" s="111"/>
      <c r="CK147" s="111">
        <v>22.8</v>
      </c>
      <c r="CL147" s="111">
        <v>-44</v>
      </c>
      <c r="CM147" s="113">
        <v>25.5</v>
      </c>
      <c r="CN147" s="125">
        <f>SUM(CJ147:CM147)-27.1</f>
        <v>-22.8</v>
      </c>
      <c r="CO147" s="111"/>
      <c r="CP147" s="111">
        <v>-28.9</v>
      </c>
      <c r="CQ147" s="111">
        <v>31.8</v>
      </c>
      <c r="CR147" s="113">
        <v>52.4</v>
      </c>
      <c r="CS147" s="125">
        <f>-40+31.8+52.5</f>
        <v>44.3</v>
      </c>
      <c r="CT147" s="157"/>
      <c r="CU147" s="157"/>
      <c r="CV147" s="157"/>
      <c r="CW147" s="678"/>
      <c r="CX147" s="742"/>
      <c r="CY147" s="157"/>
      <c r="CZ147" s="157"/>
      <c r="DA147" s="157"/>
      <c r="DB147" s="861"/>
      <c r="DC147" s="170"/>
      <c r="DD147" s="157"/>
      <c r="DE147" s="157"/>
      <c r="DF147" s="157"/>
      <c r="DG147" s="175"/>
      <c r="DH147" s="170"/>
      <c r="DI147" s="157"/>
      <c r="DJ147" s="157"/>
      <c r="DK147" s="157"/>
      <c r="DL147" s="157"/>
      <c r="DM147" s="170"/>
      <c r="DN147" s="157"/>
      <c r="DO147" s="157"/>
      <c r="DP147" s="157"/>
      <c r="DQ147" s="157"/>
      <c r="DR147" s="170"/>
      <c r="DS147" s="157"/>
      <c r="DT147" s="157"/>
      <c r="DU147" s="157"/>
      <c r="DV147" s="157"/>
      <c r="DW147" s="170"/>
      <c r="DX147" s="157"/>
      <c r="DY147" s="157"/>
      <c r="DZ147" s="157"/>
      <c r="EA147" s="157"/>
      <c r="EB147" s="170"/>
      <c r="ED147" s="418"/>
      <c r="EK147" s="418"/>
    </row>
    <row r="148" spans="1:141" x14ac:dyDescent="0.2">
      <c r="A148" s="1"/>
      <c r="B148" s="179"/>
      <c r="C148" s="175"/>
      <c r="D148" s="175"/>
      <c r="E148" s="175"/>
      <c r="F148" s="175"/>
      <c r="G148" s="170"/>
      <c r="H148" s="157"/>
      <c r="I148" s="157"/>
      <c r="J148" s="157"/>
      <c r="K148" s="175"/>
      <c r="L148" s="170"/>
      <c r="M148" s="157"/>
      <c r="N148" s="157"/>
      <c r="O148" s="157"/>
      <c r="P148" s="175"/>
      <c r="Q148" s="170"/>
      <c r="R148" s="157"/>
      <c r="S148" s="157"/>
      <c r="T148" s="157"/>
      <c r="U148" s="175"/>
      <c r="V148" s="170"/>
      <c r="W148" s="175"/>
      <c r="X148" s="175"/>
      <c r="Y148" s="175"/>
      <c r="Z148" s="175"/>
      <c r="AA148" s="170"/>
      <c r="AB148" s="157"/>
      <c r="AC148" s="157"/>
      <c r="AD148" s="157"/>
      <c r="AE148" s="175"/>
      <c r="AF148" s="170"/>
      <c r="AG148" s="157"/>
      <c r="AH148" s="157"/>
      <c r="AI148" s="157"/>
      <c r="AJ148" s="175"/>
      <c r="AK148" s="170"/>
      <c r="AL148" s="157"/>
      <c r="AM148" s="157"/>
      <c r="AN148" s="157"/>
      <c r="AO148" s="175"/>
      <c r="AP148" s="170"/>
      <c r="AQ148" s="157"/>
      <c r="AR148" s="157"/>
      <c r="AS148" s="157"/>
      <c r="AT148" s="175"/>
      <c r="AU148" s="170"/>
      <c r="AV148" s="157"/>
      <c r="AW148" s="157"/>
      <c r="AX148" s="157"/>
      <c r="AY148" s="175"/>
      <c r="AZ148" s="170"/>
      <c r="BA148" s="157"/>
      <c r="BB148" s="157"/>
      <c r="BC148" s="157"/>
      <c r="BD148" s="175"/>
      <c r="BE148" s="170"/>
      <c r="BF148" s="157"/>
      <c r="BG148" s="157"/>
      <c r="BH148" s="157"/>
      <c r="BI148" s="175"/>
      <c r="BJ148" s="170"/>
      <c r="BK148" s="157"/>
      <c r="BL148" s="157"/>
      <c r="BM148" s="157"/>
      <c r="BN148" s="175"/>
      <c r="BO148" s="170"/>
      <c r="BP148" s="157"/>
      <c r="BQ148" s="157"/>
      <c r="BR148" s="157"/>
      <c r="BS148" s="175"/>
      <c r="BT148" s="170"/>
      <c r="BU148" s="157"/>
      <c r="BV148" s="157"/>
      <c r="BW148" s="157"/>
      <c r="BX148" s="175"/>
      <c r="BY148" s="170"/>
      <c r="BZ148" s="157"/>
      <c r="CA148" s="157"/>
      <c r="CB148" s="157"/>
      <c r="CC148" s="175"/>
      <c r="CD148" s="170"/>
      <c r="CE148" s="157"/>
      <c r="CF148" s="157"/>
      <c r="CG148" s="157"/>
      <c r="CH148" s="175"/>
      <c r="CI148" s="170"/>
      <c r="CJ148" s="157"/>
      <c r="CK148" s="157"/>
      <c r="CL148" s="157"/>
      <c r="CM148" s="175"/>
      <c r="CN148" s="170"/>
      <c r="CO148" s="157"/>
      <c r="CP148" s="157"/>
      <c r="CQ148" s="157"/>
      <c r="CR148" s="175"/>
      <c r="CS148" s="170"/>
      <c r="CT148" s="157"/>
      <c r="CU148" s="157"/>
      <c r="CV148" s="157"/>
      <c r="CW148" s="678"/>
      <c r="CX148" s="742"/>
      <c r="CY148" s="157"/>
      <c r="CZ148" s="157"/>
      <c r="DA148" s="157"/>
      <c r="DB148" s="861"/>
      <c r="DC148" s="170"/>
      <c r="DD148" s="157"/>
      <c r="DE148" s="157"/>
      <c r="DF148" s="157"/>
      <c r="DG148" s="175"/>
      <c r="DH148" s="170"/>
      <c r="DI148" s="157"/>
      <c r="DJ148" s="157"/>
      <c r="DK148" s="157"/>
      <c r="DL148" s="157"/>
      <c r="DM148" s="170"/>
      <c r="DN148" s="157"/>
      <c r="DO148" s="157"/>
      <c r="DP148" s="157"/>
      <c r="DQ148" s="157"/>
      <c r="DR148" s="170"/>
      <c r="DS148" s="157"/>
      <c r="DT148" s="157"/>
      <c r="DU148" s="157"/>
      <c r="DV148" s="157"/>
      <c r="DW148" s="170"/>
      <c r="DX148" s="157"/>
      <c r="DY148" s="157"/>
      <c r="DZ148" s="157"/>
      <c r="EA148" s="157"/>
      <c r="EB148" s="170"/>
      <c r="ED148" s="418"/>
      <c r="EK148" s="418"/>
    </row>
    <row r="149" spans="1:141" x14ac:dyDescent="0.2">
      <c r="A149" s="2"/>
      <c r="B149" s="210"/>
      <c r="C149" s="211"/>
      <c r="D149" s="211"/>
      <c r="E149" s="211"/>
      <c r="F149" s="211"/>
      <c r="G149" s="212"/>
      <c r="H149" s="211"/>
      <c r="I149" s="211"/>
      <c r="J149" s="211"/>
      <c r="K149" s="211"/>
      <c r="L149" s="212"/>
      <c r="M149" s="211"/>
      <c r="N149" s="211"/>
      <c r="O149" s="211"/>
      <c r="P149" s="211"/>
      <c r="Q149" s="212"/>
      <c r="R149" s="211"/>
      <c r="S149" s="211"/>
      <c r="T149" s="211"/>
      <c r="U149" s="211"/>
      <c r="V149" s="212"/>
      <c r="W149" s="211"/>
      <c r="X149" s="211"/>
      <c r="Y149" s="211"/>
      <c r="Z149" s="211"/>
      <c r="AA149" s="212"/>
      <c r="AB149" s="211"/>
      <c r="AC149" s="211"/>
      <c r="AD149" s="211"/>
      <c r="AE149" s="211"/>
      <c r="AF149" s="212"/>
      <c r="AG149" s="211"/>
      <c r="AH149" s="211"/>
      <c r="AI149" s="211"/>
      <c r="AJ149" s="211"/>
      <c r="AK149" s="212"/>
      <c r="AL149" s="211"/>
      <c r="AM149" s="211"/>
      <c r="AN149" s="211"/>
      <c r="AO149" s="211"/>
      <c r="AP149" s="212"/>
      <c r="AQ149" s="211"/>
      <c r="AR149" s="211"/>
      <c r="AS149" s="211"/>
      <c r="AT149" s="211"/>
      <c r="AU149" s="212"/>
      <c r="AV149" s="211"/>
      <c r="AW149" s="211"/>
      <c r="AX149" s="211"/>
      <c r="AY149" s="211"/>
      <c r="AZ149" s="212"/>
      <c r="BA149" s="211"/>
      <c r="BB149" s="211"/>
      <c r="BC149" s="211"/>
      <c r="BD149" s="211"/>
      <c r="BE149" s="212"/>
      <c r="BF149" s="211"/>
      <c r="BG149" s="211"/>
      <c r="BH149" s="211"/>
      <c r="BI149" s="211"/>
      <c r="BJ149" s="212"/>
      <c r="BK149" s="211"/>
      <c r="BL149" s="211"/>
      <c r="BM149" s="211"/>
      <c r="BN149" s="211"/>
      <c r="BO149" s="212"/>
      <c r="BP149" s="211"/>
      <c r="BQ149" s="211"/>
      <c r="BR149" s="211"/>
      <c r="BS149" s="211"/>
      <c r="BT149" s="212"/>
      <c r="BU149" s="211"/>
      <c r="BV149" s="211"/>
      <c r="BW149" s="211"/>
      <c r="BX149" s="211"/>
      <c r="BY149" s="212"/>
      <c r="BZ149" s="211"/>
      <c r="CA149" s="211"/>
      <c r="CB149" s="211"/>
      <c r="CC149" s="211"/>
      <c r="CD149" s="212"/>
      <c r="CE149" s="211"/>
      <c r="CF149" s="211"/>
      <c r="CG149" s="211"/>
      <c r="CH149" s="211"/>
      <c r="CI149" s="212"/>
      <c r="CJ149" s="211"/>
      <c r="CK149" s="211"/>
      <c r="CL149" s="211"/>
      <c r="CM149" s="211"/>
      <c r="CN149" s="212"/>
      <c r="CO149" s="211"/>
      <c r="CP149" s="211"/>
      <c r="CQ149" s="211"/>
      <c r="CR149" s="211"/>
      <c r="CS149" s="212"/>
      <c r="CT149" s="211"/>
      <c r="CU149" s="211"/>
      <c r="CV149" s="211"/>
      <c r="CW149" s="701"/>
      <c r="CX149" s="760"/>
      <c r="CY149" s="211"/>
      <c r="CZ149" s="211"/>
      <c r="DA149" s="211"/>
      <c r="DB149" s="873"/>
      <c r="DC149" s="212"/>
      <c r="DD149" s="211"/>
      <c r="DE149" s="211"/>
      <c r="DF149" s="211"/>
      <c r="DG149" s="211"/>
      <c r="DH149" s="212"/>
      <c r="DI149" s="211"/>
      <c r="DJ149" s="211"/>
      <c r="DK149" s="211"/>
      <c r="DL149" s="211"/>
      <c r="DM149" s="212"/>
      <c r="DN149" s="211"/>
      <c r="DO149" s="211"/>
      <c r="DP149" s="211"/>
      <c r="DQ149" s="211"/>
      <c r="DR149" s="212"/>
      <c r="DS149" s="211"/>
      <c r="DT149" s="211"/>
      <c r="DU149" s="211"/>
      <c r="DV149" s="211"/>
      <c r="DW149" s="212"/>
      <c r="DX149" s="211"/>
      <c r="DY149" s="211"/>
      <c r="DZ149" s="211"/>
      <c r="EA149" s="211"/>
      <c r="EB149" s="212"/>
      <c r="ED149" s="418"/>
      <c r="EK149" s="418"/>
    </row>
    <row r="150" spans="1:141" hidden="1" outlineLevel="1" x14ac:dyDescent="0.2">
      <c r="A150" s="223" t="s">
        <v>94</v>
      </c>
      <c r="B150" s="224"/>
      <c r="C150" s="225"/>
      <c r="D150" s="225"/>
      <c r="E150" s="225"/>
      <c r="F150" s="225"/>
      <c r="G150" s="226"/>
      <c r="H150" s="225"/>
      <c r="I150" s="225"/>
      <c r="J150" s="225"/>
      <c r="K150" s="225"/>
      <c r="L150" s="226"/>
      <c r="M150" s="225"/>
      <c r="N150" s="225"/>
      <c r="O150" s="225"/>
      <c r="P150" s="225"/>
      <c r="Q150" s="226"/>
      <c r="R150" s="225"/>
      <c r="S150" s="225"/>
      <c r="T150" s="225"/>
      <c r="U150" s="225"/>
      <c r="V150" s="226"/>
      <c r="W150" s="225"/>
      <c r="X150" s="225"/>
      <c r="Y150" s="225"/>
      <c r="Z150" s="225"/>
      <c r="AA150" s="226"/>
      <c r="AB150" s="225"/>
      <c r="AC150" s="225"/>
      <c r="AD150" s="225"/>
      <c r="AE150" s="225"/>
      <c r="AF150" s="226"/>
      <c r="AG150" s="225"/>
      <c r="AH150" s="225"/>
      <c r="AI150" s="225"/>
      <c r="AJ150" s="225"/>
      <c r="AK150" s="226"/>
      <c r="AL150" s="225"/>
      <c r="AM150" s="225"/>
      <c r="AN150" s="225"/>
      <c r="AO150" s="225"/>
      <c r="AP150" s="226"/>
      <c r="AQ150" s="225"/>
      <c r="AR150" s="225"/>
      <c r="AS150" s="225"/>
      <c r="AT150" s="225"/>
      <c r="AU150" s="226"/>
      <c r="AV150" s="225"/>
      <c r="AW150" s="225"/>
      <c r="AX150" s="225"/>
      <c r="AY150" s="225"/>
      <c r="AZ150" s="226"/>
      <c r="BA150" s="225"/>
      <c r="BB150" s="225"/>
      <c r="BC150" s="225"/>
      <c r="BD150" s="225"/>
      <c r="BE150" s="226"/>
      <c r="BF150" s="225"/>
      <c r="BG150" s="225"/>
      <c r="BH150" s="225"/>
      <c r="BI150" s="225"/>
      <c r="BJ150" s="226"/>
      <c r="BK150" s="225"/>
      <c r="BL150" s="225"/>
      <c r="BM150" s="225"/>
      <c r="BN150" s="225"/>
      <c r="BO150" s="226"/>
      <c r="BP150" s="225"/>
      <c r="BQ150" s="225"/>
      <c r="BR150" s="225"/>
      <c r="BS150" s="225"/>
      <c r="BT150" s="226"/>
      <c r="BU150" s="225"/>
      <c r="BV150" s="225"/>
      <c r="BW150" s="225"/>
      <c r="BX150" s="225"/>
      <c r="BY150" s="226"/>
      <c r="BZ150" s="225"/>
      <c r="CA150" s="225"/>
      <c r="CB150" s="225"/>
      <c r="CC150" s="225"/>
      <c r="CD150" s="226"/>
      <c r="CE150" s="225"/>
      <c r="CF150" s="225"/>
      <c r="CG150" s="225"/>
      <c r="CH150" s="225"/>
      <c r="CI150" s="226"/>
      <c r="CJ150" s="225"/>
      <c r="CK150" s="225"/>
      <c r="CL150" s="225"/>
      <c r="CM150" s="225"/>
      <c r="CN150" s="226"/>
      <c r="CO150" s="225"/>
      <c r="CP150" s="225"/>
      <c r="CQ150" s="225"/>
      <c r="CR150" s="225"/>
      <c r="CS150" s="226"/>
      <c r="CT150" s="225"/>
      <c r="CU150" s="225"/>
      <c r="CV150" s="225"/>
      <c r="CW150" s="695"/>
      <c r="CX150" s="755"/>
      <c r="CY150" s="225"/>
      <c r="CZ150" s="225"/>
      <c r="DA150" s="225"/>
      <c r="DB150" s="858"/>
      <c r="DC150" s="226"/>
      <c r="DD150" s="225"/>
      <c r="DE150" s="225"/>
      <c r="DF150" s="225"/>
      <c r="DG150" s="225"/>
      <c r="DH150" s="226"/>
      <c r="DI150" s="225"/>
      <c r="DJ150" s="225"/>
      <c r="DK150" s="225"/>
      <c r="DL150" s="225"/>
      <c r="DM150" s="226"/>
      <c r="DN150" s="225"/>
      <c r="DO150" s="225"/>
      <c r="DP150" s="225"/>
      <c r="DQ150" s="225"/>
      <c r="DR150" s="226"/>
      <c r="DS150" s="225"/>
      <c r="DT150" s="225"/>
      <c r="DU150" s="225"/>
      <c r="DV150" s="225"/>
      <c r="DW150" s="226"/>
      <c r="DX150" s="225"/>
      <c r="DY150" s="225"/>
      <c r="DZ150" s="225"/>
      <c r="EA150" s="225"/>
      <c r="EB150" s="226"/>
      <c r="ED150" s="418"/>
      <c r="EK150" s="418"/>
    </row>
    <row r="151" spans="1:141" hidden="1" outlineLevel="1" x14ac:dyDescent="0.2">
      <c r="A151" s="1"/>
      <c r="B151" s="179"/>
      <c r="C151" s="175"/>
      <c r="D151" s="175"/>
      <c r="E151" s="175"/>
      <c r="F151" s="175"/>
      <c r="G151" s="170"/>
      <c r="H151" s="157"/>
      <c r="I151" s="157"/>
      <c r="J151" s="157"/>
      <c r="K151" s="175"/>
      <c r="L151" s="170"/>
      <c r="M151" s="157"/>
      <c r="N151" s="157"/>
      <c r="O151" s="157"/>
      <c r="P151" s="175"/>
      <c r="Q151" s="170"/>
      <c r="R151" s="157"/>
      <c r="S151" s="157"/>
      <c r="T151" s="157"/>
      <c r="U151" s="175"/>
      <c r="V151" s="170"/>
      <c r="W151" s="175"/>
      <c r="X151" s="175"/>
      <c r="Y151" s="175"/>
      <c r="Z151" s="175"/>
      <c r="AA151" s="170"/>
      <c r="AB151" s="157"/>
      <c r="AC151" s="157"/>
      <c r="AD151" s="157"/>
      <c r="AE151" s="175"/>
      <c r="AF151" s="170"/>
      <c r="AG151" s="157"/>
      <c r="AH151" s="157"/>
      <c r="AI151" s="157"/>
      <c r="AJ151" s="175"/>
      <c r="AK151" s="170"/>
      <c r="AL151" s="157"/>
      <c r="AM151" s="157"/>
      <c r="AN151" s="157"/>
      <c r="AO151" s="175"/>
      <c r="AP151" s="170"/>
      <c r="AQ151" s="157"/>
      <c r="AR151" s="157"/>
      <c r="AS151" s="157"/>
      <c r="AT151" s="175"/>
      <c r="AU151" s="170"/>
      <c r="AV151" s="157"/>
      <c r="AW151" s="157"/>
      <c r="AX151" s="157"/>
      <c r="AY151" s="175"/>
      <c r="AZ151" s="170"/>
      <c r="BA151" s="157"/>
      <c r="BB151" s="157"/>
      <c r="BC151" s="157"/>
      <c r="BD151" s="175"/>
      <c r="BE151" s="170"/>
      <c r="BF151" s="157"/>
      <c r="BG151" s="157"/>
      <c r="BH151" s="157"/>
      <c r="BI151" s="175"/>
      <c r="BJ151" s="170"/>
      <c r="BK151" s="157"/>
      <c r="BL151" s="157"/>
      <c r="BM151" s="157"/>
      <c r="BN151" s="175"/>
      <c r="BO151" s="170"/>
      <c r="BP151" s="157"/>
      <c r="BQ151" s="157"/>
      <c r="BR151" s="157"/>
      <c r="BS151" s="175"/>
      <c r="BT151" s="170"/>
      <c r="BU151" s="157"/>
      <c r="BV151" s="157"/>
      <c r="BW151" s="157"/>
      <c r="BX151" s="175"/>
      <c r="BY151" s="170"/>
      <c r="BZ151" s="157"/>
      <c r="CA151" s="157"/>
      <c r="CB151" s="157"/>
      <c r="CC151" s="175"/>
      <c r="CD151" s="170"/>
      <c r="CE151" s="157"/>
      <c r="CF151" s="157"/>
      <c r="CG151" s="157"/>
      <c r="CH151" s="175"/>
      <c r="CI151" s="170"/>
      <c r="CJ151" s="157"/>
      <c r="CK151" s="157"/>
      <c r="CL151" s="157"/>
      <c r="CM151" s="175"/>
      <c r="CN151" s="170"/>
      <c r="CO151" s="157"/>
      <c r="CP151" s="157"/>
      <c r="CQ151" s="157"/>
      <c r="CR151" s="175"/>
      <c r="CS151" s="170"/>
      <c r="CT151" s="157"/>
      <c r="CU151" s="157"/>
      <c r="CV151" s="157"/>
      <c r="CW151" s="678"/>
      <c r="CX151" s="742"/>
      <c r="CY151" s="157"/>
      <c r="CZ151" s="157"/>
      <c r="DA151" s="157"/>
      <c r="DB151" s="861"/>
      <c r="DC151" s="170"/>
      <c r="DD151" s="157"/>
      <c r="DE151" s="157"/>
      <c r="DF151" s="157"/>
      <c r="DG151" s="175"/>
      <c r="DH151" s="170"/>
      <c r="DI151" s="157"/>
      <c r="DJ151" s="157"/>
      <c r="DK151" s="157"/>
      <c r="DL151" s="157"/>
      <c r="DM151" s="170"/>
      <c r="DN151" s="157"/>
      <c r="DO151" s="157"/>
      <c r="DP151" s="157"/>
      <c r="DQ151" s="157"/>
      <c r="DR151" s="170"/>
      <c r="DS151" s="157"/>
      <c r="DT151" s="157"/>
      <c r="DU151" s="157"/>
      <c r="DV151" s="157"/>
      <c r="DW151" s="170"/>
      <c r="DX151" s="157"/>
      <c r="DY151" s="157"/>
      <c r="DZ151" s="157"/>
      <c r="EA151" s="157"/>
      <c r="EB151" s="170"/>
      <c r="ED151" s="418"/>
      <c r="EK151" s="418"/>
    </row>
    <row r="152" spans="1:141" hidden="1" outlineLevel="1" x14ac:dyDescent="0.2">
      <c r="A152" s="83" t="s">
        <v>93</v>
      </c>
      <c r="B152" s="179"/>
      <c r="C152" s="182"/>
      <c r="D152" s="182"/>
      <c r="E152" s="182"/>
      <c r="F152" s="182"/>
      <c r="G152" s="179"/>
      <c r="H152" s="227"/>
      <c r="I152" s="227"/>
      <c r="J152" s="227"/>
      <c r="K152" s="182"/>
      <c r="L152" s="179"/>
      <c r="M152" s="227"/>
      <c r="N152" s="227"/>
      <c r="O152" s="227"/>
      <c r="P152" s="182"/>
      <c r="Q152" s="179"/>
      <c r="R152" s="227"/>
      <c r="S152" s="227"/>
      <c r="T152" s="227"/>
      <c r="U152" s="182"/>
      <c r="V152" s="179"/>
      <c r="W152" s="182"/>
      <c r="X152" s="182"/>
      <c r="Y152" s="182"/>
      <c r="Z152" s="182"/>
      <c r="AA152" s="179"/>
      <c r="AB152" s="227"/>
      <c r="AC152" s="227"/>
      <c r="AD152" s="227"/>
      <c r="AE152" s="182"/>
      <c r="AF152" s="179"/>
      <c r="AG152" s="227"/>
      <c r="AH152" s="227"/>
      <c r="AI152" s="227"/>
      <c r="AJ152" s="182"/>
      <c r="AK152" s="179"/>
      <c r="AL152" s="227"/>
      <c r="AM152" s="227"/>
      <c r="AN152" s="227"/>
      <c r="AO152" s="182"/>
      <c r="AP152" s="179"/>
      <c r="AQ152" s="227"/>
      <c r="AR152" s="227"/>
      <c r="AS152" s="227"/>
      <c r="AT152" s="182"/>
      <c r="AU152" s="179"/>
      <c r="AV152" s="227"/>
      <c r="AW152" s="227"/>
      <c r="AX152" s="227"/>
      <c r="AY152" s="182"/>
      <c r="AZ152" s="179"/>
      <c r="BA152" s="227"/>
      <c r="BB152" s="227"/>
      <c r="BC152" s="227"/>
      <c r="BD152" s="182"/>
      <c r="BE152" s="179"/>
      <c r="BF152" s="227"/>
      <c r="BG152" s="227"/>
      <c r="BH152" s="227"/>
      <c r="BI152" s="182"/>
      <c r="BJ152" s="179"/>
      <c r="BK152" s="227"/>
      <c r="BL152" s="227"/>
      <c r="BM152" s="227"/>
      <c r="BN152" s="182"/>
      <c r="BO152" s="179"/>
      <c r="BP152" s="227"/>
      <c r="BQ152" s="227"/>
      <c r="BR152" s="227"/>
      <c r="BS152" s="182"/>
      <c r="BT152" s="179"/>
      <c r="BU152" s="227"/>
      <c r="BV152" s="227"/>
      <c r="BW152" s="227"/>
      <c r="BX152" s="182"/>
      <c r="BY152" s="179"/>
      <c r="BZ152" s="227"/>
      <c r="CA152" s="227"/>
      <c r="CB152" s="227"/>
      <c r="CC152" s="182"/>
      <c r="CD152" s="179"/>
      <c r="CE152" s="227"/>
      <c r="CF152" s="227"/>
      <c r="CG152" s="227"/>
      <c r="CH152" s="182"/>
      <c r="CI152" s="179"/>
      <c r="CJ152" s="227"/>
      <c r="CK152" s="227"/>
      <c r="CL152" s="227"/>
      <c r="CM152" s="182"/>
      <c r="CN152" s="179"/>
      <c r="CO152" s="227"/>
      <c r="CP152" s="227"/>
      <c r="CQ152" s="227"/>
      <c r="CR152" s="182"/>
      <c r="CS152" s="179"/>
      <c r="CT152" s="227"/>
      <c r="CU152" s="227"/>
      <c r="CV152" s="227"/>
      <c r="CW152" s="690"/>
      <c r="CX152" s="749"/>
      <c r="CY152" s="227"/>
      <c r="CZ152" s="227"/>
      <c r="DA152" s="227"/>
      <c r="DB152" s="870"/>
      <c r="DC152" s="179"/>
      <c r="DD152" s="227"/>
      <c r="DE152" s="227"/>
      <c r="DF152" s="227"/>
      <c r="DG152" s="182"/>
      <c r="DH152" s="179"/>
      <c r="DI152" s="227"/>
      <c r="DJ152" s="227"/>
      <c r="DK152" s="227"/>
      <c r="DL152" s="227"/>
      <c r="DM152" s="179"/>
      <c r="DN152" s="227"/>
      <c r="DO152" s="227"/>
      <c r="DP152" s="227"/>
      <c r="DQ152" s="227"/>
      <c r="DR152" s="179"/>
      <c r="DS152" s="227"/>
      <c r="DT152" s="227"/>
      <c r="DU152" s="227"/>
      <c r="DV152" s="227"/>
      <c r="DW152" s="179"/>
      <c r="DX152" s="227"/>
      <c r="DY152" s="227"/>
      <c r="DZ152" s="227"/>
      <c r="EA152" s="227"/>
      <c r="EB152" s="179"/>
      <c r="ED152" s="418"/>
      <c r="EK152" s="418"/>
    </row>
    <row r="153" spans="1:141" hidden="1" outlineLevel="1" x14ac:dyDescent="0.2">
      <c r="A153" s="1" t="s">
        <v>2</v>
      </c>
      <c r="B153" s="179"/>
      <c r="C153" s="175"/>
      <c r="D153" s="175"/>
      <c r="E153" s="175"/>
      <c r="F153" s="175"/>
      <c r="G153" s="170"/>
      <c r="H153" s="157"/>
      <c r="I153" s="157"/>
      <c r="J153" s="157"/>
      <c r="K153" s="175"/>
      <c r="L153" s="170"/>
      <c r="M153" s="157"/>
      <c r="N153" s="157"/>
      <c r="O153" s="157"/>
      <c r="P153" s="175"/>
      <c r="Q153" s="170"/>
      <c r="R153" s="157"/>
      <c r="S153" s="157"/>
      <c r="T153" s="157"/>
      <c r="U153" s="175"/>
      <c r="V153" s="170"/>
      <c r="W153" s="175"/>
      <c r="X153" s="175"/>
      <c r="Y153" s="175"/>
      <c r="Z153" s="175"/>
      <c r="AA153" s="170"/>
      <c r="AB153" s="157"/>
      <c r="AC153" s="157"/>
      <c r="AD153" s="157"/>
      <c r="AE153" s="175"/>
      <c r="AF153" s="170"/>
      <c r="AG153" s="157"/>
      <c r="AH153" s="157"/>
      <c r="AI153" s="157"/>
      <c r="AJ153" s="175"/>
      <c r="AK153" s="170"/>
      <c r="AL153" s="157"/>
      <c r="AM153" s="157"/>
      <c r="AN153" s="157"/>
      <c r="AO153" s="175"/>
      <c r="AP153" s="170"/>
      <c r="AQ153" s="157"/>
      <c r="AR153" s="157"/>
      <c r="AS153" s="157"/>
      <c r="AT153" s="175"/>
      <c r="AU153" s="170"/>
      <c r="AV153" s="157"/>
      <c r="AW153" s="157"/>
      <c r="AX153" s="157"/>
      <c r="AY153" s="175"/>
      <c r="AZ153" s="170"/>
      <c r="BA153" s="157"/>
      <c r="BB153" s="157"/>
      <c r="BC153" s="157"/>
      <c r="BD153" s="175"/>
      <c r="BE153" s="170"/>
      <c r="BF153" s="157"/>
      <c r="BG153" s="157"/>
      <c r="BH153" s="157"/>
      <c r="BI153" s="175"/>
      <c r="BJ153" s="170"/>
      <c r="BK153" s="157"/>
      <c r="BL153" s="157"/>
      <c r="BM153" s="157"/>
      <c r="BN153" s="175"/>
      <c r="BO153" s="340">
        <v>2078.6999999999998</v>
      </c>
      <c r="BP153" s="341"/>
      <c r="BQ153" s="341"/>
      <c r="BR153" s="341"/>
      <c r="BS153" s="406"/>
      <c r="BT153" s="340">
        <v>1966.3</v>
      </c>
      <c r="BU153" s="341"/>
      <c r="BV153" s="341"/>
      <c r="BW153" s="341"/>
      <c r="BX153" s="406"/>
      <c r="BY153" s="340">
        <v>1650</v>
      </c>
      <c r="BZ153" s="341"/>
      <c r="CA153" s="341"/>
      <c r="CB153" s="341"/>
      <c r="CC153" s="406"/>
      <c r="CD153" s="340"/>
      <c r="CE153" s="341"/>
      <c r="CF153" s="341"/>
      <c r="CG153" s="341"/>
      <c r="CH153" s="406"/>
      <c r="CI153" s="340"/>
      <c r="CJ153" s="341"/>
      <c r="CK153" s="341"/>
      <c r="CL153" s="341"/>
      <c r="CM153" s="406"/>
      <c r="CN153" s="340"/>
      <c r="CO153" s="341"/>
      <c r="CP153" s="341"/>
      <c r="CQ153" s="341"/>
      <c r="CR153" s="406"/>
      <c r="CS153" s="340"/>
      <c r="CT153" s="341"/>
      <c r="CU153" s="341"/>
      <c r="CV153" s="341"/>
      <c r="CW153" s="711"/>
      <c r="CX153" s="762"/>
      <c r="CY153" s="341"/>
      <c r="CZ153" s="341"/>
      <c r="DA153" s="341"/>
      <c r="DB153" s="893"/>
      <c r="DC153" s="340"/>
      <c r="DD153" s="341"/>
      <c r="DE153" s="341"/>
      <c r="DF153" s="341"/>
      <c r="DG153" s="406"/>
      <c r="DH153" s="340"/>
      <c r="DI153" s="341"/>
      <c r="DJ153" s="341"/>
      <c r="DK153" s="341"/>
      <c r="DL153" s="341"/>
      <c r="DM153" s="340"/>
      <c r="DN153" s="341"/>
      <c r="DO153" s="341"/>
      <c r="DP153" s="341"/>
      <c r="DQ153" s="341"/>
      <c r="DR153" s="340"/>
      <c r="DS153" s="341"/>
      <c r="DT153" s="341"/>
      <c r="DU153" s="341"/>
      <c r="DV153" s="341"/>
      <c r="DW153" s="340"/>
      <c r="DX153" s="341"/>
      <c r="DY153" s="341"/>
      <c r="DZ153" s="341"/>
      <c r="EA153" s="341"/>
      <c r="EB153" s="340"/>
      <c r="ED153" s="418"/>
      <c r="EK153" s="418"/>
    </row>
    <row r="154" spans="1:141" hidden="1" outlineLevel="1" x14ac:dyDescent="0.2">
      <c r="A154" s="1" t="s">
        <v>1</v>
      </c>
      <c r="B154" s="179"/>
      <c r="C154" s="175"/>
      <c r="D154" s="175"/>
      <c r="E154" s="175"/>
      <c r="F154" s="175"/>
      <c r="G154" s="170"/>
      <c r="H154" s="157"/>
      <c r="I154" s="157"/>
      <c r="J154" s="157"/>
      <c r="K154" s="175"/>
      <c r="L154" s="170"/>
      <c r="M154" s="157"/>
      <c r="N154" s="157"/>
      <c r="O154" s="157"/>
      <c r="P154" s="175"/>
      <c r="Q154" s="170"/>
      <c r="R154" s="157"/>
      <c r="S154" s="157"/>
      <c r="T154" s="157"/>
      <c r="U154" s="175"/>
      <c r="V154" s="170"/>
      <c r="W154" s="175"/>
      <c r="X154" s="175"/>
      <c r="Y154" s="175"/>
      <c r="Z154" s="175"/>
      <c r="AA154" s="170"/>
      <c r="AB154" s="157"/>
      <c r="AC154" s="157"/>
      <c r="AD154" s="157"/>
      <c r="AE154" s="175"/>
      <c r="AF154" s="170"/>
      <c r="AG154" s="157"/>
      <c r="AH154" s="157"/>
      <c r="AI154" s="157"/>
      <c r="AJ154" s="175"/>
      <c r="AK154" s="170"/>
      <c r="AL154" s="157"/>
      <c r="AM154" s="157"/>
      <c r="AN154" s="157"/>
      <c r="AO154" s="175"/>
      <c r="AP154" s="170"/>
      <c r="AQ154" s="157"/>
      <c r="AR154" s="157"/>
      <c r="AS154" s="157"/>
      <c r="AT154" s="175"/>
      <c r="AU154" s="170"/>
      <c r="AV154" s="157"/>
      <c r="AW154" s="157"/>
      <c r="AX154" s="157"/>
      <c r="AY154" s="175"/>
      <c r="AZ154" s="170"/>
      <c r="BA154" s="157"/>
      <c r="BB154" s="157"/>
      <c r="BC154" s="157"/>
      <c r="BD154" s="175"/>
      <c r="BE154" s="170"/>
      <c r="BF154" s="157"/>
      <c r="BG154" s="157"/>
      <c r="BH154" s="157"/>
      <c r="BI154" s="175"/>
      <c r="BJ154" s="170"/>
      <c r="BK154" s="157"/>
      <c r="BL154" s="157"/>
      <c r="BM154" s="157"/>
      <c r="BN154" s="175"/>
      <c r="BO154" s="340">
        <v>948.7</v>
      </c>
      <c r="BP154" s="341"/>
      <c r="BQ154" s="341"/>
      <c r="BR154" s="341"/>
      <c r="BS154" s="406"/>
      <c r="BT154" s="340">
        <v>1066</v>
      </c>
      <c r="BU154" s="341"/>
      <c r="BV154" s="341"/>
      <c r="BW154" s="341"/>
      <c r="BX154" s="406"/>
      <c r="BY154" s="340">
        <v>1071.3</v>
      </c>
      <c r="BZ154" s="341"/>
      <c r="CA154" s="341"/>
      <c r="CB154" s="341"/>
      <c r="CC154" s="406"/>
      <c r="CD154" s="340"/>
      <c r="CE154" s="341"/>
      <c r="CF154" s="341"/>
      <c r="CG154" s="341"/>
      <c r="CH154" s="406"/>
      <c r="CI154" s="340"/>
      <c r="CJ154" s="341"/>
      <c r="CK154" s="341"/>
      <c r="CL154" s="341"/>
      <c r="CM154" s="406"/>
      <c r="CN154" s="340"/>
      <c r="CO154" s="341"/>
      <c r="CP154" s="341"/>
      <c r="CQ154" s="341"/>
      <c r="CR154" s="406"/>
      <c r="CS154" s="340"/>
      <c r="CT154" s="341"/>
      <c r="CU154" s="341"/>
      <c r="CV154" s="341"/>
      <c r="CW154" s="711"/>
      <c r="CX154" s="762"/>
      <c r="CY154" s="341"/>
      <c r="CZ154" s="341"/>
      <c r="DA154" s="341"/>
      <c r="DB154" s="893"/>
      <c r="DC154" s="340"/>
      <c r="DD154" s="341"/>
      <c r="DE154" s="341"/>
      <c r="DF154" s="341"/>
      <c r="DG154" s="406"/>
      <c r="DH154" s="340"/>
      <c r="DI154" s="341"/>
      <c r="DJ154" s="341"/>
      <c r="DK154" s="341"/>
      <c r="DL154" s="341"/>
      <c r="DM154" s="340"/>
      <c r="DN154" s="341"/>
      <c r="DO154" s="341"/>
      <c r="DP154" s="341"/>
      <c r="DQ154" s="341"/>
      <c r="DR154" s="340"/>
      <c r="DS154" s="341"/>
      <c r="DT154" s="341"/>
      <c r="DU154" s="341"/>
      <c r="DV154" s="341"/>
      <c r="DW154" s="340"/>
      <c r="DX154" s="341"/>
      <c r="DY154" s="341"/>
      <c r="DZ154" s="341"/>
      <c r="EA154" s="341"/>
      <c r="EB154" s="340"/>
      <c r="ED154" s="418"/>
      <c r="EK154" s="418"/>
    </row>
    <row r="155" spans="1:141" hidden="1" outlineLevel="1" x14ac:dyDescent="0.2">
      <c r="A155" s="1" t="s">
        <v>87</v>
      </c>
      <c r="B155" s="179"/>
      <c r="C155" s="175"/>
      <c r="D155" s="175"/>
      <c r="E155" s="175"/>
      <c r="F155" s="175"/>
      <c r="G155" s="170"/>
      <c r="H155" s="157"/>
      <c r="I155" s="157"/>
      <c r="J155" s="157"/>
      <c r="K155" s="175"/>
      <c r="L155" s="170"/>
      <c r="M155" s="157"/>
      <c r="N155" s="157"/>
      <c r="O155" s="157"/>
      <c r="P155" s="175"/>
      <c r="Q155" s="170"/>
      <c r="R155" s="157"/>
      <c r="S155" s="157"/>
      <c r="T155" s="157"/>
      <c r="U155" s="175"/>
      <c r="V155" s="170"/>
      <c r="W155" s="175"/>
      <c r="X155" s="175"/>
      <c r="Y155" s="175"/>
      <c r="Z155" s="175"/>
      <c r="AA155" s="170"/>
      <c r="AB155" s="157"/>
      <c r="AC155" s="157"/>
      <c r="AD155" s="157"/>
      <c r="AE155" s="175"/>
      <c r="AF155" s="170"/>
      <c r="AG155" s="157"/>
      <c r="AH155" s="157"/>
      <c r="AI155" s="157"/>
      <c r="AJ155" s="175"/>
      <c r="AK155" s="170"/>
      <c r="AL155" s="157"/>
      <c r="AM155" s="157"/>
      <c r="AN155" s="157"/>
      <c r="AO155" s="175"/>
      <c r="AP155" s="170"/>
      <c r="AQ155" s="157"/>
      <c r="AR155" s="157"/>
      <c r="AS155" s="157"/>
      <c r="AT155" s="175"/>
      <c r="AU155" s="170"/>
      <c r="AV155" s="157"/>
      <c r="AW155" s="157"/>
      <c r="AX155" s="157"/>
      <c r="AY155" s="175"/>
      <c r="AZ155" s="170"/>
      <c r="BA155" s="157"/>
      <c r="BB155" s="157"/>
      <c r="BC155" s="157"/>
      <c r="BD155" s="175"/>
      <c r="BE155" s="170"/>
      <c r="BF155" s="157"/>
      <c r="BG155" s="157"/>
      <c r="BH155" s="157"/>
      <c r="BI155" s="175"/>
      <c r="BJ155" s="170"/>
      <c r="BK155" s="157"/>
      <c r="BL155" s="157"/>
      <c r="BM155" s="157"/>
      <c r="BN155" s="175"/>
      <c r="BO155" s="340">
        <v>90</v>
      </c>
      <c r="BP155" s="341"/>
      <c r="BQ155" s="341"/>
      <c r="BR155" s="341"/>
      <c r="BS155" s="406"/>
      <c r="BT155" s="340">
        <v>85.6</v>
      </c>
      <c r="BU155" s="341"/>
      <c r="BV155" s="341"/>
      <c r="BW155" s="341"/>
      <c r="BX155" s="406"/>
      <c r="BY155" s="340">
        <v>102.1</v>
      </c>
      <c r="BZ155" s="341"/>
      <c r="CA155" s="341"/>
      <c r="CB155" s="341"/>
      <c r="CC155" s="406"/>
      <c r="CD155" s="340"/>
      <c r="CE155" s="341"/>
      <c r="CF155" s="341"/>
      <c r="CG155" s="341"/>
      <c r="CH155" s="406"/>
      <c r="CI155" s="340"/>
      <c r="CJ155" s="341"/>
      <c r="CK155" s="341"/>
      <c r="CL155" s="341"/>
      <c r="CM155" s="406"/>
      <c r="CN155" s="340"/>
      <c r="CO155" s="341"/>
      <c r="CP155" s="341"/>
      <c r="CQ155" s="341"/>
      <c r="CR155" s="406"/>
      <c r="CS155" s="340"/>
      <c r="CT155" s="341"/>
      <c r="CU155" s="341"/>
      <c r="CV155" s="341"/>
      <c r="CW155" s="711"/>
      <c r="CX155" s="762"/>
      <c r="CY155" s="341"/>
      <c r="CZ155" s="341"/>
      <c r="DA155" s="341"/>
      <c r="DB155" s="893"/>
      <c r="DC155" s="340"/>
      <c r="DD155" s="341"/>
      <c r="DE155" s="341"/>
      <c r="DF155" s="341"/>
      <c r="DG155" s="406"/>
      <c r="DH155" s="340"/>
      <c r="DI155" s="341"/>
      <c r="DJ155" s="341"/>
      <c r="DK155" s="341"/>
      <c r="DL155" s="341"/>
      <c r="DM155" s="340"/>
      <c r="DN155" s="341"/>
      <c r="DO155" s="341"/>
      <c r="DP155" s="341"/>
      <c r="DQ155" s="341"/>
      <c r="DR155" s="340"/>
      <c r="DS155" s="341"/>
      <c r="DT155" s="341"/>
      <c r="DU155" s="341"/>
      <c r="DV155" s="341"/>
      <c r="DW155" s="340"/>
      <c r="DX155" s="341"/>
      <c r="DY155" s="341"/>
      <c r="DZ155" s="341"/>
      <c r="EA155" s="341"/>
      <c r="EB155" s="340"/>
      <c r="ED155" s="418"/>
      <c r="EK155" s="418"/>
    </row>
    <row r="156" spans="1:141" hidden="1" outlineLevel="1" x14ac:dyDescent="0.2">
      <c r="A156" s="1" t="s">
        <v>86</v>
      </c>
      <c r="B156" s="179"/>
      <c r="C156" s="175"/>
      <c r="D156" s="175"/>
      <c r="E156" s="175"/>
      <c r="F156" s="175"/>
      <c r="G156" s="170"/>
      <c r="H156" s="157"/>
      <c r="I156" s="157"/>
      <c r="J156" s="157"/>
      <c r="K156" s="175"/>
      <c r="L156" s="170"/>
      <c r="M156" s="157"/>
      <c r="N156" s="157"/>
      <c r="O156" s="157"/>
      <c r="P156" s="175"/>
      <c r="Q156" s="170"/>
      <c r="R156" s="157"/>
      <c r="S156" s="157"/>
      <c r="T156" s="157"/>
      <c r="U156" s="175"/>
      <c r="V156" s="170"/>
      <c r="W156" s="175"/>
      <c r="X156" s="175"/>
      <c r="Y156" s="175"/>
      <c r="Z156" s="175"/>
      <c r="AA156" s="170"/>
      <c r="AB156" s="157"/>
      <c r="AC156" s="157"/>
      <c r="AD156" s="157"/>
      <c r="AE156" s="175"/>
      <c r="AF156" s="170"/>
      <c r="AG156" s="157"/>
      <c r="AH156" s="157"/>
      <c r="AI156" s="157"/>
      <c r="AJ156" s="175"/>
      <c r="AK156" s="170"/>
      <c r="AL156" s="157"/>
      <c r="AM156" s="157"/>
      <c r="AN156" s="157"/>
      <c r="AO156" s="175"/>
      <c r="AP156" s="170"/>
      <c r="AQ156" s="157"/>
      <c r="AR156" s="157"/>
      <c r="AS156" s="157"/>
      <c r="AT156" s="175"/>
      <c r="AU156" s="170"/>
      <c r="AV156" s="157"/>
      <c r="AW156" s="157"/>
      <c r="AX156" s="157"/>
      <c r="AY156" s="175"/>
      <c r="AZ156" s="170"/>
      <c r="BA156" s="157"/>
      <c r="BB156" s="157"/>
      <c r="BC156" s="157"/>
      <c r="BD156" s="175"/>
      <c r="BE156" s="170"/>
      <c r="BF156" s="157"/>
      <c r="BG156" s="157"/>
      <c r="BH156" s="157"/>
      <c r="BI156" s="175"/>
      <c r="BJ156" s="170"/>
      <c r="BK156" s="157"/>
      <c r="BL156" s="157"/>
      <c r="BM156" s="157"/>
      <c r="BN156" s="175"/>
      <c r="BO156" s="340">
        <v>2226.5</v>
      </c>
      <c r="BP156" s="341"/>
      <c r="BQ156" s="341"/>
      <c r="BR156" s="341"/>
      <c r="BS156" s="406"/>
      <c r="BT156" s="340">
        <v>2554.6999999999998</v>
      </c>
      <c r="BU156" s="341"/>
      <c r="BV156" s="341"/>
      <c r="BW156" s="341"/>
      <c r="BX156" s="406"/>
      <c r="BY156" s="340">
        <v>2753.4</v>
      </c>
      <c r="BZ156" s="341"/>
      <c r="CA156" s="341"/>
      <c r="CB156" s="341"/>
      <c r="CC156" s="406"/>
      <c r="CD156" s="340"/>
      <c r="CE156" s="341"/>
      <c r="CF156" s="341"/>
      <c r="CG156" s="341"/>
      <c r="CH156" s="406"/>
      <c r="CI156" s="340"/>
      <c r="CJ156" s="341"/>
      <c r="CK156" s="341"/>
      <c r="CL156" s="341"/>
      <c r="CM156" s="406"/>
      <c r="CN156" s="340"/>
      <c r="CO156" s="341"/>
      <c r="CP156" s="341"/>
      <c r="CQ156" s="341"/>
      <c r="CR156" s="406"/>
      <c r="CS156" s="340"/>
      <c r="CT156" s="341"/>
      <c r="CU156" s="341"/>
      <c r="CV156" s="341"/>
      <c r="CW156" s="711"/>
      <c r="CX156" s="762"/>
      <c r="CY156" s="341"/>
      <c r="CZ156" s="341"/>
      <c r="DA156" s="341"/>
      <c r="DB156" s="893"/>
      <c r="DC156" s="340"/>
      <c r="DD156" s="341"/>
      <c r="DE156" s="341"/>
      <c r="DF156" s="341"/>
      <c r="DG156" s="406"/>
      <c r="DH156" s="340"/>
      <c r="DI156" s="341"/>
      <c r="DJ156" s="341"/>
      <c r="DK156" s="341"/>
      <c r="DL156" s="341"/>
      <c r="DM156" s="340"/>
      <c r="DN156" s="341"/>
      <c r="DO156" s="341"/>
      <c r="DP156" s="341"/>
      <c r="DQ156" s="341"/>
      <c r="DR156" s="340"/>
      <c r="DS156" s="341"/>
      <c r="DT156" s="341"/>
      <c r="DU156" s="341"/>
      <c r="DV156" s="341"/>
      <c r="DW156" s="340"/>
      <c r="DX156" s="341"/>
      <c r="DY156" s="341"/>
      <c r="DZ156" s="341"/>
      <c r="EA156" s="341"/>
      <c r="EB156" s="340"/>
      <c r="ED156" s="418"/>
      <c r="EK156" s="418"/>
    </row>
    <row r="157" spans="1:141" hidden="1" outlineLevel="1" x14ac:dyDescent="0.2">
      <c r="A157" s="1"/>
      <c r="B157" s="179"/>
      <c r="C157" s="175"/>
      <c r="D157" s="175"/>
      <c r="E157" s="175"/>
      <c r="F157" s="175"/>
      <c r="G157" s="170"/>
      <c r="H157" s="157"/>
      <c r="I157" s="157"/>
      <c r="J157" s="157"/>
      <c r="K157" s="175"/>
      <c r="L157" s="170"/>
      <c r="M157" s="157"/>
      <c r="N157" s="157"/>
      <c r="O157" s="157"/>
      <c r="P157" s="175"/>
      <c r="Q157" s="170"/>
      <c r="R157" s="157"/>
      <c r="S157" s="157"/>
      <c r="T157" s="157"/>
      <c r="U157" s="175"/>
      <c r="V157" s="170"/>
      <c r="W157" s="175"/>
      <c r="X157" s="175"/>
      <c r="Y157" s="175"/>
      <c r="Z157" s="175"/>
      <c r="AA157" s="170"/>
      <c r="AB157" s="157"/>
      <c r="AC157" s="157"/>
      <c r="AD157" s="157"/>
      <c r="AE157" s="175"/>
      <c r="AF157" s="170"/>
      <c r="AG157" s="157"/>
      <c r="AH157" s="157"/>
      <c r="AI157" s="157"/>
      <c r="AJ157" s="175"/>
      <c r="AK157" s="170"/>
      <c r="AL157" s="157"/>
      <c r="AM157" s="157"/>
      <c r="AN157" s="157"/>
      <c r="AO157" s="175"/>
      <c r="AP157" s="170"/>
      <c r="AQ157" s="157"/>
      <c r="AR157" s="157"/>
      <c r="AS157" s="157"/>
      <c r="AT157" s="175"/>
      <c r="AU157" s="170"/>
      <c r="AV157" s="157"/>
      <c r="AW157" s="157"/>
      <c r="AX157" s="157"/>
      <c r="AY157" s="175"/>
      <c r="AZ157" s="170"/>
      <c r="BA157" s="157"/>
      <c r="BB157" s="157"/>
      <c r="BC157" s="157"/>
      <c r="BD157" s="175"/>
      <c r="BE157" s="170"/>
      <c r="BF157" s="157"/>
      <c r="BG157" s="157"/>
      <c r="BH157" s="157"/>
      <c r="BI157" s="175"/>
      <c r="BJ157" s="170"/>
      <c r="BK157" s="157"/>
      <c r="BL157" s="157"/>
      <c r="BM157" s="157"/>
      <c r="BN157" s="175"/>
      <c r="BO157" s="382">
        <f t="shared" ref="BO157:CT157" si="282">SUM(BO153:BO156)</f>
        <v>5343.9</v>
      </c>
      <c r="BP157" s="383">
        <f t="shared" si="282"/>
        <v>0</v>
      </c>
      <c r="BQ157" s="383">
        <f t="shared" si="282"/>
        <v>0</v>
      </c>
      <c r="BR157" s="383">
        <f t="shared" si="282"/>
        <v>0</v>
      </c>
      <c r="BS157" s="407">
        <f t="shared" si="282"/>
        <v>0</v>
      </c>
      <c r="BT157" s="382">
        <f t="shared" si="282"/>
        <v>5672.6</v>
      </c>
      <c r="BU157" s="383">
        <f t="shared" si="282"/>
        <v>0</v>
      </c>
      <c r="BV157" s="383">
        <f t="shared" si="282"/>
        <v>0</v>
      </c>
      <c r="BW157" s="383">
        <f t="shared" si="282"/>
        <v>0</v>
      </c>
      <c r="BX157" s="407">
        <f t="shared" si="282"/>
        <v>0</v>
      </c>
      <c r="BY157" s="382">
        <f t="shared" si="282"/>
        <v>5576.8</v>
      </c>
      <c r="BZ157" s="383">
        <f t="shared" si="282"/>
        <v>0</v>
      </c>
      <c r="CA157" s="383">
        <f t="shared" si="282"/>
        <v>0</v>
      </c>
      <c r="CB157" s="437">
        <f t="shared" si="282"/>
        <v>0</v>
      </c>
      <c r="CC157" s="438">
        <f t="shared" si="282"/>
        <v>0</v>
      </c>
      <c r="CD157" s="439">
        <f t="shared" si="282"/>
        <v>0</v>
      </c>
      <c r="CE157" s="437">
        <f t="shared" si="282"/>
        <v>0</v>
      </c>
      <c r="CF157" s="437">
        <f t="shared" si="282"/>
        <v>0</v>
      </c>
      <c r="CG157" s="437">
        <f t="shared" si="282"/>
        <v>0</v>
      </c>
      <c r="CH157" s="438">
        <f t="shared" si="282"/>
        <v>0</v>
      </c>
      <c r="CI157" s="439">
        <f t="shared" si="282"/>
        <v>0</v>
      </c>
      <c r="CJ157" s="437">
        <f t="shared" si="282"/>
        <v>0</v>
      </c>
      <c r="CK157" s="437">
        <f t="shared" si="282"/>
        <v>0</v>
      </c>
      <c r="CL157" s="437">
        <f t="shared" si="282"/>
        <v>0</v>
      </c>
      <c r="CM157" s="438">
        <f t="shared" si="282"/>
        <v>0</v>
      </c>
      <c r="CN157" s="439">
        <f t="shared" si="282"/>
        <v>0</v>
      </c>
      <c r="CO157" s="437">
        <f t="shared" si="282"/>
        <v>0</v>
      </c>
      <c r="CP157" s="437">
        <f t="shared" si="282"/>
        <v>0</v>
      </c>
      <c r="CQ157" s="437">
        <f t="shared" si="282"/>
        <v>0</v>
      </c>
      <c r="CR157" s="438">
        <f t="shared" si="282"/>
        <v>0</v>
      </c>
      <c r="CS157" s="439">
        <f t="shared" si="282"/>
        <v>0</v>
      </c>
      <c r="CT157" s="437">
        <f t="shared" si="282"/>
        <v>0</v>
      </c>
      <c r="CU157" s="437">
        <f t="shared" ref="CU157:DR157" si="283">SUM(CU153:CU156)</f>
        <v>0</v>
      </c>
      <c r="CV157" s="437">
        <f t="shared" si="283"/>
        <v>0</v>
      </c>
      <c r="CW157" s="712">
        <f t="shared" si="283"/>
        <v>0</v>
      </c>
      <c r="CX157" s="763">
        <f t="shared" si="283"/>
        <v>0</v>
      </c>
      <c r="CY157" s="385">
        <f t="shared" si="283"/>
        <v>0</v>
      </c>
      <c r="CZ157" s="385">
        <f t="shared" si="283"/>
        <v>0</v>
      </c>
      <c r="DA157" s="385">
        <f t="shared" si="283"/>
        <v>0</v>
      </c>
      <c r="DB157" s="894">
        <f t="shared" si="283"/>
        <v>0</v>
      </c>
      <c r="DC157" s="384">
        <f t="shared" si="283"/>
        <v>0</v>
      </c>
      <c r="DD157" s="437">
        <f t="shared" si="283"/>
        <v>0</v>
      </c>
      <c r="DE157" s="437">
        <f t="shared" si="283"/>
        <v>0</v>
      </c>
      <c r="DF157" s="437">
        <f t="shared" si="283"/>
        <v>0</v>
      </c>
      <c r="DG157" s="438">
        <f t="shared" si="283"/>
        <v>0</v>
      </c>
      <c r="DH157" s="439">
        <f t="shared" si="283"/>
        <v>0</v>
      </c>
      <c r="DI157" s="437">
        <f t="shared" si="283"/>
        <v>0</v>
      </c>
      <c r="DJ157" s="437">
        <f t="shared" si="283"/>
        <v>0</v>
      </c>
      <c r="DK157" s="385">
        <f t="shared" si="283"/>
        <v>0</v>
      </c>
      <c r="DL157" s="385">
        <f t="shared" si="283"/>
        <v>0</v>
      </c>
      <c r="DM157" s="384">
        <f t="shared" si="283"/>
        <v>0</v>
      </c>
      <c r="DN157" s="437">
        <f t="shared" si="283"/>
        <v>0</v>
      </c>
      <c r="DO157" s="437">
        <f t="shared" si="283"/>
        <v>0</v>
      </c>
      <c r="DP157" s="437">
        <f t="shared" si="283"/>
        <v>0</v>
      </c>
      <c r="DQ157" s="437">
        <f t="shared" si="283"/>
        <v>0</v>
      </c>
      <c r="DR157" s="439">
        <f t="shared" si="283"/>
        <v>0</v>
      </c>
      <c r="DS157" s="437">
        <f t="shared" ref="DS157:EB157" si="284">SUM(DS153:DS156)</f>
        <v>0</v>
      </c>
      <c r="DT157" s="437">
        <f t="shared" si="284"/>
        <v>0</v>
      </c>
      <c r="DU157" s="437">
        <f t="shared" si="284"/>
        <v>0</v>
      </c>
      <c r="DV157" s="437">
        <f t="shared" si="284"/>
        <v>0</v>
      </c>
      <c r="DW157" s="439">
        <f t="shared" si="284"/>
        <v>0</v>
      </c>
      <c r="DX157" s="437">
        <f t="shared" si="284"/>
        <v>0</v>
      </c>
      <c r="DY157" s="437">
        <f t="shared" si="284"/>
        <v>0</v>
      </c>
      <c r="DZ157" s="437">
        <f t="shared" si="284"/>
        <v>0</v>
      </c>
      <c r="EA157" s="437">
        <f t="shared" si="284"/>
        <v>0</v>
      </c>
      <c r="EB157" s="439">
        <f t="shared" si="284"/>
        <v>0</v>
      </c>
      <c r="ED157" s="418"/>
      <c r="EK157" s="418"/>
    </row>
    <row r="158" spans="1:141" hidden="1" outlineLevel="1" x14ac:dyDescent="0.2">
      <c r="A158" s="83" t="s">
        <v>92</v>
      </c>
      <c r="B158" s="179"/>
      <c r="C158" s="182"/>
      <c r="D158" s="182"/>
      <c r="E158" s="182"/>
      <c r="F158" s="182"/>
      <c r="G158" s="179"/>
      <c r="H158" s="227"/>
      <c r="I158" s="227"/>
      <c r="J158" s="227"/>
      <c r="K158" s="182"/>
      <c r="L158" s="179"/>
      <c r="M158" s="227"/>
      <c r="N158" s="227"/>
      <c r="O158" s="227"/>
      <c r="P158" s="182"/>
      <c r="Q158" s="179"/>
      <c r="R158" s="227"/>
      <c r="S158" s="227"/>
      <c r="T158" s="227"/>
      <c r="U158" s="182"/>
      <c r="V158" s="179"/>
      <c r="W158" s="182"/>
      <c r="X158" s="182"/>
      <c r="Y158" s="182"/>
      <c r="Z158" s="182"/>
      <c r="AA158" s="179"/>
      <c r="AB158" s="227"/>
      <c r="AC158" s="227"/>
      <c r="AD158" s="227"/>
      <c r="AE158" s="182"/>
      <c r="AF158" s="179"/>
      <c r="AG158" s="227"/>
      <c r="AH158" s="227"/>
      <c r="AI158" s="227"/>
      <c r="AJ158" s="182"/>
      <c r="AK158" s="179"/>
      <c r="AL158" s="227"/>
      <c r="AM158" s="227"/>
      <c r="AN158" s="227"/>
      <c r="AO158" s="182"/>
      <c r="AP158" s="179"/>
      <c r="AQ158" s="227"/>
      <c r="AR158" s="227"/>
      <c r="AS158" s="227"/>
      <c r="AT158" s="182"/>
      <c r="AU158" s="179"/>
      <c r="AV158" s="227"/>
      <c r="AW158" s="227"/>
      <c r="AX158" s="227"/>
      <c r="AY158" s="182"/>
      <c r="AZ158" s="179"/>
      <c r="BA158" s="227"/>
      <c r="BB158" s="227"/>
      <c r="BC158" s="227"/>
      <c r="BD158" s="182"/>
      <c r="BE158" s="179"/>
      <c r="BF158" s="227"/>
      <c r="BG158" s="227"/>
      <c r="BH158" s="227"/>
      <c r="BI158" s="182"/>
      <c r="BJ158" s="179"/>
      <c r="BK158" s="227"/>
      <c r="BL158" s="227"/>
      <c r="BM158" s="227"/>
      <c r="BN158" s="182"/>
      <c r="BO158" s="384">
        <f>BO157-BO26</f>
        <v>2.2000000000844011E-2</v>
      </c>
      <c r="BP158" s="385"/>
      <c r="BQ158" s="385"/>
      <c r="BR158" s="385"/>
      <c r="BS158" s="408"/>
      <c r="BT158" s="384">
        <f>BT157-BT26</f>
        <v>0</v>
      </c>
      <c r="BU158" s="385"/>
      <c r="BV158" s="385"/>
      <c r="BW158" s="385"/>
      <c r="BX158" s="408"/>
      <c r="BY158" s="384">
        <f>BY157-BY26</f>
        <v>0</v>
      </c>
      <c r="BZ158" s="385"/>
      <c r="CA158" s="385"/>
      <c r="CB158" s="437"/>
      <c r="CC158" s="438"/>
      <c r="CD158" s="439"/>
      <c r="CE158" s="437"/>
      <c r="CF158" s="437"/>
      <c r="CG158" s="437"/>
      <c r="CH158" s="438"/>
      <c r="CI158" s="439"/>
      <c r="CJ158" s="437"/>
      <c r="CK158" s="437"/>
      <c r="CL158" s="437"/>
      <c r="CM158" s="438"/>
      <c r="CN158" s="439"/>
      <c r="CO158" s="437"/>
      <c r="CP158" s="437"/>
      <c r="CQ158" s="437"/>
      <c r="CR158" s="438"/>
      <c r="CS158" s="439"/>
      <c r="CT158" s="437"/>
      <c r="CU158" s="437"/>
      <c r="CV158" s="437"/>
      <c r="CW158" s="712"/>
      <c r="CX158" s="763"/>
      <c r="CY158" s="385"/>
      <c r="CZ158" s="385"/>
      <c r="DA158" s="385"/>
      <c r="DB158" s="894"/>
      <c r="DC158" s="384"/>
      <c r="DD158" s="437"/>
      <c r="DE158" s="437"/>
      <c r="DF158" s="437"/>
      <c r="DG158" s="438"/>
      <c r="DH158" s="439"/>
      <c r="DI158" s="437"/>
      <c r="DJ158" s="437"/>
      <c r="DK158" s="385"/>
      <c r="DL158" s="385"/>
      <c r="DM158" s="384"/>
      <c r="DN158" s="437"/>
      <c r="DO158" s="437"/>
      <c r="DP158" s="437"/>
      <c r="DQ158" s="437"/>
      <c r="DR158" s="439"/>
      <c r="DS158" s="437"/>
      <c r="DT158" s="437"/>
      <c r="DU158" s="437"/>
      <c r="DV158" s="437"/>
      <c r="DW158" s="439"/>
      <c r="DX158" s="437"/>
      <c r="DY158" s="437"/>
      <c r="DZ158" s="437"/>
      <c r="EA158" s="437"/>
      <c r="EB158" s="439"/>
      <c r="ED158" s="418"/>
      <c r="EK158" s="418"/>
    </row>
    <row r="159" spans="1:141" hidden="1" outlineLevel="1" x14ac:dyDescent="0.2">
      <c r="A159" s="1" t="s">
        <v>2</v>
      </c>
      <c r="B159" s="179"/>
      <c r="C159" s="175"/>
      <c r="D159" s="175"/>
      <c r="E159" s="175"/>
      <c r="F159" s="175"/>
      <c r="G159" s="170"/>
      <c r="H159" s="157"/>
      <c r="I159" s="157"/>
      <c r="J159" s="157"/>
      <c r="K159" s="175"/>
      <c r="L159" s="170"/>
      <c r="M159" s="157"/>
      <c r="N159" s="157"/>
      <c r="O159" s="157"/>
      <c r="P159" s="175"/>
      <c r="Q159" s="170"/>
      <c r="R159" s="157"/>
      <c r="S159" s="157"/>
      <c r="T159" s="157"/>
      <c r="U159" s="175"/>
      <c r="V159" s="170"/>
      <c r="W159" s="175"/>
      <c r="X159" s="175"/>
      <c r="Y159" s="175"/>
      <c r="Z159" s="175"/>
      <c r="AA159" s="170"/>
      <c r="AB159" s="157"/>
      <c r="AC159" s="157"/>
      <c r="AD159" s="157"/>
      <c r="AE159" s="175"/>
      <c r="AF159" s="170"/>
      <c r="AG159" s="157"/>
      <c r="AH159" s="157"/>
      <c r="AI159" s="157"/>
      <c r="AJ159" s="175"/>
      <c r="AK159" s="170"/>
      <c r="AL159" s="157"/>
      <c r="AM159" s="157"/>
      <c r="AN159" s="157"/>
      <c r="AO159" s="175"/>
      <c r="AP159" s="170"/>
      <c r="AQ159" s="157"/>
      <c r="AR159" s="157"/>
      <c r="AS159" s="157"/>
      <c r="AT159" s="175"/>
      <c r="AU159" s="170"/>
      <c r="AV159" s="157"/>
      <c r="AW159" s="157"/>
      <c r="AX159" s="157"/>
      <c r="AY159" s="175"/>
      <c r="AZ159" s="170"/>
      <c r="BA159" s="157"/>
      <c r="BB159" s="157"/>
      <c r="BC159" s="157"/>
      <c r="BD159" s="175"/>
      <c r="BE159" s="170"/>
      <c r="BF159" s="157"/>
      <c r="BG159" s="157"/>
      <c r="BH159" s="157"/>
      <c r="BI159" s="175"/>
      <c r="BJ159" s="170"/>
      <c r="BK159" s="157"/>
      <c r="BL159" s="157"/>
      <c r="BM159" s="157"/>
      <c r="BN159" s="175"/>
      <c r="BO159" s="340">
        <v>2990.6</v>
      </c>
      <c r="BP159" s="341"/>
      <c r="BQ159" s="341"/>
      <c r="BR159" s="341"/>
      <c r="BS159" s="406"/>
      <c r="BT159" s="340">
        <v>3099.9</v>
      </c>
      <c r="BU159" s="341"/>
      <c r="BV159" s="341"/>
      <c r="BW159" s="341"/>
      <c r="BX159" s="406"/>
      <c r="BY159" s="340">
        <v>2776.7</v>
      </c>
      <c r="BZ159" s="341"/>
      <c r="CA159" s="341"/>
      <c r="CB159" s="338"/>
      <c r="CC159" s="440"/>
      <c r="CD159" s="337"/>
      <c r="CE159" s="338"/>
      <c r="CF159" s="338"/>
      <c r="CG159" s="338"/>
      <c r="CH159" s="440"/>
      <c r="CI159" s="337"/>
      <c r="CJ159" s="338"/>
      <c r="CK159" s="338"/>
      <c r="CL159" s="338"/>
      <c r="CM159" s="440"/>
      <c r="CN159" s="337"/>
      <c r="CO159" s="338"/>
      <c r="CP159" s="338"/>
      <c r="CQ159" s="338"/>
      <c r="CR159" s="440"/>
      <c r="CS159" s="337"/>
      <c r="CT159" s="338"/>
      <c r="CU159" s="338"/>
      <c r="CV159" s="338"/>
      <c r="CW159" s="711"/>
      <c r="CX159" s="762"/>
      <c r="CY159" s="341"/>
      <c r="CZ159" s="341"/>
      <c r="DA159" s="341"/>
      <c r="DB159" s="893"/>
      <c r="DC159" s="340"/>
      <c r="DD159" s="338"/>
      <c r="DE159" s="338"/>
      <c r="DF159" s="338"/>
      <c r="DG159" s="440"/>
      <c r="DH159" s="337"/>
      <c r="DI159" s="338"/>
      <c r="DJ159" s="338"/>
      <c r="DK159" s="341"/>
      <c r="DL159" s="341"/>
      <c r="DM159" s="340"/>
      <c r="DN159" s="338"/>
      <c r="DO159" s="338"/>
      <c r="DP159" s="338"/>
      <c r="DQ159" s="338"/>
      <c r="DR159" s="337"/>
      <c r="DS159" s="338"/>
      <c r="DT159" s="338"/>
      <c r="DU159" s="338"/>
      <c r="DV159" s="338"/>
      <c r="DW159" s="337"/>
      <c r="DX159" s="338"/>
      <c r="DY159" s="338"/>
      <c r="DZ159" s="338"/>
      <c r="EA159" s="338"/>
      <c r="EB159" s="337"/>
      <c r="ED159" s="418"/>
      <c r="EK159" s="418"/>
    </row>
    <row r="160" spans="1:141" hidden="1" outlineLevel="1" x14ac:dyDescent="0.2">
      <c r="A160" s="1" t="s">
        <v>90</v>
      </c>
      <c r="B160" s="179"/>
      <c r="C160" s="175"/>
      <c r="D160" s="175"/>
      <c r="E160" s="175"/>
      <c r="F160" s="175"/>
      <c r="G160" s="170"/>
      <c r="H160" s="157"/>
      <c r="I160" s="157"/>
      <c r="J160" s="157"/>
      <c r="K160" s="175"/>
      <c r="L160" s="170"/>
      <c r="M160" s="157"/>
      <c r="N160" s="157"/>
      <c r="O160" s="157"/>
      <c r="P160" s="175"/>
      <c r="Q160" s="170"/>
      <c r="R160" s="157"/>
      <c r="S160" s="157"/>
      <c r="T160" s="157"/>
      <c r="U160" s="175"/>
      <c r="V160" s="170"/>
      <c r="W160" s="175"/>
      <c r="X160" s="175"/>
      <c r="Y160" s="175"/>
      <c r="Z160" s="175"/>
      <c r="AA160" s="170"/>
      <c r="AB160" s="157"/>
      <c r="AC160" s="157"/>
      <c r="AD160" s="157"/>
      <c r="AE160" s="175"/>
      <c r="AF160" s="170"/>
      <c r="AG160" s="157"/>
      <c r="AH160" s="157"/>
      <c r="AI160" s="157"/>
      <c r="AJ160" s="175"/>
      <c r="AK160" s="170"/>
      <c r="AL160" s="157"/>
      <c r="AM160" s="157"/>
      <c r="AN160" s="157"/>
      <c r="AO160" s="175"/>
      <c r="AP160" s="170"/>
      <c r="AQ160" s="157"/>
      <c r="AR160" s="157"/>
      <c r="AS160" s="157"/>
      <c r="AT160" s="175"/>
      <c r="AU160" s="170"/>
      <c r="AV160" s="157"/>
      <c r="AW160" s="157"/>
      <c r="AX160" s="157"/>
      <c r="AY160" s="175"/>
      <c r="AZ160" s="170"/>
      <c r="BA160" s="157"/>
      <c r="BB160" s="157"/>
      <c r="BC160" s="157"/>
      <c r="BD160" s="175"/>
      <c r="BE160" s="170"/>
      <c r="BF160" s="157"/>
      <c r="BG160" s="157"/>
      <c r="BH160" s="157"/>
      <c r="BI160" s="175"/>
      <c r="BJ160" s="170"/>
      <c r="BK160" s="157"/>
      <c r="BL160" s="157"/>
      <c r="BM160" s="157"/>
      <c r="BN160" s="175"/>
      <c r="BO160" s="340">
        <v>667.9</v>
      </c>
      <c r="BP160" s="341"/>
      <c r="BQ160" s="341"/>
      <c r="BR160" s="341"/>
      <c r="BS160" s="406"/>
      <c r="BT160" s="340">
        <v>824.8</v>
      </c>
      <c r="BU160" s="341"/>
      <c r="BV160" s="341"/>
      <c r="BW160" s="341"/>
      <c r="BX160" s="406"/>
      <c r="BY160" s="340">
        <v>764.3</v>
      </c>
      <c r="BZ160" s="341"/>
      <c r="CA160" s="341"/>
      <c r="CB160" s="338"/>
      <c r="CC160" s="440"/>
      <c r="CD160" s="337"/>
      <c r="CE160" s="338"/>
      <c r="CF160" s="338"/>
      <c r="CG160" s="338"/>
      <c r="CH160" s="440"/>
      <c r="CI160" s="337"/>
      <c r="CJ160" s="338"/>
      <c r="CK160" s="338"/>
      <c r="CL160" s="338"/>
      <c r="CM160" s="440"/>
      <c r="CN160" s="337"/>
      <c r="CO160" s="338"/>
      <c r="CP160" s="338"/>
      <c r="CQ160" s="338"/>
      <c r="CR160" s="440"/>
      <c r="CS160" s="337"/>
      <c r="CT160" s="338"/>
      <c r="CU160" s="338"/>
      <c r="CV160" s="338"/>
      <c r="CW160" s="711"/>
      <c r="CX160" s="762"/>
      <c r="CY160" s="341"/>
      <c r="CZ160" s="341"/>
      <c r="DA160" s="341"/>
      <c r="DB160" s="893"/>
      <c r="DC160" s="340"/>
      <c r="DD160" s="338"/>
      <c r="DE160" s="338"/>
      <c r="DF160" s="338"/>
      <c r="DG160" s="440"/>
      <c r="DH160" s="337"/>
      <c r="DI160" s="338"/>
      <c r="DJ160" s="338"/>
      <c r="DK160" s="341"/>
      <c r="DL160" s="341"/>
      <c r="DM160" s="340"/>
      <c r="DN160" s="338"/>
      <c r="DO160" s="338"/>
      <c r="DP160" s="338"/>
      <c r="DQ160" s="338"/>
      <c r="DR160" s="337"/>
      <c r="DS160" s="338"/>
      <c r="DT160" s="338"/>
      <c r="DU160" s="338"/>
      <c r="DV160" s="338"/>
      <c r="DW160" s="337"/>
      <c r="DX160" s="338"/>
      <c r="DY160" s="338"/>
      <c r="DZ160" s="338"/>
      <c r="EA160" s="338"/>
      <c r="EB160" s="337"/>
      <c r="ED160" s="418"/>
      <c r="EK160" s="418"/>
    </row>
    <row r="161" spans="1:141" hidden="1" outlineLevel="1" x14ac:dyDescent="0.2">
      <c r="A161" s="1"/>
      <c r="B161" s="179"/>
      <c r="C161" s="175"/>
      <c r="D161" s="175"/>
      <c r="E161" s="175"/>
      <c r="F161" s="175"/>
      <c r="G161" s="170"/>
      <c r="H161" s="157"/>
      <c r="I161" s="157"/>
      <c r="J161" s="157"/>
      <c r="K161" s="175"/>
      <c r="L161" s="170"/>
      <c r="M161" s="157"/>
      <c r="N161" s="157"/>
      <c r="O161" s="157"/>
      <c r="P161" s="175"/>
      <c r="Q161" s="170"/>
      <c r="R161" s="157"/>
      <c r="S161" s="157"/>
      <c r="T161" s="157"/>
      <c r="U161" s="175"/>
      <c r="V161" s="170"/>
      <c r="W161" s="175"/>
      <c r="X161" s="175"/>
      <c r="Y161" s="175"/>
      <c r="Z161" s="175"/>
      <c r="AA161" s="170"/>
      <c r="AB161" s="157"/>
      <c r="AC161" s="157"/>
      <c r="AD161" s="157"/>
      <c r="AE161" s="175"/>
      <c r="AF161" s="170"/>
      <c r="AG161" s="157"/>
      <c r="AH161" s="157"/>
      <c r="AI161" s="157"/>
      <c r="AJ161" s="175"/>
      <c r="AK161" s="170"/>
      <c r="AL161" s="157"/>
      <c r="AM161" s="157"/>
      <c r="AN161" s="157"/>
      <c r="AO161" s="175"/>
      <c r="AP161" s="170"/>
      <c r="AQ161" s="157"/>
      <c r="AR161" s="157"/>
      <c r="AS161" s="157"/>
      <c r="AT161" s="175"/>
      <c r="AU161" s="170"/>
      <c r="AV161" s="157"/>
      <c r="AW161" s="157"/>
      <c r="AX161" s="157"/>
      <c r="AY161" s="175"/>
      <c r="AZ161" s="170"/>
      <c r="BA161" s="157"/>
      <c r="BB161" s="157"/>
      <c r="BC161" s="157"/>
      <c r="BD161" s="175"/>
      <c r="BE161" s="170"/>
      <c r="BF161" s="157"/>
      <c r="BG161" s="157"/>
      <c r="BH161" s="157"/>
      <c r="BI161" s="175"/>
      <c r="BJ161" s="170"/>
      <c r="BK161" s="157"/>
      <c r="BL161" s="157"/>
      <c r="BM161" s="157"/>
      <c r="BN161" s="175"/>
      <c r="BO161" s="382">
        <f t="shared" ref="BO161:CT161" si="285">SUM(BO159:BO160)</f>
        <v>3658.5</v>
      </c>
      <c r="BP161" s="383">
        <f t="shared" si="285"/>
        <v>0</v>
      </c>
      <c r="BQ161" s="383">
        <f t="shared" si="285"/>
        <v>0</v>
      </c>
      <c r="BR161" s="383">
        <f t="shared" si="285"/>
        <v>0</v>
      </c>
      <c r="BS161" s="407">
        <f t="shared" si="285"/>
        <v>0</v>
      </c>
      <c r="BT161" s="382">
        <f t="shared" si="285"/>
        <v>3924.7</v>
      </c>
      <c r="BU161" s="383">
        <f t="shared" si="285"/>
        <v>0</v>
      </c>
      <c r="BV161" s="383">
        <f t="shared" si="285"/>
        <v>0</v>
      </c>
      <c r="BW161" s="383">
        <f t="shared" si="285"/>
        <v>0</v>
      </c>
      <c r="BX161" s="407">
        <f t="shared" si="285"/>
        <v>0</v>
      </c>
      <c r="BY161" s="382">
        <f t="shared" si="285"/>
        <v>3541</v>
      </c>
      <c r="BZ161" s="383">
        <f t="shared" si="285"/>
        <v>0</v>
      </c>
      <c r="CA161" s="383">
        <f t="shared" si="285"/>
        <v>0</v>
      </c>
      <c r="CB161" s="437">
        <f t="shared" si="285"/>
        <v>0</v>
      </c>
      <c r="CC161" s="438">
        <f t="shared" si="285"/>
        <v>0</v>
      </c>
      <c r="CD161" s="439">
        <f t="shared" si="285"/>
        <v>0</v>
      </c>
      <c r="CE161" s="437">
        <f t="shared" si="285"/>
        <v>0</v>
      </c>
      <c r="CF161" s="437">
        <f t="shared" si="285"/>
        <v>0</v>
      </c>
      <c r="CG161" s="437">
        <f t="shared" si="285"/>
        <v>0</v>
      </c>
      <c r="CH161" s="438">
        <f t="shared" si="285"/>
        <v>0</v>
      </c>
      <c r="CI161" s="439">
        <f t="shared" si="285"/>
        <v>0</v>
      </c>
      <c r="CJ161" s="437">
        <f t="shared" si="285"/>
        <v>0</v>
      </c>
      <c r="CK161" s="437">
        <f t="shared" si="285"/>
        <v>0</v>
      </c>
      <c r="CL161" s="437">
        <f t="shared" si="285"/>
        <v>0</v>
      </c>
      <c r="CM161" s="438">
        <f t="shared" si="285"/>
        <v>0</v>
      </c>
      <c r="CN161" s="439">
        <f t="shared" si="285"/>
        <v>0</v>
      </c>
      <c r="CO161" s="437">
        <f t="shared" si="285"/>
        <v>0</v>
      </c>
      <c r="CP161" s="437">
        <f t="shared" si="285"/>
        <v>0</v>
      </c>
      <c r="CQ161" s="437">
        <f t="shared" si="285"/>
        <v>0</v>
      </c>
      <c r="CR161" s="438">
        <f t="shared" si="285"/>
        <v>0</v>
      </c>
      <c r="CS161" s="439">
        <f t="shared" si="285"/>
        <v>0</v>
      </c>
      <c r="CT161" s="437">
        <f t="shared" si="285"/>
        <v>0</v>
      </c>
      <c r="CU161" s="437">
        <f t="shared" ref="CU161:DR161" si="286">SUM(CU159:CU160)</f>
        <v>0</v>
      </c>
      <c r="CV161" s="437">
        <f t="shared" si="286"/>
        <v>0</v>
      </c>
      <c r="CW161" s="712">
        <f t="shared" si="286"/>
        <v>0</v>
      </c>
      <c r="CX161" s="763">
        <f t="shared" si="286"/>
        <v>0</v>
      </c>
      <c r="CY161" s="385">
        <f t="shared" si="286"/>
        <v>0</v>
      </c>
      <c r="CZ161" s="385">
        <f t="shared" si="286"/>
        <v>0</v>
      </c>
      <c r="DA161" s="385">
        <f t="shared" si="286"/>
        <v>0</v>
      </c>
      <c r="DB161" s="894">
        <f t="shared" si="286"/>
        <v>0</v>
      </c>
      <c r="DC161" s="384">
        <f t="shared" si="286"/>
        <v>0</v>
      </c>
      <c r="DD161" s="437">
        <f t="shared" si="286"/>
        <v>0</v>
      </c>
      <c r="DE161" s="437">
        <f t="shared" si="286"/>
        <v>0</v>
      </c>
      <c r="DF161" s="437">
        <f t="shared" si="286"/>
        <v>0</v>
      </c>
      <c r="DG161" s="438">
        <f t="shared" si="286"/>
        <v>0</v>
      </c>
      <c r="DH161" s="439">
        <f t="shared" si="286"/>
        <v>0</v>
      </c>
      <c r="DI161" s="437">
        <f t="shared" si="286"/>
        <v>0</v>
      </c>
      <c r="DJ161" s="437">
        <f t="shared" si="286"/>
        <v>0</v>
      </c>
      <c r="DK161" s="385">
        <f t="shared" si="286"/>
        <v>0</v>
      </c>
      <c r="DL161" s="385">
        <f t="shared" si="286"/>
        <v>0</v>
      </c>
      <c r="DM161" s="384">
        <f t="shared" si="286"/>
        <v>0</v>
      </c>
      <c r="DN161" s="437">
        <f t="shared" si="286"/>
        <v>0</v>
      </c>
      <c r="DO161" s="437">
        <f t="shared" si="286"/>
        <v>0</v>
      </c>
      <c r="DP161" s="437">
        <f t="shared" si="286"/>
        <v>0</v>
      </c>
      <c r="DQ161" s="437">
        <f t="shared" si="286"/>
        <v>0</v>
      </c>
      <c r="DR161" s="439">
        <f t="shared" si="286"/>
        <v>0</v>
      </c>
      <c r="DS161" s="437">
        <f t="shared" ref="DS161:EB161" si="287">SUM(DS159:DS160)</f>
        <v>0</v>
      </c>
      <c r="DT161" s="437">
        <f t="shared" si="287"/>
        <v>0</v>
      </c>
      <c r="DU161" s="437">
        <f t="shared" si="287"/>
        <v>0</v>
      </c>
      <c r="DV161" s="437">
        <f t="shared" si="287"/>
        <v>0</v>
      </c>
      <c r="DW161" s="439">
        <f t="shared" si="287"/>
        <v>0</v>
      </c>
      <c r="DX161" s="437">
        <f t="shared" si="287"/>
        <v>0</v>
      </c>
      <c r="DY161" s="437">
        <f t="shared" si="287"/>
        <v>0</v>
      </c>
      <c r="DZ161" s="437">
        <f t="shared" si="287"/>
        <v>0</v>
      </c>
      <c r="EA161" s="437">
        <f t="shared" si="287"/>
        <v>0</v>
      </c>
      <c r="EB161" s="439">
        <f t="shared" si="287"/>
        <v>0</v>
      </c>
      <c r="ED161" s="418"/>
      <c r="EK161" s="418"/>
    </row>
    <row r="162" spans="1:141" hidden="1" outlineLevel="1" x14ac:dyDescent="0.2">
      <c r="A162" s="1"/>
      <c r="B162" s="179"/>
      <c r="C162" s="175"/>
      <c r="D162" s="175"/>
      <c r="E162" s="175"/>
      <c r="F162" s="175"/>
      <c r="G162" s="170"/>
      <c r="H162" s="157"/>
      <c r="I162" s="157"/>
      <c r="J162" s="157"/>
      <c r="K162" s="175"/>
      <c r="L162" s="170"/>
      <c r="M162" s="157"/>
      <c r="N162" s="157"/>
      <c r="O162" s="157"/>
      <c r="P162" s="175"/>
      <c r="Q162" s="170"/>
      <c r="R162" s="157"/>
      <c r="S162" s="157"/>
      <c r="T162" s="157"/>
      <c r="U162" s="175"/>
      <c r="V162" s="170"/>
      <c r="W162" s="175"/>
      <c r="X162" s="175"/>
      <c r="Y162" s="175"/>
      <c r="Z162" s="175"/>
      <c r="AA162" s="170"/>
      <c r="AB162" s="157"/>
      <c r="AC162" s="157"/>
      <c r="AD162" s="157"/>
      <c r="AE162" s="175"/>
      <c r="AF162" s="170"/>
      <c r="AG162" s="157"/>
      <c r="AH162" s="157"/>
      <c r="AI162" s="157"/>
      <c r="AJ162" s="175"/>
      <c r="AK162" s="170"/>
      <c r="AL162" s="157"/>
      <c r="AM162" s="157"/>
      <c r="AN162" s="157"/>
      <c r="AO162" s="175"/>
      <c r="AP162" s="170"/>
      <c r="AQ162" s="157"/>
      <c r="AR162" s="157"/>
      <c r="AS162" s="157"/>
      <c r="AT162" s="175"/>
      <c r="AU162" s="170"/>
      <c r="AV162" s="157"/>
      <c r="AW162" s="157"/>
      <c r="AX162" s="157"/>
      <c r="AY162" s="175"/>
      <c r="AZ162" s="170"/>
      <c r="BA162" s="157"/>
      <c r="BB162" s="157"/>
      <c r="BC162" s="157"/>
      <c r="BD162" s="175"/>
      <c r="BE162" s="170"/>
      <c r="BF162" s="157"/>
      <c r="BG162" s="157"/>
      <c r="BH162" s="157"/>
      <c r="BI162" s="175"/>
      <c r="BJ162" s="170"/>
      <c r="BK162" s="157"/>
      <c r="BL162" s="157"/>
      <c r="BM162" s="157"/>
      <c r="BN162" s="175"/>
      <c r="BO162" s="340"/>
      <c r="BP162" s="341"/>
      <c r="BQ162" s="341"/>
      <c r="BR162" s="341"/>
      <c r="BS162" s="406"/>
      <c r="BT162" s="340"/>
      <c r="BU162" s="341"/>
      <c r="BV162" s="341"/>
      <c r="BW162" s="341"/>
      <c r="BX162" s="406"/>
      <c r="BY162" s="340"/>
      <c r="BZ162" s="341"/>
      <c r="CA162" s="341"/>
      <c r="CB162" s="338"/>
      <c r="CC162" s="440"/>
      <c r="CD162" s="337"/>
      <c r="CE162" s="338"/>
      <c r="CF162" s="338"/>
      <c r="CG162" s="338"/>
      <c r="CH162" s="440"/>
      <c r="CI162" s="337"/>
      <c r="CJ162" s="338"/>
      <c r="CK162" s="338"/>
      <c r="CL162" s="338"/>
      <c r="CM162" s="440"/>
      <c r="CN162" s="337"/>
      <c r="CO162" s="338"/>
      <c r="CP162" s="338"/>
      <c r="CQ162" s="338"/>
      <c r="CR162" s="440"/>
      <c r="CS162" s="337"/>
      <c r="CT162" s="338"/>
      <c r="CU162" s="338"/>
      <c r="CV162" s="338"/>
      <c r="CW162" s="711"/>
      <c r="CX162" s="762"/>
      <c r="CY162" s="341"/>
      <c r="CZ162" s="341"/>
      <c r="DA162" s="341"/>
      <c r="DB162" s="893"/>
      <c r="DC162" s="340"/>
      <c r="DD162" s="338"/>
      <c r="DE162" s="338"/>
      <c r="DF162" s="338"/>
      <c r="DG162" s="440"/>
      <c r="DH162" s="337"/>
      <c r="DI162" s="338"/>
      <c r="DJ162" s="338"/>
      <c r="DK162" s="341"/>
      <c r="DL162" s="341"/>
      <c r="DM162" s="340"/>
      <c r="DN162" s="338"/>
      <c r="DO162" s="338"/>
      <c r="DP162" s="338"/>
      <c r="DQ162" s="338"/>
      <c r="DR162" s="337"/>
      <c r="DS162" s="338"/>
      <c r="DT162" s="338"/>
      <c r="DU162" s="338"/>
      <c r="DV162" s="338"/>
      <c r="DW162" s="337"/>
      <c r="DX162" s="338"/>
      <c r="DY162" s="338"/>
      <c r="DZ162" s="338"/>
      <c r="EA162" s="338"/>
      <c r="EB162" s="337"/>
      <c r="ED162" s="418"/>
      <c r="EK162" s="418"/>
    </row>
    <row r="163" spans="1:141" hidden="1" outlineLevel="1" x14ac:dyDescent="0.2">
      <c r="A163" s="83" t="s">
        <v>91</v>
      </c>
      <c r="B163" s="179"/>
      <c r="C163" s="182"/>
      <c r="D163" s="182"/>
      <c r="E163" s="182"/>
      <c r="F163" s="182"/>
      <c r="G163" s="179"/>
      <c r="H163" s="227"/>
      <c r="I163" s="227"/>
      <c r="J163" s="227"/>
      <c r="K163" s="182"/>
      <c r="L163" s="179"/>
      <c r="M163" s="227"/>
      <c r="N163" s="227"/>
      <c r="O163" s="227"/>
      <c r="P163" s="182"/>
      <c r="Q163" s="179"/>
      <c r="R163" s="227"/>
      <c r="S163" s="227"/>
      <c r="T163" s="227"/>
      <c r="U163" s="182"/>
      <c r="V163" s="179"/>
      <c r="W163" s="182"/>
      <c r="X163" s="182"/>
      <c r="Y163" s="182"/>
      <c r="Z163" s="182"/>
      <c r="AA163" s="179"/>
      <c r="AB163" s="227"/>
      <c r="AC163" s="227"/>
      <c r="AD163" s="227"/>
      <c r="AE163" s="182"/>
      <c r="AF163" s="179"/>
      <c r="AG163" s="227"/>
      <c r="AH163" s="227"/>
      <c r="AI163" s="227"/>
      <c r="AJ163" s="182"/>
      <c r="AK163" s="179"/>
      <c r="AL163" s="227"/>
      <c r="AM163" s="227"/>
      <c r="AN163" s="227"/>
      <c r="AO163" s="182"/>
      <c r="AP163" s="179"/>
      <c r="AQ163" s="227"/>
      <c r="AR163" s="227"/>
      <c r="AS163" s="227"/>
      <c r="AT163" s="182"/>
      <c r="AU163" s="179"/>
      <c r="AV163" s="227"/>
      <c r="AW163" s="227"/>
      <c r="AX163" s="227"/>
      <c r="AY163" s="182"/>
      <c r="AZ163" s="179"/>
      <c r="BA163" s="227"/>
      <c r="BB163" s="227"/>
      <c r="BC163" s="227"/>
      <c r="BD163" s="182"/>
      <c r="BE163" s="179"/>
      <c r="BF163" s="227"/>
      <c r="BG163" s="227"/>
      <c r="BH163" s="227"/>
      <c r="BI163" s="182"/>
      <c r="BJ163" s="179"/>
      <c r="BK163" s="227"/>
      <c r="BL163" s="227"/>
      <c r="BM163" s="227"/>
      <c r="BN163" s="182"/>
      <c r="BO163" s="384"/>
      <c r="BP163" s="385"/>
      <c r="BQ163" s="385"/>
      <c r="BR163" s="385"/>
      <c r="BS163" s="408"/>
      <c r="BT163" s="384"/>
      <c r="BU163" s="385"/>
      <c r="BV163" s="385"/>
      <c r="BW163" s="385"/>
      <c r="BX163" s="408"/>
      <c r="BY163" s="384"/>
      <c r="BZ163" s="385"/>
      <c r="CA163" s="385"/>
      <c r="CB163" s="437"/>
      <c r="CC163" s="438"/>
      <c r="CD163" s="439"/>
      <c r="CE163" s="437"/>
      <c r="CF163" s="437"/>
      <c r="CG163" s="437"/>
      <c r="CH163" s="438"/>
      <c r="CI163" s="439"/>
      <c r="CJ163" s="437"/>
      <c r="CK163" s="437"/>
      <c r="CL163" s="437"/>
      <c r="CM163" s="438"/>
      <c r="CN163" s="439"/>
      <c r="CO163" s="437"/>
      <c r="CP163" s="437"/>
      <c r="CQ163" s="437"/>
      <c r="CR163" s="438"/>
      <c r="CS163" s="439"/>
      <c r="CT163" s="437"/>
      <c r="CU163" s="437"/>
      <c r="CV163" s="437"/>
      <c r="CW163" s="712"/>
      <c r="CX163" s="763"/>
      <c r="CY163" s="385"/>
      <c r="CZ163" s="385"/>
      <c r="DA163" s="385"/>
      <c r="DB163" s="894"/>
      <c r="DC163" s="384"/>
      <c r="DD163" s="437"/>
      <c r="DE163" s="437"/>
      <c r="DF163" s="437"/>
      <c r="DG163" s="438"/>
      <c r="DH163" s="439"/>
      <c r="DI163" s="437"/>
      <c r="DJ163" s="437"/>
      <c r="DK163" s="385"/>
      <c r="DL163" s="385"/>
      <c r="DM163" s="384"/>
      <c r="DN163" s="437"/>
      <c r="DO163" s="437"/>
      <c r="DP163" s="437"/>
      <c r="DQ163" s="437"/>
      <c r="DR163" s="439"/>
      <c r="DS163" s="437"/>
      <c r="DT163" s="437"/>
      <c r="DU163" s="437"/>
      <c r="DV163" s="437"/>
      <c r="DW163" s="439"/>
      <c r="DX163" s="437"/>
      <c r="DY163" s="437"/>
      <c r="DZ163" s="437"/>
      <c r="EA163" s="437"/>
      <c r="EB163" s="439"/>
      <c r="ED163" s="418"/>
      <c r="EK163" s="418"/>
    </row>
    <row r="164" spans="1:141" hidden="1" outlineLevel="1" x14ac:dyDescent="0.2">
      <c r="A164" s="1" t="s">
        <v>2</v>
      </c>
      <c r="B164" s="179"/>
      <c r="C164" s="175"/>
      <c r="D164" s="175"/>
      <c r="E164" s="175"/>
      <c r="F164" s="175"/>
      <c r="G164" s="170"/>
      <c r="H164" s="157"/>
      <c r="I164" s="157"/>
      <c r="J164" s="157"/>
      <c r="K164" s="175"/>
      <c r="L164" s="170"/>
      <c r="M164" s="157"/>
      <c r="N164" s="157"/>
      <c r="O164" s="157"/>
      <c r="P164" s="175"/>
      <c r="Q164" s="170"/>
      <c r="R164" s="157"/>
      <c r="S164" s="157"/>
      <c r="T164" s="157"/>
      <c r="U164" s="175"/>
      <c r="V164" s="170"/>
      <c r="W164" s="175"/>
      <c r="X164" s="175"/>
      <c r="Y164" s="175"/>
      <c r="Z164" s="175"/>
      <c r="AA164" s="170"/>
      <c r="AB164" s="157"/>
      <c r="AC164" s="157"/>
      <c r="AD164" s="157"/>
      <c r="AE164" s="175"/>
      <c r="AF164" s="170"/>
      <c r="AG164" s="157"/>
      <c r="AH164" s="157"/>
      <c r="AI164" s="157"/>
      <c r="AJ164" s="175"/>
      <c r="AK164" s="170"/>
      <c r="AL164" s="157"/>
      <c r="AM164" s="157"/>
      <c r="AN164" s="157"/>
      <c r="AO164" s="175"/>
      <c r="AP164" s="170"/>
      <c r="AQ164" s="157"/>
      <c r="AR164" s="157"/>
      <c r="AS164" s="157"/>
      <c r="AT164" s="175"/>
      <c r="AU164" s="170"/>
      <c r="AV164" s="157"/>
      <c r="AW164" s="157"/>
      <c r="AX164" s="157"/>
      <c r="AY164" s="175"/>
      <c r="AZ164" s="170"/>
      <c r="BA164" s="157"/>
      <c r="BB164" s="157"/>
      <c r="BC164" s="157"/>
      <c r="BD164" s="175"/>
      <c r="BE164" s="170"/>
      <c r="BF164" s="157"/>
      <c r="BG164" s="157"/>
      <c r="BH164" s="157"/>
      <c r="BI164" s="175"/>
      <c r="BJ164" s="170"/>
      <c r="BK164" s="157"/>
      <c r="BL164" s="157"/>
      <c r="BM164" s="157"/>
      <c r="BN164" s="175"/>
      <c r="BO164" s="340">
        <v>7678.9</v>
      </c>
      <c r="BP164" s="341"/>
      <c r="BQ164" s="341"/>
      <c r="BR164" s="341"/>
      <c r="BS164" s="406"/>
      <c r="BT164" s="340">
        <v>8227</v>
      </c>
      <c r="BU164" s="341"/>
      <c r="BV164" s="341"/>
      <c r="BW164" s="341"/>
      <c r="BX164" s="406"/>
      <c r="BY164" s="340">
        <v>7787.7</v>
      </c>
      <c r="BZ164" s="341"/>
      <c r="CA164" s="341"/>
      <c r="CB164" s="338"/>
      <c r="CC164" s="440"/>
      <c r="CD164" s="337"/>
      <c r="CE164" s="338"/>
      <c r="CF164" s="338"/>
      <c r="CG164" s="338"/>
      <c r="CH164" s="440"/>
      <c r="CI164" s="337"/>
      <c r="CJ164" s="338"/>
      <c r="CK164" s="338"/>
      <c r="CL164" s="338"/>
      <c r="CM164" s="440"/>
      <c r="CN164" s="337"/>
      <c r="CO164" s="338"/>
      <c r="CP164" s="338"/>
      <c r="CQ164" s="338"/>
      <c r="CR164" s="440"/>
      <c r="CS164" s="337"/>
      <c r="CT164" s="338"/>
      <c r="CU164" s="338"/>
      <c r="CV164" s="338"/>
      <c r="CW164" s="711"/>
      <c r="CX164" s="762"/>
      <c r="CY164" s="341"/>
      <c r="CZ164" s="341"/>
      <c r="DA164" s="341"/>
      <c r="DB164" s="893"/>
      <c r="DC164" s="340"/>
      <c r="DD164" s="338"/>
      <c r="DE164" s="338"/>
      <c r="DF164" s="338"/>
      <c r="DG164" s="440"/>
      <c r="DH164" s="337"/>
      <c r="DI164" s="338"/>
      <c r="DJ164" s="338"/>
      <c r="DK164" s="341"/>
      <c r="DL164" s="341"/>
      <c r="DM164" s="340"/>
      <c r="DN164" s="338"/>
      <c r="DO164" s="338"/>
      <c r="DP164" s="338"/>
      <c r="DQ164" s="338"/>
      <c r="DR164" s="337"/>
      <c r="DS164" s="338"/>
      <c r="DT164" s="338"/>
      <c r="DU164" s="338"/>
      <c r="DV164" s="338"/>
      <c r="DW164" s="337"/>
      <c r="DX164" s="338"/>
      <c r="DY164" s="338"/>
      <c r="DZ164" s="338"/>
      <c r="EA164" s="338"/>
      <c r="EB164" s="337"/>
      <c r="ED164" s="418"/>
      <c r="EK164" s="418"/>
    </row>
    <row r="165" spans="1:141" hidden="1" outlineLevel="1" x14ac:dyDescent="0.2">
      <c r="A165" s="1" t="s">
        <v>90</v>
      </c>
      <c r="B165" s="179"/>
      <c r="C165" s="175"/>
      <c r="D165" s="175"/>
      <c r="E165" s="175"/>
      <c r="F165" s="175"/>
      <c r="G165" s="170"/>
      <c r="H165" s="157"/>
      <c r="I165" s="157"/>
      <c r="J165" s="157"/>
      <c r="K165" s="175"/>
      <c r="L165" s="170"/>
      <c r="M165" s="157"/>
      <c r="N165" s="157"/>
      <c r="O165" s="157"/>
      <c r="P165" s="175"/>
      <c r="Q165" s="170"/>
      <c r="R165" s="157"/>
      <c r="S165" s="157"/>
      <c r="T165" s="157"/>
      <c r="U165" s="175"/>
      <c r="V165" s="170"/>
      <c r="W165" s="175"/>
      <c r="X165" s="175"/>
      <c r="Y165" s="175"/>
      <c r="Z165" s="175"/>
      <c r="AA165" s="170"/>
      <c r="AB165" s="157"/>
      <c r="AC165" s="157"/>
      <c r="AD165" s="157"/>
      <c r="AE165" s="175"/>
      <c r="AF165" s="170"/>
      <c r="AG165" s="157"/>
      <c r="AH165" s="157"/>
      <c r="AI165" s="157"/>
      <c r="AJ165" s="175"/>
      <c r="AK165" s="170"/>
      <c r="AL165" s="157"/>
      <c r="AM165" s="157"/>
      <c r="AN165" s="157"/>
      <c r="AO165" s="175"/>
      <c r="AP165" s="170"/>
      <c r="AQ165" s="157"/>
      <c r="AR165" s="157"/>
      <c r="AS165" s="157"/>
      <c r="AT165" s="175"/>
      <c r="AU165" s="170"/>
      <c r="AV165" s="157"/>
      <c r="AW165" s="157"/>
      <c r="AX165" s="157"/>
      <c r="AY165" s="175"/>
      <c r="AZ165" s="170"/>
      <c r="BA165" s="157"/>
      <c r="BB165" s="157"/>
      <c r="BC165" s="157"/>
      <c r="BD165" s="175"/>
      <c r="BE165" s="170"/>
      <c r="BF165" s="157"/>
      <c r="BG165" s="157"/>
      <c r="BH165" s="157"/>
      <c r="BI165" s="175"/>
      <c r="BJ165" s="170"/>
      <c r="BK165" s="157"/>
      <c r="BL165" s="157"/>
      <c r="BM165" s="157"/>
      <c r="BN165" s="175"/>
      <c r="BO165" s="340">
        <v>1732.6</v>
      </c>
      <c r="BP165" s="341"/>
      <c r="BQ165" s="341"/>
      <c r="BR165" s="341"/>
      <c r="BS165" s="406"/>
      <c r="BT165" s="340">
        <v>2156</v>
      </c>
      <c r="BU165" s="341"/>
      <c r="BV165" s="341"/>
      <c r="BW165" s="341"/>
      <c r="BX165" s="406"/>
      <c r="BY165" s="340">
        <v>1986.9</v>
      </c>
      <c r="BZ165" s="341"/>
      <c r="CA165" s="341"/>
      <c r="CB165" s="338"/>
      <c r="CC165" s="440"/>
      <c r="CD165" s="337"/>
      <c r="CE165" s="338"/>
      <c r="CF165" s="338"/>
      <c r="CG165" s="338"/>
      <c r="CH165" s="440"/>
      <c r="CI165" s="337"/>
      <c r="CJ165" s="338"/>
      <c r="CK165" s="338"/>
      <c r="CL165" s="338"/>
      <c r="CM165" s="440"/>
      <c r="CN165" s="337"/>
      <c r="CO165" s="338"/>
      <c r="CP165" s="338"/>
      <c r="CQ165" s="338"/>
      <c r="CR165" s="440"/>
      <c r="CS165" s="337"/>
      <c r="CT165" s="338"/>
      <c r="CU165" s="338"/>
      <c r="CV165" s="338"/>
      <c r="CW165" s="711"/>
      <c r="CX165" s="762"/>
      <c r="CY165" s="341"/>
      <c r="CZ165" s="341"/>
      <c r="DA165" s="341"/>
      <c r="DB165" s="893"/>
      <c r="DC165" s="340"/>
      <c r="DD165" s="338"/>
      <c r="DE165" s="338"/>
      <c r="DF165" s="338"/>
      <c r="DG165" s="440"/>
      <c r="DH165" s="337"/>
      <c r="DI165" s="338"/>
      <c r="DJ165" s="338"/>
      <c r="DK165" s="341"/>
      <c r="DL165" s="341"/>
      <c r="DM165" s="340"/>
      <c r="DN165" s="338"/>
      <c r="DO165" s="338"/>
      <c r="DP165" s="338"/>
      <c r="DQ165" s="338"/>
      <c r="DR165" s="337"/>
      <c r="DS165" s="338"/>
      <c r="DT165" s="338"/>
      <c r="DU165" s="338"/>
      <c r="DV165" s="338"/>
      <c r="DW165" s="337"/>
      <c r="DX165" s="338"/>
      <c r="DY165" s="338"/>
      <c r="DZ165" s="338"/>
      <c r="EA165" s="338"/>
      <c r="EB165" s="337"/>
      <c r="ED165" s="418"/>
      <c r="EK165" s="418"/>
    </row>
    <row r="166" spans="1:141" hidden="1" outlineLevel="1" x14ac:dyDescent="0.2">
      <c r="A166" s="1"/>
      <c r="B166" s="179"/>
      <c r="C166" s="175"/>
      <c r="D166" s="175"/>
      <c r="E166" s="175"/>
      <c r="F166" s="175"/>
      <c r="G166" s="170"/>
      <c r="H166" s="157"/>
      <c r="I166" s="157"/>
      <c r="J166" s="157"/>
      <c r="K166" s="175"/>
      <c r="L166" s="170"/>
      <c r="M166" s="157"/>
      <c r="N166" s="157"/>
      <c r="O166" s="157"/>
      <c r="P166" s="175"/>
      <c r="Q166" s="170"/>
      <c r="R166" s="157"/>
      <c r="S166" s="157"/>
      <c r="T166" s="157"/>
      <c r="U166" s="175"/>
      <c r="V166" s="170"/>
      <c r="W166" s="175"/>
      <c r="X166" s="175"/>
      <c r="Y166" s="175"/>
      <c r="Z166" s="175"/>
      <c r="AA166" s="170"/>
      <c r="AB166" s="157"/>
      <c r="AC166" s="157"/>
      <c r="AD166" s="157"/>
      <c r="AE166" s="175"/>
      <c r="AF166" s="170"/>
      <c r="AG166" s="157"/>
      <c r="AH166" s="157"/>
      <c r="AI166" s="157"/>
      <c r="AJ166" s="175"/>
      <c r="AK166" s="170"/>
      <c r="AL166" s="157"/>
      <c r="AM166" s="157"/>
      <c r="AN166" s="157"/>
      <c r="AO166" s="175"/>
      <c r="AP166" s="170"/>
      <c r="AQ166" s="157"/>
      <c r="AR166" s="157"/>
      <c r="AS166" s="157"/>
      <c r="AT166" s="175"/>
      <c r="AU166" s="170"/>
      <c r="AV166" s="157"/>
      <c r="AW166" s="157"/>
      <c r="AX166" s="157"/>
      <c r="AY166" s="175"/>
      <c r="AZ166" s="170"/>
      <c r="BA166" s="157"/>
      <c r="BB166" s="157"/>
      <c r="BC166" s="157"/>
      <c r="BD166" s="175"/>
      <c r="BE166" s="170"/>
      <c r="BF166" s="157"/>
      <c r="BG166" s="157"/>
      <c r="BH166" s="157"/>
      <c r="BI166" s="175"/>
      <c r="BJ166" s="170"/>
      <c r="BK166" s="157"/>
      <c r="BL166" s="157"/>
      <c r="BM166" s="157"/>
      <c r="BN166" s="175"/>
      <c r="BO166" s="382">
        <f t="shared" ref="BO166:CT166" si="288">SUM(BO164:BO165)</f>
        <v>9411.5</v>
      </c>
      <c r="BP166" s="383">
        <f t="shared" si="288"/>
        <v>0</v>
      </c>
      <c r="BQ166" s="383">
        <f t="shared" si="288"/>
        <v>0</v>
      </c>
      <c r="BR166" s="383">
        <f t="shared" si="288"/>
        <v>0</v>
      </c>
      <c r="BS166" s="407">
        <f t="shared" si="288"/>
        <v>0</v>
      </c>
      <c r="BT166" s="382">
        <f t="shared" si="288"/>
        <v>10383</v>
      </c>
      <c r="BU166" s="383">
        <f t="shared" si="288"/>
        <v>0</v>
      </c>
      <c r="BV166" s="383">
        <f t="shared" si="288"/>
        <v>0</v>
      </c>
      <c r="BW166" s="383">
        <f t="shared" si="288"/>
        <v>0</v>
      </c>
      <c r="BX166" s="407">
        <f t="shared" si="288"/>
        <v>0</v>
      </c>
      <c r="BY166" s="382">
        <f t="shared" si="288"/>
        <v>9774.6</v>
      </c>
      <c r="BZ166" s="383">
        <f t="shared" si="288"/>
        <v>0</v>
      </c>
      <c r="CA166" s="383">
        <f t="shared" si="288"/>
        <v>0</v>
      </c>
      <c r="CB166" s="437">
        <f t="shared" si="288"/>
        <v>0</v>
      </c>
      <c r="CC166" s="438">
        <f t="shared" si="288"/>
        <v>0</v>
      </c>
      <c r="CD166" s="439">
        <f t="shared" si="288"/>
        <v>0</v>
      </c>
      <c r="CE166" s="437">
        <f t="shared" si="288"/>
        <v>0</v>
      </c>
      <c r="CF166" s="437">
        <f t="shared" si="288"/>
        <v>0</v>
      </c>
      <c r="CG166" s="437">
        <f t="shared" si="288"/>
        <v>0</v>
      </c>
      <c r="CH166" s="438">
        <f t="shared" si="288"/>
        <v>0</v>
      </c>
      <c r="CI166" s="439">
        <f t="shared" si="288"/>
        <v>0</v>
      </c>
      <c r="CJ166" s="437">
        <f t="shared" si="288"/>
        <v>0</v>
      </c>
      <c r="CK166" s="437">
        <f t="shared" si="288"/>
        <v>0</v>
      </c>
      <c r="CL166" s="437">
        <f t="shared" si="288"/>
        <v>0</v>
      </c>
      <c r="CM166" s="438">
        <f t="shared" si="288"/>
        <v>0</v>
      </c>
      <c r="CN166" s="439">
        <f t="shared" si="288"/>
        <v>0</v>
      </c>
      <c r="CO166" s="437">
        <f t="shared" si="288"/>
        <v>0</v>
      </c>
      <c r="CP166" s="437">
        <f t="shared" si="288"/>
        <v>0</v>
      </c>
      <c r="CQ166" s="437">
        <f t="shared" si="288"/>
        <v>0</v>
      </c>
      <c r="CR166" s="438">
        <f t="shared" si="288"/>
        <v>0</v>
      </c>
      <c r="CS166" s="439">
        <f t="shared" si="288"/>
        <v>0</v>
      </c>
      <c r="CT166" s="437">
        <f t="shared" si="288"/>
        <v>0</v>
      </c>
      <c r="CU166" s="437">
        <f t="shared" ref="CU166:DR166" si="289">SUM(CU164:CU165)</f>
        <v>0</v>
      </c>
      <c r="CV166" s="437">
        <f t="shared" si="289"/>
        <v>0</v>
      </c>
      <c r="CW166" s="712">
        <f t="shared" si="289"/>
        <v>0</v>
      </c>
      <c r="CX166" s="763">
        <f t="shared" si="289"/>
        <v>0</v>
      </c>
      <c r="CY166" s="385">
        <f t="shared" si="289"/>
        <v>0</v>
      </c>
      <c r="CZ166" s="385">
        <f t="shared" si="289"/>
        <v>0</v>
      </c>
      <c r="DA166" s="385">
        <f t="shared" si="289"/>
        <v>0</v>
      </c>
      <c r="DB166" s="894">
        <f t="shared" si="289"/>
        <v>0</v>
      </c>
      <c r="DC166" s="384">
        <f t="shared" si="289"/>
        <v>0</v>
      </c>
      <c r="DD166" s="437">
        <f t="shared" si="289"/>
        <v>0</v>
      </c>
      <c r="DE166" s="437">
        <f t="shared" si="289"/>
        <v>0</v>
      </c>
      <c r="DF166" s="437">
        <f t="shared" si="289"/>
        <v>0</v>
      </c>
      <c r="DG166" s="438">
        <f t="shared" si="289"/>
        <v>0</v>
      </c>
      <c r="DH166" s="439">
        <f t="shared" si="289"/>
        <v>0</v>
      </c>
      <c r="DI166" s="437">
        <f t="shared" si="289"/>
        <v>0</v>
      </c>
      <c r="DJ166" s="437">
        <f t="shared" si="289"/>
        <v>0</v>
      </c>
      <c r="DK166" s="385">
        <f t="shared" si="289"/>
        <v>0</v>
      </c>
      <c r="DL166" s="385">
        <f t="shared" si="289"/>
        <v>0</v>
      </c>
      <c r="DM166" s="384">
        <f t="shared" si="289"/>
        <v>0</v>
      </c>
      <c r="DN166" s="437">
        <f t="shared" si="289"/>
        <v>0</v>
      </c>
      <c r="DO166" s="437">
        <f t="shared" si="289"/>
        <v>0</v>
      </c>
      <c r="DP166" s="437">
        <f t="shared" si="289"/>
        <v>0</v>
      </c>
      <c r="DQ166" s="437">
        <f t="shared" si="289"/>
        <v>0</v>
      </c>
      <c r="DR166" s="439">
        <f t="shared" si="289"/>
        <v>0</v>
      </c>
      <c r="DS166" s="437">
        <f t="shared" ref="DS166:EB166" si="290">SUM(DS164:DS165)</f>
        <v>0</v>
      </c>
      <c r="DT166" s="437">
        <f t="shared" si="290"/>
        <v>0</v>
      </c>
      <c r="DU166" s="437">
        <f t="shared" si="290"/>
        <v>0</v>
      </c>
      <c r="DV166" s="437">
        <f t="shared" si="290"/>
        <v>0</v>
      </c>
      <c r="DW166" s="439">
        <f t="shared" si="290"/>
        <v>0</v>
      </c>
      <c r="DX166" s="437">
        <f t="shared" si="290"/>
        <v>0</v>
      </c>
      <c r="DY166" s="437">
        <f t="shared" si="290"/>
        <v>0</v>
      </c>
      <c r="DZ166" s="437">
        <f t="shared" si="290"/>
        <v>0</v>
      </c>
      <c r="EA166" s="437">
        <f t="shared" si="290"/>
        <v>0</v>
      </c>
      <c r="EB166" s="439">
        <f t="shared" si="290"/>
        <v>0</v>
      </c>
      <c r="ED166" s="418"/>
      <c r="EK166" s="418"/>
    </row>
    <row r="167" spans="1:141" hidden="1" outlineLevel="1" x14ac:dyDescent="0.2">
      <c r="A167" s="1"/>
      <c r="B167" s="179"/>
      <c r="C167" s="175"/>
      <c r="D167" s="175"/>
      <c r="E167" s="175"/>
      <c r="F167" s="175"/>
      <c r="G167" s="170"/>
      <c r="H167" s="157"/>
      <c r="I167" s="157"/>
      <c r="J167" s="157"/>
      <c r="K167" s="175"/>
      <c r="L167" s="170"/>
      <c r="M167" s="157"/>
      <c r="N167" s="157"/>
      <c r="O167" s="157"/>
      <c r="P167" s="175"/>
      <c r="Q167" s="170"/>
      <c r="R167" s="157"/>
      <c r="S167" s="157"/>
      <c r="T167" s="157"/>
      <c r="U167" s="175"/>
      <c r="V167" s="170"/>
      <c r="W167" s="175"/>
      <c r="X167" s="175"/>
      <c r="Y167" s="175"/>
      <c r="Z167" s="175"/>
      <c r="AA167" s="170"/>
      <c r="AB167" s="157"/>
      <c r="AC167" s="157"/>
      <c r="AD167" s="157"/>
      <c r="AE167" s="175"/>
      <c r="AF167" s="170"/>
      <c r="AG167" s="157"/>
      <c r="AH167" s="157"/>
      <c r="AI167" s="157"/>
      <c r="AJ167" s="175"/>
      <c r="AK167" s="170"/>
      <c r="AL167" s="157"/>
      <c r="AM167" s="157"/>
      <c r="AN167" s="157"/>
      <c r="AO167" s="175"/>
      <c r="AP167" s="170"/>
      <c r="AQ167" s="157"/>
      <c r="AR167" s="157"/>
      <c r="AS167" s="157"/>
      <c r="AT167" s="175"/>
      <c r="AU167" s="170"/>
      <c r="AV167" s="157"/>
      <c r="AW167" s="157"/>
      <c r="AX167" s="157"/>
      <c r="AY167" s="175"/>
      <c r="AZ167" s="170"/>
      <c r="BA167" s="157"/>
      <c r="BB167" s="157"/>
      <c r="BC167" s="157"/>
      <c r="BD167" s="175"/>
      <c r="BE167" s="170"/>
      <c r="BF167" s="157"/>
      <c r="BG167" s="157"/>
      <c r="BH167" s="157"/>
      <c r="BI167" s="175"/>
      <c r="BJ167" s="170"/>
      <c r="BK167" s="157"/>
      <c r="BL167" s="157"/>
      <c r="BM167" s="157"/>
      <c r="BN167" s="175"/>
      <c r="BO167" s="170"/>
      <c r="BP167" s="157"/>
      <c r="BQ167" s="157"/>
      <c r="BR167" s="157"/>
      <c r="BS167" s="175"/>
      <c r="BT167" s="170"/>
      <c r="BU167" s="157"/>
      <c r="BV167" s="157"/>
      <c r="BW167" s="157"/>
      <c r="BX167" s="175"/>
      <c r="BY167" s="170"/>
      <c r="BZ167" s="157"/>
      <c r="CA167" s="157"/>
      <c r="CB167" s="157"/>
      <c r="CC167" s="175"/>
      <c r="CD167" s="170"/>
      <c r="CE167" s="157"/>
      <c r="CF167" s="157"/>
      <c r="CG167" s="157"/>
      <c r="CH167" s="175"/>
      <c r="CI167" s="170"/>
      <c r="CJ167" s="157"/>
      <c r="CK167" s="157"/>
      <c r="CL167" s="157"/>
      <c r="CM167" s="175"/>
      <c r="CN167" s="170"/>
      <c r="CO167" s="157"/>
      <c r="CP167" s="157"/>
      <c r="CQ167" s="157"/>
      <c r="CR167" s="175"/>
      <c r="CS167" s="170"/>
      <c r="CT167" s="157"/>
      <c r="CU167" s="157"/>
      <c r="CV167" s="157"/>
      <c r="CW167" s="678"/>
      <c r="CX167" s="742"/>
      <c r="CY167" s="157"/>
      <c r="CZ167" s="157"/>
      <c r="DA167" s="157"/>
      <c r="DB167" s="861"/>
      <c r="DC167" s="170"/>
      <c r="DD167" s="157"/>
      <c r="DE167" s="157"/>
      <c r="DF167" s="157"/>
      <c r="DG167" s="175"/>
      <c r="DH167" s="170"/>
      <c r="DI167" s="157"/>
      <c r="DJ167" s="157"/>
      <c r="DK167" s="157"/>
      <c r="DL167" s="157"/>
      <c r="DM167" s="170"/>
      <c r="DN167" s="157"/>
      <c r="DO167" s="157"/>
      <c r="DP167" s="157"/>
      <c r="DQ167" s="157"/>
      <c r="DR167" s="170"/>
      <c r="DS167" s="157"/>
      <c r="DT167" s="157"/>
      <c r="DU167" s="157"/>
      <c r="DV167" s="157"/>
      <c r="DW167" s="170"/>
      <c r="DX167" s="157"/>
      <c r="DY167" s="157"/>
      <c r="DZ167" s="157"/>
      <c r="EA167" s="157"/>
      <c r="EB167" s="170"/>
      <c r="ED167" s="418"/>
      <c r="EK167" s="418"/>
    </row>
    <row r="168" spans="1:141" hidden="1" outlineLevel="1" x14ac:dyDescent="0.2">
      <c r="A168" s="1"/>
      <c r="B168" s="179"/>
      <c r="C168" s="175"/>
      <c r="D168" s="175"/>
      <c r="E168" s="175"/>
      <c r="F168" s="175"/>
      <c r="G168" s="170"/>
      <c r="H168" s="157"/>
      <c r="I168" s="157"/>
      <c r="J168" s="157"/>
      <c r="K168" s="175"/>
      <c r="L168" s="170"/>
      <c r="M168" s="157"/>
      <c r="N168" s="157"/>
      <c r="O168" s="157"/>
      <c r="P168" s="175"/>
      <c r="Q168" s="170"/>
      <c r="R168" s="157"/>
      <c r="S168" s="157"/>
      <c r="T168" s="157"/>
      <c r="U168" s="175"/>
      <c r="V168" s="170"/>
      <c r="W168" s="175"/>
      <c r="X168" s="175"/>
      <c r="Y168" s="175"/>
      <c r="Z168" s="175"/>
      <c r="AA168" s="170"/>
      <c r="AB168" s="157"/>
      <c r="AC168" s="157"/>
      <c r="AD168" s="157"/>
      <c r="AE168" s="175"/>
      <c r="AF168" s="170"/>
      <c r="AG168" s="157"/>
      <c r="AH168" s="157"/>
      <c r="AI168" s="157"/>
      <c r="AJ168" s="175"/>
      <c r="AK168" s="170"/>
      <c r="AL168" s="157"/>
      <c r="AM168" s="157"/>
      <c r="AN168" s="157"/>
      <c r="AO168" s="175"/>
      <c r="AP168" s="170"/>
      <c r="AQ168" s="157"/>
      <c r="AR168" s="157"/>
      <c r="AS168" s="157"/>
      <c r="AT168" s="175"/>
      <c r="AU168" s="170"/>
      <c r="AV168" s="157"/>
      <c r="AW168" s="157"/>
      <c r="AX168" s="157"/>
      <c r="AY168" s="175"/>
      <c r="AZ168" s="170"/>
      <c r="BA168" s="157"/>
      <c r="BB168" s="157"/>
      <c r="BC168" s="157"/>
      <c r="BD168" s="175"/>
      <c r="BE168" s="170"/>
      <c r="BF168" s="157"/>
      <c r="BG168" s="157"/>
      <c r="BH168" s="157"/>
      <c r="BI168" s="175"/>
      <c r="BJ168" s="170"/>
      <c r="BK168" s="157"/>
      <c r="BL168" s="157"/>
      <c r="BM168" s="157"/>
      <c r="BN168" s="175"/>
      <c r="BO168" s="170"/>
      <c r="BP168" s="157"/>
      <c r="BQ168" s="157"/>
      <c r="BR168" s="157"/>
      <c r="BS168" s="175"/>
      <c r="BT168" s="170"/>
      <c r="BU168" s="157"/>
      <c r="BV168" s="157"/>
      <c r="BW168" s="157"/>
      <c r="BX168" s="175"/>
      <c r="BY168" s="170"/>
      <c r="BZ168" s="157"/>
      <c r="CA168" s="157"/>
      <c r="CB168" s="157"/>
      <c r="CC168" s="175"/>
      <c r="CD168" s="170"/>
      <c r="CE168" s="157"/>
      <c r="CF168" s="157"/>
      <c r="CG168" s="157"/>
      <c r="CH168" s="175"/>
      <c r="CI168" s="170"/>
      <c r="CJ168" s="157"/>
      <c r="CK168" s="157"/>
      <c r="CL168" s="157"/>
      <c r="CM168" s="175"/>
      <c r="CN168" s="170"/>
      <c r="CO168" s="157"/>
      <c r="CP168" s="157"/>
      <c r="CQ168" s="157"/>
      <c r="CR168" s="175"/>
      <c r="CS168" s="170"/>
      <c r="CT168" s="157"/>
      <c r="CU168" s="157"/>
      <c r="CV168" s="157"/>
      <c r="CW168" s="678"/>
      <c r="CX168" s="742"/>
      <c r="CY168" s="157"/>
      <c r="CZ168" s="157"/>
      <c r="DA168" s="157"/>
      <c r="DB168" s="861"/>
      <c r="DC168" s="170"/>
      <c r="DD168" s="157"/>
      <c r="DE168" s="157"/>
      <c r="DF168" s="157"/>
      <c r="DG168" s="175"/>
      <c r="DH168" s="170"/>
      <c r="DI168" s="157"/>
      <c r="DJ168" s="157"/>
      <c r="DK168" s="157"/>
      <c r="DL168" s="157"/>
      <c r="DM168" s="170"/>
      <c r="DN168" s="157"/>
      <c r="DO168" s="157"/>
      <c r="DP168" s="157"/>
      <c r="DQ168" s="157"/>
      <c r="DR168" s="170"/>
      <c r="DS168" s="157"/>
      <c r="DT168" s="157"/>
      <c r="DU168" s="157"/>
      <c r="DV168" s="157"/>
      <c r="DW168" s="170"/>
      <c r="DX168" s="157"/>
      <c r="DY168" s="157"/>
      <c r="DZ168" s="157"/>
      <c r="EA168" s="157"/>
      <c r="EB168" s="170"/>
      <c r="ED168" s="418"/>
      <c r="EK168" s="418"/>
    </row>
    <row r="169" spans="1:141" hidden="1" outlineLevel="1" x14ac:dyDescent="0.2">
      <c r="A169" s="223" t="s">
        <v>89</v>
      </c>
      <c r="B169" s="224"/>
      <c r="C169" s="228"/>
      <c r="D169" s="228"/>
      <c r="E169" s="228"/>
      <c r="F169" s="228"/>
      <c r="G169" s="224"/>
      <c r="H169" s="228"/>
      <c r="I169" s="228"/>
      <c r="J169" s="228"/>
      <c r="K169" s="228"/>
      <c r="L169" s="224"/>
      <c r="M169" s="228"/>
      <c r="N169" s="228"/>
      <c r="O169" s="228"/>
      <c r="P169" s="228"/>
      <c r="Q169" s="224"/>
      <c r="R169" s="228"/>
      <c r="S169" s="228"/>
      <c r="T169" s="228"/>
      <c r="U169" s="228"/>
      <c r="V169" s="224"/>
      <c r="W169" s="228"/>
      <c r="X169" s="228"/>
      <c r="Y169" s="228"/>
      <c r="Z169" s="228"/>
      <c r="AA169" s="224"/>
      <c r="AB169" s="228"/>
      <c r="AC169" s="228"/>
      <c r="AD169" s="228"/>
      <c r="AE169" s="228"/>
      <c r="AF169" s="224"/>
      <c r="AG169" s="228"/>
      <c r="AH169" s="228"/>
      <c r="AI169" s="228"/>
      <c r="AJ169" s="228"/>
      <c r="AK169" s="224"/>
      <c r="AL169" s="228"/>
      <c r="AM169" s="228"/>
      <c r="AN169" s="228"/>
      <c r="AO169" s="228"/>
      <c r="AP169" s="224"/>
      <c r="AQ169" s="228"/>
      <c r="AR169" s="228"/>
      <c r="AS169" s="228"/>
      <c r="AT169" s="228"/>
      <c r="AU169" s="224"/>
      <c r="AV169" s="228"/>
      <c r="AW169" s="228"/>
      <c r="AX169" s="228"/>
      <c r="AY169" s="228"/>
      <c r="AZ169" s="224"/>
      <c r="BA169" s="228"/>
      <c r="BB169" s="228"/>
      <c r="BC169" s="228"/>
      <c r="BD169" s="228"/>
      <c r="BE169" s="224"/>
      <c r="BF169" s="228"/>
      <c r="BG169" s="228"/>
      <c r="BH169" s="228"/>
      <c r="BI169" s="228"/>
      <c r="BJ169" s="224"/>
      <c r="BK169" s="228"/>
      <c r="BL169" s="228"/>
      <c r="BM169" s="228"/>
      <c r="BN169" s="228"/>
      <c r="BO169" s="224"/>
      <c r="BP169" s="228"/>
      <c r="BQ169" s="228"/>
      <c r="BR169" s="228"/>
      <c r="BS169" s="228"/>
      <c r="BT169" s="224"/>
      <c r="BU169" s="228"/>
      <c r="BV169" s="228"/>
      <c r="BW169" s="228"/>
      <c r="BX169" s="228"/>
      <c r="BY169" s="224"/>
      <c r="BZ169" s="228"/>
      <c r="CA169" s="228"/>
      <c r="CB169" s="228"/>
      <c r="CC169" s="228"/>
      <c r="CD169" s="224"/>
      <c r="CE169" s="228"/>
      <c r="CF169" s="228"/>
      <c r="CG169" s="228"/>
      <c r="CH169" s="228"/>
      <c r="CI169" s="224"/>
      <c r="CJ169" s="228"/>
      <c r="CK169" s="228"/>
      <c r="CL169" s="228"/>
      <c r="CM169" s="228"/>
      <c r="CN169" s="224"/>
      <c r="CO169" s="228"/>
      <c r="CP169" s="228"/>
      <c r="CQ169" s="228"/>
      <c r="CR169" s="228"/>
      <c r="CS169" s="224"/>
      <c r="CT169" s="228"/>
      <c r="CU169" s="228"/>
      <c r="CV169" s="228"/>
      <c r="CW169" s="713"/>
      <c r="CX169" s="764"/>
      <c r="CY169" s="228"/>
      <c r="CZ169" s="228"/>
      <c r="DA169" s="228"/>
      <c r="DB169" s="895"/>
      <c r="DC169" s="224"/>
      <c r="DD169" s="228"/>
      <c r="DE169" s="228"/>
      <c r="DF169" s="228"/>
      <c r="DG169" s="228"/>
      <c r="DH169" s="224"/>
      <c r="DI169" s="228"/>
      <c r="DJ169" s="228"/>
      <c r="DK169" s="228"/>
      <c r="DL169" s="228"/>
      <c r="DM169" s="224"/>
      <c r="DN169" s="228"/>
      <c r="DO169" s="228"/>
      <c r="DP169" s="228"/>
      <c r="DQ169" s="228"/>
      <c r="DR169" s="224"/>
      <c r="DS169" s="228"/>
      <c r="DT169" s="228"/>
      <c r="DU169" s="228"/>
      <c r="DV169" s="228"/>
      <c r="DW169" s="224"/>
      <c r="DX169" s="228"/>
      <c r="DY169" s="228"/>
      <c r="DZ169" s="228"/>
      <c r="EA169" s="228"/>
      <c r="EB169" s="224"/>
      <c r="ED169" s="418"/>
      <c r="EK169" s="418"/>
    </row>
    <row r="170" spans="1:141" hidden="1" outlineLevel="1" x14ac:dyDescent="0.2">
      <c r="A170" s="1" t="s">
        <v>2</v>
      </c>
      <c r="B170" s="179"/>
      <c r="C170" s="175"/>
      <c r="D170" s="175"/>
      <c r="E170" s="175"/>
      <c r="F170" s="175"/>
      <c r="G170" s="170"/>
      <c r="H170" s="157"/>
      <c r="I170" s="157"/>
      <c r="J170" s="157"/>
      <c r="K170" s="175"/>
      <c r="L170" s="170"/>
      <c r="M170" s="157"/>
      <c r="N170" s="157"/>
      <c r="O170" s="157"/>
      <c r="P170" s="175"/>
      <c r="Q170" s="170"/>
      <c r="R170" s="157"/>
      <c r="S170" s="157"/>
      <c r="T170" s="157"/>
      <c r="U170" s="175"/>
      <c r="V170" s="170"/>
      <c r="W170" s="175"/>
      <c r="X170" s="175"/>
      <c r="Y170" s="175"/>
      <c r="Z170" s="175"/>
      <c r="AA170" s="170"/>
      <c r="AB170" s="157"/>
      <c r="AC170" s="157"/>
      <c r="AD170" s="157"/>
      <c r="AE170" s="175"/>
      <c r="AF170" s="170"/>
      <c r="AG170" s="157"/>
      <c r="AH170" s="157"/>
      <c r="AI170" s="157"/>
      <c r="AJ170" s="175"/>
      <c r="AK170" s="170"/>
      <c r="AL170" s="157"/>
      <c r="AM170" s="157"/>
      <c r="AN170" s="157"/>
      <c r="AO170" s="175"/>
      <c r="AP170" s="170"/>
      <c r="AQ170" s="157"/>
      <c r="AR170" s="157"/>
      <c r="AS170" s="157"/>
      <c r="AT170" s="175"/>
      <c r="AU170" s="170"/>
      <c r="AV170" s="157"/>
      <c r="AW170" s="157"/>
      <c r="AX170" s="157"/>
      <c r="AY170" s="175"/>
      <c r="AZ170" s="170"/>
      <c r="BA170" s="157"/>
      <c r="BB170" s="157"/>
      <c r="BC170" s="157"/>
      <c r="BD170" s="175"/>
      <c r="BE170" s="170"/>
      <c r="BF170" s="157"/>
      <c r="BG170" s="157"/>
      <c r="BH170" s="157"/>
      <c r="BI170" s="175"/>
      <c r="BJ170" s="170"/>
      <c r="BK170" s="157"/>
      <c r="BL170" s="157"/>
      <c r="BM170" s="157"/>
      <c r="BN170" s="175"/>
      <c r="BO170" s="170"/>
      <c r="BP170" s="157"/>
      <c r="BQ170" s="157"/>
      <c r="BR170" s="157"/>
      <c r="BS170" s="175"/>
      <c r="BT170" s="61">
        <v>0.32875154511742921</v>
      </c>
      <c r="BU170" s="65"/>
      <c r="BV170" s="65"/>
      <c r="BW170" s="65"/>
      <c r="BX170" s="238"/>
      <c r="BY170" s="61">
        <v>0.4293891546608411</v>
      </c>
      <c r="BZ170" s="157"/>
      <c r="CA170" s="157"/>
      <c r="CB170" s="157"/>
      <c r="CC170" s="175"/>
      <c r="CD170" s="170"/>
      <c r="CE170" s="157"/>
      <c r="CF170" s="157"/>
      <c r="CG170" s="157"/>
      <c r="CH170" s="175"/>
      <c r="CI170" s="170"/>
      <c r="CJ170" s="157"/>
      <c r="CK170" s="157"/>
      <c r="CL170" s="157"/>
      <c r="CM170" s="175"/>
      <c r="CN170" s="170"/>
      <c r="CO170" s="157"/>
      <c r="CP170" s="157"/>
      <c r="CQ170" s="157"/>
      <c r="CR170" s="175"/>
      <c r="CS170" s="170"/>
      <c r="CT170" s="157"/>
      <c r="CU170" s="157"/>
      <c r="CV170" s="157"/>
      <c r="CW170" s="678"/>
      <c r="CX170" s="742"/>
      <c r="CY170" s="157"/>
      <c r="CZ170" s="157"/>
      <c r="DA170" s="157"/>
      <c r="DB170" s="861"/>
      <c r="DC170" s="170"/>
      <c r="DD170" s="157"/>
      <c r="DE170" s="157"/>
      <c r="DF170" s="157"/>
      <c r="DG170" s="175"/>
      <c r="DH170" s="170"/>
      <c r="DI170" s="157"/>
      <c r="DJ170" s="157"/>
      <c r="DK170" s="157"/>
      <c r="DL170" s="157"/>
      <c r="DM170" s="170"/>
      <c r="DN170" s="157"/>
      <c r="DO170" s="157"/>
      <c r="DP170" s="157"/>
      <c r="DQ170" s="157"/>
      <c r="DR170" s="170"/>
      <c r="DS170" s="157"/>
      <c r="DT170" s="157"/>
      <c r="DU170" s="157"/>
      <c r="DV170" s="157"/>
      <c r="DW170" s="170"/>
      <c r="DX170" s="157"/>
      <c r="DY170" s="157"/>
      <c r="DZ170" s="157"/>
      <c r="EA170" s="157"/>
      <c r="EB170" s="170"/>
      <c r="ED170" s="418"/>
      <c r="EK170" s="418"/>
    </row>
    <row r="171" spans="1:141" hidden="1" outlineLevel="1" x14ac:dyDescent="0.2">
      <c r="A171" s="1" t="s">
        <v>1</v>
      </c>
      <c r="B171" s="179"/>
      <c r="C171" s="175"/>
      <c r="D171" s="175"/>
      <c r="E171" s="175"/>
      <c r="F171" s="175"/>
      <c r="G171" s="170"/>
      <c r="H171" s="157"/>
      <c r="I171" s="157"/>
      <c r="J171" s="157"/>
      <c r="K171" s="175"/>
      <c r="L171" s="170"/>
      <c r="M171" s="157"/>
      <c r="N171" s="157"/>
      <c r="O171" s="157"/>
      <c r="P171" s="175"/>
      <c r="Q171" s="170"/>
      <c r="R171" s="157"/>
      <c r="S171" s="157"/>
      <c r="T171" s="157"/>
      <c r="U171" s="175"/>
      <c r="V171" s="170"/>
      <c r="W171" s="175"/>
      <c r="X171" s="175"/>
      <c r="Y171" s="175"/>
      <c r="Z171" s="175"/>
      <c r="AA171" s="170"/>
      <c r="AB171" s="157"/>
      <c r="AC171" s="157"/>
      <c r="AD171" s="157"/>
      <c r="AE171" s="175"/>
      <c r="AF171" s="170"/>
      <c r="AG171" s="157"/>
      <c r="AH171" s="157"/>
      <c r="AI171" s="157"/>
      <c r="AJ171" s="175"/>
      <c r="AK171" s="170"/>
      <c r="AL171" s="157"/>
      <c r="AM171" s="157"/>
      <c r="AN171" s="157"/>
      <c r="AO171" s="175"/>
      <c r="AP171" s="170"/>
      <c r="AQ171" s="157"/>
      <c r="AR171" s="157"/>
      <c r="AS171" s="157"/>
      <c r="AT171" s="175"/>
      <c r="AU171" s="170"/>
      <c r="AV171" s="157"/>
      <c r="AW171" s="157"/>
      <c r="AX171" s="157"/>
      <c r="AY171" s="175"/>
      <c r="AZ171" s="170"/>
      <c r="BA171" s="157"/>
      <c r="BB171" s="157"/>
      <c r="BC171" s="157"/>
      <c r="BD171" s="175"/>
      <c r="BE171" s="170"/>
      <c r="BF171" s="157"/>
      <c r="BG171" s="157"/>
      <c r="BH171" s="157"/>
      <c r="BI171" s="175"/>
      <c r="BJ171" s="170"/>
      <c r="BK171" s="157"/>
      <c r="BL171" s="157"/>
      <c r="BM171" s="157"/>
      <c r="BN171" s="175"/>
      <c r="BO171" s="170"/>
      <c r="BP171" s="157"/>
      <c r="BQ171" s="157"/>
      <c r="BR171" s="157"/>
      <c r="BS171" s="175"/>
      <c r="BT171" s="61">
        <v>0.12716533478929848</v>
      </c>
      <c r="BU171" s="65"/>
      <c r="BV171" s="65"/>
      <c r="BW171" s="65"/>
      <c r="BX171" s="238"/>
      <c r="BY171" s="61">
        <v>0.11070041641323178</v>
      </c>
      <c r="BZ171" s="157"/>
      <c r="CA171" s="157"/>
      <c r="CB171" s="157"/>
      <c r="CC171" s="175"/>
      <c r="CD171" s="170"/>
      <c r="CE171" s="157"/>
      <c r="CF171" s="157"/>
      <c r="CG171" s="157"/>
      <c r="CH171" s="175"/>
      <c r="CI171" s="170"/>
      <c r="CJ171" s="157"/>
      <c r="CK171" s="157"/>
      <c r="CL171" s="157"/>
      <c r="CM171" s="175"/>
      <c r="CN171" s="170"/>
      <c r="CO171" s="157"/>
      <c r="CP171" s="157"/>
      <c r="CQ171" s="157"/>
      <c r="CR171" s="175"/>
      <c r="CS171" s="170"/>
      <c r="CT171" s="157"/>
      <c r="CU171" s="157"/>
      <c r="CV171" s="157"/>
      <c r="CW171" s="678"/>
      <c r="CX171" s="742"/>
      <c r="CY171" s="157"/>
      <c r="CZ171" s="157"/>
      <c r="DA171" s="157"/>
      <c r="DB171" s="861"/>
      <c r="DC171" s="170"/>
      <c r="DD171" s="157"/>
      <c r="DE171" s="157"/>
      <c r="DF171" s="157"/>
      <c r="DG171" s="175"/>
      <c r="DH171" s="170"/>
      <c r="DI171" s="157"/>
      <c r="DJ171" s="157"/>
      <c r="DK171" s="157"/>
      <c r="DL171" s="157"/>
      <c r="DM171" s="170"/>
      <c r="DN171" s="157"/>
      <c r="DO171" s="157"/>
      <c r="DP171" s="157"/>
      <c r="DQ171" s="157"/>
      <c r="DR171" s="170"/>
      <c r="DS171" s="157"/>
      <c r="DT171" s="157"/>
      <c r="DU171" s="157"/>
      <c r="DV171" s="157"/>
      <c r="DW171" s="170"/>
      <c r="DX171" s="157"/>
      <c r="DY171" s="157"/>
      <c r="DZ171" s="157"/>
      <c r="EA171" s="157"/>
      <c r="EB171" s="170"/>
      <c r="ED171" s="418"/>
      <c r="EK171" s="418"/>
    </row>
    <row r="172" spans="1:141" hidden="1" outlineLevel="1" x14ac:dyDescent="0.2">
      <c r="A172" s="1" t="s">
        <v>87</v>
      </c>
      <c r="B172" s="179"/>
      <c r="C172" s="175"/>
      <c r="D172" s="175"/>
      <c r="E172" s="175"/>
      <c r="F172" s="175"/>
      <c r="G172" s="170"/>
      <c r="H172" s="157"/>
      <c r="I172" s="157"/>
      <c r="J172" s="157"/>
      <c r="K172" s="175"/>
      <c r="L172" s="170"/>
      <c r="M172" s="157"/>
      <c r="N172" s="157"/>
      <c r="O172" s="157"/>
      <c r="P172" s="175"/>
      <c r="Q172" s="170"/>
      <c r="R172" s="157"/>
      <c r="S172" s="157"/>
      <c r="T172" s="157"/>
      <c r="U172" s="175"/>
      <c r="V172" s="170"/>
      <c r="W172" s="175"/>
      <c r="X172" s="175"/>
      <c r="Y172" s="175"/>
      <c r="Z172" s="175"/>
      <c r="AA172" s="170"/>
      <c r="AB172" s="157"/>
      <c r="AC172" s="157"/>
      <c r="AD172" s="157"/>
      <c r="AE172" s="175"/>
      <c r="AF172" s="170"/>
      <c r="AG172" s="157"/>
      <c r="AH172" s="157"/>
      <c r="AI172" s="157"/>
      <c r="AJ172" s="175"/>
      <c r="AK172" s="170"/>
      <c r="AL172" s="157"/>
      <c r="AM172" s="157"/>
      <c r="AN172" s="157"/>
      <c r="AO172" s="175"/>
      <c r="AP172" s="170"/>
      <c r="AQ172" s="157"/>
      <c r="AR172" s="157"/>
      <c r="AS172" s="157"/>
      <c r="AT172" s="175"/>
      <c r="AU172" s="170"/>
      <c r="AV172" s="157"/>
      <c r="AW172" s="157"/>
      <c r="AX172" s="157"/>
      <c r="AY172" s="175"/>
      <c r="AZ172" s="170"/>
      <c r="BA172" s="157"/>
      <c r="BB172" s="157"/>
      <c r="BC172" s="157"/>
      <c r="BD172" s="175"/>
      <c r="BE172" s="170"/>
      <c r="BF172" s="157"/>
      <c r="BG172" s="157"/>
      <c r="BH172" s="157"/>
      <c r="BI172" s="175"/>
      <c r="BJ172" s="170"/>
      <c r="BK172" s="157"/>
      <c r="BL172" s="157"/>
      <c r="BM172" s="157"/>
      <c r="BN172" s="175"/>
      <c r="BO172" s="170"/>
      <c r="BP172" s="157"/>
      <c r="BQ172" s="157"/>
      <c r="BR172" s="157"/>
      <c r="BS172" s="175"/>
      <c r="BT172" s="61">
        <v>3.0740318906605921</v>
      </c>
      <c r="BU172" s="65"/>
      <c r="BV172" s="65"/>
      <c r="BW172" s="65"/>
      <c r="BX172" s="238"/>
      <c r="BY172" s="61">
        <v>3.0111880660628656</v>
      </c>
      <c r="BZ172" s="157"/>
      <c r="CA172" s="157"/>
      <c r="CB172" s="157"/>
      <c r="CC172" s="175"/>
      <c r="CD172" s="170"/>
      <c r="CE172" s="157"/>
      <c r="CF172" s="157"/>
      <c r="CG172" s="157"/>
      <c r="CH172" s="175"/>
      <c r="CI172" s="170"/>
      <c r="CJ172" s="157"/>
      <c r="CK172" s="157"/>
      <c r="CL172" s="157"/>
      <c r="CM172" s="175"/>
      <c r="CN172" s="170"/>
      <c r="CO172" s="157"/>
      <c r="CP172" s="157"/>
      <c r="CQ172" s="157"/>
      <c r="CR172" s="175"/>
      <c r="CS172" s="170"/>
      <c r="CT172" s="157"/>
      <c r="CU172" s="157"/>
      <c r="CV172" s="157"/>
      <c r="CW172" s="678"/>
      <c r="CX172" s="742"/>
      <c r="CY172" s="157"/>
      <c r="CZ172" s="157"/>
      <c r="DA172" s="157"/>
      <c r="DB172" s="861"/>
      <c r="DC172" s="170"/>
      <c r="DD172" s="157"/>
      <c r="DE172" s="157"/>
      <c r="DF172" s="157"/>
      <c r="DG172" s="175"/>
      <c r="DH172" s="170"/>
      <c r="DI172" s="157"/>
      <c r="DJ172" s="157"/>
      <c r="DK172" s="157"/>
      <c r="DL172" s="157"/>
      <c r="DM172" s="170"/>
      <c r="DN172" s="157"/>
      <c r="DO172" s="157"/>
      <c r="DP172" s="157"/>
      <c r="DQ172" s="157"/>
      <c r="DR172" s="170"/>
      <c r="DS172" s="157"/>
      <c r="DT172" s="157"/>
      <c r="DU172" s="157"/>
      <c r="DV172" s="157"/>
      <c r="DW172" s="170"/>
      <c r="DX172" s="157"/>
      <c r="DY172" s="157"/>
      <c r="DZ172" s="157"/>
      <c r="EA172" s="157"/>
      <c r="EB172" s="170"/>
      <c r="ED172" s="418"/>
      <c r="EK172" s="418"/>
    </row>
    <row r="173" spans="1:141" hidden="1" outlineLevel="1" x14ac:dyDescent="0.2">
      <c r="A173" s="1" t="s">
        <v>86</v>
      </c>
      <c r="B173" s="179"/>
      <c r="C173" s="175"/>
      <c r="D173" s="175"/>
      <c r="E173" s="175"/>
      <c r="F173" s="175"/>
      <c r="G173" s="170"/>
      <c r="H173" s="157"/>
      <c r="I173" s="157"/>
      <c r="J173" s="157"/>
      <c r="K173" s="175"/>
      <c r="L173" s="170"/>
      <c r="M173" s="157"/>
      <c r="N173" s="157"/>
      <c r="O173" s="157"/>
      <c r="P173" s="175"/>
      <c r="Q173" s="170"/>
      <c r="R173" s="157"/>
      <c r="S173" s="157"/>
      <c r="T173" s="157"/>
      <c r="U173" s="175"/>
      <c r="V173" s="170"/>
      <c r="W173" s="175"/>
      <c r="X173" s="175"/>
      <c r="Y173" s="175"/>
      <c r="Z173" s="175"/>
      <c r="AA173" s="170"/>
      <c r="AB173" s="157"/>
      <c r="AC173" s="157"/>
      <c r="AD173" s="157"/>
      <c r="AE173" s="175"/>
      <c r="AF173" s="170"/>
      <c r="AG173" s="157"/>
      <c r="AH173" s="157"/>
      <c r="AI173" s="157"/>
      <c r="AJ173" s="175"/>
      <c r="AK173" s="170"/>
      <c r="AL173" s="157"/>
      <c r="AM173" s="157"/>
      <c r="AN173" s="157"/>
      <c r="AO173" s="175"/>
      <c r="AP173" s="170"/>
      <c r="AQ173" s="157"/>
      <c r="AR173" s="157"/>
      <c r="AS173" s="157"/>
      <c r="AT173" s="175"/>
      <c r="AU173" s="170"/>
      <c r="AV173" s="157"/>
      <c r="AW173" s="157"/>
      <c r="AX173" s="157"/>
      <c r="AY173" s="175"/>
      <c r="AZ173" s="170"/>
      <c r="BA173" s="157"/>
      <c r="BB173" s="157"/>
      <c r="BC173" s="157"/>
      <c r="BD173" s="175"/>
      <c r="BE173" s="170"/>
      <c r="BF173" s="157"/>
      <c r="BG173" s="157"/>
      <c r="BH173" s="157"/>
      <c r="BI173" s="175"/>
      <c r="BJ173" s="170"/>
      <c r="BK173" s="157"/>
      <c r="BL173" s="157"/>
      <c r="BM173" s="157"/>
      <c r="BN173" s="175"/>
      <c r="BO173" s="170"/>
      <c r="BP173" s="157"/>
      <c r="BQ173" s="157"/>
      <c r="BR173" s="157"/>
      <c r="BS173" s="175"/>
      <c r="BT173" s="61">
        <v>-0.12210323768091692</v>
      </c>
      <c r="BU173" s="65"/>
      <c r="BV173" s="65"/>
      <c r="BW173" s="65"/>
      <c r="BX173" s="238"/>
      <c r="BY173" s="61">
        <v>-0.10666716904353719</v>
      </c>
      <c r="BZ173" s="157"/>
      <c r="CA173" s="157"/>
      <c r="CB173" s="157"/>
      <c r="CC173" s="175"/>
      <c r="CD173" s="170"/>
      <c r="CE173" s="157"/>
      <c r="CF173" s="157"/>
      <c r="CG173" s="157"/>
      <c r="CH173" s="175"/>
      <c r="CI173" s="170"/>
      <c r="CJ173" s="157"/>
      <c r="CK173" s="157"/>
      <c r="CL173" s="157"/>
      <c r="CM173" s="175"/>
      <c r="CN173" s="170"/>
      <c r="CO173" s="157"/>
      <c r="CP173" s="157"/>
      <c r="CQ173" s="157"/>
      <c r="CR173" s="175"/>
      <c r="CS173" s="170"/>
      <c r="CT173" s="157"/>
      <c r="CU173" s="157"/>
      <c r="CV173" s="157"/>
      <c r="CW173" s="678"/>
      <c r="CX173" s="742"/>
      <c r="CY173" s="157"/>
      <c r="CZ173" s="157"/>
      <c r="DA173" s="157"/>
      <c r="DB173" s="861"/>
      <c r="DC173" s="170"/>
      <c r="DD173" s="157"/>
      <c r="DE173" s="157"/>
      <c r="DF173" s="157"/>
      <c r="DG173" s="175"/>
      <c r="DH173" s="170"/>
      <c r="DI173" s="157"/>
      <c r="DJ173" s="157"/>
      <c r="DK173" s="157"/>
      <c r="DL173" s="157"/>
      <c r="DM173" s="170"/>
      <c r="DN173" s="157"/>
      <c r="DO173" s="157"/>
      <c r="DP173" s="157"/>
      <c r="DQ173" s="157"/>
      <c r="DR173" s="170"/>
      <c r="DS173" s="157"/>
      <c r="DT173" s="157"/>
      <c r="DU173" s="157"/>
      <c r="DV173" s="157"/>
      <c r="DW173" s="170"/>
      <c r="DX173" s="157"/>
      <c r="DY173" s="157"/>
      <c r="DZ173" s="157"/>
      <c r="EA173" s="157"/>
      <c r="EB173" s="170"/>
      <c r="ED173" s="418"/>
      <c r="EK173" s="418"/>
    </row>
    <row r="174" spans="1:141" hidden="1" outlineLevel="1" x14ac:dyDescent="0.2">
      <c r="A174" s="1"/>
      <c r="B174" s="179"/>
      <c r="C174" s="175"/>
      <c r="D174" s="175"/>
      <c r="E174" s="175"/>
      <c r="F174" s="175"/>
      <c r="G174" s="170"/>
      <c r="H174" s="157"/>
      <c r="I174" s="157"/>
      <c r="J174" s="157"/>
      <c r="K174" s="175"/>
      <c r="L174" s="170"/>
      <c r="M174" s="157"/>
      <c r="N174" s="157"/>
      <c r="O174" s="157"/>
      <c r="P174" s="175"/>
      <c r="Q174" s="170"/>
      <c r="R174" s="157"/>
      <c r="S174" s="157"/>
      <c r="T174" s="157"/>
      <c r="U174" s="175"/>
      <c r="V174" s="170"/>
      <c r="W174" s="175"/>
      <c r="X174" s="175"/>
      <c r="Y174" s="175"/>
      <c r="Z174" s="175"/>
      <c r="AA174" s="170"/>
      <c r="AB174" s="157"/>
      <c r="AC174" s="157"/>
      <c r="AD174" s="157"/>
      <c r="AE174" s="175"/>
      <c r="AF174" s="170"/>
      <c r="AG174" s="157"/>
      <c r="AH174" s="157"/>
      <c r="AI174" s="157"/>
      <c r="AJ174" s="175"/>
      <c r="AK174" s="170"/>
      <c r="AL174" s="157"/>
      <c r="AM174" s="157"/>
      <c r="AN174" s="157"/>
      <c r="AO174" s="175"/>
      <c r="AP174" s="170"/>
      <c r="AQ174" s="157"/>
      <c r="AR174" s="157"/>
      <c r="AS174" s="157"/>
      <c r="AT174" s="175"/>
      <c r="AU174" s="170"/>
      <c r="AV174" s="157"/>
      <c r="AW174" s="157"/>
      <c r="AX174" s="157"/>
      <c r="AY174" s="175"/>
      <c r="AZ174" s="170"/>
      <c r="BA174" s="157"/>
      <c r="BB174" s="157"/>
      <c r="BC174" s="157"/>
      <c r="BD174" s="175"/>
      <c r="BE174" s="170"/>
      <c r="BF174" s="157"/>
      <c r="BG174" s="157"/>
      <c r="BH174" s="157"/>
      <c r="BI174" s="175"/>
      <c r="BJ174" s="170"/>
      <c r="BK174" s="157"/>
      <c r="BL174" s="157"/>
      <c r="BM174" s="157"/>
      <c r="BN174" s="175"/>
      <c r="BO174" s="170"/>
      <c r="BP174" s="157"/>
      <c r="BQ174" s="157"/>
      <c r="BR174" s="157"/>
      <c r="BS174" s="175"/>
      <c r="BT174" s="61"/>
      <c r="BU174" s="65"/>
      <c r="BV174" s="65"/>
      <c r="BW174" s="65"/>
      <c r="BX174" s="238"/>
      <c r="BY174" s="61"/>
      <c r="BZ174" s="157"/>
      <c r="CA174" s="157"/>
      <c r="CB174" s="157"/>
      <c r="CC174" s="175"/>
      <c r="CD174" s="170"/>
      <c r="CE174" s="157"/>
      <c r="CF174" s="157"/>
      <c r="CG174" s="157"/>
      <c r="CH174" s="175"/>
      <c r="CI174" s="170"/>
      <c r="CJ174" s="157"/>
      <c r="CK174" s="157"/>
      <c r="CL174" s="157"/>
      <c r="CM174" s="175"/>
      <c r="CN174" s="170"/>
      <c r="CO174" s="157"/>
      <c r="CP174" s="157"/>
      <c r="CQ174" s="157"/>
      <c r="CR174" s="175"/>
      <c r="CS174" s="170"/>
      <c r="CT174" s="157"/>
      <c r="CU174" s="157"/>
      <c r="CV174" s="157"/>
      <c r="CW174" s="678"/>
      <c r="CX174" s="742"/>
      <c r="CY174" s="157"/>
      <c r="CZ174" s="157"/>
      <c r="DA174" s="157"/>
      <c r="DB174" s="861"/>
      <c r="DC174" s="170"/>
      <c r="DD174" s="157"/>
      <c r="DE174" s="157"/>
      <c r="DF174" s="157"/>
      <c r="DG174" s="175"/>
      <c r="DH174" s="170"/>
      <c r="DI174" s="157"/>
      <c r="DJ174" s="157"/>
      <c r="DK174" s="157"/>
      <c r="DL174" s="157"/>
      <c r="DM174" s="170"/>
      <c r="DN174" s="157"/>
      <c r="DO174" s="157"/>
      <c r="DP174" s="157"/>
      <c r="DQ174" s="157"/>
      <c r="DR174" s="170"/>
      <c r="DS174" s="157"/>
      <c r="DT174" s="157"/>
      <c r="DU174" s="157"/>
      <c r="DV174" s="157"/>
      <c r="DW174" s="170"/>
      <c r="DX174" s="157"/>
      <c r="DY174" s="157"/>
      <c r="DZ174" s="157"/>
      <c r="EA174" s="157"/>
      <c r="EB174" s="170"/>
      <c r="ED174" s="418"/>
      <c r="EK174" s="418"/>
    </row>
    <row r="175" spans="1:141" hidden="1" outlineLevel="1" x14ac:dyDescent="0.2">
      <c r="A175" s="83" t="s">
        <v>88</v>
      </c>
      <c r="B175" s="179"/>
      <c r="C175" s="182"/>
      <c r="D175" s="182"/>
      <c r="E175" s="182"/>
      <c r="F175" s="182"/>
      <c r="G175" s="179"/>
      <c r="H175" s="227"/>
      <c r="I175" s="227"/>
      <c r="J175" s="227"/>
      <c r="K175" s="182"/>
      <c r="L175" s="179"/>
      <c r="M175" s="227"/>
      <c r="N175" s="227"/>
      <c r="O175" s="227"/>
      <c r="P175" s="182"/>
      <c r="Q175" s="179"/>
      <c r="R175" s="227"/>
      <c r="S175" s="227"/>
      <c r="T175" s="227"/>
      <c r="U175" s="182"/>
      <c r="V175" s="179"/>
      <c r="W175" s="182"/>
      <c r="X175" s="182"/>
      <c r="Y175" s="182"/>
      <c r="Z175" s="182"/>
      <c r="AA175" s="179"/>
      <c r="AB175" s="227"/>
      <c r="AC175" s="227"/>
      <c r="AD175" s="227"/>
      <c r="AE175" s="182"/>
      <c r="AF175" s="179"/>
      <c r="AG175" s="227"/>
      <c r="AH175" s="227"/>
      <c r="AI175" s="227"/>
      <c r="AJ175" s="182"/>
      <c r="AK175" s="179"/>
      <c r="AL175" s="227"/>
      <c r="AM175" s="227"/>
      <c r="AN175" s="227"/>
      <c r="AO175" s="182"/>
      <c r="AP175" s="179"/>
      <c r="AQ175" s="227"/>
      <c r="AR175" s="227"/>
      <c r="AS175" s="227"/>
      <c r="AT175" s="182"/>
      <c r="AU175" s="179"/>
      <c r="AV175" s="227"/>
      <c r="AW175" s="227"/>
      <c r="AX175" s="227"/>
      <c r="AY175" s="182"/>
      <c r="AZ175" s="179"/>
      <c r="BA175" s="227"/>
      <c r="BB175" s="227"/>
      <c r="BC175" s="227"/>
      <c r="BD175" s="182"/>
      <c r="BE175" s="179"/>
      <c r="BF175" s="227"/>
      <c r="BG175" s="227"/>
      <c r="BH175" s="227"/>
      <c r="BI175" s="182"/>
      <c r="BJ175" s="179"/>
      <c r="BK175" s="227"/>
      <c r="BL175" s="227"/>
      <c r="BM175" s="227"/>
      <c r="BN175" s="182"/>
      <c r="BO175" s="179"/>
      <c r="BP175" s="227"/>
      <c r="BQ175" s="227"/>
      <c r="BR175" s="227"/>
      <c r="BS175" s="182"/>
      <c r="BT175" s="386"/>
      <c r="BU175" s="387"/>
      <c r="BV175" s="387"/>
      <c r="BW175" s="387"/>
      <c r="BX175" s="409"/>
      <c r="BY175" s="386"/>
      <c r="BZ175" s="227"/>
      <c r="CA175" s="227"/>
      <c r="CB175" s="227"/>
      <c r="CC175" s="182"/>
      <c r="CD175" s="179"/>
      <c r="CE175" s="227"/>
      <c r="CF175" s="227"/>
      <c r="CG175" s="227"/>
      <c r="CH175" s="182"/>
      <c r="CI175" s="179"/>
      <c r="CJ175" s="227"/>
      <c r="CK175" s="227"/>
      <c r="CL175" s="227"/>
      <c r="CM175" s="182"/>
      <c r="CN175" s="179"/>
      <c r="CO175" s="227"/>
      <c r="CP175" s="227"/>
      <c r="CQ175" s="227"/>
      <c r="CR175" s="182"/>
      <c r="CS175" s="179"/>
      <c r="CT175" s="227"/>
      <c r="CU175" s="227"/>
      <c r="CV175" s="227"/>
      <c r="CW175" s="690"/>
      <c r="CX175" s="749"/>
      <c r="CY175" s="227"/>
      <c r="CZ175" s="227"/>
      <c r="DA175" s="227"/>
      <c r="DB175" s="870"/>
      <c r="DC175" s="179"/>
      <c r="DD175" s="227"/>
      <c r="DE175" s="227"/>
      <c r="DF175" s="227"/>
      <c r="DG175" s="182"/>
      <c r="DH175" s="179"/>
      <c r="DI175" s="227"/>
      <c r="DJ175" s="227"/>
      <c r="DK175" s="227"/>
      <c r="DL175" s="227"/>
      <c r="DM175" s="179"/>
      <c r="DN175" s="227"/>
      <c r="DO175" s="227"/>
      <c r="DP175" s="227"/>
      <c r="DQ175" s="227"/>
      <c r="DR175" s="179"/>
      <c r="DS175" s="227"/>
      <c r="DT175" s="227"/>
      <c r="DU175" s="227"/>
      <c r="DV175" s="227"/>
      <c r="DW175" s="179"/>
      <c r="DX175" s="227"/>
      <c r="DY175" s="227"/>
      <c r="DZ175" s="227"/>
      <c r="EA175" s="227"/>
      <c r="EB175" s="179"/>
      <c r="ED175" s="418"/>
      <c r="EK175" s="418"/>
    </row>
    <row r="176" spans="1:141" hidden="1" outlineLevel="1" x14ac:dyDescent="0.2">
      <c r="A176" s="1" t="s">
        <v>2</v>
      </c>
      <c r="B176" s="179"/>
      <c r="C176" s="175"/>
      <c r="D176" s="175"/>
      <c r="E176" s="175"/>
      <c r="F176" s="175"/>
      <c r="G176" s="170"/>
      <c r="H176" s="157"/>
      <c r="I176" s="157"/>
      <c r="J176" s="157"/>
      <c r="K176" s="175"/>
      <c r="L176" s="170"/>
      <c r="M176" s="157"/>
      <c r="N176" s="157"/>
      <c r="O176" s="157"/>
      <c r="P176" s="175"/>
      <c r="Q176" s="170"/>
      <c r="R176" s="157"/>
      <c r="S176" s="157"/>
      <c r="T176" s="157"/>
      <c r="U176" s="175"/>
      <c r="V176" s="170"/>
      <c r="W176" s="175"/>
      <c r="X176" s="175"/>
      <c r="Y176" s="175"/>
      <c r="Z176" s="175"/>
      <c r="AA176" s="170"/>
      <c r="AB176" s="157"/>
      <c r="AC176" s="157"/>
      <c r="AD176" s="157"/>
      <c r="AE176" s="175"/>
      <c r="AF176" s="170"/>
      <c r="AG176" s="157"/>
      <c r="AH176" s="157"/>
      <c r="AI176" s="157"/>
      <c r="AJ176" s="175"/>
      <c r="AK176" s="170"/>
      <c r="AL176" s="157"/>
      <c r="AM176" s="157"/>
      <c r="AN176" s="157"/>
      <c r="AO176" s="175"/>
      <c r="AP176" s="170"/>
      <c r="AQ176" s="157"/>
      <c r="AR176" s="157"/>
      <c r="AS176" s="157"/>
      <c r="AT176" s="175"/>
      <c r="AU176" s="170"/>
      <c r="AV176" s="157"/>
      <c r="AW176" s="157"/>
      <c r="AX176" s="157"/>
      <c r="AY176" s="175"/>
      <c r="AZ176" s="170"/>
      <c r="BA176" s="157"/>
      <c r="BB176" s="157"/>
      <c r="BC176" s="157"/>
      <c r="BD176" s="175"/>
      <c r="BE176" s="170"/>
      <c r="BF176" s="157"/>
      <c r="BG176" s="157"/>
      <c r="BH176" s="157"/>
      <c r="BI176" s="175"/>
      <c r="BJ176" s="170"/>
      <c r="BK176" s="157"/>
      <c r="BL176" s="157"/>
      <c r="BM176" s="157"/>
      <c r="BN176" s="175"/>
      <c r="BO176" s="170"/>
      <c r="BP176" s="157"/>
      <c r="BQ176" s="157"/>
      <c r="BR176" s="157"/>
      <c r="BS176" s="175"/>
      <c r="BT176" s="61">
        <v>0.22447466007416592</v>
      </c>
      <c r="BU176" s="65"/>
      <c r="BV176" s="65"/>
      <c r="BW176" s="65"/>
      <c r="BX176" s="238"/>
      <c r="BY176" s="61">
        <v>0.29317257970854183</v>
      </c>
      <c r="BZ176" s="157"/>
      <c r="CA176" s="157"/>
      <c r="CB176" s="157"/>
      <c r="CC176" s="175"/>
      <c r="CD176" s="170"/>
      <c r="CE176" s="157"/>
      <c r="CF176" s="157"/>
      <c r="CG176" s="157"/>
      <c r="CH176" s="175"/>
      <c r="CI176" s="170"/>
      <c r="CJ176" s="157"/>
      <c r="CK176" s="157"/>
      <c r="CL176" s="157"/>
      <c r="CM176" s="175"/>
      <c r="CN176" s="170"/>
      <c r="CO176" s="157"/>
      <c r="CP176" s="157"/>
      <c r="CQ176" s="157"/>
      <c r="CR176" s="175"/>
      <c r="CS176" s="170"/>
      <c r="CT176" s="157"/>
      <c r="CU176" s="157"/>
      <c r="CV176" s="157"/>
      <c r="CW176" s="678"/>
      <c r="CX176" s="742"/>
      <c r="CY176" s="157"/>
      <c r="CZ176" s="157"/>
      <c r="DA176" s="157"/>
      <c r="DB176" s="861"/>
      <c r="DC176" s="170"/>
      <c r="DD176" s="157"/>
      <c r="DE176" s="157"/>
      <c r="DF176" s="157"/>
      <c r="DG176" s="175"/>
      <c r="DH176" s="170"/>
      <c r="DI176" s="157"/>
      <c r="DJ176" s="157"/>
      <c r="DK176" s="157"/>
      <c r="DL176" s="157"/>
      <c r="DM176" s="170"/>
      <c r="DN176" s="157"/>
      <c r="DO176" s="157"/>
      <c r="DP176" s="157"/>
      <c r="DQ176" s="157"/>
      <c r="DR176" s="170"/>
      <c r="DS176" s="157"/>
      <c r="DT176" s="157"/>
      <c r="DU176" s="157"/>
      <c r="DV176" s="157"/>
      <c r="DW176" s="170"/>
      <c r="DX176" s="157"/>
      <c r="DY176" s="157"/>
      <c r="DZ176" s="157"/>
      <c r="EA176" s="157"/>
      <c r="EB176" s="170"/>
      <c r="ED176" s="418"/>
      <c r="EK176" s="418"/>
    </row>
    <row r="177" spans="1:141" hidden="1" outlineLevel="1" x14ac:dyDescent="0.2">
      <c r="A177" s="1" t="s">
        <v>1</v>
      </c>
      <c r="B177" s="179"/>
      <c r="C177" s="175"/>
      <c r="D177" s="175"/>
      <c r="E177" s="175"/>
      <c r="F177" s="175"/>
      <c r="G177" s="170"/>
      <c r="H177" s="157"/>
      <c r="I177" s="157"/>
      <c r="J177" s="157"/>
      <c r="K177" s="175"/>
      <c r="L177" s="170"/>
      <c r="M177" s="157"/>
      <c r="N177" s="157"/>
      <c r="O177" s="157"/>
      <c r="P177" s="175"/>
      <c r="Q177" s="170"/>
      <c r="R177" s="157"/>
      <c r="S177" s="157"/>
      <c r="T177" s="157"/>
      <c r="U177" s="175"/>
      <c r="V177" s="170"/>
      <c r="W177" s="175"/>
      <c r="X177" s="175"/>
      <c r="Y177" s="175"/>
      <c r="Z177" s="175"/>
      <c r="AA177" s="170"/>
      <c r="AB177" s="157"/>
      <c r="AC177" s="157"/>
      <c r="AD177" s="157"/>
      <c r="AE177" s="175"/>
      <c r="AF177" s="170"/>
      <c r="AG177" s="157"/>
      <c r="AH177" s="157"/>
      <c r="AI177" s="157"/>
      <c r="AJ177" s="175"/>
      <c r="AK177" s="170"/>
      <c r="AL177" s="157"/>
      <c r="AM177" s="157"/>
      <c r="AN177" s="157"/>
      <c r="AO177" s="175"/>
      <c r="AP177" s="170"/>
      <c r="AQ177" s="157"/>
      <c r="AR177" s="157"/>
      <c r="AS177" s="157"/>
      <c r="AT177" s="175"/>
      <c r="AU177" s="170"/>
      <c r="AV177" s="157"/>
      <c r="AW177" s="157"/>
      <c r="AX177" s="157"/>
      <c r="AY177" s="175"/>
      <c r="AZ177" s="170"/>
      <c r="BA177" s="157"/>
      <c r="BB177" s="157"/>
      <c r="BC177" s="157"/>
      <c r="BD177" s="176"/>
      <c r="BE177" s="170"/>
      <c r="BF177" s="157"/>
      <c r="BG177" s="157"/>
      <c r="BH177" s="157"/>
      <c r="BI177" s="175"/>
      <c r="BJ177" s="170"/>
      <c r="BK177" s="157"/>
      <c r="BL177" s="157"/>
      <c r="BM177" s="157"/>
      <c r="BN177" s="175"/>
      <c r="BO177" s="170"/>
      <c r="BP177" s="157"/>
      <c r="BQ177" s="157"/>
      <c r="BR177" s="157"/>
      <c r="BS177" s="175"/>
      <c r="BT177" s="61">
        <v>0.10800615476249548</v>
      </c>
      <c r="BU177" s="65"/>
      <c r="BV177" s="65"/>
      <c r="BW177" s="65"/>
      <c r="BX177" s="238"/>
      <c r="BY177" s="61">
        <v>8.5528470500163892E-2</v>
      </c>
      <c r="BZ177" s="157"/>
      <c r="CA177" s="157"/>
      <c r="CB177" s="157"/>
      <c r="CC177" s="175"/>
      <c r="CD177" s="170"/>
      <c r="CE177" s="157"/>
      <c r="CF177" s="157"/>
      <c r="CG177" s="157"/>
      <c r="CH177" s="175"/>
      <c r="CI177" s="170"/>
      <c r="CJ177" s="157"/>
      <c r="CK177" s="157"/>
      <c r="CL177" s="157"/>
      <c r="CM177" s="175"/>
      <c r="CN177" s="170"/>
      <c r="CO177" s="157"/>
      <c r="CP177" s="157"/>
      <c r="CQ177" s="157"/>
      <c r="CR177" s="175"/>
      <c r="CS177" s="170"/>
      <c r="CT177" s="157"/>
      <c r="CU177" s="157"/>
      <c r="CV177" s="157"/>
      <c r="CW177" s="678"/>
      <c r="CX177" s="742"/>
      <c r="CY177" s="157"/>
      <c r="CZ177" s="157"/>
      <c r="DA177" s="157"/>
      <c r="DB177" s="861"/>
      <c r="DC177" s="170"/>
      <c r="DD177" s="157"/>
      <c r="DE177" s="157"/>
      <c r="DF177" s="157"/>
      <c r="DG177" s="175"/>
      <c r="DH177" s="170"/>
      <c r="DI177" s="157"/>
      <c r="DJ177" s="157"/>
      <c r="DK177" s="157"/>
      <c r="DL177" s="157"/>
      <c r="DM177" s="170"/>
      <c r="DN177" s="157"/>
      <c r="DO177" s="157"/>
      <c r="DP177" s="157"/>
      <c r="DQ177" s="157"/>
      <c r="DR177" s="170"/>
      <c r="DS177" s="157"/>
      <c r="DT177" s="157"/>
      <c r="DU177" s="157"/>
      <c r="DV177" s="157"/>
      <c r="DW177" s="170"/>
      <c r="DX177" s="157"/>
      <c r="DY177" s="157"/>
      <c r="DZ177" s="157"/>
      <c r="EA177" s="157"/>
      <c r="EB177" s="170"/>
      <c r="ED177" s="418"/>
      <c r="EK177" s="418"/>
    </row>
    <row r="178" spans="1:141" hidden="1" outlineLevel="1" x14ac:dyDescent="0.2">
      <c r="A178" s="1" t="s">
        <v>87</v>
      </c>
      <c r="B178" s="179"/>
      <c r="C178" s="175"/>
      <c r="D178" s="175"/>
      <c r="E178" s="175"/>
      <c r="F178" s="175"/>
      <c r="G178" s="170"/>
      <c r="H178" s="157"/>
      <c r="I178" s="157"/>
      <c r="J178" s="157"/>
      <c r="K178" s="175"/>
      <c r="L178" s="170"/>
      <c r="M178" s="157"/>
      <c r="N178" s="157"/>
      <c r="O178" s="157"/>
      <c r="P178" s="175"/>
      <c r="Q178" s="170"/>
      <c r="R178" s="157"/>
      <c r="S178" s="157"/>
      <c r="T178" s="157"/>
      <c r="U178" s="175"/>
      <c r="V178" s="170"/>
      <c r="W178" s="175"/>
      <c r="X178" s="175"/>
      <c r="Y178" s="175"/>
      <c r="Z178" s="175"/>
      <c r="AA178" s="170"/>
      <c r="AB178" s="157"/>
      <c r="AC178" s="157"/>
      <c r="AD178" s="157"/>
      <c r="AE178" s="175"/>
      <c r="AF178" s="170"/>
      <c r="AG178" s="157"/>
      <c r="AH178" s="157"/>
      <c r="AI178" s="157"/>
      <c r="AJ178" s="175"/>
      <c r="AK178" s="170"/>
      <c r="AL178" s="157"/>
      <c r="AM178" s="157"/>
      <c r="AN178" s="157"/>
      <c r="AO178" s="175"/>
      <c r="AP178" s="170"/>
      <c r="AQ178" s="157"/>
      <c r="AR178" s="157"/>
      <c r="AS178" s="157"/>
      <c r="AT178" s="175"/>
      <c r="AU178" s="170"/>
      <c r="AV178" s="157"/>
      <c r="AW178" s="157"/>
      <c r="AX178" s="157"/>
      <c r="AY178" s="175"/>
      <c r="AZ178" s="170"/>
      <c r="BA178" s="157"/>
      <c r="BB178" s="157"/>
      <c r="BC178" s="157"/>
      <c r="BD178" s="176"/>
      <c r="BE178" s="170"/>
      <c r="BF178" s="157"/>
      <c r="BG178" s="157"/>
      <c r="BH178" s="157"/>
      <c r="BI178" s="175"/>
      <c r="BJ178" s="170"/>
      <c r="BK178" s="157"/>
      <c r="BL178" s="157"/>
      <c r="BM178" s="157"/>
      <c r="BN178" s="175"/>
      <c r="BO178" s="170"/>
      <c r="BP178" s="157"/>
      <c r="BQ178" s="157"/>
      <c r="BR178" s="157"/>
      <c r="BS178" s="175"/>
      <c r="BT178" s="61">
        <f>BT172</f>
        <v>3.0740318906605921</v>
      </c>
      <c r="BU178" s="65"/>
      <c r="BV178" s="65"/>
      <c r="BW178" s="65"/>
      <c r="BX178" s="238"/>
      <c r="BY178" s="61">
        <f>BY172</f>
        <v>3.0111880660628656</v>
      </c>
      <c r="BZ178" s="157"/>
      <c r="CA178" s="157"/>
      <c r="CB178" s="157"/>
      <c r="CC178" s="175"/>
      <c r="CD178" s="170"/>
      <c r="CE178" s="157"/>
      <c r="CF178" s="157"/>
      <c r="CG178" s="157"/>
      <c r="CH178" s="175"/>
      <c r="CI178" s="170"/>
      <c r="CJ178" s="157"/>
      <c r="CK178" s="157"/>
      <c r="CL178" s="157"/>
      <c r="CM178" s="175"/>
      <c r="CN178" s="170"/>
      <c r="CO178" s="157"/>
      <c r="CP178" s="157"/>
      <c r="CQ178" s="157"/>
      <c r="CR178" s="175"/>
      <c r="CS178" s="170"/>
      <c r="CT178" s="157"/>
      <c r="CU178" s="157"/>
      <c r="CV178" s="157"/>
      <c r="CW178" s="678"/>
      <c r="CX178" s="742"/>
      <c r="CY178" s="157"/>
      <c r="CZ178" s="157"/>
      <c r="DA178" s="157"/>
      <c r="DB178" s="861"/>
      <c r="DC178" s="170"/>
      <c r="DD178" s="157"/>
      <c r="DE178" s="157"/>
      <c r="DF178" s="157"/>
      <c r="DG178" s="175"/>
      <c r="DH178" s="170"/>
      <c r="DI178" s="157"/>
      <c r="DJ178" s="157"/>
      <c r="DK178" s="157"/>
      <c r="DL178" s="157"/>
      <c r="DM178" s="170"/>
      <c r="DN178" s="157"/>
      <c r="DO178" s="157"/>
      <c r="DP178" s="157"/>
      <c r="DQ178" s="157"/>
      <c r="DR178" s="170"/>
      <c r="DS178" s="157"/>
      <c r="DT178" s="157"/>
      <c r="DU178" s="157"/>
      <c r="DV178" s="157"/>
      <c r="DW178" s="170"/>
      <c r="DX178" s="157"/>
      <c r="DY178" s="157"/>
      <c r="DZ178" s="157"/>
      <c r="EA178" s="157"/>
      <c r="EB178" s="170"/>
      <c r="ED178" s="418"/>
      <c r="EK178" s="418"/>
    </row>
    <row r="179" spans="1:141" hidden="1" outlineLevel="1" x14ac:dyDescent="0.2">
      <c r="A179" s="2" t="s">
        <v>86</v>
      </c>
      <c r="B179" s="210"/>
      <c r="C179" s="211"/>
      <c r="D179" s="211"/>
      <c r="E179" s="211"/>
      <c r="F179" s="211"/>
      <c r="G179" s="212"/>
      <c r="H179" s="211"/>
      <c r="I179" s="211"/>
      <c r="J179" s="211"/>
      <c r="K179" s="211"/>
      <c r="L179" s="212"/>
      <c r="M179" s="211"/>
      <c r="N179" s="211"/>
      <c r="O179" s="211"/>
      <c r="P179" s="213"/>
      <c r="Q179" s="212"/>
      <c r="R179" s="211"/>
      <c r="S179" s="211"/>
      <c r="T179" s="211"/>
      <c r="U179" s="211"/>
      <c r="V179" s="212"/>
      <c r="W179" s="211"/>
      <c r="X179" s="211"/>
      <c r="Y179" s="211"/>
      <c r="Z179" s="211"/>
      <c r="AA179" s="212"/>
      <c r="AB179" s="211"/>
      <c r="AC179" s="211"/>
      <c r="AD179" s="211"/>
      <c r="AE179" s="211"/>
      <c r="AF179" s="212"/>
      <c r="AG179" s="211"/>
      <c r="AH179" s="211"/>
      <c r="AI179" s="211"/>
      <c r="AJ179" s="211"/>
      <c r="AK179" s="212"/>
      <c r="AL179" s="211"/>
      <c r="AM179" s="211"/>
      <c r="AN179" s="211"/>
      <c r="AO179" s="211"/>
      <c r="AP179" s="212"/>
      <c r="AQ179" s="211"/>
      <c r="AR179" s="211"/>
      <c r="AS179" s="211"/>
      <c r="AT179" s="211"/>
      <c r="AU179" s="212"/>
      <c r="AV179" s="211"/>
      <c r="AW179" s="211"/>
      <c r="AX179" s="211"/>
      <c r="AY179" s="211"/>
      <c r="AZ179" s="212"/>
      <c r="BA179" s="211"/>
      <c r="BB179" s="211"/>
      <c r="BC179" s="211"/>
      <c r="BD179" s="213"/>
      <c r="BE179" s="212"/>
      <c r="BF179" s="211"/>
      <c r="BG179" s="211"/>
      <c r="BH179" s="211"/>
      <c r="BI179" s="211"/>
      <c r="BJ179" s="212"/>
      <c r="BK179" s="211"/>
      <c r="BL179" s="211"/>
      <c r="BM179" s="211"/>
      <c r="BN179" s="211"/>
      <c r="BO179" s="212"/>
      <c r="BP179" s="211"/>
      <c r="BQ179" s="211"/>
      <c r="BR179" s="211"/>
      <c r="BS179" s="211"/>
      <c r="BT179" s="236">
        <v>-0.13749686271228981</v>
      </c>
      <c r="BU179" s="295"/>
      <c r="BV179" s="295"/>
      <c r="BW179" s="295"/>
      <c r="BX179" s="295"/>
      <c r="BY179" s="236">
        <v>-0.12855824117857612</v>
      </c>
      <c r="BZ179" s="211"/>
      <c r="CA179" s="211"/>
      <c r="CB179" s="211"/>
      <c r="CC179" s="211"/>
      <c r="CD179" s="212"/>
      <c r="CE179" s="211"/>
      <c r="CF179" s="211"/>
      <c r="CG179" s="211"/>
      <c r="CH179" s="211"/>
      <c r="CI179" s="212"/>
      <c r="CJ179" s="211"/>
      <c r="CK179" s="211"/>
      <c r="CL179" s="211"/>
      <c r="CM179" s="211"/>
      <c r="CN179" s="212"/>
      <c r="CO179" s="211"/>
      <c r="CP179" s="211"/>
      <c r="CQ179" s="211"/>
      <c r="CR179" s="211"/>
      <c r="CS179" s="212"/>
      <c r="CT179" s="211"/>
      <c r="CU179" s="211"/>
      <c r="CV179" s="211"/>
      <c r="CW179" s="701"/>
      <c r="CX179" s="760"/>
      <c r="CY179" s="211"/>
      <c r="CZ179" s="211"/>
      <c r="DA179" s="211"/>
      <c r="DB179" s="873"/>
      <c r="DC179" s="212"/>
      <c r="DD179" s="211"/>
      <c r="DE179" s="211"/>
      <c r="DF179" s="211"/>
      <c r="DG179" s="211"/>
      <c r="DH179" s="212"/>
      <c r="DI179" s="211"/>
      <c r="DJ179" s="211"/>
      <c r="DK179" s="211"/>
      <c r="DL179" s="211"/>
      <c r="DM179" s="212"/>
      <c r="DN179" s="211"/>
      <c r="DO179" s="211"/>
      <c r="DP179" s="211"/>
      <c r="DQ179" s="211"/>
      <c r="DR179" s="212"/>
      <c r="DS179" s="211"/>
      <c r="DT179" s="211"/>
      <c r="DU179" s="211"/>
      <c r="DV179" s="211"/>
      <c r="DW179" s="212"/>
      <c r="DX179" s="211"/>
      <c r="DY179" s="211"/>
      <c r="DZ179" s="211"/>
      <c r="EA179" s="211"/>
      <c r="EB179" s="212"/>
      <c r="ED179" s="418"/>
      <c r="EK179" s="418"/>
    </row>
    <row r="180" spans="1:141" collapsed="1" x14ac:dyDescent="0.2">
      <c r="K180" s="297"/>
      <c r="L180" s="297"/>
      <c r="M180" s="297"/>
      <c r="AT180" s="297"/>
      <c r="AU180" s="297"/>
      <c r="AV180" s="297"/>
      <c r="AW180" s="297"/>
      <c r="AX180" s="297"/>
      <c r="AY180" s="297"/>
      <c r="AZ180" s="297"/>
      <c r="BA180" s="297"/>
      <c r="CD180" s="297"/>
      <c r="CE180" s="297"/>
      <c r="CF180" s="297"/>
      <c r="CG180" s="297"/>
      <c r="CH180" s="297"/>
      <c r="CI180" s="297"/>
      <c r="CJ180" s="297"/>
      <c r="CR180" s="297"/>
      <c r="CS180" s="297"/>
      <c r="CT180" s="297"/>
      <c r="CU180" s="297"/>
      <c r="CV180" s="297"/>
      <c r="CW180" s="714"/>
      <c r="CX180" s="714"/>
      <c r="CY180" s="793"/>
      <c r="CZ180" s="793"/>
      <c r="DA180" s="793"/>
      <c r="DB180" s="896"/>
      <c r="DC180" s="793"/>
      <c r="DD180" s="297"/>
      <c r="ED180" s="418"/>
      <c r="EK180" s="418"/>
    </row>
  </sheetData>
  <phoneticPr fontId="3" type="noConversion"/>
  <pageMargins left="0" right="0" top="0" bottom="0" header="0" footer="0"/>
  <pageSetup paperSize="5" scale="34" orientation="landscape" r:id="rId1"/>
  <headerFooter alignWithMargins="0"/>
  <ignoredErrors>
    <ignoredError sqref="DH140:DM145 CN26 CD26:CM34 CN140:DC145 CN133 CE133:CJ133 CN27:CN34 CD55:CI55 DC56 DC45 CY35:DC36 CY55:DC55 CQ26:CQ29 CY44:DC44 CJ39 CT47:CT49 CQ57:CX57 CY57:DC57 DH36 DM30 CN55 CD140:CK145 CO26:CP34 CQ55 CR31:CR34 CQ38:CQ39 CQ41:CQ43 CQ47:CQ49 CR27:CR29 CT55:CT56 CR55 CR38:CR39 CR35:CR36 CR41:CR43 CR47:CR49 CS35:CS56 CV41:CX43 CT27:CT29 CT41:CT43 CS12:CS13 CS26:CS34 CX13 CV27:DC29 CU27:CU29 CU41:CU43 CU47:CU49 CU55 CX12 CW34:DC34 CX30 CW31:DC31 CW32:DC32 CW33:DC33 CW35:CX35 CW36:CX36 CX37 CW38:CX38 CX39 CX40 CV47:CX49 CW44:CX44 CX45 CX46 CV55:CX55 CX50 CX51 CX52 CW53:CX53 CX54 CX56 DC12 DC13 DC30 CY41:DC43 CZ39:DA39 CY38:CZ38 DC37 DC40 CY47:DC49 DC46 DA53:DC53 DC50 DC51 DC52 DC54 DC38 DC39 DE41:DJ43 DH37 DH38 DH39:DI39 DH40 DH35 DE47:DJ49 DH44 DH45 DH46 DE55:DJ55 DH50 DH51 DH52 DH53 DH54 DH56 DL35:DR35 DL36:DR36 DM37:DR37 DL38:DR38 DM40:DR40 DM44:DR44 DM45:DR45 DM46:DR46 DM50:DR50 DM51:DR51 DM52:DR52 DM53:DR53 DM54:DR54 DL56:DR56 DL39:DR39 DL41:DR43 DL47:DR49 DL55:DR55" formula="1"/>
    <ignoredError sqref="CD133" formula="1" formulaRange="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IV129"/>
  <sheetViews>
    <sheetView showGridLines="0" workbookViewId="0">
      <pane xSplit="1" ySplit="7" topLeftCell="B8" activePane="bottomRight" state="frozen"/>
      <selection pane="topRight"/>
      <selection pane="bottomLeft"/>
      <selection pane="bottomRight" activeCell="ED44" sqref="ED44"/>
    </sheetView>
  </sheetViews>
  <sheetFormatPr defaultColWidth="9.140625" defaultRowHeight="12.75" outlineLevelRow="1" outlineLevelCol="2" x14ac:dyDescent="0.2"/>
  <cols>
    <col min="1" max="1" width="43.7109375" customWidth="1"/>
    <col min="2" max="91" width="9" hidden="1" customWidth="1" outlineLevel="1"/>
    <col min="92" max="92" width="9" customWidth="1" collapsed="1"/>
    <col min="93" max="96" width="9" hidden="1" customWidth="1" outlineLevel="1"/>
    <col min="97" max="97" width="9" customWidth="1" collapsed="1"/>
    <col min="98" max="100" width="9" hidden="1" customWidth="1" outlineLevel="1"/>
    <col min="101" max="101" width="9" style="669" hidden="1" customWidth="1" outlineLevel="1"/>
    <col min="102" max="102" width="9" style="669" customWidth="1" collapsed="1"/>
    <col min="103" max="106" width="9" style="773" hidden="1" customWidth="1" outlineLevel="1"/>
    <col min="107" max="107" width="9" style="773" customWidth="1" collapsed="1"/>
    <col min="108" max="111" width="9" hidden="1" customWidth="1" outlineLevel="2"/>
    <col min="112" max="112" width="9" customWidth="1" collapsed="1"/>
    <col min="113" max="114" width="9" customWidth="1" outlineLevel="1"/>
    <col min="115" max="116" width="9" style="773" customWidth="1" outlineLevel="1"/>
    <col min="117" max="117" width="9" style="773" customWidth="1"/>
    <col min="118" max="121" width="9" customWidth="1" outlineLevel="2"/>
    <col min="122" max="122" width="9" customWidth="1" outlineLevel="1"/>
    <col min="123" max="126" width="9" hidden="1" customWidth="1" outlineLevel="2"/>
    <col min="127" max="127" width="9" customWidth="1" outlineLevel="1" collapsed="1"/>
    <col min="128" max="131" width="9" hidden="1" customWidth="1" outlineLevel="2"/>
    <col min="132" max="132" width="9" customWidth="1" outlineLevel="1" collapsed="1"/>
    <col min="133" max="134" width="9" customWidth="1"/>
    <col min="135" max="148" width="11" customWidth="1"/>
    <col min="149" max="158" width="9" customWidth="1"/>
    <col min="159" max="159" width="39.28515625" customWidth="1"/>
    <col min="160" max="164" width="11.140625" customWidth="1"/>
    <col min="165" max="165" width="9.140625" style="288"/>
    <col min="166" max="16384" width="9.140625" style="416"/>
  </cols>
  <sheetData>
    <row r="1" spans="1:256" s="1" customFormat="1" ht="42" customHeight="1" x14ac:dyDescent="0.2">
      <c r="CW1" s="657"/>
      <c r="CX1" s="657"/>
      <c r="FC1"/>
      <c r="FD1"/>
      <c r="FE1"/>
      <c r="FF1"/>
      <c r="FG1"/>
      <c r="FH1"/>
      <c r="FI1" s="288"/>
      <c r="FJ1" s="416"/>
      <c r="FK1" s="416"/>
      <c r="FL1" s="416"/>
      <c r="FM1" s="416"/>
      <c r="FN1" s="416"/>
      <c r="FO1" s="416"/>
      <c r="FP1" s="416"/>
      <c r="FQ1" s="416"/>
      <c r="FR1" s="416"/>
      <c r="FS1" s="416"/>
      <c r="FT1" s="416"/>
      <c r="FU1" s="416"/>
      <c r="FV1" s="416"/>
      <c r="FW1" s="416"/>
      <c r="FX1" s="416"/>
      <c r="FY1" s="416"/>
      <c r="FZ1" s="416"/>
      <c r="GA1" s="416"/>
      <c r="GB1" s="416"/>
      <c r="GC1" s="416"/>
      <c r="GD1" s="416"/>
      <c r="GE1" s="416"/>
      <c r="GF1" s="416"/>
      <c r="GG1" s="416"/>
      <c r="GH1" s="416"/>
      <c r="GI1" s="416"/>
      <c r="GJ1" s="416"/>
      <c r="GK1" s="416"/>
      <c r="GL1" s="416"/>
      <c r="GM1" s="416"/>
      <c r="GN1" s="416"/>
      <c r="GO1" s="416"/>
      <c r="GP1" s="416"/>
      <c r="GQ1" s="416"/>
      <c r="GR1" s="416"/>
      <c r="GS1" s="416"/>
      <c r="GT1" s="416"/>
      <c r="GU1" s="416"/>
      <c r="GV1" s="416"/>
      <c r="GW1" s="416"/>
      <c r="GX1" s="416"/>
      <c r="GY1" s="416"/>
      <c r="GZ1" s="416"/>
      <c r="HA1" s="416"/>
      <c r="HB1" s="416"/>
      <c r="HC1" s="416"/>
      <c r="HD1" s="416"/>
      <c r="HE1" s="416"/>
      <c r="HF1" s="416"/>
      <c r="HG1" s="416"/>
      <c r="HH1" s="416"/>
      <c r="HI1" s="416"/>
      <c r="HJ1" s="416"/>
      <c r="HK1" s="416"/>
      <c r="HL1" s="416"/>
      <c r="HM1" s="416"/>
      <c r="HN1" s="416"/>
      <c r="HO1" s="416"/>
      <c r="HP1" s="416"/>
      <c r="HQ1" s="416"/>
      <c r="HR1" s="416"/>
      <c r="HS1" s="416"/>
      <c r="HT1" s="416"/>
      <c r="HU1" s="416"/>
      <c r="HV1" s="416"/>
      <c r="HW1" s="416"/>
      <c r="HX1" s="416"/>
      <c r="HY1" s="416"/>
      <c r="HZ1" s="416"/>
      <c r="IA1" s="416"/>
      <c r="IB1" s="416"/>
      <c r="IC1" s="416"/>
      <c r="ID1" s="416"/>
      <c r="IE1" s="416"/>
      <c r="IF1" s="416"/>
      <c r="IG1" s="416"/>
      <c r="IH1" s="416"/>
      <c r="II1" s="416"/>
      <c r="IJ1" s="416"/>
      <c r="IK1" s="416"/>
      <c r="IL1" s="416"/>
      <c r="IM1" s="416"/>
      <c r="IN1" s="416"/>
      <c r="IO1" s="416"/>
      <c r="IP1" s="416"/>
      <c r="IQ1" s="416"/>
      <c r="IR1" s="416"/>
      <c r="IS1" s="416"/>
      <c r="IT1" s="416"/>
      <c r="IU1" s="416"/>
      <c r="IV1" s="416"/>
    </row>
    <row r="2" spans="1:256" s="1" customFormat="1" x14ac:dyDescent="0.2">
      <c r="A2" s="1" t="s">
        <v>247</v>
      </c>
      <c r="CW2" s="657"/>
      <c r="CX2" s="657"/>
      <c r="DE2" s="104"/>
      <c r="DF2" s="104"/>
      <c r="FC2"/>
      <c r="FD2"/>
      <c r="FE2"/>
      <c r="FF2"/>
      <c r="FG2"/>
      <c r="FH2"/>
      <c r="FI2" s="288"/>
      <c r="FJ2" s="416"/>
      <c r="FK2" s="416"/>
      <c r="FL2" s="416"/>
      <c r="FM2" s="416"/>
      <c r="FN2" s="416"/>
      <c r="FO2" s="416"/>
      <c r="FP2" s="416"/>
      <c r="FQ2" s="416"/>
      <c r="FR2" s="416"/>
      <c r="FS2" s="416"/>
      <c r="FT2" s="416"/>
      <c r="FU2" s="416"/>
      <c r="FV2" s="416"/>
      <c r="FW2" s="416"/>
      <c r="FX2" s="416"/>
      <c r="FY2" s="416"/>
      <c r="FZ2" s="416"/>
      <c r="GA2" s="416"/>
      <c r="GB2" s="416"/>
      <c r="GC2" s="416"/>
      <c r="GD2" s="416"/>
      <c r="GE2" s="416"/>
      <c r="GF2" s="416"/>
      <c r="GG2" s="416"/>
      <c r="GH2" s="416"/>
      <c r="GI2" s="416"/>
      <c r="GJ2" s="416"/>
      <c r="GK2" s="416"/>
      <c r="GL2" s="416"/>
      <c r="GM2" s="416"/>
      <c r="GN2" s="416"/>
      <c r="GO2" s="416"/>
      <c r="GP2" s="416"/>
      <c r="GQ2" s="416"/>
      <c r="GR2" s="416"/>
      <c r="GS2" s="416"/>
      <c r="GT2" s="416"/>
      <c r="GU2" s="416"/>
      <c r="GV2" s="416"/>
      <c r="GW2" s="416"/>
      <c r="GX2" s="416"/>
      <c r="GY2" s="416"/>
      <c r="GZ2" s="416"/>
      <c r="HA2" s="416"/>
      <c r="HB2" s="416"/>
      <c r="HC2" s="416"/>
      <c r="HD2" s="416"/>
      <c r="HE2" s="416"/>
      <c r="HF2" s="416"/>
      <c r="HG2" s="416"/>
      <c r="HH2" s="416"/>
      <c r="HI2" s="416"/>
      <c r="HJ2" s="416"/>
      <c r="HK2" s="416"/>
      <c r="HL2" s="416"/>
      <c r="HM2" s="416"/>
      <c r="HN2" s="416"/>
      <c r="HO2" s="416"/>
      <c r="HP2" s="416"/>
      <c r="HQ2" s="416"/>
      <c r="HR2" s="416"/>
      <c r="HS2" s="416"/>
      <c r="HT2" s="416"/>
      <c r="HU2" s="416"/>
      <c r="HV2" s="416"/>
      <c r="HW2" s="416"/>
      <c r="HX2" s="416"/>
      <c r="HY2" s="416"/>
      <c r="HZ2" s="416"/>
      <c r="IA2" s="416"/>
      <c r="IB2" s="416"/>
      <c r="IC2" s="416"/>
      <c r="ID2" s="416"/>
      <c r="IE2" s="416"/>
      <c r="IF2" s="416"/>
      <c r="IG2" s="416"/>
      <c r="IH2" s="416"/>
      <c r="II2" s="416"/>
      <c r="IJ2" s="416"/>
      <c r="IK2" s="416"/>
      <c r="IL2" s="416"/>
      <c r="IM2" s="416"/>
      <c r="IN2" s="416"/>
      <c r="IO2" s="416"/>
      <c r="IP2" s="416"/>
      <c r="IQ2" s="416"/>
      <c r="IR2" s="416"/>
      <c r="IS2" s="416"/>
      <c r="IT2" s="416"/>
      <c r="IU2" s="416"/>
      <c r="IV2" s="416"/>
    </row>
    <row r="3" spans="1:256" s="1" customFormat="1" x14ac:dyDescent="0.2">
      <c r="A3" s="1" t="s">
        <v>655</v>
      </c>
      <c r="CW3" s="657"/>
      <c r="CX3" s="657"/>
      <c r="FC3"/>
      <c r="FD3"/>
      <c r="FE3"/>
      <c r="FF3"/>
      <c r="FG3"/>
      <c r="FH3"/>
      <c r="FI3" s="288"/>
      <c r="FJ3" s="416"/>
      <c r="FK3" s="416"/>
      <c r="FL3" s="416"/>
      <c r="FM3" s="416"/>
      <c r="FN3" s="416"/>
      <c r="FO3" s="416"/>
      <c r="FP3" s="416"/>
      <c r="FQ3" s="416"/>
      <c r="FR3" s="416"/>
      <c r="FS3" s="416"/>
      <c r="FT3" s="416"/>
      <c r="FU3" s="416"/>
      <c r="FV3" s="416"/>
      <c r="FW3" s="416"/>
      <c r="FX3" s="416"/>
      <c r="FY3" s="416"/>
      <c r="FZ3" s="416"/>
      <c r="GA3" s="416"/>
      <c r="GB3" s="416"/>
      <c r="GC3" s="416"/>
      <c r="GD3" s="416"/>
      <c r="GE3" s="416"/>
      <c r="GF3" s="416"/>
      <c r="GG3" s="416"/>
      <c r="GH3" s="416"/>
      <c r="GI3" s="416"/>
      <c r="GJ3" s="416"/>
      <c r="GK3" s="416"/>
      <c r="GL3" s="416"/>
      <c r="GM3" s="416"/>
      <c r="GN3" s="416"/>
      <c r="GO3" s="416"/>
      <c r="GP3" s="416"/>
      <c r="GQ3" s="416"/>
      <c r="GR3" s="416"/>
      <c r="GS3" s="416"/>
      <c r="GT3" s="416"/>
      <c r="GU3" s="416"/>
      <c r="GV3" s="416"/>
      <c r="GW3" s="416"/>
      <c r="GX3" s="416"/>
      <c r="GY3" s="416"/>
      <c r="GZ3" s="416"/>
      <c r="HA3" s="416"/>
      <c r="HB3" s="416"/>
      <c r="HC3" s="416"/>
      <c r="HD3" s="416"/>
      <c r="HE3" s="416"/>
      <c r="HF3" s="416"/>
      <c r="HG3" s="416"/>
      <c r="HH3" s="416"/>
      <c r="HI3" s="416"/>
      <c r="HJ3" s="416"/>
      <c r="HK3" s="416"/>
      <c r="HL3" s="416"/>
      <c r="HM3" s="416"/>
      <c r="HN3" s="416"/>
      <c r="HO3" s="416"/>
      <c r="HP3" s="416"/>
      <c r="HQ3" s="416"/>
      <c r="HR3" s="416"/>
      <c r="HS3" s="416"/>
      <c r="HT3" s="416"/>
      <c r="HU3" s="416"/>
      <c r="HV3" s="416"/>
      <c r="HW3" s="416"/>
      <c r="HX3" s="416"/>
      <c r="HY3" s="416"/>
      <c r="HZ3" s="416"/>
      <c r="IA3" s="416"/>
      <c r="IB3" s="416"/>
      <c r="IC3" s="416"/>
      <c r="ID3" s="416"/>
      <c r="IE3" s="416"/>
      <c r="IF3" s="416"/>
      <c r="IG3" s="416"/>
      <c r="IH3" s="416"/>
      <c r="II3" s="416"/>
      <c r="IJ3" s="416"/>
      <c r="IK3" s="416"/>
      <c r="IL3" s="416"/>
      <c r="IM3" s="416"/>
      <c r="IN3" s="416"/>
      <c r="IO3" s="416"/>
      <c r="IP3" s="416"/>
      <c r="IQ3" s="416"/>
      <c r="IR3" s="416"/>
      <c r="IS3" s="416"/>
      <c r="IT3" s="416"/>
      <c r="IU3" s="416"/>
      <c r="IV3" s="416"/>
    </row>
    <row r="4" spans="1:256" customFormat="1" hidden="1" outlineLevel="1" x14ac:dyDescent="0.2"/>
    <row r="5" spans="1:256" s="1" customFormat="1" ht="15.75" customHeight="1" collapsed="1" x14ac:dyDescent="0.25">
      <c r="A5" s="89" t="s">
        <v>211</v>
      </c>
      <c r="B5" s="10" t="s">
        <v>210</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729"/>
      <c r="CX5" s="729"/>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1"/>
      <c r="FC5"/>
      <c r="FD5"/>
      <c r="FE5"/>
      <c r="FF5"/>
      <c r="FG5"/>
      <c r="FH5"/>
      <c r="FI5" s="288"/>
      <c r="FJ5" s="416"/>
      <c r="FK5" s="416"/>
      <c r="FL5" s="416"/>
      <c r="FM5" s="416"/>
      <c r="FN5" s="416"/>
      <c r="FO5" s="416"/>
      <c r="FP5" s="416"/>
      <c r="FQ5" s="416"/>
      <c r="FR5" s="416"/>
      <c r="FS5" s="416"/>
      <c r="FT5" s="416"/>
      <c r="FU5" s="416"/>
      <c r="FV5" s="416"/>
      <c r="FW5" s="416"/>
      <c r="FX5" s="416"/>
      <c r="FY5" s="416"/>
      <c r="FZ5" s="416"/>
      <c r="GA5" s="416"/>
      <c r="GB5" s="416"/>
      <c r="GC5" s="416"/>
      <c r="GD5" s="416"/>
      <c r="GE5" s="416"/>
      <c r="GF5" s="416"/>
      <c r="GG5" s="416"/>
      <c r="GH5" s="416"/>
      <c r="GI5" s="416"/>
      <c r="GJ5" s="416"/>
      <c r="GK5" s="416"/>
      <c r="GL5" s="416"/>
      <c r="GM5" s="416"/>
      <c r="GN5" s="416"/>
      <c r="GO5" s="416"/>
      <c r="GP5" s="416"/>
      <c r="GQ5" s="416"/>
      <c r="GR5" s="416"/>
      <c r="GS5" s="416"/>
      <c r="GT5" s="416"/>
      <c r="GU5" s="416"/>
      <c r="GV5" s="416"/>
      <c r="GW5" s="416"/>
      <c r="GX5" s="416"/>
      <c r="GY5" s="416"/>
      <c r="GZ5" s="416"/>
      <c r="HA5" s="416"/>
      <c r="HB5" s="416"/>
      <c r="HC5" s="416"/>
      <c r="HD5" s="416"/>
      <c r="HE5" s="416"/>
      <c r="HF5" s="416"/>
      <c r="HG5" s="416"/>
      <c r="HH5" s="416"/>
      <c r="HI5" s="416"/>
      <c r="HJ5" s="416"/>
      <c r="HK5" s="416"/>
      <c r="HL5" s="416"/>
      <c r="HM5" s="416"/>
      <c r="HN5" s="416"/>
      <c r="HO5" s="416"/>
      <c r="HP5" s="416"/>
      <c r="HQ5" s="416"/>
      <c r="HR5" s="416"/>
      <c r="HS5" s="416"/>
      <c r="HT5" s="416"/>
      <c r="HU5" s="416"/>
      <c r="HV5" s="416"/>
      <c r="HW5" s="416"/>
      <c r="HX5" s="416"/>
      <c r="HY5" s="416"/>
      <c r="HZ5" s="416"/>
      <c r="IA5" s="416"/>
      <c r="IB5" s="416"/>
      <c r="IC5" s="416"/>
      <c r="ID5" s="416"/>
      <c r="IE5" s="416"/>
      <c r="IF5" s="416"/>
      <c r="IG5" s="416"/>
      <c r="IH5" s="416"/>
      <c r="II5" s="416"/>
      <c r="IJ5" s="416"/>
      <c r="IK5" s="416"/>
      <c r="IL5" s="416"/>
      <c r="IM5" s="416"/>
      <c r="IN5" s="416"/>
      <c r="IO5" s="416"/>
      <c r="IP5" s="416"/>
      <c r="IQ5" s="416"/>
      <c r="IR5" s="416"/>
      <c r="IS5" s="416"/>
      <c r="IT5" s="416"/>
      <c r="IU5" s="416"/>
      <c r="IV5" s="416"/>
    </row>
    <row r="6" spans="1:256" s="1" customFormat="1" x14ac:dyDescent="0.2">
      <c r="CW6" s="657"/>
      <c r="CX6" s="657"/>
      <c r="FC6"/>
      <c r="FD6"/>
      <c r="FE6"/>
      <c r="FF6"/>
      <c r="FG6"/>
      <c r="FH6"/>
      <c r="FI6" s="288"/>
      <c r="FJ6" s="416"/>
      <c r="FK6" s="416"/>
      <c r="FL6" s="416"/>
      <c r="FM6" s="416"/>
      <c r="FN6" s="416"/>
      <c r="FO6" s="416"/>
      <c r="FP6" s="416"/>
      <c r="FQ6" s="416"/>
      <c r="FR6" s="416"/>
      <c r="FS6" s="416"/>
      <c r="FT6" s="416"/>
      <c r="FU6" s="416"/>
      <c r="FV6" s="416"/>
      <c r="FW6" s="416"/>
      <c r="FX6" s="416"/>
      <c r="FY6" s="416"/>
      <c r="FZ6" s="416"/>
      <c r="GA6" s="416"/>
      <c r="GB6" s="416"/>
      <c r="GC6" s="416"/>
      <c r="GD6" s="416"/>
      <c r="GE6" s="416"/>
      <c r="GF6" s="416"/>
      <c r="GG6" s="416"/>
      <c r="GH6" s="416"/>
      <c r="GI6" s="416"/>
      <c r="GJ6" s="416"/>
      <c r="GK6" s="416"/>
      <c r="GL6" s="416"/>
      <c r="GM6" s="416"/>
      <c r="GN6" s="416"/>
      <c r="GO6" s="416"/>
      <c r="GP6" s="416"/>
      <c r="GQ6" s="416"/>
      <c r="GR6" s="416"/>
      <c r="GS6" s="416"/>
      <c r="GT6" s="416"/>
      <c r="GU6" s="416"/>
      <c r="GV6" s="416"/>
      <c r="GW6" s="416"/>
      <c r="GX6" s="416"/>
      <c r="GY6" s="416"/>
      <c r="GZ6" s="416"/>
      <c r="HA6" s="416"/>
      <c r="HB6" s="416"/>
      <c r="HC6" s="416"/>
      <c r="HD6" s="416"/>
      <c r="HE6" s="416"/>
      <c r="HF6" s="416"/>
      <c r="HG6" s="416"/>
      <c r="HH6" s="416"/>
      <c r="HI6" s="416"/>
      <c r="HJ6" s="416"/>
      <c r="HK6" s="416"/>
      <c r="HL6" s="416"/>
      <c r="HM6" s="416"/>
      <c r="HN6" s="416"/>
      <c r="HO6" s="416"/>
      <c r="HP6" s="416"/>
      <c r="HQ6" s="416"/>
      <c r="HR6" s="416"/>
      <c r="HS6" s="416"/>
      <c r="HT6" s="416"/>
      <c r="HU6" s="416"/>
      <c r="HV6" s="416"/>
      <c r="HW6" s="416"/>
      <c r="HX6" s="416"/>
      <c r="HY6" s="416"/>
      <c r="HZ6" s="416"/>
      <c r="IA6" s="416"/>
      <c r="IB6" s="416"/>
      <c r="IC6" s="416"/>
      <c r="ID6" s="416"/>
      <c r="IE6" s="416"/>
      <c r="IF6" s="416"/>
      <c r="IG6" s="416"/>
      <c r="IH6" s="416"/>
      <c r="II6" s="416"/>
      <c r="IJ6" s="416"/>
      <c r="IK6" s="416"/>
      <c r="IL6" s="416"/>
      <c r="IM6" s="416"/>
      <c r="IN6" s="416"/>
      <c r="IO6" s="416"/>
      <c r="IP6" s="416"/>
      <c r="IQ6" s="416"/>
      <c r="IR6" s="416"/>
      <c r="IS6" s="416"/>
      <c r="IT6" s="416"/>
      <c r="IU6" s="416"/>
      <c r="IV6" s="416"/>
    </row>
    <row r="7" spans="1:256" s="16" customFormat="1" x14ac:dyDescent="0.2">
      <c r="A7" s="33" t="s">
        <v>209</v>
      </c>
      <c r="B7" s="133" t="s">
        <v>208</v>
      </c>
      <c r="C7" s="134" t="s">
        <v>207</v>
      </c>
      <c r="D7" s="134" t="s">
        <v>206</v>
      </c>
      <c r="E7" s="135" t="s">
        <v>205</v>
      </c>
      <c r="F7" s="134" t="s">
        <v>204</v>
      </c>
      <c r="G7" s="133" t="s">
        <v>203</v>
      </c>
      <c r="H7" s="134" t="s">
        <v>202</v>
      </c>
      <c r="I7" s="134" t="s">
        <v>201</v>
      </c>
      <c r="J7" s="135" t="s">
        <v>200</v>
      </c>
      <c r="K7" s="134" t="s">
        <v>199</v>
      </c>
      <c r="L7" s="133" t="s">
        <v>427</v>
      </c>
      <c r="M7" s="134" t="s">
        <v>426</v>
      </c>
      <c r="N7" s="134" t="s">
        <v>425</v>
      </c>
      <c r="O7" s="135" t="s">
        <v>424</v>
      </c>
      <c r="P7" s="134" t="s">
        <v>423</v>
      </c>
      <c r="Q7" s="133" t="s">
        <v>422</v>
      </c>
      <c r="R7" s="134" t="s">
        <v>421</v>
      </c>
      <c r="S7" s="134" t="s">
        <v>420</v>
      </c>
      <c r="T7" s="135" t="s">
        <v>419</v>
      </c>
      <c r="U7" s="134" t="s">
        <v>418</v>
      </c>
      <c r="V7" s="133" t="s">
        <v>417</v>
      </c>
      <c r="W7" s="134" t="s">
        <v>416</v>
      </c>
      <c r="X7" s="134" t="s">
        <v>415</v>
      </c>
      <c r="Y7" s="135" t="s">
        <v>414</v>
      </c>
      <c r="Z7" s="134" t="s">
        <v>413</v>
      </c>
      <c r="AA7" s="133" t="s">
        <v>412</v>
      </c>
      <c r="AB7" s="134" t="s">
        <v>411</v>
      </c>
      <c r="AC7" s="134" t="s">
        <v>410</v>
      </c>
      <c r="AD7" s="135" t="s">
        <v>409</v>
      </c>
      <c r="AE7" s="134" t="s">
        <v>408</v>
      </c>
      <c r="AF7" s="133" t="s">
        <v>260</v>
      </c>
      <c r="AG7" s="134" t="s">
        <v>261</v>
      </c>
      <c r="AH7" s="134" t="s">
        <v>262</v>
      </c>
      <c r="AI7" s="135" t="s">
        <v>264</v>
      </c>
      <c r="AJ7" s="134" t="s">
        <v>263</v>
      </c>
      <c r="AK7" s="133" t="s">
        <v>407</v>
      </c>
      <c r="AL7" s="134" t="s">
        <v>266</v>
      </c>
      <c r="AM7" s="134" t="s">
        <v>267</v>
      </c>
      <c r="AN7" s="135" t="s">
        <v>268</v>
      </c>
      <c r="AO7" s="134" t="s">
        <v>269</v>
      </c>
      <c r="AP7" s="133" t="s">
        <v>270</v>
      </c>
      <c r="AQ7" s="134" t="s">
        <v>271</v>
      </c>
      <c r="AR7" s="134" t="s">
        <v>272</v>
      </c>
      <c r="AS7" s="135" t="s">
        <v>273</v>
      </c>
      <c r="AT7" s="134" t="s">
        <v>274</v>
      </c>
      <c r="AU7" s="133" t="s">
        <v>275</v>
      </c>
      <c r="AV7" s="134" t="s">
        <v>276</v>
      </c>
      <c r="AW7" s="134" t="s">
        <v>277</v>
      </c>
      <c r="AX7" s="135" t="s">
        <v>278</v>
      </c>
      <c r="AY7" s="134" t="s">
        <v>279</v>
      </c>
      <c r="AZ7" s="133" t="s">
        <v>280</v>
      </c>
      <c r="BA7" s="134" t="s">
        <v>281</v>
      </c>
      <c r="BB7" s="134" t="s">
        <v>282</v>
      </c>
      <c r="BC7" s="135" t="s">
        <v>283</v>
      </c>
      <c r="BD7" s="134" t="s">
        <v>284</v>
      </c>
      <c r="BE7" s="133" t="s">
        <v>285</v>
      </c>
      <c r="BF7" s="134" t="s">
        <v>286</v>
      </c>
      <c r="BG7" s="134" t="s">
        <v>287</v>
      </c>
      <c r="BH7" s="135" t="s">
        <v>288</v>
      </c>
      <c r="BI7" s="134" t="s">
        <v>289</v>
      </c>
      <c r="BJ7" s="133" t="s">
        <v>290</v>
      </c>
      <c r="BK7" s="134" t="s">
        <v>291</v>
      </c>
      <c r="BL7" s="134" t="s">
        <v>292</v>
      </c>
      <c r="BM7" s="135" t="s">
        <v>293</v>
      </c>
      <c r="BN7" s="134" t="s">
        <v>294</v>
      </c>
      <c r="BO7" s="133" t="s">
        <v>295</v>
      </c>
      <c r="BP7" s="134" t="s">
        <v>296</v>
      </c>
      <c r="BQ7" s="134" t="s">
        <v>297</v>
      </c>
      <c r="BR7" s="135" t="s">
        <v>298</v>
      </c>
      <c r="BS7" s="134" t="s">
        <v>299</v>
      </c>
      <c r="BT7" s="133" t="s">
        <v>300</v>
      </c>
      <c r="BU7" s="134" t="s">
        <v>301</v>
      </c>
      <c r="BV7" s="134" t="s">
        <v>302</v>
      </c>
      <c r="BW7" s="135" t="s">
        <v>303</v>
      </c>
      <c r="BX7" s="134" t="s">
        <v>304</v>
      </c>
      <c r="BY7" s="133" t="s">
        <v>305</v>
      </c>
      <c r="BZ7" s="134" t="s">
        <v>306</v>
      </c>
      <c r="CA7" s="134" t="s">
        <v>307</v>
      </c>
      <c r="CB7" s="135" t="s">
        <v>308</v>
      </c>
      <c r="CC7" s="134" t="s">
        <v>309</v>
      </c>
      <c r="CD7" s="133" t="s">
        <v>310</v>
      </c>
      <c r="CE7" s="134" t="s">
        <v>311</v>
      </c>
      <c r="CF7" s="134" t="s">
        <v>312</v>
      </c>
      <c r="CG7" s="135" t="s">
        <v>313</v>
      </c>
      <c r="CH7" s="134" t="s">
        <v>314</v>
      </c>
      <c r="CI7" s="133" t="s">
        <v>315</v>
      </c>
      <c r="CJ7" s="134" t="s">
        <v>316</v>
      </c>
      <c r="CK7" s="134" t="s">
        <v>317</v>
      </c>
      <c r="CL7" s="135" t="s">
        <v>318</v>
      </c>
      <c r="CM7" s="134" t="s">
        <v>319</v>
      </c>
      <c r="CN7" s="133" t="s">
        <v>320</v>
      </c>
      <c r="CO7" s="134" t="s">
        <v>321</v>
      </c>
      <c r="CP7" s="134" t="s">
        <v>322</v>
      </c>
      <c r="CQ7" s="134" t="s">
        <v>57</v>
      </c>
      <c r="CR7" s="134" t="s">
        <v>518</v>
      </c>
      <c r="CS7" s="133" t="s">
        <v>519</v>
      </c>
      <c r="CT7" s="134" t="s">
        <v>520</v>
      </c>
      <c r="CU7" s="134" t="s">
        <v>465</v>
      </c>
      <c r="CV7" s="135" t="s">
        <v>223</v>
      </c>
      <c r="CW7" s="715" t="s">
        <v>603</v>
      </c>
      <c r="CX7" s="716" t="s">
        <v>604</v>
      </c>
      <c r="CY7" s="475" t="s">
        <v>606</v>
      </c>
      <c r="CZ7" s="475" t="s">
        <v>607</v>
      </c>
      <c r="DA7" s="447" t="s">
        <v>608</v>
      </c>
      <c r="DB7" s="475" t="s">
        <v>612</v>
      </c>
      <c r="DC7" s="132" t="s">
        <v>615</v>
      </c>
      <c r="DD7" s="475" t="s">
        <v>617</v>
      </c>
      <c r="DE7" s="475" t="s">
        <v>620</v>
      </c>
      <c r="DF7" s="447" t="s">
        <v>622</v>
      </c>
      <c r="DG7" s="475" t="s">
        <v>627</v>
      </c>
      <c r="DH7" s="132" t="s">
        <v>629</v>
      </c>
      <c r="DI7" s="475" t="s">
        <v>640</v>
      </c>
      <c r="DJ7" s="475" t="s">
        <v>643</v>
      </c>
      <c r="DK7" s="447" t="s">
        <v>645</v>
      </c>
      <c r="DL7" s="475" t="s">
        <v>653</v>
      </c>
      <c r="DM7" s="132" t="s">
        <v>652</v>
      </c>
      <c r="DN7" s="492" t="s">
        <v>326</v>
      </c>
      <c r="DO7" s="492" t="s">
        <v>327</v>
      </c>
      <c r="DP7" s="491" t="s">
        <v>328</v>
      </c>
      <c r="DQ7" s="492" t="s">
        <v>329</v>
      </c>
      <c r="DR7" s="493" t="s">
        <v>150</v>
      </c>
      <c r="DS7" s="642" t="s">
        <v>594</v>
      </c>
      <c r="DT7" s="642" t="s">
        <v>590</v>
      </c>
      <c r="DU7" s="642" t="s">
        <v>591</v>
      </c>
      <c r="DV7" s="642" t="s">
        <v>592</v>
      </c>
      <c r="DW7" s="643" t="s">
        <v>593</v>
      </c>
      <c r="DX7" s="642" t="s">
        <v>599</v>
      </c>
      <c r="DY7" s="642" t="s">
        <v>595</v>
      </c>
      <c r="DZ7" s="642" t="s">
        <v>596</v>
      </c>
      <c r="EA7" s="642" t="s">
        <v>597</v>
      </c>
      <c r="EB7" s="643" t="s">
        <v>598</v>
      </c>
      <c r="EE7" s="132" t="s">
        <v>406</v>
      </c>
      <c r="EF7" s="132" t="s">
        <v>405</v>
      </c>
      <c r="EG7" s="132" t="s">
        <v>404</v>
      </c>
      <c r="EH7" s="132" t="s">
        <v>403</v>
      </c>
      <c r="EI7" s="132" t="s">
        <v>402</v>
      </c>
      <c r="EJ7" s="132" t="s">
        <v>401</v>
      </c>
      <c r="EK7" s="132" t="s">
        <v>400</v>
      </c>
      <c r="EL7" s="132" t="s">
        <v>399</v>
      </c>
      <c r="EM7" s="132" t="s">
        <v>398</v>
      </c>
      <c r="EN7" s="132" t="s">
        <v>397</v>
      </c>
      <c r="EO7" s="132" t="s">
        <v>396</v>
      </c>
      <c r="EP7" s="132" t="s">
        <v>395</v>
      </c>
      <c r="EQ7" s="132" t="s">
        <v>659</v>
      </c>
      <c r="ER7" s="132" t="s">
        <v>660</v>
      </c>
      <c r="FC7"/>
      <c r="FD7"/>
      <c r="FE7"/>
      <c r="FF7"/>
      <c r="FG7"/>
      <c r="FH7"/>
      <c r="FI7" s="423"/>
      <c r="FJ7" s="535"/>
      <c r="FK7" s="535"/>
      <c r="FL7" s="534"/>
      <c r="FM7" s="535"/>
      <c r="FN7" s="536"/>
      <c r="FO7" s="535"/>
      <c r="FP7" s="535"/>
      <c r="FQ7" s="534"/>
      <c r="FR7" s="535"/>
      <c r="FS7" s="536"/>
      <c r="FT7" s="535"/>
      <c r="FU7" s="535"/>
      <c r="FV7" s="534"/>
      <c r="FW7" s="535"/>
      <c r="FX7" s="536"/>
      <c r="FY7" s="535"/>
      <c r="FZ7" s="535"/>
      <c r="GA7" s="534"/>
      <c r="GB7" s="535"/>
      <c r="GC7" s="536"/>
      <c r="GD7" s="535"/>
      <c r="GE7" s="535"/>
      <c r="GF7" s="534"/>
      <c r="GG7" s="535"/>
      <c r="GH7" s="536"/>
      <c r="GI7" s="80"/>
      <c r="GJ7" s="80"/>
      <c r="GK7" s="539"/>
      <c r="GL7" s="539"/>
      <c r="GM7" s="539"/>
      <c r="GN7" s="539"/>
      <c r="GO7" s="539"/>
      <c r="GP7" s="539"/>
      <c r="GQ7" s="539"/>
      <c r="GR7" s="539"/>
      <c r="GS7" s="539"/>
      <c r="GT7" s="539"/>
      <c r="GU7" s="539"/>
      <c r="GV7" s="539"/>
      <c r="GW7" s="537"/>
      <c r="GX7" s="533"/>
      <c r="GY7" s="537"/>
      <c r="GZ7" s="537"/>
      <c r="HA7" s="538"/>
      <c r="HB7" s="537"/>
      <c r="HC7" s="533"/>
      <c r="HD7" s="537"/>
      <c r="HE7" s="537"/>
      <c r="HF7" s="538"/>
      <c r="HG7" s="537"/>
      <c r="HH7" s="533"/>
      <c r="HI7" s="537"/>
      <c r="HJ7" s="537"/>
      <c r="HK7" s="538"/>
      <c r="HL7" s="537"/>
      <c r="HM7" s="533"/>
      <c r="HN7" s="537"/>
      <c r="HO7" s="537"/>
      <c r="HP7" s="538"/>
      <c r="HQ7" s="537"/>
      <c r="HR7" s="533"/>
      <c r="HS7" s="537"/>
      <c r="HT7" s="537"/>
      <c r="HU7" s="538"/>
      <c r="HV7" s="537"/>
      <c r="HW7" s="533"/>
      <c r="HX7" s="537"/>
      <c r="HY7" s="537"/>
      <c r="HZ7" s="538"/>
      <c r="IA7" s="537"/>
      <c r="IB7" s="533"/>
      <c r="IC7" s="537"/>
      <c r="ID7" s="537"/>
      <c r="IE7" s="538"/>
      <c r="IF7" s="537"/>
      <c r="IG7" s="533"/>
      <c r="IH7" s="537"/>
      <c r="II7" s="537"/>
      <c r="IJ7" s="538"/>
      <c r="IK7" s="537"/>
      <c r="IL7" s="533"/>
      <c r="IM7" s="537"/>
      <c r="IN7" s="537"/>
      <c r="IO7" s="538"/>
      <c r="IP7" s="537"/>
      <c r="IQ7" s="533"/>
      <c r="IR7" s="537"/>
      <c r="IS7" s="537"/>
      <c r="IT7" s="538"/>
      <c r="IU7" s="537"/>
      <c r="IV7" s="533"/>
    </row>
    <row r="8" spans="1:256" s="1" customFormat="1" x14ac:dyDescent="0.2">
      <c r="B8" s="20"/>
      <c r="G8" s="20"/>
      <c r="L8" s="20"/>
      <c r="Q8" s="20"/>
      <c r="V8" s="20"/>
      <c r="AA8" s="20"/>
      <c r="AF8" s="20"/>
      <c r="AK8" s="153" t="s">
        <v>583</v>
      </c>
      <c r="AP8" s="153" t="s">
        <v>583</v>
      </c>
      <c r="AQ8" s="154" t="s">
        <v>583</v>
      </c>
      <c r="AR8" s="25"/>
      <c r="AU8" s="153" t="s">
        <v>583</v>
      </c>
      <c r="AZ8" s="20"/>
      <c r="BE8" s="20"/>
      <c r="BJ8" s="20"/>
      <c r="BO8" s="20"/>
      <c r="BR8" s="152">
        <v>39628</v>
      </c>
      <c r="BT8" s="20"/>
      <c r="BY8" s="20"/>
      <c r="CD8" s="20"/>
      <c r="CI8" s="20"/>
      <c r="CN8" s="20"/>
      <c r="CQ8" s="82"/>
      <c r="CS8" s="20"/>
      <c r="CU8" s="82"/>
      <c r="CW8" s="657"/>
      <c r="CX8" s="717"/>
      <c r="DC8" s="20"/>
      <c r="DH8" s="20"/>
      <c r="DM8" s="20"/>
      <c r="DR8" s="20"/>
      <c r="DW8" s="20"/>
      <c r="EB8" s="20"/>
      <c r="EE8" s="20"/>
      <c r="EF8" s="20"/>
      <c r="EG8" s="20"/>
      <c r="EH8" s="20"/>
      <c r="EI8" s="20"/>
      <c r="EJ8" s="20"/>
      <c r="EK8" s="20"/>
      <c r="EL8" s="20"/>
      <c r="EM8" s="20"/>
      <c r="EN8" s="20"/>
      <c r="EO8" s="20"/>
      <c r="EP8" s="20"/>
      <c r="EQ8" s="20"/>
      <c r="ER8" s="20"/>
      <c r="FC8"/>
      <c r="FD8"/>
      <c r="FE8"/>
      <c r="FF8"/>
      <c r="FG8"/>
      <c r="FH8"/>
      <c r="FI8" s="288"/>
      <c r="FJ8" s="416"/>
      <c r="FK8" s="416"/>
      <c r="FL8" s="416"/>
      <c r="FM8" s="416"/>
      <c r="FN8" s="416"/>
      <c r="FO8" s="416"/>
      <c r="FP8" s="416"/>
      <c r="FQ8" s="416"/>
      <c r="FR8" s="416"/>
      <c r="FS8" s="416"/>
      <c r="FT8" s="416"/>
      <c r="FU8" s="416"/>
      <c r="FV8" s="416"/>
      <c r="FW8" s="416"/>
      <c r="FX8" s="416"/>
      <c r="FY8" s="416"/>
      <c r="FZ8" s="416"/>
      <c r="GA8" s="416"/>
      <c r="GB8" s="416"/>
      <c r="GC8" s="416"/>
      <c r="GD8" s="416"/>
      <c r="GE8" s="416"/>
      <c r="GF8" s="416"/>
      <c r="GG8" s="416"/>
      <c r="GH8" s="416"/>
      <c r="GI8" s="416"/>
      <c r="GJ8" s="416"/>
      <c r="GK8" s="416"/>
      <c r="GL8" s="416"/>
      <c r="GM8" s="416"/>
      <c r="GN8" s="416"/>
      <c r="GO8" s="416"/>
      <c r="GP8" s="416"/>
      <c r="GQ8" s="416"/>
      <c r="GR8" s="416"/>
      <c r="GS8" s="416"/>
      <c r="GT8" s="416"/>
      <c r="GU8" s="416"/>
      <c r="GV8" s="416"/>
      <c r="GW8" s="416"/>
      <c r="GX8" s="416"/>
      <c r="GY8" s="416"/>
      <c r="GZ8" s="416"/>
      <c r="HA8" s="416"/>
      <c r="HB8" s="416"/>
      <c r="HC8" s="416"/>
      <c r="HD8" s="416"/>
      <c r="HE8" s="416"/>
      <c r="HF8" s="416"/>
      <c r="HG8" s="416"/>
      <c r="HH8" s="416"/>
      <c r="HI8" s="416"/>
      <c r="HJ8" s="416"/>
      <c r="HK8" s="416"/>
      <c r="HL8" s="416"/>
      <c r="HM8" s="416"/>
      <c r="HN8" s="416"/>
      <c r="HO8" s="416"/>
      <c r="HP8" s="416"/>
      <c r="HQ8" s="416"/>
      <c r="HR8" s="416"/>
      <c r="HS8" s="416"/>
      <c r="HT8" s="416"/>
      <c r="HU8" s="416"/>
      <c r="HV8" s="416"/>
      <c r="HW8" s="416"/>
      <c r="HX8" s="416"/>
      <c r="HY8" s="416"/>
      <c r="HZ8" s="416"/>
      <c r="IA8" s="416"/>
      <c r="IB8" s="416"/>
      <c r="IC8" s="416"/>
      <c r="ID8" s="416"/>
      <c r="IE8" s="416"/>
      <c r="IF8" s="416"/>
      <c r="IG8" s="416"/>
      <c r="IH8" s="416"/>
      <c r="II8" s="416"/>
      <c r="IJ8" s="416"/>
      <c r="IK8" s="416"/>
      <c r="IL8" s="416"/>
      <c r="IM8" s="416"/>
      <c r="IN8" s="416"/>
      <c r="IO8" s="416"/>
      <c r="IP8" s="416"/>
      <c r="IQ8" s="416"/>
      <c r="IR8" s="416"/>
      <c r="IS8" s="416"/>
      <c r="IT8" s="416"/>
      <c r="IU8" s="416"/>
      <c r="IV8" s="416"/>
    </row>
    <row r="9" spans="1:256" s="1" customFormat="1" x14ac:dyDescent="0.2">
      <c r="A9" s="16" t="s">
        <v>394</v>
      </c>
      <c r="B9" s="20"/>
      <c r="G9" s="20"/>
      <c r="L9" s="20"/>
      <c r="Q9" s="20"/>
      <c r="V9" s="20"/>
      <c r="AA9" s="20"/>
      <c r="AF9" s="20"/>
      <c r="AK9" s="20"/>
      <c r="AP9" s="20"/>
      <c r="AU9" s="20"/>
      <c r="AZ9" s="20"/>
      <c r="BE9" s="20"/>
      <c r="BJ9" s="20"/>
      <c r="BO9" s="20"/>
      <c r="BT9" s="125"/>
      <c r="BY9" s="20"/>
      <c r="CD9" s="20"/>
      <c r="CI9" s="20"/>
      <c r="CN9" s="20"/>
      <c r="CQ9" s="82"/>
      <c r="CS9" s="20"/>
      <c r="CU9" s="82"/>
      <c r="CW9" s="657"/>
      <c r="CX9" s="717"/>
      <c r="DC9" s="20"/>
      <c r="DH9" s="20"/>
      <c r="DM9" s="20"/>
      <c r="DR9" s="20"/>
      <c r="DW9" s="20"/>
      <c r="EB9" s="20"/>
      <c r="EE9" s="20"/>
      <c r="EF9" s="20"/>
      <c r="EG9" s="20"/>
      <c r="EH9" s="20"/>
      <c r="EI9" s="20"/>
      <c r="EJ9" s="20"/>
      <c r="EK9" s="20"/>
      <c r="EL9" s="20"/>
      <c r="EM9" s="20"/>
      <c r="EN9" s="20"/>
      <c r="EO9" s="20"/>
      <c r="EP9" s="20"/>
      <c r="EQ9" s="20"/>
      <c r="ER9" s="20"/>
      <c r="FC9"/>
      <c r="FD9"/>
      <c r="FE9"/>
      <c r="FF9"/>
      <c r="FG9"/>
      <c r="FH9"/>
      <c r="FI9" s="288"/>
      <c r="FJ9" s="416"/>
      <c r="FK9" s="416"/>
      <c r="FL9" s="416"/>
      <c r="FM9" s="416"/>
      <c r="FN9" s="416"/>
      <c r="FO9" s="416"/>
      <c r="FP9" s="416"/>
      <c r="FQ9" s="416"/>
      <c r="FR9" s="416"/>
      <c r="FS9" s="416"/>
      <c r="FT9" s="416"/>
      <c r="FU9" s="416"/>
      <c r="FV9" s="416"/>
      <c r="FW9" s="416"/>
      <c r="FX9" s="416"/>
      <c r="FY9" s="416"/>
      <c r="FZ9" s="416"/>
      <c r="GA9" s="416"/>
      <c r="GB9" s="416"/>
      <c r="GC9" s="416"/>
      <c r="GD9" s="416"/>
      <c r="GE9" s="416"/>
      <c r="GF9" s="416"/>
      <c r="GG9" s="416"/>
      <c r="GH9" s="416"/>
      <c r="GI9" s="416"/>
      <c r="GJ9" s="416"/>
      <c r="GK9" s="416"/>
      <c r="GL9" s="416"/>
      <c r="GM9" s="416"/>
      <c r="GN9" s="416"/>
      <c r="GO9" s="416"/>
      <c r="GP9" s="416"/>
      <c r="GQ9" s="416"/>
      <c r="GR9" s="416"/>
      <c r="GS9" s="416"/>
      <c r="GT9" s="416"/>
      <c r="GU9" s="416"/>
      <c r="GV9" s="416"/>
      <c r="GW9" s="416"/>
      <c r="GX9" s="416"/>
      <c r="GY9" s="416"/>
      <c r="GZ9" s="416"/>
      <c r="HA9" s="416"/>
      <c r="HB9" s="416"/>
      <c r="HC9" s="416"/>
      <c r="HD9" s="416"/>
      <c r="HE9" s="416"/>
      <c r="HF9" s="416"/>
      <c r="HG9" s="416"/>
      <c r="HH9" s="416"/>
      <c r="HI9" s="416"/>
      <c r="HJ9" s="416"/>
      <c r="HK9" s="416"/>
      <c r="HL9" s="416"/>
      <c r="HM9" s="416"/>
      <c r="HN9" s="416"/>
      <c r="HO9" s="416"/>
      <c r="HP9" s="416"/>
      <c r="HQ9" s="416"/>
      <c r="HR9" s="416"/>
      <c r="HS9" s="416"/>
      <c r="HT9" s="416"/>
      <c r="HU9" s="416"/>
      <c r="HV9" s="416"/>
      <c r="HW9" s="416"/>
      <c r="HX9" s="416"/>
      <c r="HY9" s="416"/>
      <c r="HZ9" s="416"/>
      <c r="IA9" s="416"/>
      <c r="IB9" s="416"/>
      <c r="IC9" s="416"/>
      <c r="ID9" s="416"/>
      <c r="IE9" s="416"/>
      <c r="IF9" s="416"/>
      <c r="IG9" s="416"/>
      <c r="IH9" s="416"/>
      <c r="II9" s="416"/>
      <c r="IJ9" s="416"/>
      <c r="IK9" s="416"/>
      <c r="IL9" s="416"/>
      <c r="IM9" s="416"/>
      <c r="IN9" s="416"/>
      <c r="IO9" s="416"/>
      <c r="IP9" s="416"/>
      <c r="IQ9" s="416"/>
      <c r="IR9" s="416"/>
      <c r="IS9" s="416"/>
      <c r="IT9" s="416"/>
      <c r="IU9" s="416"/>
      <c r="IV9" s="416"/>
    </row>
    <row r="10" spans="1:256" s="1" customFormat="1" x14ac:dyDescent="0.2">
      <c r="A10" s="1" t="s">
        <v>393</v>
      </c>
      <c r="B10" s="128">
        <v>13.08</v>
      </c>
      <c r="C10" s="104">
        <v>8.6199999999999992</v>
      </c>
      <c r="D10" s="104">
        <v>5.1310000000000002</v>
      </c>
      <c r="E10" s="104">
        <v>6.8449999999999998</v>
      </c>
      <c r="F10" s="104">
        <v>5.5060000000000002</v>
      </c>
      <c r="G10" s="128">
        <v>26.102</v>
      </c>
      <c r="H10" s="104">
        <v>9.5660000000000007</v>
      </c>
      <c r="I10" s="104">
        <v>10.391</v>
      </c>
      <c r="J10" s="104">
        <v>9.4459999999999997</v>
      </c>
      <c r="K10" s="104">
        <v>12.725</v>
      </c>
      <c r="L10" s="128">
        <v>42.1</v>
      </c>
      <c r="M10" s="104">
        <v>14.39</v>
      </c>
      <c r="N10" s="104">
        <v>9.6430000000000007</v>
      </c>
      <c r="O10" s="104">
        <v>14.616</v>
      </c>
      <c r="P10" s="104">
        <v>18.763000000000002</v>
      </c>
      <c r="Q10" s="128">
        <v>55.210999999999999</v>
      </c>
      <c r="R10" s="104">
        <v>20.954999999999998</v>
      </c>
      <c r="S10" s="104">
        <v>13.961999999999994</v>
      </c>
      <c r="T10" s="104">
        <v>20.881000000000036</v>
      </c>
      <c r="U10" s="104">
        <v>25.554000000000045</v>
      </c>
      <c r="V10" s="128">
        <f>SUM(R10:U10)</f>
        <v>81.352000000000075</v>
      </c>
      <c r="W10" s="104">
        <v>26.733000000000015</v>
      </c>
      <c r="X10" s="104">
        <v>17.958000000000016</v>
      </c>
      <c r="Y10" s="104">
        <v>24.635000000000002</v>
      </c>
      <c r="Z10" s="104">
        <v>32.366999999999955</v>
      </c>
      <c r="AA10" s="128">
        <f>SUM(W10:Z10)</f>
        <v>101.69299999999998</v>
      </c>
      <c r="AB10" s="104">
        <v>34.749000000000002</v>
      </c>
      <c r="AC10" s="104">
        <v>23.405999999999988</v>
      </c>
      <c r="AD10" s="104">
        <f>93.068-AB10-AC10</f>
        <v>34.913000000000011</v>
      </c>
      <c r="AE10" s="104">
        <f t="shared" ref="AE10:AE24" si="0">AF10-AD10-AC10-AB10</f>
        <v>1.495999999999988</v>
      </c>
      <c r="AF10" s="128">
        <v>94.563999999999993</v>
      </c>
      <c r="AG10" s="104">
        <v>48.994999999999997</v>
      </c>
      <c r="AH10" s="104">
        <f>81.205-AG10</f>
        <v>32.21</v>
      </c>
      <c r="AI10" s="104">
        <f>127.962-AG10-AH10</f>
        <v>46.757000000000012</v>
      </c>
      <c r="AJ10" s="104">
        <f t="shared" ref="AJ10:AJ24" si="1">AK10-AI10-AH10-AG10</f>
        <v>52.372999999999998</v>
      </c>
      <c r="AK10" s="128">
        <v>180.33500000000001</v>
      </c>
      <c r="AL10" s="104">
        <v>68.355000000000004</v>
      </c>
      <c r="AM10" s="104">
        <f>100.431-AL10</f>
        <v>32.075999999999993</v>
      </c>
      <c r="AN10" s="104">
        <f>156.606-AM10-AL10</f>
        <v>56.174999999999997</v>
      </c>
      <c r="AO10" s="104">
        <f t="shared" ref="AO10:AO24" si="2">AP10-AN10-AM10-AL10</f>
        <v>56.080000000000027</v>
      </c>
      <c r="AP10" s="128">
        <v>212.68600000000001</v>
      </c>
      <c r="AQ10" s="104">
        <v>78.363</v>
      </c>
      <c r="AR10" s="104">
        <f>130.457-AQ10</f>
        <v>52.093999999999994</v>
      </c>
      <c r="AS10" s="104">
        <f>198.871-AQ10-AR10</f>
        <v>68.414000000000016</v>
      </c>
      <c r="AT10" s="104">
        <f t="shared" ref="AT10:AT24" si="3">AU10-AS10-AR10-AQ10</f>
        <v>69.474999999999994</v>
      </c>
      <c r="AU10" s="128">
        <v>268.346</v>
      </c>
      <c r="AV10" s="104">
        <v>110.81100000000001</v>
      </c>
      <c r="AW10" s="104">
        <f>190.299-AV10</f>
        <v>79.488</v>
      </c>
      <c r="AX10" s="104">
        <f>288.403-AW10-AV10</f>
        <v>98.104000000000013</v>
      </c>
      <c r="AY10" s="104">
        <f t="shared" ref="AY10:AY19" si="4">AZ10-AX10-AW10-AV10</f>
        <v>100.57000000000002</v>
      </c>
      <c r="AZ10" s="128">
        <v>388.97300000000001</v>
      </c>
      <c r="BA10" s="104">
        <v>144.71</v>
      </c>
      <c r="BB10" s="104">
        <f>245.289-BA10</f>
        <v>100.57899999999998</v>
      </c>
      <c r="BC10" s="104">
        <f>370.864-(SUM(BA10:BB10))</f>
        <v>125.57499999999999</v>
      </c>
      <c r="BD10" s="104">
        <f t="shared" ref="BD10:BD24" si="5">BE10-BC10-BB10-BA10</f>
        <v>123.60299999999998</v>
      </c>
      <c r="BE10" s="128">
        <v>494.46699999999998</v>
      </c>
      <c r="BF10" s="104">
        <v>174.19</v>
      </c>
      <c r="BG10" s="104">
        <f>301.472-BF10</f>
        <v>127.28199999999998</v>
      </c>
      <c r="BH10" s="104">
        <f>446.97-BG10-BF10</f>
        <v>145.49800000000005</v>
      </c>
      <c r="BI10" s="104">
        <f t="shared" ref="BI10:BI24" si="6">BJ10-BH10-BG10-BF10</f>
        <v>117.28899999999999</v>
      </c>
      <c r="BJ10" s="128">
        <v>564.25900000000001</v>
      </c>
      <c r="BK10" s="104">
        <v>204.952</v>
      </c>
      <c r="BL10" s="104">
        <f>355.792-BK10</f>
        <v>150.83999999999997</v>
      </c>
      <c r="BM10" s="104">
        <f>514.135-BL10-BK10</f>
        <v>158.34300000000002</v>
      </c>
      <c r="BN10" s="104">
        <f t="shared" ref="BN10:BN24" si="7">BO10-BM10-BL10-BK10</f>
        <v>158.5030000000001</v>
      </c>
      <c r="BO10" s="128">
        <v>672.63800000000003</v>
      </c>
      <c r="BP10" s="104">
        <v>208.1</v>
      </c>
      <c r="BQ10" s="104">
        <f>316.8-BP10</f>
        <v>108.70000000000002</v>
      </c>
      <c r="BR10" s="104">
        <f>310.1-BQ10-BP10</f>
        <v>-6.6999999999999886</v>
      </c>
      <c r="BS10" s="104">
        <f t="shared" ref="BS10:BS24" si="8">BT10-BR10-BQ10-BP10</f>
        <v>5.3999999999999773</v>
      </c>
      <c r="BT10" s="128">
        <v>315.5</v>
      </c>
      <c r="BU10" s="104">
        <v>64.3</v>
      </c>
      <c r="BV10" s="104">
        <f>89.3-BU10</f>
        <v>25</v>
      </c>
      <c r="BW10" s="104">
        <f>240.8-BV10-BU10</f>
        <v>151.5</v>
      </c>
      <c r="BX10" s="104">
        <f t="shared" ref="BX10:BX24" si="9">BY10-BW10-BV10-BU10</f>
        <v>150</v>
      </c>
      <c r="BY10" s="128">
        <v>390.8</v>
      </c>
      <c r="BZ10" s="104">
        <v>243.5</v>
      </c>
      <c r="CA10" s="104">
        <f>461.3-BZ10</f>
        <v>217.8</v>
      </c>
      <c r="CB10" s="104">
        <f>669.8-CA10-BZ10</f>
        <v>208.49999999999994</v>
      </c>
      <c r="CC10" s="104">
        <f t="shared" ref="CC10:CC24" si="10">CD10-CB10-CA10-BZ10</f>
        <v>278.5</v>
      </c>
      <c r="CD10" s="128">
        <v>948.3</v>
      </c>
      <c r="CE10" s="104">
        <v>347.6</v>
      </c>
      <c r="CF10" s="104">
        <f>609.9-CE10</f>
        <v>262.29999999999995</v>
      </c>
      <c r="CG10" s="104">
        <f>889.9-CF10-CE10</f>
        <v>280</v>
      </c>
      <c r="CH10" s="104">
        <f t="shared" ref="CH10:CH24" si="11">CI10-CG10-CF10-CE10</f>
        <v>358.1</v>
      </c>
      <c r="CI10" s="128">
        <v>1248</v>
      </c>
      <c r="CJ10" s="104">
        <v>382.2</v>
      </c>
      <c r="CK10" s="104">
        <f>692.3-CJ10</f>
        <v>310.09999999999997</v>
      </c>
      <c r="CL10" s="104">
        <f>1025.7-SUM(CJ10:CK10)</f>
        <v>333.40000000000009</v>
      </c>
      <c r="CM10" s="104">
        <f t="shared" ref="CM10:CM24" si="12">CN10-CL10-CK10-CJ10</f>
        <v>359.00000000000006</v>
      </c>
      <c r="CN10" s="128">
        <v>1384.7</v>
      </c>
      <c r="CO10" s="104">
        <v>432.4</v>
      </c>
      <c r="CP10" s="104">
        <f>823.1-CO10</f>
        <v>390.70000000000005</v>
      </c>
      <c r="CQ10" s="146">
        <f>1240.9-SUM(CO10:CP10)</f>
        <v>417.80000000000007</v>
      </c>
      <c r="CR10" s="104">
        <f>CS10-SUM(CO10:CQ10)</f>
        <v>-1232.1000000000035</v>
      </c>
      <c r="CS10" s="128">
        <f>IS!CS41</f>
        <v>8.7999999999966576</v>
      </c>
      <c r="CT10" s="104">
        <v>540.70000000000005</v>
      </c>
      <c r="CU10" s="146">
        <f>967.6-CT10</f>
        <v>426.9</v>
      </c>
      <c r="CV10" s="146">
        <f>1480.2-SUM(CT10:CU10)</f>
        <v>512.6</v>
      </c>
      <c r="CW10" s="722">
        <f>CX10-CV10-CU10-CT10</f>
        <v>587.50000000000205</v>
      </c>
      <c r="CX10" s="718">
        <f>IS!CX41</f>
        <v>2067.7000000000021</v>
      </c>
      <c r="CY10" s="104">
        <v>984.5</v>
      </c>
      <c r="CZ10" s="104">
        <f>1480.4-CY10</f>
        <v>495.90000000000009</v>
      </c>
      <c r="DA10" s="104">
        <f>2106.8-CZ10-CY10</f>
        <v>626.40000000000009</v>
      </c>
      <c r="DB10" s="815">
        <f>DC10-DA10-CZ10-CY10</f>
        <v>652.5</v>
      </c>
      <c r="DC10" s="128">
        <v>2759.3</v>
      </c>
      <c r="DD10" s="104">
        <v>687.7</v>
      </c>
      <c r="DE10" s="104">
        <f>1262.6-DD10</f>
        <v>574.89999999999986</v>
      </c>
      <c r="DF10" s="104">
        <f>2017.2-DE10-DD10</f>
        <v>754.60000000000014</v>
      </c>
      <c r="DG10" s="815">
        <f>DH10-DF10-DE10-DD10</f>
        <v>801.70000000000027</v>
      </c>
      <c r="DH10" s="128">
        <v>2818.9</v>
      </c>
      <c r="DI10" s="104">
        <v>751.5</v>
      </c>
      <c r="DJ10" s="104">
        <f>1404.6-DI10</f>
        <v>653.09999999999991</v>
      </c>
      <c r="DK10" s="104">
        <f>2095.5-SUM(DI10:DJ10)</f>
        <v>690.90000000000009</v>
      </c>
      <c r="DL10" s="104">
        <f>2884.9-SUM(DI10:DK10)</f>
        <v>789.40000000000009</v>
      </c>
      <c r="DM10" s="128">
        <f t="shared" ref="DM10:DM36" si="13">SUM(DI10:DL10)</f>
        <v>2884.9</v>
      </c>
      <c r="DN10" s="145">
        <f>IS!DN41</f>
        <v>2250.1000000000013</v>
      </c>
      <c r="DO10" s="145">
        <f>IS!DO41</f>
        <v>738.64484583115814</v>
      </c>
      <c r="DP10" s="145">
        <f>IS!DP41</f>
        <v>898.39189352469089</v>
      </c>
      <c r="DQ10" s="145">
        <f>IS!DQ41</f>
        <v>918.38637463422469</v>
      </c>
      <c r="DR10" s="144">
        <f t="shared" ref="DR10:DR36" si="14">SUM(DN10:DQ10)</f>
        <v>4805.5231139900752</v>
      </c>
      <c r="DS10" s="145">
        <f>IS!DS41</f>
        <v>927.06256434926024</v>
      </c>
      <c r="DT10" s="145">
        <f>IS!DT41</f>
        <v>845.51603866751259</v>
      </c>
      <c r="DU10" s="145">
        <f>IS!DU41</f>
        <v>1018.0062247124669</v>
      </c>
      <c r="DV10" s="145">
        <f>IS!DV41</f>
        <v>1033.7648557923969</v>
      </c>
      <c r="DW10" s="144">
        <f>SUM(DS10:DV10)</f>
        <v>3824.3496835216365</v>
      </c>
      <c r="DX10" s="145">
        <f>IS!DX41</f>
        <v>1033.745280655859</v>
      </c>
      <c r="DY10" s="145">
        <f>IS!DY41</f>
        <v>951.0646494225241</v>
      </c>
      <c r="DZ10" s="145">
        <f>IS!DZ41</f>
        <v>1141.2731421997314</v>
      </c>
      <c r="EA10" s="145">
        <f>IS!EA41</f>
        <v>1156.8257106101939</v>
      </c>
      <c r="EB10" s="144">
        <f>SUM(DX10:EA10)</f>
        <v>4282.9087828883085</v>
      </c>
      <c r="EE10" s="128"/>
      <c r="EF10" s="128"/>
      <c r="EG10" s="128"/>
      <c r="EH10" s="128"/>
      <c r="EI10" s="128"/>
      <c r="EJ10" s="128"/>
      <c r="EK10" s="128"/>
      <c r="EL10" s="128"/>
      <c r="EM10" s="128"/>
      <c r="EN10" s="128"/>
      <c r="EO10" s="128"/>
      <c r="EP10" s="128"/>
      <c r="EQ10" s="128"/>
      <c r="ER10" s="128"/>
      <c r="FC10"/>
      <c r="FD10"/>
      <c r="FE10"/>
      <c r="FF10"/>
      <c r="FG10"/>
      <c r="FH10"/>
      <c r="FI10" s="396"/>
      <c r="FJ10" s="419"/>
      <c r="FK10" s="419"/>
      <c r="FL10" s="419"/>
      <c r="FM10" s="419"/>
      <c r="FN10" s="419"/>
      <c r="FO10" s="419"/>
      <c r="FP10" s="419"/>
      <c r="FQ10" s="419"/>
      <c r="FR10" s="419"/>
      <c r="FS10" s="419"/>
      <c r="FT10" s="419"/>
      <c r="FU10" s="419"/>
      <c r="FV10" s="419"/>
      <c r="FW10" s="419"/>
      <c r="FX10" s="419"/>
      <c r="FY10" s="419"/>
      <c r="FZ10" s="419"/>
      <c r="GA10" s="419"/>
      <c r="GB10" s="419"/>
      <c r="GC10" s="419"/>
      <c r="GD10" s="419"/>
      <c r="GE10" s="419"/>
      <c r="GF10" s="419"/>
      <c r="GG10" s="419"/>
      <c r="GH10" s="419"/>
      <c r="GI10" s="419"/>
      <c r="GJ10" s="419"/>
      <c r="GK10" s="419"/>
      <c r="GL10" s="419"/>
      <c r="GM10" s="419"/>
      <c r="GN10" s="419"/>
      <c r="GO10" s="419"/>
      <c r="GP10" s="419"/>
      <c r="GQ10" s="419"/>
      <c r="GR10" s="419"/>
      <c r="GS10" s="419"/>
      <c r="GT10" s="419"/>
      <c r="GU10" s="419"/>
      <c r="GV10" s="419"/>
      <c r="GW10" s="418"/>
      <c r="GX10" s="418"/>
      <c r="GY10" s="418"/>
      <c r="GZ10" s="418"/>
      <c r="HA10" s="418"/>
      <c r="HB10" s="418"/>
      <c r="HC10" s="418"/>
      <c r="HD10" s="418"/>
      <c r="HE10" s="418"/>
      <c r="HF10" s="418"/>
      <c r="HG10" s="418"/>
      <c r="HH10" s="418"/>
      <c r="HI10" s="418"/>
      <c r="HJ10" s="418"/>
      <c r="HK10" s="418"/>
      <c r="HL10" s="418"/>
      <c r="HM10" s="418"/>
      <c r="HN10" s="418"/>
      <c r="HO10" s="418"/>
      <c r="HP10" s="418"/>
      <c r="HQ10" s="418"/>
      <c r="HR10" s="418"/>
      <c r="HS10" s="418"/>
      <c r="HT10" s="418"/>
      <c r="HU10" s="418"/>
      <c r="HV10" s="418"/>
      <c r="HW10" s="418"/>
      <c r="HX10" s="418"/>
      <c r="HY10" s="418"/>
      <c r="HZ10" s="418"/>
      <c r="IA10" s="418"/>
      <c r="IB10" s="418"/>
      <c r="IC10" s="418"/>
      <c r="ID10" s="418"/>
      <c r="IE10" s="418"/>
      <c r="IF10" s="418"/>
      <c r="IG10" s="418"/>
      <c r="IH10" s="418"/>
      <c r="II10" s="418"/>
      <c r="IJ10" s="418"/>
      <c r="IK10" s="418"/>
      <c r="IL10" s="418"/>
      <c r="IM10" s="418"/>
      <c r="IN10" s="418"/>
      <c r="IO10" s="418"/>
      <c r="IP10" s="418"/>
      <c r="IQ10" s="418"/>
      <c r="IR10" s="418"/>
      <c r="IS10" s="418"/>
      <c r="IT10" s="418"/>
      <c r="IU10" s="418"/>
      <c r="IV10" s="418"/>
    </row>
    <row r="11" spans="1:256" s="1" customFormat="1" hidden="1" x14ac:dyDescent="0.2">
      <c r="A11" s="1" t="s">
        <v>392</v>
      </c>
      <c r="B11" s="125">
        <v>0</v>
      </c>
      <c r="C11" s="111">
        <v>0</v>
      </c>
      <c r="D11" s="111">
        <v>0</v>
      </c>
      <c r="E11" s="111">
        <v>0</v>
      </c>
      <c r="F11" s="111">
        <f>G11-E11-D11-C11</f>
        <v>0</v>
      </c>
      <c r="G11" s="125">
        <v>0</v>
      </c>
      <c r="H11" s="111">
        <v>0</v>
      </c>
      <c r="I11" s="111">
        <v>0</v>
      </c>
      <c r="J11" s="111">
        <v>0</v>
      </c>
      <c r="K11" s="111">
        <f>L11-J11-I11-H11</f>
        <v>0</v>
      </c>
      <c r="L11" s="125">
        <v>0</v>
      </c>
      <c r="M11" s="111">
        <v>0</v>
      </c>
      <c r="N11" s="111">
        <v>0</v>
      </c>
      <c r="O11" s="111">
        <v>0</v>
      </c>
      <c r="P11" s="111">
        <f>Q11-O11-N11-M11</f>
        <v>0</v>
      </c>
      <c r="Q11" s="125">
        <v>0</v>
      </c>
      <c r="R11" s="111">
        <v>0</v>
      </c>
      <c r="S11" s="111">
        <v>0</v>
      </c>
      <c r="T11" s="111">
        <v>0</v>
      </c>
      <c r="U11" s="111">
        <f>V11-T11-S11-R11</f>
        <v>0</v>
      </c>
      <c r="V11" s="125">
        <v>0</v>
      </c>
      <c r="W11" s="111">
        <v>0</v>
      </c>
      <c r="X11" s="111">
        <v>0</v>
      </c>
      <c r="Y11" s="111">
        <v>0</v>
      </c>
      <c r="Z11" s="111">
        <f t="shared" ref="Z11:Z24" si="15">AA11-Y11-X11-W11</f>
        <v>0</v>
      </c>
      <c r="AA11" s="125">
        <v>0</v>
      </c>
      <c r="AB11" s="111">
        <v>0</v>
      </c>
      <c r="AC11" s="111">
        <v>0</v>
      </c>
      <c r="AD11" s="111">
        <v>0</v>
      </c>
      <c r="AE11" s="111">
        <f t="shared" si="0"/>
        <v>0</v>
      </c>
      <c r="AF11" s="125">
        <v>0</v>
      </c>
      <c r="AG11" s="111">
        <v>0</v>
      </c>
      <c r="AH11" s="111">
        <v>0</v>
      </c>
      <c r="AI11" s="111">
        <v>0</v>
      </c>
      <c r="AJ11" s="111">
        <f t="shared" si="1"/>
        <v>0</v>
      </c>
      <c r="AK11" s="125">
        <v>0</v>
      </c>
      <c r="AL11" s="111">
        <v>0</v>
      </c>
      <c r="AM11" s="111">
        <v>0</v>
      </c>
      <c r="AN11" s="111">
        <v>0</v>
      </c>
      <c r="AO11" s="111">
        <f t="shared" si="2"/>
        <v>0</v>
      </c>
      <c r="AP11" s="125">
        <v>0</v>
      </c>
      <c r="AQ11" s="111">
        <v>0</v>
      </c>
      <c r="AR11" s="111">
        <v>0</v>
      </c>
      <c r="AS11" s="111">
        <v>0</v>
      </c>
      <c r="AT11" s="111">
        <f t="shared" si="3"/>
        <v>0</v>
      </c>
      <c r="AU11" s="125">
        <v>0</v>
      </c>
      <c r="AV11" s="111">
        <v>0</v>
      </c>
      <c r="AW11" s="111">
        <v>0</v>
      </c>
      <c r="AX11" s="111">
        <v>0</v>
      </c>
      <c r="AY11" s="111">
        <f t="shared" si="4"/>
        <v>0</v>
      </c>
      <c r="AZ11" s="125">
        <v>0</v>
      </c>
      <c r="BA11" s="111">
        <v>0</v>
      </c>
      <c r="BB11" s="111">
        <v>0</v>
      </c>
      <c r="BC11" s="111">
        <v>0</v>
      </c>
      <c r="BD11" s="111">
        <f t="shared" si="5"/>
        <v>0</v>
      </c>
      <c r="BE11" s="125">
        <v>0</v>
      </c>
      <c r="BF11" s="111">
        <v>0</v>
      </c>
      <c r="BG11" s="111">
        <v>0</v>
      </c>
      <c r="BH11" s="111">
        <v>0</v>
      </c>
      <c r="BI11" s="111">
        <f t="shared" si="6"/>
        <v>17.213999999999999</v>
      </c>
      <c r="BJ11" s="125">
        <v>17.213999999999999</v>
      </c>
      <c r="BK11" s="111">
        <v>0</v>
      </c>
      <c r="BL11" s="111">
        <v>0</v>
      </c>
      <c r="BM11" s="111">
        <v>0</v>
      </c>
      <c r="BN11" s="111">
        <f t="shared" si="7"/>
        <v>0</v>
      </c>
      <c r="BO11" s="125">
        <v>0</v>
      </c>
      <c r="BP11" s="111">
        <v>0</v>
      </c>
      <c r="BQ11" s="111">
        <v>0</v>
      </c>
      <c r="BR11" s="111">
        <v>0</v>
      </c>
      <c r="BS11" s="111">
        <f t="shared" si="8"/>
        <v>0</v>
      </c>
      <c r="BT11" s="125">
        <v>0</v>
      </c>
      <c r="BU11" s="111">
        <v>0</v>
      </c>
      <c r="BV11" s="111">
        <v>0</v>
      </c>
      <c r="BW11" s="111">
        <v>0</v>
      </c>
      <c r="BX11" s="111">
        <f t="shared" si="9"/>
        <v>0</v>
      </c>
      <c r="BY11" s="125">
        <v>0</v>
      </c>
      <c r="BZ11" s="111">
        <v>0</v>
      </c>
      <c r="CA11" s="111">
        <v>0</v>
      </c>
      <c r="CB11" s="111">
        <v>0</v>
      </c>
      <c r="CC11" s="111">
        <f t="shared" si="10"/>
        <v>0</v>
      </c>
      <c r="CD11" s="128">
        <v>0</v>
      </c>
      <c r="CE11" s="104">
        <v>0</v>
      </c>
      <c r="CF11" s="104">
        <v>0</v>
      </c>
      <c r="CG11" s="104">
        <v>0</v>
      </c>
      <c r="CH11" s="104">
        <f t="shared" si="11"/>
        <v>0</v>
      </c>
      <c r="CI11" s="128">
        <v>0</v>
      </c>
      <c r="CJ11" s="104">
        <v>0</v>
      </c>
      <c r="CK11" s="104">
        <v>0</v>
      </c>
      <c r="CL11" s="104">
        <v>0</v>
      </c>
      <c r="CM11" s="104">
        <f t="shared" si="12"/>
        <v>0</v>
      </c>
      <c r="CN11" s="128">
        <v>0</v>
      </c>
      <c r="CO11" s="366">
        <v>0</v>
      </c>
      <c r="CP11" s="366">
        <v>0</v>
      </c>
      <c r="CQ11" s="495">
        <v>0</v>
      </c>
      <c r="CR11" s="366">
        <f>CS11-SUM(CO11:CQ11)</f>
        <v>0</v>
      </c>
      <c r="CS11" s="367">
        <v>0</v>
      </c>
      <c r="CT11" s="104"/>
      <c r="CU11" s="146"/>
      <c r="CV11" s="146"/>
      <c r="CW11" s="658"/>
      <c r="CX11" s="718"/>
      <c r="CY11" s="104"/>
      <c r="CZ11" s="104"/>
      <c r="DA11" s="104"/>
      <c r="DB11" s="823"/>
      <c r="DC11" s="128"/>
      <c r="DD11" s="143"/>
      <c r="DE11" s="104"/>
      <c r="DF11" s="104"/>
      <c r="DG11" s="823"/>
      <c r="DH11" s="128"/>
      <c r="DI11" s="143"/>
      <c r="DJ11" s="143"/>
      <c r="DK11" s="104"/>
      <c r="DL11" s="111"/>
      <c r="DM11" s="125"/>
      <c r="DN11" s="143"/>
      <c r="DO11" s="143"/>
      <c r="DP11" s="143"/>
      <c r="DQ11" s="143"/>
      <c r="DR11" s="142"/>
      <c r="DS11" s="143"/>
      <c r="DT11" s="143"/>
      <c r="DU11" s="143"/>
      <c r="DV11" s="143"/>
      <c r="DW11" s="142"/>
      <c r="DX11" s="143"/>
      <c r="DY11" s="143"/>
      <c r="DZ11" s="143"/>
      <c r="EA11" s="143"/>
      <c r="EB11" s="142"/>
      <c r="EE11" s="125"/>
      <c r="EF11" s="125"/>
      <c r="EG11" s="125"/>
      <c r="EH11" s="125"/>
      <c r="EI11" s="125"/>
      <c r="EJ11" s="125"/>
      <c r="EK11" s="125"/>
      <c r="EL11" s="125"/>
      <c r="EM11" s="125"/>
      <c r="EN11" s="125"/>
      <c r="EO11" s="125"/>
      <c r="EP11" s="125"/>
      <c r="EQ11" s="125"/>
      <c r="ER11" s="125"/>
      <c r="FC11"/>
      <c r="FD11"/>
      <c r="FE11"/>
      <c r="FF11"/>
      <c r="FG11"/>
      <c r="FH11"/>
      <c r="FI11" s="396"/>
      <c r="FJ11" s="419"/>
      <c r="FK11" s="419"/>
      <c r="FL11" s="419"/>
      <c r="FM11" s="419"/>
      <c r="FN11" s="419"/>
      <c r="FO11" s="419"/>
      <c r="FP11" s="419"/>
      <c r="FQ11" s="419"/>
      <c r="FR11" s="419"/>
      <c r="FS11" s="419"/>
      <c r="FT11" s="419"/>
      <c r="FU11" s="419"/>
      <c r="FV11" s="419"/>
      <c r="FW11" s="419"/>
      <c r="FX11" s="419"/>
      <c r="FY11" s="419"/>
      <c r="FZ11" s="419"/>
      <c r="GA11" s="419"/>
      <c r="GB11" s="419"/>
      <c r="GC11" s="419"/>
      <c r="GD11" s="419"/>
      <c r="GE11" s="419"/>
      <c r="GF11" s="419"/>
      <c r="GG11" s="419"/>
      <c r="GH11" s="419"/>
      <c r="GI11" s="419"/>
      <c r="GJ11" s="419"/>
      <c r="GK11" s="419"/>
      <c r="GL11" s="419"/>
      <c r="GM11" s="419"/>
      <c r="GN11" s="419"/>
      <c r="GO11" s="419"/>
      <c r="GP11" s="419"/>
      <c r="GQ11" s="419"/>
      <c r="GR11" s="419"/>
      <c r="GS11" s="419"/>
      <c r="GT11" s="419"/>
      <c r="GU11" s="419"/>
      <c r="GV11" s="419"/>
      <c r="GW11" s="418"/>
      <c r="GX11" s="418"/>
      <c r="GY11" s="418"/>
      <c r="GZ11" s="418"/>
      <c r="HA11" s="418"/>
      <c r="HB11" s="418"/>
      <c r="HC11" s="418"/>
      <c r="HD11" s="418"/>
      <c r="HE11" s="418"/>
      <c r="HF11" s="418"/>
      <c r="HG11" s="418"/>
      <c r="HH11" s="418"/>
      <c r="HI11" s="418"/>
      <c r="HJ11" s="418"/>
      <c r="HK11" s="418"/>
      <c r="HL11" s="418"/>
      <c r="HM11" s="418"/>
      <c r="HN11" s="418"/>
      <c r="HO11" s="418"/>
      <c r="HP11" s="418"/>
      <c r="HQ11" s="418"/>
      <c r="HR11" s="418"/>
      <c r="HS11" s="418"/>
      <c r="HT11" s="418"/>
      <c r="HU11" s="418"/>
      <c r="HV11" s="418"/>
      <c r="HW11" s="418"/>
      <c r="HX11" s="418"/>
      <c r="HY11" s="418"/>
      <c r="HZ11" s="418"/>
      <c r="IA11" s="418"/>
      <c r="IB11" s="418"/>
      <c r="IC11" s="418"/>
      <c r="ID11" s="418"/>
      <c r="IE11" s="418"/>
      <c r="IF11" s="418"/>
      <c r="IG11" s="418"/>
      <c r="IH11" s="418"/>
      <c r="II11" s="418"/>
      <c r="IJ11" s="418"/>
      <c r="IK11" s="418"/>
      <c r="IL11" s="418"/>
      <c r="IM11" s="418"/>
      <c r="IN11" s="418"/>
      <c r="IO11" s="418"/>
      <c r="IP11" s="418"/>
      <c r="IQ11" s="418"/>
      <c r="IR11" s="418"/>
      <c r="IS11" s="418"/>
      <c r="IT11" s="418"/>
      <c r="IU11" s="418"/>
      <c r="IV11" s="418"/>
    </row>
    <row r="12" spans="1:256" s="1" customFormat="1" x14ac:dyDescent="0.2">
      <c r="A12" s="1" t="s">
        <v>391</v>
      </c>
      <c r="B12" s="125">
        <v>14</v>
      </c>
      <c r="C12" s="111">
        <v>4.8979999999999997</v>
      </c>
      <c r="D12" s="111">
        <v>5.57</v>
      </c>
      <c r="E12" s="111">
        <v>6.4370000000000003</v>
      </c>
      <c r="F12" s="111">
        <v>7.9219999999999997</v>
      </c>
      <c r="G12" s="125">
        <v>24.82</v>
      </c>
      <c r="H12" s="111">
        <v>8.1999999999999993</v>
      </c>
      <c r="I12" s="111">
        <v>9.4469999999999992</v>
      </c>
      <c r="J12" s="111">
        <v>10.425000000000001</v>
      </c>
      <c r="K12" s="111">
        <v>11.298</v>
      </c>
      <c r="L12" s="125">
        <v>39.369999999999997</v>
      </c>
      <c r="M12" s="111">
        <v>12.503</v>
      </c>
      <c r="N12" s="111">
        <v>14.08</v>
      </c>
      <c r="O12" s="111">
        <v>15.291</v>
      </c>
      <c r="P12" s="111">
        <v>16.329000000000001</v>
      </c>
      <c r="Q12" s="125">
        <v>58.8</v>
      </c>
      <c r="R12" s="111">
        <v>17.760000000000002</v>
      </c>
      <c r="S12" s="111">
        <f>37.154-R12</f>
        <v>19.394000000000002</v>
      </c>
      <c r="T12" s="111">
        <f>58.312-SUM(R12:S12)</f>
        <v>21.157999999999994</v>
      </c>
      <c r="U12" s="111">
        <f>V12-T12-S12-R12</f>
        <v>22.589000000000002</v>
      </c>
      <c r="V12" s="125">
        <v>80.900999999999996</v>
      </c>
      <c r="W12" s="111">
        <v>24.638000000000002</v>
      </c>
      <c r="X12" s="111">
        <f>50.63-W12</f>
        <v>25.992000000000001</v>
      </c>
      <c r="Y12" s="111">
        <f>78.339-X12-W12</f>
        <v>27.708999999999993</v>
      </c>
      <c r="Z12" s="111">
        <f t="shared" si="15"/>
        <v>29.173000000000005</v>
      </c>
      <c r="AA12" s="125">
        <v>107.512</v>
      </c>
      <c r="AB12" s="111">
        <v>31.975999999999999</v>
      </c>
      <c r="AC12" s="111">
        <f>67.594-AB12</f>
        <v>35.617999999999995</v>
      </c>
      <c r="AD12" s="111">
        <f>101.252-AC12-AB12</f>
        <v>33.658000000000001</v>
      </c>
      <c r="AE12" s="111">
        <f t="shared" si="0"/>
        <v>40.918999999999997</v>
      </c>
      <c r="AF12" s="125">
        <v>142.17099999999999</v>
      </c>
      <c r="AG12" s="111">
        <v>40.664000000000001</v>
      </c>
      <c r="AH12" s="111">
        <f>82.727-AG12</f>
        <v>42.063000000000002</v>
      </c>
      <c r="AI12" s="111">
        <f>128.12-AH12-AG12</f>
        <v>45.393000000000001</v>
      </c>
      <c r="AJ12" s="111">
        <f t="shared" si="1"/>
        <v>48.966999999999985</v>
      </c>
      <c r="AK12" s="125">
        <v>177.08699999999999</v>
      </c>
      <c r="AL12" s="111">
        <v>54.024000000000001</v>
      </c>
      <c r="AM12" s="111">
        <f>107.866-AL12</f>
        <v>53.841999999999999</v>
      </c>
      <c r="AN12" s="111">
        <f>162.764-AM12-AL12</f>
        <v>54.89800000000001</v>
      </c>
      <c r="AO12" s="111">
        <f t="shared" si="2"/>
        <v>58.376999999999995</v>
      </c>
      <c r="AP12" s="125">
        <v>221.14099999999999</v>
      </c>
      <c r="AQ12" s="111">
        <v>61.561999999999998</v>
      </c>
      <c r="AR12" s="111">
        <f>124.761-AQ12</f>
        <v>63.198999999999998</v>
      </c>
      <c r="AS12" s="111">
        <f>190.654-AQ12-AR12</f>
        <v>65.892999999999986</v>
      </c>
      <c r="AT12" s="111">
        <f t="shared" si="3"/>
        <v>68.617000000000033</v>
      </c>
      <c r="AU12" s="125">
        <v>259.27100000000002</v>
      </c>
      <c r="AV12" s="111">
        <v>72.028000000000006</v>
      </c>
      <c r="AW12" s="111">
        <f>150.024-AV12</f>
        <v>77.995999999999995</v>
      </c>
      <c r="AX12" s="111">
        <f>226.925-AW12-AV12</f>
        <v>76.901000000000025</v>
      </c>
      <c r="AY12" s="111">
        <f t="shared" si="4"/>
        <v>87.122000000000028</v>
      </c>
      <c r="AZ12" s="125">
        <v>314.04700000000003</v>
      </c>
      <c r="BA12" s="111">
        <v>85.331999999999994</v>
      </c>
      <c r="BB12" s="111">
        <f>179.857-BA12</f>
        <v>94.525000000000006</v>
      </c>
      <c r="BC12" s="111">
        <f>271.795-(SUM(BA12:BB12))</f>
        <v>91.938000000000017</v>
      </c>
      <c r="BD12" s="111">
        <f t="shared" si="5"/>
        <v>95.412000000000006</v>
      </c>
      <c r="BE12" s="125">
        <v>367.20699999999999</v>
      </c>
      <c r="BF12" s="111">
        <v>97.744</v>
      </c>
      <c r="BG12" s="111">
        <f>198.633-BF12</f>
        <v>100.88900000000001</v>
      </c>
      <c r="BH12" s="111">
        <f>303.21-BG12-BF12</f>
        <v>104.57699999999997</v>
      </c>
      <c r="BI12" s="111">
        <f t="shared" si="6"/>
        <v>109.41499999999999</v>
      </c>
      <c r="BJ12" s="125">
        <v>412.625</v>
      </c>
      <c r="BK12" s="111">
        <v>116.122</v>
      </c>
      <c r="BL12" s="111">
        <f>235.481-BK12</f>
        <v>119.35899999999999</v>
      </c>
      <c r="BM12" s="111">
        <f>360.881-BL12-BK12</f>
        <v>125.39999999999999</v>
      </c>
      <c r="BN12" s="111">
        <f t="shared" si="7"/>
        <v>130.35700000000003</v>
      </c>
      <c r="BO12" s="125">
        <v>491.238</v>
      </c>
      <c r="BP12" s="111">
        <v>139.9</v>
      </c>
      <c r="BQ12" s="111">
        <f>286.3-BP12</f>
        <v>146.4</v>
      </c>
      <c r="BR12" s="111">
        <f>431.4-BQ12-BP12</f>
        <v>145.1</v>
      </c>
      <c r="BS12" s="111">
        <f t="shared" si="8"/>
        <v>173.1</v>
      </c>
      <c r="BT12" s="125">
        <v>604.5</v>
      </c>
      <c r="BU12" s="111">
        <v>141</v>
      </c>
      <c r="BV12" s="111">
        <f>282.2-BU12</f>
        <v>141.19999999999999</v>
      </c>
      <c r="BW12" s="111">
        <f>423.2-BV12-BU12</f>
        <v>141</v>
      </c>
      <c r="BX12" s="111">
        <f t="shared" si="9"/>
        <v>140.09999999999997</v>
      </c>
      <c r="BY12" s="125">
        <v>563.29999999999995</v>
      </c>
      <c r="BZ12" s="111">
        <v>138.19999999999999</v>
      </c>
      <c r="CA12" s="111">
        <f>272.5-BZ12</f>
        <v>134.30000000000001</v>
      </c>
      <c r="CB12" s="111">
        <f>404.5-CA12-BZ12</f>
        <v>132</v>
      </c>
      <c r="CC12" s="111">
        <f t="shared" si="10"/>
        <v>136.29999999999995</v>
      </c>
      <c r="CD12" s="125">
        <v>540.79999999999995</v>
      </c>
      <c r="CE12" s="111">
        <v>135.30000000000001</v>
      </c>
      <c r="CF12" s="111">
        <f>271.6-CE12</f>
        <v>136.30000000000001</v>
      </c>
      <c r="CG12" s="111">
        <f>408.2-CF12-CE12</f>
        <v>136.59999999999997</v>
      </c>
      <c r="CH12" s="111">
        <f t="shared" si="11"/>
        <v>141.80000000000001</v>
      </c>
      <c r="CI12" s="125">
        <v>550</v>
      </c>
      <c r="CJ12" s="111">
        <v>143.6</v>
      </c>
      <c r="CK12" s="111">
        <f>287.9-CJ12</f>
        <v>144.29999999999998</v>
      </c>
      <c r="CL12" s="111">
        <f>427.7-SUM(CJ12:CK12)</f>
        <v>139.80000000000001</v>
      </c>
      <c r="CM12" s="111">
        <f t="shared" si="12"/>
        <v>152.9</v>
      </c>
      <c r="CN12" s="125">
        <v>580.6</v>
      </c>
      <c r="CO12" s="111">
        <v>156.80000000000001</v>
      </c>
      <c r="CP12" s="111">
        <f>318.1-CO12</f>
        <v>161.30000000000001</v>
      </c>
      <c r="CQ12" s="117">
        <f>479.3-SUM(CO12:CP12)</f>
        <v>161.19999999999999</v>
      </c>
      <c r="CR12" s="111">
        <f t="shared" ref="CR12:CR37" si="16">CS12-SUM(CO12:CQ12)</f>
        <v>176.3</v>
      </c>
      <c r="CS12" s="125">
        <v>655.6</v>
      </c>
      <c r="CT12" s="111">
        <v>180.1</v>
      </c>
      <c r="CU12" s="117">
        <f>364.2-CT12</f>
        <v>184.1</v>
      </c>
      <c r="CV12" s="117">
        <f>554-CU12-CT12</f>
        <v>189.79999999999998</v>
      </c>
      <c r="CW12" s="722">
        <f>CX12-CV12-CU12-CT12</f>
        <v>194.4</v>
      </c>
      <c r="CX12" s="719">
        <v>748.4</v>
      </c>
      <c r="CY12" s="111">
        <v>216.3</v>
      </c>
      <c r="CZ12" s="111">
        <f>444.2-CY12</f>
        <v>227.89999999999998</v>
      </c>
      <c r="DA12" s="111">
        <f>693.3-CZ12-CY12</f>
        <v>249.09999999999997</v>
      </c>
      <c r="DB12" s="815">
        <f>DC12-DA12-CZ12-CY12</f>
        <v>240.50000000000006</v>
      </c>
      <c r="DC12" s="125">
        <v>933.8</v>
      </c>
      <c r="DD12" s="111">
        <v>247.3</v>
      </c>
      <c r="DE12" s="111">
        <f>509.3-DD12</f>
        <v>262</v>
      </c>
      <c r="DF12" s="111">
        <f>768.2-DE12-DD12</f>
        <v>258.90000000000003</v>
      </c>
      <c r="DG12" s="815">
        <f>DH12-DF12-DE12-DD12</f>
        <v>261.89999999999981</v>
      </c>
      <c r="DH12" s="125">
        <v>1030.0999999999999</v>
      </c>
      <c r="DI12" s="111">
        <v>263.2</v>
      </c>
      <c r="DJ12" s="111">
        <f>529.8-DI12</f>
        <v>266.59999999999997</v>
      </c>
      <c r="DK12" s="111">
        <f>796.4-SUM(DI12:DJ12)</f>
        <v>266.60000000000002</v>
      </c>
      <c r="DL12" s="111">
        <f>1067.1-SUM(DI12:DK12)</f>
        <v>270.69999999999993</v>
      </c>
      <c r="DM12" s="125">
        <f t="shared" si="13"/>
        <v>1067.0999999999999</v>
      </c>
      <c r="DN12" s="143">
        <f>IS!DN24</f>
        <v>258.8</v>
      </c>
      <c r="DO12" s="143">
        <f>IS!DO24</f>
        <v>286.77687217760763</v>
      </c>
      <c r="DP12" s="143">
        <f>IS!DP24</f>
        <v>285.37228406645772</v>
      </c>
      <c r="DQ12" s="143">
        <f>IS!DQ24</f>
        <v>285.95236238611193</v>
      </c>
      <c r="DR12" s="142">
        <f t="shared" si="14"/>
        <v>1116.9015186301772</v>
      </c>
      <c r="DS12" s="143">
        <f>IS!DS24</f>
        <v>289.85016830071822</v>
      </c>
      <c r="DT12" s="143">
        <f>IS!DT24</f>
        <v>301.88127291653416</v>
      </c>
      <c r="DU12" s="143">
        <f>IS!DU24</f>
        <v>300.30161830408292</v>
      </c>
      <c r="DV12" s="143">
        <f>IS!DV24</f>
        <v>302.28178990936328</v>
      </c>
      <c r="DW12" s="142">
        <f>SUM(DS12:DV12)</f>
        <v>1194.3148494306986</v>
      </c>
      <c r="DX12" s="143">
        <f>IS!DX24</f>
        <v>310.5849364049418</v>
      </c>
      <c r="DY12" s="143">
        <f>IS!DY24</f>
        <v>325.29514748757072</v>
      </c>
      <c r="DZ12" s="143">
        <f>IS!DZ24</f>
        <v>323.51992922817993</v>
      </c>
      <c r="EA12" s="143">
        <f>IS!EA24</f>
        <v>325.71796754607783</v>
      </c>
      <c r="EB12" s="142">
        <f>SUM(DX12:EA12)</f>
        <v>1285.1179806667701</v>
      </c>
      <c r="EE12" s="125"/>
      <c r="EF12" s="125">
        <f>BL12+BM12+BN12+BP12</f>
        <v>515.01599999999996</v>
      </c>
      <c r="EG12" s="125">
        <f>BQ12+BR12+BS12+BU12</f>
        <v>605.6</v>
      </c>
      <c r="EH12" s="125"/>
      <c r="EI12" s="125"/>
      <c r="EJ12" s="125"/>
      <c r="EK12" s="125"/>
      <c r="EL12" s="125"/>
      <c r="EM12" s="125"/>
      <c r="EN12" s="125"/>
      <c r="EO12" s="125"/>
      <c r="EP12" s="125"/>
      <c r="EQ12" s="125"/>
      <c r="ER12" s="125"/>
      <c r="FC12"/>
      <c r="FD12"/>
      <c r="FE12"/>
      <c r="FF12"/>
      <c r="FG12"/>
      <c r="FH12"/>
      <c r="FI12" s="396"/>
      <c r="FJ12" s="419"/>
      <c r="FK12" s="419"/>
      <c r="FL12" s="419"/>
      <c r="FM12" s="419"/>
      <c r="FN12" s="419"/>
      <c r="FO12" s="419"/>
      <c r="FP12" s="419"/>
      <c r="FQ12" s="419"/>
      <c r="FR12" s="419"/>
      <c r="FS12" s="419"/>
      <c r="FT12" s="419"/>
      <c r="FU12" s="419"/>
      <c r="FV12" s="419"/>
      <c r="FW12" s="419"/>
      <c r="FX12" s="419"/>
      <c r="FY12" s="419"/>
      <c r="FZ12" s="419"/>
      <c r="GA12" s="419"/>
      <c r="GB12" s="419"/>
      <c r="GC12" s="419"/>
      <c r="GD12" s="419"/>
      <c r="GE12" s="419"/>
      <c r="GF12" s="419"/>
      <c r="GG12" s="419"/>
      <c r="GH12" s="419"/>
      <c r="GI12" s="419"/>
      <c r="GJ12" s="419"/>
      <c r="GK12" s="419"/>
      <c r="GL12" s="419"/>
      <c r="GM12" s="419"/>
      <c r="GN12" s="419"/>
      <c r="GO12" s="419"/>
      <c r="GP12" s="419"/>
      <c r="GQ12" s="419"/>
      <c r="GR12" s="419"/>
      <c r="GS12" s="419"/>
      <c r="GT12" s="419"/>
      <c r="GU12" s="419"/>
      <c r="GV12" s="419"/>
      <c r="GW12" s="418"/>
      <c r="GX12" s="418"/>
      <c r="GY12" s="418"/>
      <c r="GZ12" s="418"/>
      <c r="HA12" s="418"/>
      <c r="HB12" s="418"/>
      <c r="HC12" s="418"/>
      <c r="HD12" s="418"/>
      <c r="HE12" s="418"/>
      <c r="HF12" s="418"/>
      <c r="HG12" s="418"/>
      <c r="HH12" s="418"/>
      <c r="HI12" s="418"/>
      <c r="HJ12" s="418"/>
      <c r="HK12" s="418"/>
      <c r="HL12" s="418"/>
      <c r="HM12" s="418"/>
      <c r="HN12" s="418"/>
      <c r="HO12" s="418"/>
      <c r="HP12" s="418"/>
      <c r="HQ12" s="418"/>
      <c r="HR12" s="418"/>
      <c r="HS12" s="418"/>
      <c r="HT12" s="418"/>
      <c r="HU12" s="418"/>
      <c r="HV12" s="418"/>
      <c r="HW12" s="418"/>
      <c r="HX12" s="418"/>
      <c r="HY12" s="418"/>
      <c r="HZ12" s="418"/>
      <c r="IA12" s="418"/>
      <c r="IB12" s="418"/>
      <c r="IC12" s="418"/>
      <c r="ID12" s="418"/>
      <c r="IE12" s="418"/>
      <c r="IF12" s="418"/>
      <c r="IG12" s="418"/>
      <c r="IH12" s="418"/>
      <c r="II12" s="418"/>
      <c r="IJ12" s="418"/>
      <c r="IK12" s="418"/>
      <c r="IL12" s="418"/>
      <c r="IM12" s="418"/>
      <c r="IN12" s="418"/>
      <c r="IO12" s="418"/>
      <c r="IP12" s="418"/>
      <c r="IQ12" s="418"/>
      <c r="IR12" s="418"/>
      <c r="IS12" s="418"/>
      <c r="IT12" s="418"/>
      <c r="IU12" s="418"/>
      <c r="IV12" s="418"/>
    </row>
    <row r="13" spans="1:256" s="1" customFormat="1" x14ac:dyDescent="0.2">
      <c r="A13" s="1" t="s">
        <v>467</v>
      </c>
      <c r="B13" s="125"/>
      <c r="C13" s="111"/>
      <c r="D13" s="111"/>
      <c r="E13" s="111"/>
      <c r="F13" s="111"/>
      <c r="G13" s="125"/>
      <c r="H13" s="111"/>
      <c r="I13" s="111"/>
      <c r="J13" s="111"/>
      <c r="K13" s="111"/>
      <c r="L13" s="125"/>
      <c r="M13" s="111"/>
      <c r="N13" s="111"/>
      <c r="O13" s="111"/>
      <c r="P13" s="111"/>
      <c r="Q13" s="125"/>
      <c r="R13" s="111"/>
      <c r="S13" s="111"/>
      <c r="T13" s="111"/>
      <c r="U13" s="111"/>
      <c r="V13" s="125"/>
      <c r="W13" s="111"/>
      <c r="X13" s="111"/>
      <c r="Y13" s="111"/>
      <c r="Z13" s="111"/>
      <c r="AA13" s="125"/>
      <c r="AB13" s="111"/>
      <c r="AC13" s="111"/>
      <c r="AD13" s="111"/>
      <c r="AE13" s="111"/>
      <c r="AF13" s="125"/>
      <c r="AG13" s="111"/>
      <c r="AH13" s="111"/>
      <c r="AI13" s="111"/>
      <c r="AJ13" s="111"/>
      <c r="AK13" s="125"/>
      <c r="AL13" s="111"/>
      <c r="AM13" s="111"/>
      <c r="AN13" s="111"/>
      <c r="AO13" s="111"/>
      <c r="AP13" s="125"/>
      <c r="AQ13" s="111"/>
      <c r="AR13" s="111"/>
      <c r="AS13" s="111"/>
      <c r="AT13" s="111"/>
      <c r="AU13" s="125"/>
      <c r="AV13" s="111"/>
      <c r="AW13" s="111"/>
      <c r="AX13" s="111"/>
      <c r="AY13" s="111"/>
      <c r="AZ13" s="125"/>
      <c r="BA13" s="111"/>
      <c r="BB13" s="111"/>
      <c r="BC13" s="111"/>
      <c r="BD13" s="111"/>
      <c r="BE13" s="125"/>
      <c r="BF13" s="111"/>
      <c r="BG13" s="111"/>
      <c r="BH13" s="111"/>
      <c r="BI13" s="111"/>
      <c r="BJ13" s="125"/>
      <c r="BK13" s="111"/>
      <c r="BL13" s="111"/>
      <c r="BM13" s="111"/>
      <c r="BN13" s="111"/>
      <c r="BO13" s="125"/>
      <c r="BP13" s="111"/>
      <c r="BQ13" s="111"/>
      <c r="BR13" s="111"/>
      <c r="BS13" s="111"/>
      <c r="BT13" s="125"/>
      <c r="BU13" s="111"/>
      <c r="BV13" s="111"/>
      <c r="BW13" s="111"/>
      <c r="BX13" s="111"/>
      <c r="BY13" s="125"/>
      <c r="BZ13" s="111"/>
      <c r="CA13" s="111"/>
      <c r="CB13" s="111"/>
      <c r="CC13" s="111"/>
      <c r="CD13" s="125"/>
      <c r="CE13" s="111"/>
      <c r="CF13" s="111"/>
      <c r="CG13" s="111"/>
      <c r="CH13" s="111"/>
      <c r="CI13" s="125"/>
      <c r="CJ13" s="111"/>
      <c r="CK13" s="111"/>
      <c r="CL13" s="111"/>
      <c r="CM13" s="111"/>
      <c r="CN13" s="125"/>
      <c r="CO13" s="111"/>
      <c r="CP13" s="111"/>
      <c r="CQ13" s="117"/>
      <c r="CR13" s="111">
        <v>2784.1</v>
      </c>
      <c r="CS13" s="125">
        <f>CR13</f>
        <v>2784.1</v>
      </c>
      <c r="CT13" s="609">
        <v>0</v>
      </c>
      <c r="CU13" s="618">
        <v>0</v>
      </c>
      <c r="CV13" s="618">
        <v>0</v>
      </c>
      <c r="CW13" s="720">
        <v>0</v>
      </c>
      <c r="CX13" s="721">
        <v>0</v>
      </c>
      <c r="CY13" s="609"/>
      <c r="CZ13" s="609"/>
      <c r="DA13" s="609"/>
      <c r="DB13" s="824">
        <v>0</v>
      </c>
      <c r="DC13" s="810">
        <v>0</v>
      </c>
      <c r="DD13" s="143"/>
      <c r="DE13" s="609"/>
      <c r="DF13" s="609"/>
      <c r="DG13" s="824">
        <v>0</v>
      </c>
      <c r="DH13" s="810"/>
      <c r="DI13" s="143"/>
      <c r="DJ13" s="143"/>
      <c r="DK13" s="609"/>
      <c r="DL13" s="111"/>
      <c r="DM13" s="125"/>
      <c r="DN13" s="143"/>
      <c r="DO13" s="143"/>
      <c r="DP13" s="143"/>
      <c r="DQ13" s="143"/>
      <c r="DR13" s="142"/>
      <c r="DS13" s="143"/>
      <c r="DT13" s="143"/>
      <c r="DU13" s="143"/>
      <c r="DV13" s="143"/>
      <c r="DW13" s="142"/>
      <c r="DX13" s="143"/>
      <c r="DY13" s="143"/>
      <c r="DZ13" s="143"/>
      <c r="EA13" s="143"/>
      <c r="EB13" s="142"/>
      <c r="EE13" s="125"/>
      <c r="EF13" s="125"/>
      <c r="EG13" s="125"/>
      <c r="EH13" s="125"/>
      <c r="EI13" s="125"/>
      <c r="EJ13" s="125"/>
      <c r="EK13" s="125"/>
      <c r="EL13" s="125"/>
      <c r="EM13" s="125"/>
      <c r="EN13" s="125"/>
      <c r="EO13" s="125"/>
      <c r="EP13" s="125"/>
      <c r="EQ13" s="125"/>
      <c r="ER13" s="125"/>
      <c r="FC13"/>
      <c r="FD13"/>
      <c r="FE13"/>
      <c r="FF13"/>
      <c r="FG13"/>
      <c r="FH13"/>
      <c r="FI13" s="396"/>
      <c r="FJ13" s="419"/>
      <c r="FK13" s="419"/>
      <c r="FL13" s="419"/>
      <c r="FM13" s="419"/>
      <c r="FN13" s="419"/>
      <c r="FO13" s="419"/>
      <c r="FP13" s="419"/>
      <c r="FQ13" s="419"/>
      <c r="FR13" s="419"/>
      <c r="FS13" s="419"/>
      <c r="FT13" s="419"/>
      <c r="FU13" s="419"/>
      <c r="FV13" s="419"/>
      <c r="FW13" s="419"/>
      <c r="FX13" s="419"/>
      <c r="FY13" s="419"/>
      <c r="FZ13" s="419"/>
      <c r="GA13" s="419"/>
      <c r="GB13" s="419"/>
      <c r="GC13" s="419"/>
      <c r="GD13" s="419"/>
      <c r="GE13" s="419"/>
      <c r="GF13" s="419"/>
      <c r="GG13" s="419"/>
      <c r="GH13" s="419"/>
      <c r="GI13" s="419"/>
      <c r="GJ13" s="419"/>
      <c r="GK13" s="419"/>
      <c r="GL13" s="419"/>
      <c r="GM13" s="419"/>
      <c r="GN13" s="419"/>
      <c r="GO13" s="419"/>
      <c r="GP13" s="419"/>
      <c r="GQ13" s="419"/>
      <c r="GR13" s="419"/>
      <c r="GS13" s="419"/>
      <c r="GT13" s="419"/>
      <c r="GU13" s="419"/>
      <c r="GV13" s="419"/>
      <c r="GW13" s="418"/>
      <c r="GX13" s="418"/>
      <c r="GY13" s="418"/>
      <c r="GZ13" s="418"/>
      <c r="HA13" s="418"/>
      <c r="HB13" s="418"/>
      <c r="HC13" s="418"/>
      <c r="HD13" s="418"/>
      <c r="HE13" s="418"/>
      <c r="HF13" s="418"/>
      <c r="HG13" s="418"/>
      <c r="HH13" s="418"/>
      <c r="HI13" s="418"/>
      <c r="HJ13" s="418"/>
      <c r="HK13" s="418"/>
      <c r="HL13" s="418"/>
      <c r="HM13" s="418"/>
      <c r="HN13" s="418"/>
      <c r="HO13" s="418"/>
      <c r="HP13" s="418"/>
      <c r="HQ13" s="418"/>
      <c r="HR13" s="418"/>
      <c r="HS13" s="418"/>
      <c r="HT13" s="418"/>
      <c r="HU13" s="418"/>
      <c r="HV13" s="418"/>
      <c r="HW13" s="418"/>
      <c r="HX13" s="418"/>
      <c r="HY13" s="418"/>
      <c r="HZ13" s="418"/>
      <c r="IA13" s="418"/>
      <c r="IB13" s="418"/>
      <c r="IC13" s="418"/>
      <c r="ID13" s="418"/>
      <c r="IE13" s="418"/>
      <c r="IF13" s="418"/>
      <c r="IG13" s="418"/>
      <c r="IH13" s="418"/>
      <c r="II13" s="418"/>
      <c r="IJ13" s="418"/>
      <c r="IK13" s="418"/>
      <c r="IL13" s="418"/>
      <c r="IM13" s="418"/>
      <c r="IN13" s="418"/>
      <c r="IO13" s="418"/>
      <c r="IP13" s="418"/>
      <c r="IQ13" s="418"/>
      <c r="IR13" s="418"/>
      <c r="IS13" s="418"/>
      <c r="IT13" s="418"/>
      <c r="IU13" s="418"/>
      <c r="IV13" s="418"/>
    </row>
    <row r="14" spans="1:256" s="1" customFormat="1" x14ac:dyDescent="0.2">
      <c r="A14" s="1" t="s">
        <v>390</v>
      </c>
      <c r="B14" s="125">
        <v>-1.33</v>
      </c>
      <c r="C14" s="111">
        <v>0.192</v>
      </c>
      <c r="D14" s="111">
        <v>0.151</v>
      </c>
      <c r="E14" s="111">
        <v>-1.31</v>
      </c>
      <c r="F14" s="111">
        <v>5.2539999999999996</v>
      </c>
      <c r="G14" s="125">
        <v>4.28</v>
      </c>
      <c r="H14" s="111">
        <v>2.5750000000000002</v>
      </c>
      <c r="I14" s="111">
        <v>-9.3369999999999997</v>
      </c>
      <c r="J14" s="111">
        <v>0.93500000000000005</v>
      </c>
      <c r="K14" s="111">
        <v>3.363</v>
      </c>
      <c r="L14" s="125">
        <v>-2.5</v>
      </c>
      <c r="M14" s="111">
        <v>2.6040000000000001</v>
      </c>
      <c r="N14" s="111">
        <v>0.58699999999999997</v>
      </c>
      <c r="O14" s="111">
        <v>4.492</v>
      </c>
      <c r="P14" s="111">
        <v>1.454</v>
      </c>
      <c r="Q14" s="125">
        <v>9.3000000000000007</v>
      </c>
      <c r="R14" s="111">
        <f>-0.134+0.045</f>
        <v>-8.900000000000001E-2</v>
      </c>
      <c r="S14" s="111">
        <f>0.719+0.177-R14</f>
        <v>0.98499999999999988</v>
      </c>
      <c r="T14" s="111">
        <f>-1.814+1.002+7.153-SUM(R14:S14)-12.981</f>
        <v>-7.5360000000000005</v>
      </c>
      <c r="U14" s="111">
        <v>-2.4430000000000001</v>
      </c>
      <c r="V14" s="125">
        <v>19.84</v>
      </c>
      <c r="W14" s="111">
        <f>0.604+0.353</f>
        <v>0.95699999999999996</v>
      </c>
      <c r="X14" s="111">
        <f>(2.479+0.731)-W14</f>
        <v>2.2530000000000001</v>
      </c>
      <c r="Y14" s="111">
        <f>(3.121+0.987)-X14-W14</f>
        <v>0.89799999999999958</v>
      </c>
      <c r="Z14" s="111">
        <f t="shared" si="15"/>
        <v>-3.1759999999999997</v>
      </c>
      <c r="AA14" s="125">
        <f>2.456+0.794-2.318</f>
        <v>0.93199999999999994</v>
      </c>
      <c r="AB14" s="111">
        <v>0</v>
      </c>
      <c r="AC14" s="111">
        <v>0</v>
      </c>
      <c r="AD14" s="111">
        <v>0</v>
      </c>
      <c r="AE14" s="111">
        <f t="shared" si="0"/>
        <v>58.792000000000002</v>
      </c>
      <c r="AF14" s="125">
        <v>58.792000000000002</v>
      </c>
      <c r="AG14" s="111">
        <v>0</v>
      </c>
      <c r="AH14" s="111">
        <v>0</v>
      </c>
      <c r="AI14" s="111">
        <v>0</v>
      </c>
      <c r="AJ14" s="111">
        <f t="shared" si="1"/>
        <v>2.94</v>
      </c>
      <c r="AK14" s="125">
        <v>2.94</v>
      </c>
      <c r="AL14" s="111">
        <v>-13.361000000000001</v>
      </c>
      <c r="AM14" s="111">
        <v>0</v>
      </c>
      <c r="AN14" s="111">
        <v>0</v>
      </c>
      <c r="AO14" s="111">
        <f t="shared" si="2"/>
        <v>0</v>
      </c>
      <c r="AP14" s="125">
        <v>-13.361000000000001</v>
      </c>
      <c r="AQ14" s="111">
        <v>0</v>
      </c>
      <c r="AR14" s="111">
        <v>0</v>
      </c>
      <c r="AS14" s="111">
        <v>0</v>
      </c>
      <c r="AT14" s="111">
        <f t="shared" si="3"/>
        <v>0</v>
      </c>
      <c r="AU14" s="125">
        <v>0</v>
      </c>
      <c r="AV14" s="111">
        <v>0</v>
      </c>
      <c r="AW14" s="111">
        <v>0</v>
      </c>
      <c r="AX14" s="111">
        <v>0</v>
      </c>
      <c r="AY14" s="111">
        <f t="shared" si="4"/>
        <v>0</v>
      </c>
      <c r="AZ14" s="125">
        <v>0</v>
      </c>
      <c r="BA14" s="111">
        <v>0</v>
      </c>
      <c r="BB14" s="111">
        <v>0</v>
      </c>
      <c r="BC14" s="111">
        <v>0</v>
      </c>
      <c r="BD14" s="111">
        <f t="shared" si="5"/>
        <v>0</v>
      </c>
      <c r="BE14" s="125">
        <v>0</v>
      </c>
      <c r="BF14" s="111">
        <v>0</v>
      </c>
      <c r="BG14" s="111">
        <v>0</v>
      </c>
      <c r="BH14" s="111">
        <v>0</v>
      </c>
      <c r="BI14" s="111">
        <f t="shared" si="6"/>
        <v>0</v>
      </c>
      <c r="BJ14" s="125">
        <v>0</v>
      </c>
      <c r="BK14" s="111">
        <v>0</v>
      </c>
      <c r="BL14" s="111">
        <v>0</v>
      </c>
      <c r="BM14" s="111">
        <v>0</v>
      </c>
      <c r="BN14" s="111">
        <f t="shared" si="7"/>
        <v>0</v>
      </c>
      <c r="BO14" s="125">
        <v>0</v>
      </c>
      <c r="BP14" s="111">
        <v>0</v>
      </c>
      <c r="BQ14" s="111">
        <v>0</v>
      </c>
      <c r="BR14" s="111">
        <v>0</v>
      </c>
      <c r="BS14" s="111">
        <f t="shared" si="8"/>
        <v>0</v>
      </c>
      <c r="BT14" s="125">
        <v>0</v>
      </c>
      <c r="BU14" s="111">
        <v>0</v>
      </c>
      <c r="BV14" s="111">
        <v>0</v>
      </c>
      <c r="BW14" s="111">
        <v>0</v>
      </c>
      <c r="BX14" s="111">
        <f t="shared" si="9"/>
        <v>0</v>
      </c>
      <c r="BY14" s="125">
        <v>0</v>
      </c>
      <c r="BZ14" s="111">
        <v>0</v>
      </c>
      <c r="CA14" s="111">
        <v>0</v>
      </c>
      <c r="CB14" s="111">
        <v>0</v>
      </c>
      <c r="CC14" s="111">
        <f t="shared" si="10"/>
        <v>0</v>
      </c>
      <c r="CD14" s="367">
        <v>0</v>
      </c>
      <c r="CE14" s="111">
        <v>0</v>
      </c>
      <c r="CF14" s="111">
        <v>0</v>
      </c>
      <c r="CG14" s="111">
        <v>0</v>
      </c>
      <c r="CH14" s="111">
        <f t="shared" si="11"/>
        <v>-85.4</v>
      </c>
      <c r="CI14" s="125">
        <v>-85.4</v>
      </c>
      <c r="CJ14" s="366">
        <v>0</v>
      </c>
      <c r="CK14" s="366">
        <v>0</v>
      </c>
      <c r="CL14" s="366">
        <v>0</v>
      </c>
      <c r="CM14" s="366">
        <f t="shared" si="12"/>
        <v>0</v>
      </c>
      <c r="CN14" s="367">
        <v>0</v>
      </c>
      <c r="CO14" s="366">
        <v>0</v>
      </c>
      <c r="CP14" s="366">
        <v>0</v>
      </c>
      <c r="CQ14" s="495">
        <v>0</v>
      </c>
      <c r="CR14" s="366">
        <f t="shared" si="16"/>
        <v>-80.099999999999994</v>
      </c>
      <c r="CS14" s="367">
        <v>-80.099999999999994</v>
      </c>
      <c r="CT14" s="366">
        <v>0</v>
      </c>
      <c r="CU14" s="495">
        <v>0</v>
      </c>
      <c r="CV14" s="495">
        <v>0</v>
      </c>
      <c r="CW14" s="722">
        <f>CX14-CV14-CU14-CT14</f>
        <v>-70.2</v>
      </c>
      <c r="CX14" s="723">
        <v>-70.2</v>
      </c>
      <c r="CY14" s="366">
        <v>-390.6</v>
      </c>
      <c r="CZ14" s="366">
        <f>-390.6-CY14</f>
        <v>0</v>
      </c>
      <c r="DA14" s="366">
        <f>-390.6-CZ14-CY14</f>
        <v>0</v>
      </c>
      <c r="DB14" s="815">
        <f>DC14-DA14-CZ14-CY14</f>
        <v>-3.6999999999999886</v>
      </c>
      <c r="DC14" s="367">
        <v>-394.3</v>
      </c>
      <c r="DD14" s="366">
        <v>-0.6</v>
      </c>
      <c r="DE14" s="366">
        <f>-0.6-DD14</f>
        <v>0</v>
      </c>
      <c r="DF14" s="366">
        <f>-30.7-DE14-DD14</f>
        <v>-30.099999999999998</v>
      </c>
      <c r="DG14" s="815">
        <f>DH14-DF14-DE14-DD14</f>
        <v>24.6</v>
      </c>
      <c r="DH14" s="367">
        <v>-6.1</v>
      </c>
      <c r="DI14" s="366">
        <v>0</v>
      </c>
      <c r="DJ14" s="366">
        <v>-9.6</v>
      </c>
      <c r="DK14" s="366">
        <f>-9.6-SUM(DI14:DJ14)</f>
        <v>0</v>
      </c>
      <c r="DL14" s="111">
        <f>-93.5-SUM(DI14:DK14)</f>
        <v>-83.9</v>
      </c>
      <c r="DM14" s="125">
        <f t="shared" si="13"/>
        <v>-93.5</v>
      </c>
      <c r="DN14" s="143">
        <v>0</v>
      </c>
      <c r="DO14" s="143">
        <v>0</v>
      </c>
      <c r="DP14" s="143">
        <v>0</v>
      </c>
      <c r="DQ14" s="143">
        <v>0</v>
      </c>
      <c r="DR14" s="142">
        <f t="shared" si="14"/>
        <v>0</v>
      </c>
      <c r="DS14" s="143">
        <v>0</v>
      </c>
      <c r="DT14" s="143">
        <v>0</v>
      </c>
      <c r="DU14" s="143">
        <v>0</v>
      </c>
      <c r="DV14" s="143">
        <v>0</v>
      </c>
      <c r="DW14" s="142">
        <f t="shared" ref="DW14:DW36" si="17">SUM(DS14:DV14)</f>
        <v>0</v>
      </c>
      <c r="DX14" s="143">
        <v>0</v>
      </c>
      <c r="DY14" s="143">
        <v>0</v>
      </c>
      <c r="DZ14" s="143">
        <v>0</v>
      </c>
      <c r="EA14" s="143">
        <v>0</v>
      </c>
      <c r="EB14" s="142">
        <f t="shared" ref="EB14:EB36" si="18">SUM(DX14:EA14)</f>
        <v>0</v>
      </c>
      <c r="EE14" s="125"/>
      <c r="EF14" s="125"/>
      <c r="EG14" s="125"/>
      <c r="EH14" s="125"/>
      <c r="EI14" s="125"/>
      <c r="EJ14" s="125"/>
      <c r="EK14" s="125"/>
      <c r="EL14" s="125"/>
      <c r="EM14" s="125"/>
      <c r="EN14" s="125"/>
      <c r="EO14" s="125"/>
      <c r="EP14" s="125"/>
      <c r="EQ14" s="125"/>
      <c r="ER14" s="125"/>
      <c r="FC14"/>
      <c r="FD14"/>
      <c r="FE14"/>
      <c r="FF14"/>
      <c r="FG14"/>
      <c r="FH14"/>
      <c r="FI14" s="396"/>
      <c r="FJ14" s="419"/>
      <c r="FK14" s="419"/>
      <c r="FL14" s="419"/>
      <c r="FM14" s="419"/>
      <c r="FN14" s="419"/>
      <c r="FO14" s="419"/>
      <c r="FP14" s="419"/>
      <c r="FQ14" s="419"/>
      <c r="FR14" s="419"/>
      <c r="FS14" s="419"/>
      <c r="FT14" s="419"/>
      <c r="FU14" s="419"/>
      <c r="FV14" s="419"/>
      <c r="FW14" s="419"/>
      <c r="FX14" s="419"/>
      <c r="FY14" s="419"/>
      <c r="FZ14" s="419"/>
      <c r="GA14" s="419"/>
      <c r="GB14" s="419"/>
      <c r="GC14" s="419"/>
      <c r="GD14" s="419"/>
      <c r="GE14" s="419"/>
      <c r="GF14" s="419"/>
      <c r="GG14" s="419"/>
      <c r="GH14" s="419"/>
      <c r="GI14" s="419"/>
      <c r="GJ14" s="419"/>
      <c r="GK14" s="419"/>
      <c r="GL14" s="419"/>
      <c r="GM14" s="419"/>
      <c r="GN14" s="419"/>
      <c r="GO14" s="419"/>
      <c r="GP14" s="419"/>
      <c r="GQ14" s="419"/>
      <c r="GR14" s="419"/>
      <c r="GS14" s="419"/>
      <c r="GT14" s="419"/>
      <c r="GU14" s="419"/>
      <c r="GV14" s="419"/>
      <c r="GW14" s="418"/>
      <c r="GX14" s="418"/>
      <c r="GY14" s="418"/>
      <c r="GZ14" s="418"/>
      <c r="HA14" s="418"/>
      <c r="HB14" s="418"/>
      <c r="HC14" s="418"/>
      <c r="HD14" s="418"/>
      <c r="HE14" s="418"/>
      <c r="HF14" s="418"/>
      <c r="HG14" s="418"/>
      <c r="HH14" s="418"/>
      <c r="HI14" s="418"/>
      <c r="HJ14" s="418"/>
      <c r="HK14" s="418"/>
      <c r="HL14" s="418"/>
      <c r="HM14" s="418"/>
      <c r="HN14" s="418"/>
      <c r="HO14" s="418"/>
      <c r="HP14" s="418"/>
      <c r="HQ14" s="418"/>
      <c r="HR14" s="418"/>
      <c r="HS14" s="418"/>
      <c r="HT14" s="418"/>
      <c r="HU14" s="418"/>
      <c r="HV14" s="418"/>
      <c r="HW14" s="418"/>
      <c r="HX14" s="418"/>
      <c r="HY14" s="418"/>
      <c r="HZ14" s="418"/>
      <c r="IA14" s="418"/>
      <c r="IB14" s="418"/>
      <c r="IC14" s="418"/>
      <c r="ID14" s="418"/>
      <c r="IE14" s="418"/>
      <c r="IF14" s="418"/>
      <c r="IG14" s="418"/>
      <c r="IH14" s="418"/>
      <c r="II14" s="418"/>
      <c r="IJ14" s="418"/>
      <c r="IK14" s="418"/>
      <c r="IL14" s="418"/>
      <c r="IM14" s="418"/>
      <c r="IN14" s="418"/>
      <c r="IO14" s="418"/>
      <c r="IP14" s="418"/>
      <c r="IQ14" s="418"/>
      <c r="IR14" s="418"/>
      <c r="IS14" s="418"/>
      <c r="IT14" s="418"/>
      <c r="IU14" s="418"/>
      <c r="IV14" s="418"/>
    </row>
    <row r="15" spans="1:256" s="1" customFormat="1" x14ac:dyDescent="0.2">
      <c r="A15" s="1" t="s">
        <v>614</v>
      </c>
      <c r="B15" s="125"/>
      <c r="C15" s="111"/>
      <c r="D15" s="111"/>
      <c r="E15" s="111"/>
      <c r="F15" s="111"/>
      <c r="G15" s="125"/>
      <c r="H15" s="111"/>
      <c r="I15" s="111"/>
      <c r="J15" s="111"/>
      <c r="K15" s="111"/>
      <c r="L15" s="125"/>
      <c r="M15" s="111"/>
      <c r="N15" s="111"/>
      <c r="O15" s="111"/>
      <c r="P15" s="111"/>
      <c r="Q15" s="125"/>
      <c r="R15" s="111"/>
      <c r="S15" s="111"/>
      <c r="T15" s="111"/>
      <c r="U15" s="111"/>
      <c r="V15" s="125"/>
      <c r="W15" s="111"/>
      <c r="X15" s="111"/>
      <c r="Y15" s="111"/>
      <c r="Z15" s="111"/>
      <c r="AA15" s="125"/>
      <c r="AB15" s="111"/>
      <c r="AC15" s="111"/>
      <c r="AD15" s="111"/>
      <c r="AE15" s="111"/>
      <c r="AF15" s="125"/>
      <c r="AG15" s="111"/>
      <c r="AH15" s="111"/>
      <c r="AI15" s="111"/>
      <c r="AJ15" s="111"/>
      <c r="AK15" s="125"/>
      <c r="AL15" s="111"/>
      <c r="AM15" s="111"/>
      <c r="AN15" s="111"/>
      <c r="AO15" s="111"/>
      <c r="AP15" s="125"/>
      <c r="AQ15" s="111"/>
      <c r="AR15" s="111"/>
      <c r="AS15" s="111"/>
      <c r="AT15" s="111"/>
      <c r="AU15" s="125"/>
      <c r="AV15" s="111"/>
      <c r="AW15" s="111"/>
      <c r="AX15" s="111"/>
      <c r="AY15" s="111"/>
      <c r="AZ15" s="125"/>
      <c r="BA15" s="111"/>
      <c r="BB15" s="111"/>
      <c r="BC15" s="111"/>
      <c r="BD15" s="111"/>
      <c r="BE15" s="125"/>
      <c r="BF15" s="111"/>
      <c r="BG15" s="111"/>
      <c r="BH15" s="111"/>
      <c r="BI15" s="111"/>
      <c r="BJ15" s="125"/>
      <c r="BK15" s="111"/>
      <c r="BL15" s="111"/>
      <c r="BM15" s="111"/>
      <c r="BN15" s="111"/>
      <c r="BO15" s="125"/>
      <c r="BP15" s="111"/>
      <c r="BQ15" s="111"/>
      <c r="BR15" s="111"/>
      <c r="BS15" s="111"/>
      <c r="BT15" s="125"/>
      <c r="BU15" s="111"/>
      <c r="BV15" s="111"/>
      <c r="BW15" s="111"/>
      <c r="BX15" s="111"/>
      <c r="BY15" s="125"/>
      <c r="BZ15" s="111"/>
      <c r="CA15" s="111"/>
      <c r="CB15" s="111"/>
      <c r="CC15" s="111"/>
      <c r="CD15" s="367"/>
      <c r="CE15" s="111"/>
      <c r="CF15" s="111"/>
      <c r="CG15" s="111"/>
      <c r="CH15" s="111"/>
      <c r="CI15" s="125"/>
      <c r="CJ15" s="366"/>
      <c r="CK15" s="366"/>
      <c r="CL15" s="366"/>
      <c r="CM15" s="366"/>
      <c r="CN15" s="367"/>
      <c r="CO15" s="366"/>
      <c r="CP15" s="366"/>
      <c r="CQ15" s="495"/>
      <c r="CR15" s="366"/>
      <c r="CS15" s="367"/>
      <c r="CT15" s="366"/>
      <c r="CU15" s="495"/>
      <c r="CV15" s="495"/>
      <c r="CW15" s="722"/>
      <c r="CX15" s="723"/>
      <c r="CY15" s="366">
        <v>0</v>
      </c>
      <c r="CZ15" s="366">
        <v>0</v>
      </c>
      <c r="DA15" s="366">
        <v>0</v>
      </c>
      <c r="DB15" s="815">
        <f>DC15-DA15-CZ15-CY15</f>
        <v>61.1</v>
      </c>
      <c r="DC15" s="367">
        <v>61.1</v>
      </c>
      <c r="DD15" s="366">
        <v>0</v>
      </c>
      <c r="DE15" s="366">
        <v>0</v>
      </c>
      <c r="DF15" s="366">
        <v>0</v>
      </c>
      <c r="DG15" s="815">
        <f>DH15-DF15-DE15-DD15</f>
        <v>0</v>
      </c>
      <c r="DH15" s="367"/>
      <c r="DI15" s="366"/>
      <c r="DJ15" s="366"/>
      <c r="DK15" s="366"/>
      <c r="DL15" s="111"/>
      <c r="DM15" s="125"/>
      <c r="DN15" s="143"/>
      <c r="DO15" s="143"/>
      <c r="DP15" s="143"/>
      <c r="DQ15" s="143"/>
      <c r="DR15" s="142"/>
      <c r="DS15" s="143"/>
      <c r="DT15" s="143"/>
      <c r="DU15" s="143"/>
      <c r="DV15" s="143"/>
      <c r="DW15" s="142"/>
      <c r="DX15" s="143"/>
      <c r="DY15" s="143"/>
      <c r="DZ15" s="143"/>
      <c r="EA15" s="143"/>
      <c r="EB15" s="142"/>
      <c r="EE15" s="125"/>
      <c r="EF15" s="125"/>
      <c r="EG15" s="125"/>
      <c r="EH15" s="125"/>
      <c r="EI15" s="125"/>
      <c r="EJ15" s="125"/>
      <c r="EK15" s="125"/>
      <c r="EL15" s="125"/>
      <c r="EM15" s="125"/>
      <c r="EN15" s="125"/>
      <c r="EO15" s="125"/>
      <c r="EP15" s="125"/>
      <c r="EQ15" s="125"/>
      <c r="ER15" s="125"/>
      <c r="FC15"/>
      <c r="FD15"/>
      <c r="FE15"/>
      <c r="FF15"/>
      <c r="FG15"/>
      <c r="FH15"/>
      <c r="FI15" s="396"/>
      <c r="FJ15" s="419"/>
      <c r="FK15" s="419"/>
      <c r="FL15" s="419"/>
      <c r="FM15" s="419"/>
      <c r="FN15" s="419"/>
      <c r="FO15" s="419"/>
      <c r="FP15" s="419"/>
      <c r="FQ15" s="419"/>
      <c r="FR15" s="419"/>
      <c r="FS15" s="419"/>
      <c r="FT15" s="419"/>
      <c r="FU15" s="419"/>
      <c r="FV15" s="419"/>
      <c r="FW15" s="419"/>
      <c r="FX15" s="419"/>
      <c r="FY15" s="419"/>
      <c r="FZ15" s="419"/>
      <c r="GA15" s="419"/>
      <c r="GB15" s="419"/>
      <c r="GC15" s="419"/>
      <c r="GD15" s="419"/>
      <c r="GE15" s="419"/>
      <c r="GF15" s="419"/>
      <c r="GG15" s="419"/>
      <c r="GH15" s="419"/>
      <c r="GI15" s="419"/>
      <c r="GJ15" s="419"/>
      <c r="GK15" s="419"/>
      <c r="GL15" s="419"/>
      <c r="GM15" s="419"/>
      <c r="GN15" s="419"/>
      <c r="GO15" s="419"/>
      <c r="GP15" s="419"/>
      <c r="GQ15" s="419"/>
      <c r="GR15" s="419"/>
      <c r="GS15" s="419"/>
      <c r="GT15" s="419"/>
      <c r="GU15" s="419"/>
      <c r="GV15" s="419"/>
      <c r="GW15" s="418"/>
      <c r="GX15" s="418"/>
      <c r="GY15" s="418"/>
      <c r="GZ15" s="418"/>
      <c r="HA15" s="418"/>
      <c r="HB15" s="418"/>
      <c r="HC15" s="418"/>
      <c r="HD15" s="418"/>
      <c r="HE15" s="418"/>
      <c r="HF15" s="418"/>
      <c r="HG15" s="418"/>
      <c r="HH15" s="418"/>
      <c r="HI15" s="418"/>
      <c r="HJ15" s="418"/>
      <c r="HK15" s="418"/>
      <c r="HL15" s="418"/>
      <c r="HM15" s="418"/>
      <c r="HN15" s="418"/>
      <c r="HO15" s="418"/>
      <c r="HP15" s="418"/>
      <c r="HQ15" s="418"/>
      <c r="HR15" s="418"/>
      <c r="HS15" s="418"/>
      <c r="HT15" s="418"/>
      <c r="HU15" s="418"/>
      <c r="HV15" s="418"/>
      <c r="HW15" s="418"/>
      <c r="HX15" s="418"/>
      <c r="HY15" s="418"/>
      <c r="HZ15" s="418"/>
      <c r="IA15" s="418"/>
      <c r="IB15" s="418"/>
      <c r="IC15" s="418"/>
      <c r="ID15" s="418"/>
      <c r="IE15" s="418"/>
      <c r="IF15" s="418"/>
      <c r="IG15" s="418"/>
      <c r="IH15" s="418"/>
      <c r="II15" s="418"/>
      <c r="IJ15" s="418"/>
      <c r="IK15" s="418"/>
      <c r="IL15" s="418"/>
      <c r="IM15" s="418"/>
      <c r="IN15" s="418"/>
      <c r="IO15" s="418"/>
      <c r="IP15" s="418"/>
      <c r="IQ15" s="418"/>
      <c r="IR15" s="418"/>
      <c r="IS15" s="418"/>
      <c r="IT15" s="418"/>
      <c r="IU15" s="418"/>
      <c r="IV15" s="418"/>
    </row>
    <row r="16" spans="1:256" s="1" customFormat="1" x14ac:dyDescent="0.2">
      <c r="A16" s="1" t="s">
        <v>389</v>
      </c>
      <c r="B16" s="125">
        <v>0</v>
      </c>
      <c r="C16" s="111">
        <v>0</v>
      </c>
      <c r="D16" s="111">
        <v>0</v>
      </c>
      <c r="E16" s="111">
        <v>0</v>
      </c>
      <c r="F16" s="111">
        <f t="shared" ref="F16:F24" si="19">G16-E16-D16-C16</f>
        <v>0</v>
      </c>
      <c r="G16" s="125">
        <v>0</v>
      </c>
      <c r="H16" s="111">
        <v>0</v>
      </c>
      <c r="I16" s="111">
        <v>0</v>
      </c>
      <c r="J16" s="111">
        <v>0</v>
      </c>
      <c r="K16" s="111">
        <f t="shared" ref="K16:K24" si="20">L16-J16-I16-H16</f>
        <v>0</v>
      </c>
      <c r="L16" s="125">
        <v>0</v>
      </c>
      <c r="M16" s="111">
        <v>0</v>
      </c>
      <c r="N16" s="111">
        <v>0</v>
      </c>
      <c r="O16" s="111">
        <v>0</v>
      </c>
      <c r="P16" s="111">
        <f t="shared" ref="P16:P24" si="21">Q16-O16-N16-M16</f>
        <v>0</v>
      </c>
      <c r="Q16" s="125">
        <v>0</v>
      </c>
      <c r="R16" s="111">
        <v>0</v>
      </c>
      <c r="S16" s="111">
        <v>0</v>
      </c>
      <c r="T16" s="111">
        <v>0</v>
      </c>
      <c r="U16" s="111">
        <f t="shared" ref="U16:U24" si="22">V16-T16-S16-R16</f>
        <v>0</v>
      </c>
      <c r="V16" s="125">
        <v>0</v>
      </c>
      <c r="W16" s="111">
        <v>0</v>
      </c>
      <c r="X16" s="111">
        <v>0</v>
      </c>
      <c r="Y16" s="111">
        <v>0</v>
      </c>
      <c r="Z16" s="111">
        <f t="shared" si="15"/>
        <v>0</v>
      </c>
      <c r="AA16" s="125">
        <v>0</v>
      </c>
      <c r="AB16" s="111">
        <v>0.61299999999999999</v>
      </c>
      <c r="AC16" s="111">
        <f>1.307-AB16</f>
        <v>0.69399999999999995</v>
      </c>
      <c r="AD16" s="111">
        <f>2.462-AB16-AC16</f>
        <v>1.1550000000000002</v>
      </c>
      <c r="AE16" s="111">
        <f t="shared" si="0"/>
        <v>3.2909999999999999</v>
      </c>
      <c r="AF16" s="125">
        <v>5.7530000000000001</v>
      </c>
      <c r="AG16" s="111">
        <v>9.5419999999999998</v>
      </c>
      <c r="AH16" s="111">
        <f>12.508-AG16</f>
        <v>2.9659999999999993</v>
      </c>
      <c r="AI16" s="111">
        <f>12.506-AH16-AG16</f>
        <v>-1.9999999999988916E-3</v>
      </c>
      <c r="AJ16" s="111">
        <f t="shared" si="1"/>
        <v>-1.4619999999999997</v>
      </c>
      <c r="AK16" s="125">
        <v>11.044</v>
      </c>
      <c r="AL16" s="111">
        <v>2.6840000000000002</v>
      </c>
      <c r="AM16" s="111">
        <f>6.971-AL16</f>
        <v>4.2869999999999999</v>
      </c>
      <c r="AN16" s="111">
        <f>19.324-AM16-AL16</f>
        <v>12.353000000000002</v>
      </c>
      <c r="AO16" s="111">
        <f t="shared" si="2"/>
        <v>7.5279999999999996</v>
      </c>
      <c r="AP16" s="125">
        <v>26.852</v>
      </c>
      <c r="AQ16" s="111">
        <v>-1.7609999999999999</v>
      </c>
      <c r="AR16" s="111">
        <f>-0.925-AQ16</f>
        <v>0.83599999999999985</v>
      </c>
      <c r="AS16" s="111">
        <f>5.007-AQ16-AR16</f>
        <v>5.9320000000000004</v>
      </c>
      <c r="AT16" s="111">
        <f t="shared" si="3"/>
        <v>2.7769999999999992</v>
      </c>
      <c r="AU16" s="125">
        <v>7.7839999999999998</v>
      </c>
      <c r="AV16" s="111">
        <v>2.1760000000000002</v>
      </c>
      <c r="AW16" s="111">
        <f>5.949-AV16</f>
        <v>3.7729999999999997</v>
      </c>
      <c r="AX16" s="111">
        <f>9.703-AW16-AV16</f>
        <v>3.7539999999999996</v>
      </c>
      <c r="AY16" s="111">
        <f t="shared" si="4"/>
        <v>3.8650000000000002</v>
      </c>
      <c r="AZ16" s="125">
        <v>13.568</v>
      </c>
      <c r="BA16" s="111">
        <v>2.8889999999999998</v>
      </c>
      <c r="BB16" s="111">
        <f>6.79-BA16</f>
        <v>3.9010000000000002</v>
      </c>
      <c r="BC16" s="111">
        <f>14.765-(SUM(BA16:BB16))</f>
        <v>7.9750000000000005</v>
      </c>
      <c r="BD16" s="111">
        <f t="shared" si="5"/>
        <v>5.3919999999999995</v>
      </c>
      <c r="BE16" s="125">
        <v>20.157</v>
      </c>
      <c r="BF16" s="111">
        <v>4.2060000000000004</v>
      </c>
      <c r="BG16" s="111">
        <f>9.153-BF16</f>
        <v>4.9470000000000001</v>
      </c>
      <c r="BH16" s="111">
        <f>12.017-BG16-BF16</f>
        <v>2.863999999999999</v>
      </c>
      <c r="BI16" s="111">
        <f t="shared" si="6"/>
        <v>7.6050000000000031</v>
      </c>
      <c r="BJ16" s="125">
        <v>19.622</v>
      </c>
      <c r="BK16" s="111">
        <v>3.4689999999999999</v>
      </c>
      <c r="BL16" s="111">
        <f>13.5-BK16</f>
        <v>10.031000000000001</v>
      </c>
      <c r="BM16" s="111">
        <f>21.165-BL16-BK16</f>
        <v>7.6649999999999991</v>
      </c>
      <c r="BN16" s="111">
        <f t="shared" si="7"/>
        <v>4.8670000000000009</v>
      </c>
      <c r="BO16" s="125">
        <v>26.032</v>
      </c>
      <c r="BP16" s="111">
        <v>4.9000000000000004</v>
      </c>
      <c r="BQ16" s="111">
        <f>42.4-BP16</f>
        <v>37.5</v>
      </c>
      <c r="BR16" s="111">
        <f>237.5-BQ16-BP16</f>
        <v>195.1</v>
      </c>
      <c r="BS16" s="111">
        <f t="shared" si="8"/>
        <v>87.5</v>
      </c>
      <c r="BT16" s="125">
        <v>325</v>
      </c>
      <c r="BU16" s="111">
        <v>65.3</v>
      </c>
      <c r="BV16" s="111">
        <f>145.7-BU16</f>
        <v>80.399999999999991</v>
      </c>
      <c r="BW16" s="111">
        <f>199-BV16-BU16</f>
        <v>53.300000000000011</v>
      </c>
      <c r="BX16" s="111">
        <f t="shared" si="9"/>
        <v>25.400000000000006</v>
      </c>
      <c r="BY16" s="125">
        <v>224.4</v>
      </c>
      <c r="BZ16" s="111">
        <v>37.200000000000003</v>
      </c>
      <c r="CA16" s="111">
        <f>44.3-BZ16</f>
        <v>7.0999999999999943</v>
      </c>
      <c r="CB16" s="111">
        <f>60.2-CA16-BZ16</f>
        <v>15.900000000000006</v>
      </c>
      <c r="CC16" s="111">
        <f t="shared" si="10"/>
        <v>7.5</v>
      </c>
      <c r="CD16" s="125">
        <v>67.7</v>
      </c>
      <c r="CE16" s="111">
        <v>17.2</v>
      </c>
      <c r="CF16" s="111">
        <f>28-CE16</f>
        <v>10.8</v>
      </c>
      <c r="CG16" s="111">
        <f>34.8-CF16-CE16</f>
        <v>6.7999999999999972</v>
      </c>
      <c r="CH16" s="111">
        <f t="shared" si="11"/>
        <v>1.4000000000000057</v>
      </c>
      <c r="CI16" s="125">
        <v>36.200000000000003</v>
      </c>
      <c r="CJ16" s="366">
        <v>0</v>
      </c>
      <c r="CK16" s="366">
        <v>0</v>
      </c>
      <c r="CL16" s="366">
        <v>0</v>
      </c>
      <c r="CM16" s="366">
        <f t="shared" si="12"/>
        <v>0</v>
      </c>
      <c r="CN16" s="367">
        <v>0</v>
      </c>
      <c r="CO16" s="366">
        <v>0</v>
      </c>
      <c r="CP16" s="366">
        <v>0</v>
      </c>
      <c r="CQ16" s="495">
        <v>0</v>
      </c>
      <c r="CR16" s="366">
        <f t="shared" si="16"/>
        <v>0</v>
      </c>
      <c r="CS16" s="367">
        <v>0</v>
      </c>
      <c r="CT16" s="366">
        <v>0</v>
      </c>
      <c r="CU16" s="495">
        <v>0</v>
      </c>
      <c r="CV16" s="495">
        <v>0</v>
      </c>
      <c r="CW16" s="722">
        <v>0</v>
      </c>
      <c r="CX16" s="723">
        <v>0</v>
      </c>
      <c r="CY16" s="366">
        <v>0</v>
      </c>
      <c r="CZ16" s="366">
        <v>0</v>
      </c>
      <c r="DA16" s="366">
        <v>0</v>
      </c>
      <c r="DB16" s="815">
        <v>0</v>
      </c>
      <c r="DC16" s="367">
        <v>0</v>
      </c>
      <c r="DD16" s="366">
        <v>0</v>
      </c>
      <c r="DE16" s="366">
        <v>0</v>
      </c>
      <c r="DF16" s="366">
        <v>0</v>
      </c>
      <c r="DG16" s="815">
        <v>0</v>
      </c>
      <c r="DH16" s="367">
        <v>0</v>
      </c>
      <c r="DI16" s="366">
        <v>0</v>
      </c>
      <c r="DJ16" s="366">
        <v>0</v>
      </c>
      <c r="DK16" s="366">
        <f>87.2-SUM(DI16:DJ16)</f>
        <v>87.2</v>
      </c>
      <c r="DL16" s="111">
        <f>0-SUM(DI16:DK16)</f>
        <v>-87.2</v>
      </c>
      <c r="DM16" s="125">
        <f t="shared" si="13"/>
        <v>0</v>
      </c>
      <c r="DN16" s="143">
        <v>0</v>
      </c>
      <c r="DO16" s="143">
        <v>0</v>
      </c>
      <c r="DP16" s="143">
        <v>0</v>
      </c>
      <c r="DQ16" s="143">
        <v>0</v>
      </c>
      <c r="DR16" s="142">
        <f t="shared" si="14"/>
        <v>0</v>
      </c>
      <c r="DS16" s="143">
        <v>0</v>
      </c>
      <c r="DT16" s="143">
        <v>0</v>
      </c>
      <c r="DU16" s="143">
        <v>0</v>
      </c>
      <c r="DV16" s="143">
        <v>0</v>
      </c>
      <c r="DW16" s="142">
        <f t="shared" si="17"/>
        <v>0</v>
      </c>
      <c r="DX16" s="143">
        <v>0</v>
      </c>
      <c r="DY16" s="143">
        <v>0</v>
      </c>
      <c r="DZ16" s="143">
        <v>0</v>
      </c>
      <c r="EA16" s="143">
        <v>0</v>
      </c>
      <c r="EB16" s="142">
        <f t="shared" si="18"/>
        <v>0</v>
      </c>
      <c r="EE16" s="125"/>
      <c r="EF16" s="125"/>
      <c r="EG16" s="125"/>
      <c r="EH16" s="125"/>
      <c r="EI16" s="125"/>
      <c r="EJ16" s="125"/>
      <c r="EK16" s="125"/>
      <c r="EL16" s="125"/>
      <c r="EM16" s="125"/>
      <c r="EN16" s="125"/>
      <c r="EO16" s="125"/>
      <c r="EP16" s="125"/>
      <c r="EQ16" s="125"/>
      <c r="ER16" s="125"/>
      <c r="FC16"/>
      <c r="FD16"/>
      <c r="FE16"/>
      <c r="FF16"/>
      <c r="FG16"/>
      <c r="FH16"/>
      <c r="FI16" s="396"/>
      <c r="FJ16" s="419"/>
      <c r="FK16" s="419"/>
      <c r="FL16" s="419"/>
      <c r="FM16" s="419"/>
      <c r="FN16" s="419"/>
      <c r="FO16" s="419"/>
      <c r="FP16" s="419"/>
      <c r="FQ16" s="419"/>
      <c r="FR16" s="419"/>
      <c r="FS16" s="419"/>
      <c r="FT16" s="419"/>
      <c r="FU16" s="419"/>
      <c r="FV16" s="419"/>
      <c r="FW16" s="419"/>
      <c r="FX16" s="419"/>
      <c r="FY16" s="419"/>
      <c r="FZ16" s="419"/>
      <c r="GA16" s="419"/>
      <c r="GB16" s="419"/>
      <c r="GC16" s="419"/>
      <c r="GD16" s="419"/>
      <c r="GE16" s="419"/>
      <c r="GF16" s="419"/>
      <c r="GG16" s="419"/>
      <c r="GH16" s="419"/>
      <c r="GI16" s="419"/>
      <c r="GJ16" s="419"/>
      <c r="GK16" s="419"/>
      <c r="GL16" s="419"/>
      <c r="GM16" s="419"/>
      <c r="GN16" s="419"/>
      <c r="GO16" s="419"/>
      <c r="GP16" s="419"/>
      <c r="GQ16" s="419"/>
      <c r="GR16" s="419"/>
      <c r="GS16" s="419"/>
      <c r="GT16" s="419"/>
      <c r="GU16" s="419"/>
      <c r="GV16" s="419"/>
      <c r="GW16" s="418"/>
      <c r="GX16" s="418"/>
      <c r="GY16" s="418"/>
      <c r="GZ16" s="418"/>
      <c r="HA16" s="418"/>
      <c r="HB16" s="418"/>
      <c r="HC16" s="418"/>
      <c r="HD16" s="418"/>
      <c r="HE16" s="418"/>
      <c r="HF16" s="418"/>
      <c r="HG16" s="418"/>
      <c r="HH16" s="418"/>
      <c r="HI16" s="418"/>
      <c r="HJ16" s="418"/>
      <c r="HK16" s="418"/>
      <c r="HL16" s="418"/>
      <c r="HM16" s="418"/>
      <c r="HN16" s="418"/>
      <c r="HO16" s="418"/>
      <c r="HP16" s="418"/>
      <c r="HQ16" s="418"/>
      <c r="HR16" s="418"/>
      <c r="HS16" s="418"/>
      <c r="HT16" s="418"/>
      <c r="HU16" s="418"/>
      <c r="HV16" s="418"/>
      <c r="HW16" s="418"/>
      <c r="HX16" s="418"/>
      <c r="HY16" s="418"/>
      <c r="HZ16" s="418"/>
      <c r="IA16" s="418"/>
      <c r="IB16" s="418"/>
      <c r="IC16" s="418"/>
      <c r="ID16" s="418"/>
      <c r="IE16" s="418"/>
      <c r="IF16" s="418"/>
      <c r="IG16" s="418"/>
      <c r="IH16" s="418"/>
      <c r="II16" s="418"/>
      <c r="IJ16" s="418"/>
      <c r="IK16" s="418"/>
      <c r="IL16" s="418"/>
      <c r="IM16" s="418"/>
      <c r="IN16" s="418"/>
      <c r="IO16" s="418"/>
      <c r="IP16" s="418"/>
      <c r="IQ16" s="418"/>
      <c r="IR16" s="418"/>
      <c r="IS16" s="418"/>
      <c r="IT16" s="418"/>
      <c r="IU16" s="418"/>
      <c r="IV16" s="418"/>
    </row>
    <row r="17" spans="1:256" s="1" customFormat="1" x14ac:dyDescent="0.2">
      <c r="A17" s="1" t="s">
        <v>388</v>
      </c>
      <c r="B17" s="125">
        <v>0</v>
      </c>
      <c r="C17" s="111">
        <v>0</v>
      </c>
      <c r="D17" s="111">
        <v>0</v>
      </c>
      <c r="E17" s="111">
        <v>0</v>
      </c>
      <c r="F17" s="111">
        <f t="shared" si="19"/>
        <v>0</v>
      </c>
      <c r="G17" s="125">
        <v>0</v>
      </c>
      <c r="H17" s="111">
        <v>0</v>
      </c>
      <c r="I17" s="111">
        <v>0</v>
      </c>
      <c r="J17" s="111">
        <v>0</v>
      </c>
      <c r="K17" s="111">
        <f t="shared" si="20"/>
        <v>0</v>
      </c>
      <c r="L17" s="125">
        <v>0</v>
      </c>
      <c r="M17" s="111">
        <v>0</v>
      </c>
      <c r="N17" s="111">
        <v>0</v>
      </c>
      <c r="O17" s="111">
        <v>0</v>
      </c>
      <c r="P17" s="111">
        <f t="shared" si="21"/>
        <v>0</v>
      </c>
      <c r="Q17" s="125">
        <v>0</v>
      </c>
      <c r="R17" s="111">
        <v>0</v>
      </c>
      <c r="S17" s="111">
        <v>0</v>
      </c>
      <c r="T17" s="111">
        <v>0</v>
      </c>
      <c r="U17" s="111">
        <f t="shared" si="22"/>
        <v>0</v>
      </c>
      <c r="V17" s="125">
        <v>0</v>
      </c>
      <c r="W17" s="111">
        <v>0</v>
      </c>
      <c r="X17" s="111">
        <v>0</v>
      </c>
      <c r="Y17" s="111">
        <v>0</v>
      </c>
      <c r="Z17" s="111">
        <f t="shared" si="15"/>
        <v>0</v>
      </c>
      <c r="AA17" s="125">
        <v>0</v>
      </c>
      <c r="AB17" s="111">
        <v>-2.2400000000000002</v>
      </c>
      <c r="AC17" s="111">
        <f>0.084-AB17</f>
        <v>2.3240000000000003</v>
      </c>
      <c r="AD17" s="111">
        <f>1.708-AC17-AB17</f>
        <v>1.6239999999999999</v>
      </c>
      <c r="AE17" s="111">
        <f t="shared" si="0"/>
        <v>-19.96</v>
      </c>
      <c r="AF17" s="125">
        <v>-18.251999999999999</v>
      </c>
      <c r="AG17" s="111">
        <v>-4.7E-2</v>
      </c>
      <c r="AH17" s="111">
        <f>-3.217-AG17</f>
        <v>-3.17</v>
      </c>
      <c r="AI17" s="111">
        <f>-6.335-AH17-AG17</f>
        <v>-3.1179999999999999</v>
      </c>
      <c r="AJ17" s="111">
        <f t="shared" si="1"/>
        <v>0.26700000000000018</v>
      </c>
      <c r="AK17" s="125">
        <v>-6.0679999999999996</v>
      </c>
      <c r="AL17" s="111">
        <v>-7.8049999999999997</v>
      </c>
      <c r="AM17" s="111">
        <f>-11.557-AL17</f>
        <v>-3.7520000000000007</v>
      </c>
      <c r="AN17" s="111">
        <f>10.31-AM17-AL17</f>
        <v>21.867000000000001</v>
      </c>
      <c r="AO17" s="111">
        <f t="shared" si="2"/>
        <v>-16.398000000000003</v>
      </c>
      <c r="AP17" s="125">
        <v>-6.0880000000000001</v>
      </c>
      <c r="AQ17" s="111">
        <v>-1.649</v>
      </c>
      <c r="AR17" s="111">
        <f>4.199-AQ17</f>
        <v>5.8479999999999999</v>
      </c>
      <c r="AS17" s="111">
        <f>-4.037-AQ17-AR17</f>
        <v>-8.2360000000000007</v>
      </c>
      <c r="AT17" s="111">
        <f t="shared" si="3"/>
        <v>-1.8949999999999996</v>
      </c>
      <c r="AU17" s="125">
        <v>-5.9320000000000004</v>
      </c>
      <c r="AV17" s="111">
        <v>-6.8609999999999998</v>
      </c>
      <c r="AW17" s="111">
        <f>-10.118-AV17</f>
        <v>-3.2570000000000006</v>
      </c>
      <c r="AX17" s="111">
        <f>-4.539-AW17-AV17</f>
        <v>5.5790000000000006</v>
      </c>
      <c r="AY17" s="111">
        <f t="shared" si="4"/>
        <v>0.76900000000000013</v>
      </c>
      <c r="AZ17" s="125">
        <v>-3.77</v>
      </c>
      <c r="BA17" s="111">
        <v>-13.622999999999999</v>
      </c>
      <c r="BB17" s="111">
        <f>-20.946-BA17</f>
        <v>-7.3230000000000022</v>
      </c>
      <c r="BC17" s="111">
        <f>-37.484-(SUM(BA17:BB17))</f>
        <v>-16.538</v>
      </c>
      <c r="BD17" s="111">
        <f t="shared" si="5"/>
        <v>6.2310000000000016</v>
      </c>
      <c r="BE17" s="125">
        <v>-31.253</v>
      </c>
      <c r="BF17" s="111">
        <v>-26.291</v>
      </c>
      <c r="BG17" s="111">
        <f>-57.131-BF17</f>
        <v>-30.84</v>
      </c>
      <c r="BH17" s="111">
        <f>-75.094-BG17-BF17</f>
        <v>-17.96299999999999</v>
      </c>
      <c r="BI17" s="111">
        <f t="shared" si="6"/>
        <v>-9.23</v>
      </c>
      <c r="BJ17" s="125">
        <v>-84.323999999999998</v>
      </c>
      <c r="BK17" s="111">
        <v>-21.277000000000001</v>
      </c>
      <c r="BL17" s="111">
        <f>-37.162-BK17</f>
        <v>-15.884999999999998</v>
      </c>
      <c r="BM17" s="111">
        <f>-40.459-BL17-BK17</f>
        <v>-3.2970000000000041</v>
      </c>
      <c r="BN17" s="111">
        <f t="shared" si="7"/>
        <v>3.1330000000000027</v>
      </c>
      <c r="BO17" s="125">
        <v>-37.326000000000001</v>
      </c>
      <c r="BP17" s="111">
        <v>-22.1</v>
      </c>
      <c r="BQ17" s="111">
        <f>-15.3-BP17</f>
        <v>6.8000000000000007</v>
      </c>
      <c r="BR17" s="111">
        <f>-89.6-BQ17-BP17</f>
        <v>-74.299999999999983</v>
      </c>
      <c r="BS17" s="111">
        <f t="shared" si="8"/>
        <v>-27.500000000000007</v>
      </c>
      <c r="BT17" s="125">
        <v>-117.1</v>
      </c>
      <c r="BU17" s="111">
        <v>-1.9</v>
      </c>
      <c r="BV17" s="111">
        <f>-29.9-BU17</f>
        <v>-28</v>
      </c>
      <c r="BW17" s="111">
        <f>-48.8-BV17-BU17</f>
        <v>-18.899999999999999</v>
      </c>
      <c r="BX17" s="111">
        <f t="shared" si="9"/>
        <v>-20.799999999999997</v>
      </c>
      <c r="BY17" s="125">
        <v>-69.599999999999994</v>
      </c>
      <c r="BZ17" s="111">
        <v>1</v>
      </c>
      <c r="CA17" s="111">
        <f>-10.6-BZ17</f>
        <v>-11.6</v>
      </c>
      <c r="CB17" s="111">
        <f>-15.9-CA17-BZ17</f>
        <v>-5.3000000000000007</v>
      </c>
      <c r="CC17" s="111">
        <f t="shared" si="10"/>
        <v>-26.1</v>
      </c>
      <c r="CD17" s="125">
        <v>-42</v>
      </c>
      <c r="CE17" s="111">
        <v>53.7</v>
      </c>
      <c r="CF17" s="111">
        <f>49.1-CE17</f>
        <v>-4.6000000000000014</v>
      </c>
      <c r="CG17" s="111">
        <f>58.4-CF17-CE17</f>
        <v>9.2999999999999972</v>
      </c>
      <c r="CH17" s="111">
        <f t="shared" si="11"/>
        <v>47.8</v>
      </c>
      <c r="CI17" s="125">
        <v>106.2</v>
      </c>
      <c r="CJ17" s="111">
        <v>30</v>
      </c>
      <c r="CK17" s="111">
        <f>44.6-CJ17</f>
        <v>14.600000000000001</v>
      </c>
      <c r="CL17" s="111">
        <f>33.6-SUM(CJ17:CK17)</f>
        <v>-11</v>
      </c>
      <c r="CM17" s="111">
        <f t="shared" si="12"/>
        <v>27.499999999999993</v>
      </c>
      <c r="CN17" s="125">
        <v>61.1</v>
      </c>
      <c r="CO17" s="111">
        <v>16.7</v>
      </c>
      <c r="CP17" s="111">
        <f>-6.9-CO17</f>
        <v>-23.6</v>
      </c>
      <c r="CQ17" s="495">
        <f>3.9-SUM(CO17:CP17)</f>
        <v>10.800000000000002</v>
      </c>
      <c r="CR17" s="366">
        <f t="shared" si="16"/>
        <v>-1049.8000000000002</v>
      </c>
      <c r="CS17" s="367">
        <v>-1045.9000000000001</v>
      </c>
      <c r="CT17" s="366">
        <v>35.700000000000003</v>
      </c>
      <c r="CU17" s="495">
        <f>36.1-CT17</f>
        <v>0.39999999999999858</v>
      </c>
      <c r="CV17" s="495">
        <f>32.1-CU17-CT17</f>
        <v>-4</v>
      </c>
      <c r="CW17" s="722">
        <f>CX17-CV17-CU17-CT17</f>
        <v>-21.900000000000002</v>
      </c>
      <c r="CX17" s="723">
        <v>10.199999999999999</v>
      </c>
      <c r="CY17" s="366">
        <v>100</v>
      </c>
      <c r="CZ17" s="366">
        <f>60-CY17</f>
        <v>-40</v>
      </c>
      <c r="DA17" s="366">
        <f>44.1-CZ17-CY17</f>
        <v>-15.900000000000006</v>
      </c>
      <c r="DB17" s="815">
        <f>DC17-DA17-CZ17-CY17</f>
        <v>-22.899999999999991</v>
      </c>
      <c r="DC17" s="367">
        <v>21.2</v>
      </c>
      <c r="DD17" s="366">
        <v>225.2</v>
      </c>
      <c r="DE17" s="366">
        <f>260.2-DD17</f>
        <v>35</v>
      </c>
      <c r="DF17" s="366">
        <f>344.7-DE17-DD17</f>
        <v>84.5</v>
      </c>
      <c r="DG17" s="815">
        <f>DH17-DF17-DE17-DD17</f>
        <v>-79</v>
      </c>
      <c r="DH17" s="367">
        <v>265.7</v>
      </c>
      <c r="DI17" s="366">
        <v>56.4</v>
      </c>
      <c r="DJ17" s="366">
        <f>62.8-DI17</f>
        <v>6.3999999999999986</v>
      </c>
      <c r="DK17" s="366">
        <f>75.1-SUM(DI17:DJ17)</f>
        <v>12.299999999999997</v>
      </c>
      <c r="DL17" s="111">
        <f>95.1-SUM(DI17:DK17)</f>
        <v>20</v>
      </c>
      <c r="DM17" s="125">
        <f t="shared" si="13"/>
        <v>95.1</v>
      </c>
      <c r="DN17" s="143">
        <f>BS!DN15-BS!DM15</f>
        <v>0</v>
      </c>
      <c r="DO17" s="143">
        <f>BS!DO15-BS!DN15</f>
        <v>0</v>
      </c>
      <c r="DP17" s="143">
        <f>BS!DP15-BS!DO15</f>
        <v>0</v>
      </c>
      <c r="DQ17" s="143">
        <f>BS!DQ15-BS!DP15</f>
        <v>0</v>
      </c>
      <c r="DR17" s="142">
        <f t="shared" si="14"/>
        <v>0</v>
      </c>
      <c r="DS17" s="143">
        <f>BS!DS15-BS!DR15</f>
        <v>0</v>
      </c>
      <c r="DT17" s="143">
        <f>BS!DT15-BS!DS15</f>
        <v>0</v>
      </c>
      <c r="DU17" s="143">
        <f>BS!DU15-BS!DT15</f>
        <v>0</v>
      </c>
      <c r="DV17" s="143">
        <f>BS!DV15-BS!DU15</f>
        <v>0</v>
      </c>
      <c r="DW17" s="142">
        <f t="shared" si="17"/>
        <v>0</v>
      </c>
      <c r="DX17" s="143">
        <f>BS!DX15-BS!DW15</f>
        <v>0</v>
      </c>
      <c r="DY17" s="143">
        <f>BS!DY15-BS!DX15</f>
        <v>0</v>
      </c>
      <c r="DZ17" s="143">
        <f>BS!DZ15-BS!DY15</f>
        <v>0</v>
      </c>
      <c r="EA17" s="143">
        <f>BS!EA15-BS!DZ15</f>
        <v>0</v>
      </c>
      <c r="EB17" s="142">
        <f t="shared" si="18"/>
        <v>0</v>
      </c>
      <c r="EE17" s="125"/>
      <c r="EF17" s="125"/>
      <c r="EG17" s="125"/>
      <c r="EH17" s="125"/>
      <c r="EI17" s="125"/>
      <c r="EJ17" s="125"/>
      <c r="EK17" s="125"/>
      <c r="EL17" s="125"/>
      <c r="EM17" s="125"/>
      <c r="EN17" s="125"/>
      <c r="EO17" s="125"/>
      <c r="EP17" s="125"/>
      <c r="EQ17" s="125"/>
      <c r="ER17" s="125"/>
      <c r="FC17"/>
      <c r="FD17"/>
      <c r="FE17"/>
      <c r="FF17"/>
      <c r="FG17"/>
      <c r="FH17"/>
      <c r="FI17" s="396"/>
      <c r="FJ17" s="419"/>
      <c r="FK17" s="419"/>
      <c r="FL17" s="419"/>
      <c r="FM17" s="419"/>
      <c r="FN17" s="419"/>
      <c r="FO17" s="419"/>
      <c r="FP17" s="419"/>
      <c r="FQ17" s="419"/>
      <c r="FR17" s="419"/>
      <c r="FS17" s="419"/>
      <c r="FT17" s="419"/>
      <c r="FU17" s="419"/>
      <c r="FV17" s="419"/>
      <c r="FW17" s="419"/>
      <c r="FX17" s="419"/>
      <c r="FY17" s="419"/>
      <c r="FZ17" s="419"/>
      <c r="GA17" s="419"/>
      <c r="GB17" s="419"/>
      <c r="GC17" s="419"/>
      <c r="GD17" s="419"/>
      <c r="GE17" s="419"/>
      <c r="GF17" s="419"/>
      <c r="GG17" s="419"/>
      <c r="GH17" s="419"/>
      <c r="GI17" s="419"/>
      <c r="GJ17" s="419"/>
      <c r="GK17" s="419"/>
      <c r="GL17" s="419"/>
      <c r="GM17" s="419"/>
      <c r="GN17" s="419"/>
      <c r="GO17" s="419"/>
      <c r="GP17" s="419"/>
      <c r="GQ17" s="419"/>
      <c r="GR17" s="419"/>
      <c r="GS17" s="419"/>
      <c r="GT17" s="419"/>
      <c r="GU17" s="419"/>
      <c r="GV17" s="419"/>
      <c r="GW17" s="418"/>
      <c r="GX17" s="418"/>
      <c r="GY17" s="418"/>
      <c r="GZ17" s="418"/>
      <c r="HA17" s="418"/>
      <c r="HB17" s="418"/>
      <c r="HC17" s="418"/>
      <c r="HD17" s="418"/>
      <c r="HE17" s="418"/>
      <c r="HF17" s="418"/>
      <c r="HG17" s="418"/>
      <c r="HH17" s="418"/>
      <c r="HI17" s="418"/>
      <c r="HJ17" s="418"/>
      <c r="HK17" s="418"/>
      <c r="HL17" s="418"/>
      <c r="HM17" s="418"/>
      <c r="HN17" s="418"/>
      <c r="HO17" s="418"/>
      <c r="HP17" s="418"/>
      <c r="HQ17" s="418"/>
      <c r="HR17" s="418"/>
      <c r="HS17" s="418"/>
      <c r="HT17" s="418"/>
      <c r="HU17" s="418"/>
      <c r="HV17" s="418"/>
      <c r="HW17" s="418"/>
      <c r="HX17" s="418"/>
      <c r="HY17" s="418"/>
      <c r="HZ17" s="418"/>
      <c r="IA17" s="418"/>
      <c r="IB17" s="418"/>
      <c r="IC17" s="418"/>
      <c r="ID17" s="418"/>
      <c r="IE17" s="418"/>
      <c r="IF17" s="418"/>
      <c r="IG17" s="418"/>
      <c r="IH17" s="418"/>
      <c r="II17" s="418"/>
      <c r="IJ17" s="418"/>
      <c r="IK17" s="418"/>
      <c r="IL17" s="418"/>
      <c r="IM17" s="418"/>
      <c r="IN17" s="418"/>
      <c r="IO17" s="418"/>
      <c r="IP17" s="418"/>
      <c r="IQ17" s="418"/>
      <c r="IR17" s="418"/>
      <c r="IS17" s="418"/>
      <c r="IT17" s="418"/>
      <c r="IU17" s="418"/>
      <c r="IV17" s="418"/>
    </row>
    <row r="18" spans="1:256" s="1" customFormat="1" x14ac:dyDescent="0.2">
      <c r="A18" s="1" t="s">
        <v>387</v>
      </c>
      <c r="B18" s="125">
        <v>0</v>
      </c>
      <c r="C18" s="111">
        <v>0</v>
      </c>
      <c r="D18" s="111">
        <v>0</v>
      </c>
      <c r="E18" s="111">
        <v>0</v>
      </c>
      <c r="F18" s="111">
        <f t="shared" si="19"/>
        <v>0</v>
      </c>
      <c r="G18" s="125">
        <v>0</v>
      </c>
      <c r="H18" s="111">
        <v>0</v>
      </c>
      <c r="I18" s="111">
        <v>0</v>
      </c>
      <c r="J18" s="111">
        <v>0</v>
      </c>
      <c r="K18" s="111">
        <f t="shared" si="20"/>
        <v>0</v>
      </c>
      <c r="L18" s="125">
        <v>0</v>
      </c>
      <c r="M18" s="111">
        <v>0</v>
      </c>
      <c r="N18" s="111">
        <v>0</v>
      </c>
      <c r="O18" s="111">
        <v>0</v>
      </c>
      <c r="P18" s="111">
        <f t="shared" si="21"/>
        <v>0</v>
      </c>
      <c r="Q18" s="125">
        <v>0</v>
      </c>
      <c r="R18" s="111">
        <v>0</v>
      </c>
      <c r="S18" s="111">
        <v>0</v>
      </c>
      <c r="T18" s="111">
        <v>0</v>
      </c>
      <c r="U18" s="111">
        <f t="shared" si="22"/>
        <v>0</v>
      </c>
      <c r="V18" s="125">
        <v>0</v>
      </c>
      <c r="W18" s="111">
        <v>0</v>
      </c>
      <c r="X18" s="111">
        <v>0</v>
      </c>
      <c r="Y18" s="111">
        <v>0</v>
      </c>
      <c r="Z18" s="111">
        <f t="shared" si="15"/>
        <v>0</v>
      </c>
      <c r="AA18" s="125">
        <v>0</v>
      </c>
      <c r="AB18" s="111">
        <v>-2.798</v>
      </c>
      <c r="AC18" s="111">
        <f>-5.055-AB18</f>
        <v>-2.2569999999999997</v>
      </c>
      <c r="AD18" s="111">
        <f>-8.199-AB18-AC18</f>
        <v>-3.1440000000000001</v>
      </c>
      <c r="AE18" s="111">
        <f t="shared" si="0"/>
        <v>-6.9399999999999995</v>
      </c>
      <c r="AF18" s="125">
        <v>-15.138999999999999</v>
      </c>
      <c r="AG18" s="111">
        <v>-2.8220000000000001</v>
      </c>
      <c r="AH18" s="111">
        <f>-3.572-AG18</f>
        <v>-0.75</v>
      </c>
      <c r="AI18" s="111">
        <f>-7.541-AH18-AG18</f>
        <v>-3.9690000000000003</v>
      </c>
      <c r="AJ18" s="111">
        <f t="shared" si="1"/>
        <v>-7.2969999999999997</v>
      </c>
      <c r="AK18" s="125">
        <v>-14.837999999999999</v>
      </c>
      <c r="AL18" s="111">
        <v>-3.1190000000000002</v>
      </c>
      <c r="AM18" s="111">
        <f>-7.547-AL18</f>
        <v>-4.427999999999999</v>
      </c>
      <c r="AN18" s="111">
        <f>-12.536-AL18-AM18</f>
        <v>-4.9890000000000008</v>
      </c>
      <c r="AO18" s="111">
        <f t="shared" si="2"/>
        <v>-7.048</v>
      </c>
      <c r="AP18" s="125">
        <v>-19.584</v>
      </c>
      <c r="AQ18" s="111">
        <v>-2.8650000000000002</v>
      </c>
      <c r="AR18" s="111">
        <f>-4.93-AQ18</f>
        <v>-2.0649999999999995</v>
      </c>
      <c r="AS18" s="111">
        <f>-7.689-AQ18-AR18</f>
        <v>-2.7590000000000003</v>
      </c>
      <c r="AT18" s="111">
        <f t="shared" si="3"/>
        <v>-15.123999999999997</v>
      </c>
      <c r="AU18" s="125">
        <v>-22.812999999999999</v>
      </c>
      <c r="AV18" s="111">
        <v>-3.7480000000000002</v>
      </c>
      <c r="AW18" s="111">
        <f>-9.428-AV18</f>
        <v>-5.6800000000000006</v>
      </c>
      <c r="AX18" s="111">
        <f>-18.031-AV18-AW18</f>
        <v>-8.602999999999998</v>
      </c>
      <c r="AY18" s="111">
        <f t="shared" si="4"/>
        <v>-13.77</v>
      </c>
      <c r="AZ18" s="125">
        <v>-31.800999999999998</v>
      </c>
      <c r="BA18" s="111">
        <v>-5.7809999999999997</v>
      </c>
      <c r="BB18" s="111">
        <f>-16.102-BA18</f>
        <v>-10.321000000000002</v>
      </c>
      <c r="BC18" s="111">
        <f>-27.861-(SUM(BA18:BB18))</f>
        <v>-11.759</v>
      </c>
      <c r="BD18" s="111">
        <f t="shared" si="5"/>
        <v>-21.772000000000002</v>
      </c>
      <c r="BE18" s="125">
        <v>-49.633000000000003</v>
      </c>
      <c r="BF18" s="111">
        <v>-12.484999999999999</v>
      </c>
      <c r="BG18" s="111">
        <f>-24.807-BF18</f>
        <v>-12.321999999999999</v>
      </c>
      <c r="BH18" s="111">
        <f>-40.989-BG18-BF18</f>
        <v>-16.181999999999999</v>
      </c>
      <c r="BI18" s="111">
        <f t="shared" si="6"/>
        <v>-19.581000000000003</v>
      </c>
      <c r="BJ18" s="125">
        <v>-60.57</v>
      </c>
      <c r="BK18" s="111">
        <v>-9.02</v>
      </c>
      <c r="BL18" s="111">
        <f>-24.935-BK18</f>
        <v>-15.914999999999999</v>
      </c>
      <c r="BM18" s="111">
        <f>-38.621-BL18-BK18</f>
        <v>-13.686000000000003</v>
      </c>
      <c r="BN18" s="111">
        <f t="shared" si="7"/>
        <v>-27.121999999999989</v>
      </c>
      <c r="BO18" s="125">
        <v>-65.742999999999995</v>
      </c>
      <c r="BP18" s="111">
        <v>-11</v>
      </c>
      <c r="BQ18" s="111">
        <f>-22.9-BP18</f>
        <v>-11.899999999999999</v>
      </c>
      <c r="BR18" s="111">
        <f>-35.5-BQ18-BP18</f>
        <v>-12.600000000000001</v>
      </c>
      <c r="BS18" s="111">
        <f t="shared" si="8"/>
        <v>-25.799999999999997</v>
      </c>
      <c r="BT18" s="125">
        <v>-61.3</v>
      </c>
      <c r="BU18" s="111">
        <v>-17</v>
      </c>
      <c r="BV18" s="111">
        <f>-29.6-BU18</f>
        <v>-12.600000000000001</v>
      </c>
      <c r="BW18" s="111">
        <f>-45.5-BV18-BU18</f>
        <v>-15.899999999999999</v>
      </c>
      <c r="BX18" s="111">
        <f t="shared" si="9"/>
        <v>-32.900000000000006</v>
      </c>
      <c r="BY18" s="125">
        <v>-78.400000000000006</v>
      </c>
      <c r="BZ18" s="111">
        <v>-16.3</v>
      </c>
      <c r="CA18" s="111">
        <f>-41.4-BZ18</f>
        <v>-25.099999999999998</v>
      </c>
      <c r="CB18" s="111">
        <f>-67.9-CA18-BZ18</f>
        <v>-26.500000000000011</v>
      </c>
      <c r="CC18" s="111">
        <f t="shared" si="10"/>
        <v>-40.699999999999989</v>
      </c>
      <c r="CD18" s="125">
        <v>-108.6</v>
      </c>
      <c r="CE18" s="111">
        <v>-25.3</v>
      </c>
      <c r="CF18" s="111">
        <f>-44.9-CE18</f>
        <v>-19.599999999999998</v>
      </c>
      <c r="CG18" s="111">
        <f>-78.3-CF18-CE18</f>
        <v>-33.400000000000006</v>
      </c>
      <c r="CH18" s="111">
        <f t="shared" si="11"/>
        <v>-40.200000000000003</v>
      </c>
      <c r="CI18" s="125">
        <v>-118.5</v>
      </c>
      <c r="CJ18" s="111">
        <v>-7.8</v>
      </c>
      <c r="CK18" s="111">
        <f>(-18.2-CJ18)</f>
        <v>-10.399999999999999</v>
      </c>
      <c r="CL18" s="111">
        <f>-37.7-SUM(CJ18:CK18)</f>
        <v>-19.500000000000004</v>
      </c>
      <c r="CM18" s="111">
        <f t="shared" si="12"/>
        <v>-11.599999999999994</v>
      </c>
      <c r="CN18" s="125">
        <v>-49.3</v>
      </c>
      <c r="CO18" s="111">
        <v>-12.6</v>
      </c>
      <c r="CP18" s="111">
        <f>-15.9-CO18</f>
        <v>-3.3000000000000007</v>
      </c>
      <c r="CQ18" s="495">
        <f>-42.6-SUM(CO18:CP18)</f>
        <v>-26.700000000000003</v>
      </c>
      <c r="CR18" s="366">
        <f t="shared" si="16"/>
        <v>-13.600000000000001</v>
      </c>
      <c r="CS18" s="367">
        <v>-56.2</v>
      </c>
      <c r="CT18" s="366">
        <v>-2.4</v>
      </c>
      <c r="CU18" s="495">
        <f>-20.8-CT18</f>
        <v>-18.400000000000002</v>
      </c>
      <c r="CV18" s="495">
        <f>-37.3-CU18-CT18</f>
        <v>-16.499999999999996</v>
      </c>
      <c r="CW18" s="722">
        <f>CX18-CV18-CU18-CT18</f>
        <v>-145.39999999999998</v>
      </c>
      <c r="CX18" s="723">
        <v>-182.7</v>
      </c>
      <c r="CY18" s="366">
        <v>-35.6</v>
      </c>
      <c r="CZ18" s="366">
        <f>-76.9-CY18</f>
        <v>-41.300000000000004</v>
      </c>
      <c r="DA18" s="366">
        <f>-123.3-CZ18-CY18</f>
        <v>-46.4</v>
      </c>
      <c r="DB18" s="815">
        <f>DC18-DA18-CZ18-CY18</f>
        <v>-66.899999999999977</v>
      </c>
      <c r="DC18" s="367">
        <v>-190.2</v>
      </c>
      <c r="DD18" s="366">
        <v>-47</v>
      </c>
      <c r="DE18" s="366">
        <f>-96.5-DD18</f>
        <v>-49.5</v>
      </c>
      <c r="DF18" s="366">
        <f>-165.5-DE18-DD18</f>
        <v>-69</v>
      </c>
      <c r="DG18" s="815">
        <f>DH18-DF18-DE18-DD18</f>
        <v>-84.699999999999989</v>
      </c>
      <c r="DH18" s="367">
        <v>-250.2</v>
      </c>
      <c r="DI18" s="366">
        <v>-65.3</v>
      </c>
      <c r="DJ18" s="366">
        <f>-129.4-DI18</f>
        <v>-64.100000000000009</v>
      </c>
      <c r="DK18" s="366">
        <f>-210.1-SUM(DI18:DJ18)</f>
        <v>-80.699999999999989</v>
      </c>
      <c r="DL18" s="111">
        <f>-310.2-SUM(DI18:DK18)</f>
        <v>-100.1</v>
      </c>
      <c r="DM18" s="125">
        <f t="shared" si="13"/>
        <v>-310.2</v>
      </c>
      <c r="DN18" s="143">
        <v>0</v>
      </c>
      <c r="DO18" s="143">
        <v>0</v>
      </c>
      <c r="DP18" s="143">
        <v>0</v>
      </c>
      <c r="DQ18" s="143">
        <v>0</v>
      </c>
      <c r="DR18" s="142">
        <f t="shared" si="14"/>
        <v>0</v>
      </c>
      <c r="DS18" s="143">
        <v>0</v>
      </c>
      <c r="DT18" s="143">
        <v>0</v>
      </c>
      <c r="DU18" s="143">
        <v>0</v>
      </c>
      <c r="DV18" s="143">
        <v>0</v>
      </c>
      <c r="DW18" s="142">
        <f t="shared" si="17"/>
        <v>0</v>
      </c>
      <c r="DX18" s="143">
        <v>0</v>
      </c>
      <c r="DY18" s="143">
        <v>0</v>
      </c>
      <c r="DZ18" s="143">
        <v>0</v>
      </c>
      <c r="EA18" s="143">
        <v>0</v>
      </c>
      <c r="EB18" s="142">
        <f t="shared" si="18"/>
        <v>0</v>
      </c>
      <c r="EE18" s="125"/>
      <c r="EF18" s="125"/>
      <c r="EG18" s="125"/>
      <c r="EH18" s="125"/>
      <c r="EI18" s="125"/>
      <c r="EJ18" s="125"/>
      <c r="EK18" s="125"/>
      <c r="EL18" s="125"/>
      <c r="EM18" s="125"/>
      <c r="EN18" s="125"/>
      <c r="EO18" s="125"/>
      <c r="EP18" s="125"/>
      <c r="EQ18" s="125"/>
      <c r="ER18" s="125"/>
      <c r="FC18"/>
      <c r="FD18"/>
      <c r="FE18"/>
      <c r="FF18"/>
      <c r="FG18"/>
      <c r="FH18"/>
      <c r="FI18" s="396"/>
      <c r="FJ18" s="419"/>
      <c r="FK18" s="419"/>
      <c r="FL18" s="419"/>
      <c r="FM18" s="419"/>
      <c r="FN18" s="419"/>
      <c r="FO18" s="419"/>
      <c r="FP18" s="419"/>
      <c r="FQ18" s="419"/>
      <c r="FR18" s="419"/>
      <c r="FS18" s="419"/>
      <c r="FT18" s="419"/>
      <c r="FU18" s="419"/>
      <c r="FV18" s="419"/>
      <c r="FW18" s="419"/>
      <c r="FX18" s="419"/>
      <c r="FY18" s="419"/>
      <c r="FZ18" s="419"/>
      <c r="GA18" s="419"/>
      <c r="GB18" s="419"/>
      <c r="GC18" s="419"/>
      <c r="GD18" s="419"/>
      <c r="GE18" s="419"/>
      <c r="GF18" s="419"/>
      <c r="GG18" s="419"/>
      <c r="GH18" s="419"/>
      <c r="GI18" s="419"/>
      <c r="GJ18" s="419"/>
      <c r="GK18" s="419"/>
      <c r="GL18" s="419"/>
      <c r="GM18" s="419"/>
      <c r="GN18" s="419"/>
      <c r="GO18" s="419"/>
      <c r="GP18" s="419"/>
      <c r="GQ18" s="419"/>
      <c r="GR18" s="419"/>
      <c r="GS18" s="419"/>
      <c r="GT18" s="419"/>
      <c r="GU18" s="419"/>
      <c r="GV18" s="419"/>
      <c r="GW18" s="418"/>
      <c r="GX18" s="418"/>
      <c r="GY18" s="418"/>
      <c r="GZ18" s="418"/>
      <c r="HA18" s="418"/>
      <c r="HB18" s="418"/>
      <c r="HC18" s="418"/>
      <c r="HD18" s="418"/>
      <c r="HE18" s="418"/>
      <c r="HF18" s="418"/>
      <c r="HG18" s="418"/>
      <c r="HH18" s="418"/>
      <c r="HI18" s="418"/>
      <c r="HJ18" s="418"/>
      <c r="HK18" s="418"/>
      <c r="HL18" s="418"/>
      <c r="HM18" s="418"/>
      <c r="HN18" s="418"/>
      <c r="HO18" s="418"/>
      <c r="HP18" s="418"/>
      <c r="HQ18" s="418"/>
      <c r="HR18" s="418"/>
      <c r="HS18" s="418"/>
      <c r="HT18" s="418"/>
      <c r="HU18" s="418"/>
      <c r="HV18" s="418"/>
      <c r="HW18" s="418"/>
      <c r="HX18" s="418"/>
      <c r="HY18" s="418"/>
      <c r="HZ18" s="418"/>
      <c r="IA18" s="418"/>
      <c r="IB18" s="418"/>
      <c r="IC18" s="418"/>
      <c r="ID18" s="418"/>
      <c r="IE18" s="418"/>
      <c r="IF18" s="418"/>
      <c r="IG18" s="418"/>
      <c r="IH18" s="418"/>
      <c r="II18" s="418"/>
      <c r="IJ18" s="418"/>
      <c r="IK18" s="418"/>
      <c r="IL18" s="418"/>
      <c r="IM18" s="418"/>
      <c r="IN18" s="418"/>
      <c r="IO18" s="418"/>
      <c r="IP18" s="418"/>
      <c r="IQ18" s="418"/>
      <c r="IR18" s="418"/>
      <c r="IS18" s="418"/>
      <c r="IT18" s="418"/>
      <c r="IU18" s="418"/>
      <c r="IV18" s="418"/>
    </row>
    <row r="19" spans="1:256" s="1" customFormat="1" x14ac:dyDescent="0.2">
      <c r="A19" s="1" t="s">
        <v>386</v>
      </c>
      <c r="B19" s="125">
        <v>0</v>
      </c>
      <c r="C19" s="111">
        <v>0</v>
      </c>
      <c r="D19" s="111">
        <v>0</v>
      </c>
      <c r="E19" s="111">
        <v>0</v>
      </c>
      <c r="F19" s="111">
        <f t="shared" si="19"/>
        <v>0</v>
      </c>
      <c r="G19" s="125">
        <v>0</v>
      </c>
      <c r="H19" s="111">
        <v>0</v>
      </c>
      <c r="I19" s="111">
        <v>0</v>
      </c>
      <c r="J19" s="111">
        <v>0</v>
      </c>
      <c r="K19" s="111">
        <f t="shared" si="20"/>
        <v>0</v>
      </c>
      <c r="L19" s="125">
        <v>0</v>
      </c>
      <c r="M19" s="111">
        <v>0</v>
      </c>
      <c r="N19" s="111">
        <v>0</v>
      </c>
      <c r="O19" s="111">
        <v>0</v>
      </c>
      <c r="P19" s="111">
        <f t="shared" si="21"/>
        <v>0</v>
      </c>
      <c r="Q19" s="125">
        <v>0</v>
      </c>
      <c r="R19" s="111">
        <v>0</v>
      </c>
      <c r="S19" s="111">
        <v>0</v>
      </c>
      <c r="T19" s="111">
        <v>0</v>
      </c>
      <c r="U19" s="111">
        <f t="shared" si="22"/>
        <v>0</v>
      </c>
      <c r="V19" s="125">
        <v>0</v>
      </c>
      <c r="W19" s="111">
        <v>0</v>
      </c>
      <c r="X19" s="111">
        <v>0</v>
      </c>
      <c r="Y19" s="111">
        <v>0</v>
      </c>
      <c r="Z19" s="111">
        <f t="shared" si="15"/>
        <v>0</v>
      </c>
      <c r="AA19" s="125">
        <v>0</v>
      </c>
      <c r="AB19" s="111">
        <v>0</v>
      </c>
      <c r="AC19" s="111">
        <v>0</v>
      </c>
      <c r="AD19" s="111">
        <v>0</v>
      </c>
      <c r="AE19" s="111">
        <f t="shared" si="0"/>
        <v>0</v>
      </c>
      <c r="AF19" s="125">
        <v>0</v>
      </c>
      <c r="AG19" s="111">
        <v>0</v>
      </c>
      <c r="AH19" s="111">
        <v>0</v>
      </c>
      <c r="AI19" s="111">
        <v>0</v>
      </c>
      <c r="AJ19" s="111">
        <f t="shared" si="1"/>
        <v>0</v>
      </c>
      <c r="AK19" s="125">
        <v>0</v>
      </c>
      <c r="AL19" s="111">
        <v>0</v>
      </c>
      <c r="AM19" s="111">
        <v>0</v>
      </c>
      <c r="AN19" s="111">
        <v>0</v>
      </c>
      <c r="AO19" s="111">
        <f t="shared" si="2"/>
        <v>0</v>
      </c>
      <c r="AP19" s="125">
        <v>0</v>
      </c>
      <c r="AQ19" s="111">
        <v>1.1379999999999999</v>
      </c>
      <c r="AR19" s="111">
        <f>2.648-AQ19</f>
        <v>1.5100000000000002</v>
      </c>
      <c r="AS19" s="111">
        <f>4.312-AQ19-AR19</f>
        <v>1.6640000000000001</v>
      </c>
      <c r="AT19" s="111">
        <f t="shared" si="3"/>
        <v>1.6840000000000006</v>
      </c>
      <c r="AU19" s="125">
        <v>5.9960000000000004</v>
      </c>
      <c r="AV19" s="111">
        <v>1.831</v>
      </c>
      <c r="AW19" s="111">
        <f>4.641-AV19</f>
        <v>2.81</v>
      </c>
      <c r="AX19" s="111">
        <f>8.049-AW19-AV19</f>
        <v>3.407999999999999</v>
      </c>
      <c r="AY19" s="111">
        <f t="shared" si="4"/>
        <v>3.5539999999999998</v>
      </c>
      <c r="AZ19" s="125">
        <v>11.603</v>
      </c>
      <c r="BA19" s="111">
        <v>3.26</v>
      </c>
      <c r="BB19" s="111">
        <f>7.112-BA19</f>
        <v>3.8520000000000003</v>
      </c>
      <c r="BC19" s="111">
        <f>9.248-(SUM(BA19:BB19))</f>
        <v>2.1359999999999992</v>
      </c>
      <c r="BD19" s="111">
        <f t="shared" si="5"/>
        <v>0.8490000000000002</v>
      </c>
      <c r="BE19" s="125">
        <v>10.097</v>
      </c>
      <c r="BF19" s="111">
        <v>0.54500000000000004</v>
      </c>
      <c r="BG19" s="111">
        <f>1.209-BF19</f>
        <v>0.66400000000000003</v>
      </c>
      <c r="BH19" s="111">
        <f>1.643-BG19-BF19</f>
        <v>0.43399999999999994</v>
      </c>
      <c r="BI19" s="111">
        <f t="shared" si="6"/>
        <v>0.36999999999999988</v>
      </c>
      <c r="BJ19" s="125">
        <v>2.0129999999999999</v>
      </c>
      <c r="BK19" s="111">
        <v>0.21299999999999999</v>
      </c>
      <c r="BL19" s="111">
        <f>0.432-BK19</f>
        <v>0.219</v>
      </c>
      <c r="BM19" s="111">
        <f>0.604-BL19-BK19</f>
        <v>0.17200000000000001</v>
      </c>
      <c r="BN19" s="111">
        <f t="shared" si="7"/>
        <v>4.9000000000000016E-2</v>
      </c>
      <c r="BO19" s="125">
        <v>0.65300000000000002</v>
      </c>
      <c r="BP19" s="111">
        <v>-0.1</v>
      </c>
      <c r="BQ19" s="111">
        <f>-0.2-BP19</f>
        <v>-0.1</v>
      </c>
      <c r="BR19" s="111">
        <f>-0.2-BQ19-BP19</f>
        <v>0</v>
      </c>
      <c r="BS19" s="111">
        <f t="shared" si="8"/>
        <v>0.1</v>
      </c>
      <c r="BT19" s="125">
        <v>-0.1</v>
      </c>
      <c r="BU19" s="111">
        <v>14.1</v>
      </c>
      <c r="BV19" s="111">
        <f>16.1-BU19</f>
        <v>2.0000000000000018</v>
      </c>
      <c r="BW19" s="111">
        <f>11-BV19-BU19</f>
        <v>-5.1000000000000014</v>
      </c>
      <c r="BX19" s="111">
        <f t="shared" si="9"/>
        <v>-5.6</v>
      </c>
      <c r="BY19" s="125">
        <v>5.4</v>
      </c>
      <c r="BZ19" s="111">
        <v>-7.3</v>
      </c>
      <c r="CA19" s="111">
        <f>-8.5-BZ19</f>
        <v>-1.2000000000000002</v>
      </c>
      <c r="CB19" s="111">
        <f>-3.9-CA19-BZ19</f>
        <v>4.5999999999999996</v>
      </c>
      <c r="CC19" s="111">
        <f t="shared" si="10"/>
        <v>-11.399999999999999</v>
      </c>
      <c r="CD19" s="125">
        <v>-15.3</v>
      </c>
      <c r="CE19" s="111">
        <v>-3.8</v>
      </c>
      <c r="CF19" s="111">
        <f>-6.9-CE19</f>
        <v>-3.1000000000000005</v>
      </c>
      <c r="CG19" s="111">
        <f>-14-CF19-CE19</f>
        <v>-7.0999999999999988</v>
      </c>
      <c r="CH19" s="111">
        <f t="shared" si="11"/>
        <v>11.1</v>
      </c>
      <c r="CI19" s="125">
        <v>-2.9</v>
      </c>
      <c r="CJ19" s="366">
        <v>0</v>
      </c>
      <c r="CK19" s="366">
        <v>0</v>
      </c>
      <c r="CL19" s="366">
        <v>0</v>
      </c>
      <c r="CM19" s="366">
        <f t="shared" si="12"/>
        <v>0</v>
      </c>
      <c r="CN19" s="367">
        <v>0</v>
      </c>
      <c r="CO19" s="366">
        <v>0</v>
      </c>
      <c r="CP19" s="366">
        <v>0</v>
      </c>
      <c r="CQ19" s="495">
        <v>0</v>
      </c>
      <c r="CR19" s="366">
        <f t="shared" si="16"/>
        <v>0</v>
      </c>
      <c r="CS19" s="367">
        <v>0</v>
      </c>
      <c r="CT19" s="366">
        <v>0</v>
      </c>
      <c r="CU19" s="495">
        <v>0</v>
      </c>
      <c r="CV19" s="495">
        <v>0</v>
      </c>
      <c r="CW19" s="722">
        <v>0</v>
      </c>
      <c r="CX19" s="723">
        <v>0</v>
      </c>
      <c r="CY19" s="366">
        <v>0</v>
      </c>
      <c r="CZ19" s="366">
        <v>0</v>
      </c>
      <c r="DA19" s="366">
        <v>0</v>
      </c>
      <c r="DB19" s="815">
        <v>0</v>
      </c>
      <c r="DC19" s="367">
        <v>0</v>
      </c>
      <c r="DD19" s="366">
        <v>0</v>
      </c>
      <c r="DE19" s="366">
        <v>0</v>
      </c>
      <c r="DF19" s="366">
        <v>0</v>
      </c>
      <c r="DG19" s="815">
        <v>0</v>
      </c>
      <c r="DH19" s="367">
        <v>0</v>
      </c>
      <c r="DI19" s="366">
        <v>0</v>
      </c>
      <c r="DJ19" s="366">
        <v>0</v>
      </c>
      <c r="DK19" s="366">
        <v>0</v>
      </c>
      <c r="DL19" s="111">
        <v>0</v>
      </c>
      <c r="DM19" s="125">
        <f t="shared" si="13"/>
        <v>0</v>
      </c>
      <c r="DN19" s="143">
        <v>0</v>
      </c>
      <c r="DO19" s="143">
        <v>0</v>
      </c>
      <c r="DP19" s="143">
        <v>0</v>
      </c>
      <c r="DQ19" s="143">
        <v>0</v>
      </c>
      <c r="DR19" s="142">
        <f t="shared" si="14"/>
        <v>0</v>
      </c>
      <c r="DS19" s="143">
        <v>0</v>
      </c>
      <c r="DT19" s="143">
        <v>0</v>
      </c>
      <c r="DU19" s="143">
        <v>0</v>
      </c>
      <c r="DV19" s="143">
        <v>0</v>
      </c>
      <c r="DW19" s="142">
        <f t="shared" si="17"/>
        <v>0</v>
      </c>
      <c r="DX19" s="143">
        <v>0</v>
      </c>
      <c r="DY19" s="143">
        <v>0</v>
      </c>
      <c r="DZ19" s="143">
        <v>0</v>
      </c>
      <c r="EA19" s="143">
        <v>0</v>
      </c>
      <c r="EB19" s="142">
        <f t="shared" si="18"/>
        <v>0</v>
      </c>
      <c r="EE19" s="125"/>
      <c r="EF19" s="125"/>
      <c r="EG19" s="125"/>
      <c r="EH19" s="125"/>
      <c r="EI19" s="125"/>
      <c r="EJ19" s="125"/>
      <c r="EK19" s="125"/>
      <c r="EL19" s="125"/>
      <c r="EM19" s="125"/>
      <c r="EN19" s="125"/>
      <c r="EO19" s="125"/>
      <c r="EP19" s="125"/>
      <c r="EQ19" s="125"/>
      <c r="ER19" s="125"/>
      <c r="FC19"/>
      <c r="FD19"/>
      <c r="FE19"/>
      <c r="FF19"/>
      <c r="FG19"/>
      <c r="FH19"/>
      <c r="FI19" s="396"/>
      <c r="FJ19" s="419"/>
      <c r="FK19" s="419"/>
      <c r="FL19" s="419"/>
      <c r="FM19" s="419"/>
      <c r="FN19" s="419"/>
      <c r="FO19" s="419"/>
      <c r="FP19" s="419"/>
      <c r="FQ19" s="419"/>
      <c r="FR19" s="419"/>
      <c r="FS19" s="419"/>
      <c r="FT19" s="419"/>
      <c r="FU19" s="419"/>
      <c r="FV19" s="419"/>
      <c r="FW19" s="419"/>
      <c r="FX19" s="419"/>
      <c r="FY19" s="419"/>
      <c r="FZ19" s="419"/>
      <c r="GA19" s="419"/>
      <c r="GB19" s="419"/>
      <c r="GC19" s="419"/>
      <c r="GD19" s="419"/>
      <c r="GE19" s="419"/>
      <c r="GF19" s="419"/>
      <c r="GG19" s="419"/>
      <c r="GH19" s="419"/>
      <c r="GI19" s="419"/>
      <c r="GJ19" s="419"/>
      <c r="GK19" s="419"/>
      <c r="GL19" s="419"/>
      <c r="GM19" s="419"/>
      <c r="GN19" s="419"/>
      <c r="GO19" s="419"/>
      <c r="GP19" s="419"/>
      <c r="GQ19" s="419"/>
      <c r="GR19" s="419"/>
      <c r="GS19" s="419"/>
      <c r="GT19" s="419"/>
      <c r="GU19" s="419"/>
      <c r="GV19" s="419"/>
      <c r="GW19" s="418"/>
      <c r="GX19" s="418"/>
      <c r="GY19" s="418"/>
      <c r="GZ19" s="418"/>
      <c r="HA19" s="418"/>
      <c r="HB19" s="418"/>
      <c r="HC19" s="418"/>
      <c r="HD19" s="418"/>
      <c r="HE19" s="418"/>
      <c r="HF19" s="418"/>
      <c r="HG19" s="418"/>
      <c r="HH19" s="418"/>
      <c r="HI19" s="418"/>
      <c r="HJ19" s="418"/>
      <c r="HK19" s="418"/>
      <c r="HL19" s="418"/>
      <c r="HM19" s="418"/>
      <c r="HN19" s="418"/>
      <c r="HO19" s="418"/>
      <c r="HP19" s="418"/>
      <c r="HQ19" s="418"/>
      <c r="HR19" s="418"/>
      <c r="HS19" s="418"/>
      <c r="HT19" s="418"/>
      <c r="HU19" s="418"/>
      <c r="HV19" s="418"/>
      <c r="HW19" s="418"/>
      <c r="HX19" s="418"/>
      <c r="HY19" s="418"/>
      <c r="HZ19" s="418"/>
      <c r="IA19" s="418"/>
      <c r="IB19" s="418"/>
      <c r="IC19" s="418"/>
      <c r="ID19" s="418"/>
      <c r="IE19" s="418"/>
      <c r="IF19" s="418"/>
      <c r="IG19" s="418"/>
      <c r="IH19" s="418"/>
      <c r="II19" s="418"/>
      <c r="IJ19" s="418"/>
      <c r="IK19" s="418"/>
      <c r="IL19" s="418"/>
      <c r="IM19" s="418"/>
      <c r="IN19" s="418"/>
      <c r="IO19" s="418"/>
      <c r="IP19" s="418"/>
      <c r="IQ19" s="418"/>
      <c r="IR19" s="418"/>
      <c r="IS19" s="418"/>
      <c r="IT19" s="418"/>
      <c r="IU19" s="418"/>
      <c r="IV19" s="418"/>
    </row>
    <row r="20" spans="1:256" s="1" customFormat="1" x14ac:dyDescent="0.2">
      <c r="A20" s="1" t="s">
        <v>385</v>
      </c>
      <c r="B20" s="125">
        <v>0</v>
      </c>
      <c r="C20" s="111">
        <v>0</v>
      </c>
      <c r="D20" s="111">
        <v>0</v>
      </c>
      <c r="E20" s="111">
        <v>0</v>
      </c>
      <c r="F20" s="111">
        <f t="shared" si="19"/>
        <v>0</v>
      </c>
      <c r="G20" s="125">
        <v>0</v>
      </c>
      <c r="H20" s="111">
        <v>0</v>
      </c>
      <c r="I20" s="111">
        <v>0</v>
      </c>
      <c r="J20" s="111">
        <v>0</v>
      </c>
      <c r="K20" s="111">
        <f t="shared" si="20"/>
        <v>0</v>
      </c>
      <c r="L20" s="125">
        <v>0</v>
      </c>
      <c r="M20" s="111">
        <v>0</v>
      </c>
      <c r="N20" s="111">
        <v>0</v>
      </c>
      <c r="O20" s="111">
        <v>0</v>
      </c>
      <c r="P20" s="111">
        <f t="shared" si="21"/>
        <v>0</v>
      </c>
      <c r="Q20" s="125">
        <v>0</v>
      </c>
      <c r="R20" s="111">
        <v>0</v>
      </c>
      <c r="S20" s="111">
        <v>0</v>
      </c>
      <c r="T20" s="111">
        <v>0</v>
      </c>
      <c r="U20" s="111">
        <f t="shared" si="22"/>
        <v>0</v>
      </c>
      <c r="V20" s="125">
        <v>0</v>
      </c>
      <c r="W20" s="111">
        <v>0</v>
      </c>
      <c r="X20" s="111">
        <v>0</v>
      </c>
      <c r="Y20" s="111">
        <v>0</v>
      </c>
      <c r="Z20" s="111">
        <f t="shared" si="15"/>
        <v>0</v>
      </c>
      <c r="AA20" s="125">
        <v>0</v>
      </c>
      <c r="AB20" s="111">
        <v>0</v>
      </c>
      <c r="AC20" s="111">
        <v>0</v>
      </c>
      <c r="AD20" s="111">
        <v>0</v>
      </c>
      <c r="AE20" s="111">
        <f t="shared" si="0"/>
        <v>0</v>
      </c>
      <c r="AF20" s="125">
        <v>0</v>
      </c>
      <c r="AG20" s="111">
        <v>0</v>
      </c>
      <c r="AH20" s="111">
        <v>0</v>
      </c>
      <c r="AI20" s="111">
        <v>0</v>
      </c>
      <c r="AJ20" s="111">
        <f t="shared" si="1"/>
        <v>0</v>
      </c>
      <c r="AK20" s="125">
        <v>0</v>
      </c>
      <c r="AL20" s="111">
        <v>0</v>
      </c>
      <c r="AM20" s="111">
        <v>0</v>
      </c>
      <c r="AN20" s="111">
        <v>0</v>
      </c>
      <c r="AO20" s="111">
        <f t="shared" si="2"/>
        <v>0</v>
      </c>
      <c r="AP20" s="125">
        <v>0</v>
      </c>
      <c r="AQ20" s="111">
        <v>0</v>
      </c>
      <c r="AR20" s="111">
        <v>0</v>
      </c>
      <c r="AS20" s="111">
        <v>0</v>
      </c>
      <c r="AT20" s="111">
        <f t="shared" si="3"/>
        <v>0</v>
      </c>
      <c r="AU20" s="125">
        <v>0</v>
      </c>
      <c r="AV20" s="111">
        <v>0</v>
      </c>
      <c r="AW20" s="111">
        <v>0</v>
      </c>
      <c r="AX20" s="111">
        <v>0</v>
      </c>
      <c r="AY20" s="111"/>
      <c r="AZ20" s="125">
        <v>38.328000000000003</v>
      </c>
      <c r="BA20" s="111">
        <v>0</v>
      </c>
      <c r="BB20" s="111">
        <v>0</v>
      </c>
      <c r="BC20" s="111">
        <f>24.342-BB20-BA20</f>
        <v>24.341999999999999</v>
      </c>
      <c r="BD20" s="111">
        <f t="shared" si="5"/>
        <v>6.5770000000000017</v>
      </c>
      <c r="BE20" s="125">
        <v>30.919</v>
      </c>
      <c r="BF20" s="111">
        <v>5.7690000000000001</v>
      </c>
      <c r="BG20" s="111">
        <f>16.393-BF20</f>
        <v>10.624000000000001</v>
      </c>
      <c r="BH20" s="111">
        <f>37.499-BG20-BF20</f>
        <v>21.106000000000002</v>
      </c>
      <c r="BI20" s="111">
        <f t="shared" si="6"/>
        <v>11.738999999999995</v>
      </c>
      <c r="BJ20" s="125">
        <v>49.238</v>
      </c>
      <c r="BK20" s="111">
        <v>18.844999999999999</v>
      </c>
      <c r="BL20" s="111">
        <f>32.36-BK20</f>
        <v>13.515000000000001</v>
      </c>
      <c r="BM20" s="111">
        <f>42.324-BL20-BK20</f>
        <v>9.9639999999999986</v>
      </c>
      <c r="BN20" s="111">
        <f t="shared" si="7"/>
        <v>23.603000000000009</v>
      </c>
      <c r="BO20" s="125">
        <v>65.927000000000007</v>
      </c>
      <c r="BP20" s="111">
        <v>9.1999999999999993</v>
      </c>
      <c r="BQ20" s="111">
        <f>17.3-BP20</f>
        <v>8.1000000000000014</v>
      </c>
      <c r="BR20" s="111">
        <f>23.1-BQ20-BP20</f>
        <v>5.8000000000000007</v>
      </c>
      <c r="BS20" s="111">
        <f t="shared" si="8"/>
        <v>29.499999999999996</v>
      </c>
      <c r="BT20" s="125">
        <v>52.6</v>
      </c>
      <c r="BU20" s="111">
        <v>16.100000000000001</v>
      </c>
      <c r="BV20" s="111">
        <f>18.8-BU20</f>
        <v>2.6999999999999993</v>
      </c>
      <c r="BW20" s="111">
        <f>19.3-BV20-BU20</f>
        <v>0.5</v>
      </c>
      <c r="BX20" s="111">
        <f t="shared" si="9"/>
        <v>33.699999999999996</v>
      </c>
      <c r="BY20" s="125">
        <v>53</v>
      </c>
      <c r="BZ20" s="111">
        <v>21.2</v>
      </c>
      <c r="CA20" s="111">
        <f>41-BZ20</f>
        <v>19.8</v>
      </c>
      <c r="CB20" s="111">
        <f>59-CA20-BZ20</f>
        <v>18.000000000000004</v>
      </c>
      <c r="CC20" s="111">
        <f t="shared" si="10"/>
        <v>32.400000000000006</v>
      </c>
      <c r="CD20" s="125">
        <v>91.4</v>
      </c>
      <c r="CE20" s="111">
        <v>17.899999999999999</v>
      </c>
      <c r="CF20" s="111">
        <f>37.5-CE20</f>
        <v>19.600000000000001</v>
      </c>
      <c r="CG20" s="111">
        <f>47.4-CF20-CE20</f>
        <v>9.8999999999999986</v>
      </c>
      <c r="CH20" s="111">
        <f t="shared" si="11"/>
        <v>38.199999999999989</v>
      </c>
      <c r="CI20" s="125">
        <v>85.6</v>
      </c>
      <c r="CJ20" s="366">
        <v>0</v>
      </c>
      <c r="CK20" s="366">
        <v>0</v>
      </c>
      <c r="CL20" s="366">
        <v>0</v>
      </c>
      <c r="CM20" s="366">
        <f t="shared" si="12"/>
        <v>0</v>
      </c>
      <c r="CN20" s="367">
        <v>0</v>
      </c>
      <c r="CO20" s="366">
        <v>0</v>
      </c>
      <c r="CP20" s="366">
        <v>0</v>
      </c>
      <c r="CQ20" s="495">
        <v>0</v>
      </c>
      <c r="CR20" s="366">
        <f t="shared" si="16"/>
        <v>0</v>
      </c>
      <c r="CS20" s="367">
        <v>0</v>
      </c>
      <c r="CT20" s="366">
        <v>0</v>
      </c>
      <c r="CU20" s="495">
        <v>0</v>
      </c>
      <c r="CV20" s="495">
        <v>0</v>
      </c>
      <c r="CW20" s="722">
        <f>CX20-CV20-CU20-CT20</f>
        <v>139.19999999999999</v>
      </c>
      <c r="CX20" s="723">
        <v>139.19999999999999</v>
      </c>
      <c r="CY20" s="366">
        <v>35.799999999999997</v>
      </c>
      <c r="CZ20" s="366">
        <f>57.9-CY20</f>
        <v>22.1</v>
      </c>
      <c r="DA20" s="366">
        <f>84.3-CZ20-CY20</f>
        <v>26.4</v>
      </c>
      <c r="DB20" s="815">
        <f>DC20-DA20-CZ20-CY20</f>
        <v>63.899999999999991</v>
      </c>
      <c r="DC20" s="367">
        <v>148.19999999999999</v>
      </c>
      <c r="DD20" s="366">
        <v>69.3</v>
      </c>
      <c r="DE20" s="366">
        <f>102.8-DD20</f>
        <v>33.5</v>
      </c>
      <c r="DF20" s="366">
        <f>139.4-DE20-DD20</f>
        <v>36.600000000000009</v>
      </c>
      <c r="DG20" s="815">
        <f>DH20-DF20-DE20-DD20</f>
        <v>83.899999999999991</v>
      </c>
      <c r="DH20" s="367">
        <v>223.3</v>
      </c>
      <c r="DI20" s="366">
        <v>39.1</v>
      </c>
      <c r="DJ20" s="366">
        <f>94.1-DI20</f>
        <v>54.999999999999993</v>
      </c>
      <c r="DK20" s="366">
        <f>133.2-SUM(DI20:DJ20)</f>
        <v>39.099999999999994</v>
      </c>
      <c r="DL20" s="111">
        <f>186.6-SUM(DI20:DK20)</f>
        <v>53.400000000000006</v>
      </c>
      <c r="DM20" s="125">
        <f t="shared" si="13"/>
        <v>186.6</v>
      </c>
      <c r="DN20" s="143">
        <v>0</v>
      </c>
      <c r="DO20" s="143">
        <v>0</v>
      </c>
      <c r="DP20" s="143">
        <v>0</v>
      </c>
      <c r="DQ20" s="143">
        <v>0</v>
      </c>
      <c r="DR20" s="142">
        <f t="shared" si="14"/>
        <v>0</v>
      </c>
      <c r="DS20" s="143">
        <v>0</v>
      </c>
      <c r="DT20" s="143">
        <v>0</v>
      </c>
      <c r="DU20" s="143">
        <v>0</v>
      </c>
      <c r="DV20" s="143">
        <v>0</v>
      </c>
      <c r="DW20" s="142">
        <f t="shared" si="17"/>
        <v>0</v>
      </c>
      <c r="DX20" s="143">
        <v>0</v>
      </c>
      <c r="DY20" s="143">
        <v>0</v>
      </c>
      <c r="DZ20" s="143">
        <v>0</v>
      </c>
      <c r="EA20" s="143">
        <v>0</v>
      </c>
      <c r="EB20" s="142">
        <f t="shared" si="18"/>
        <v>0</v>
      </c>
      <c r="EE20" s="125"/>
      <c r="EF20" s="125"/>
      <c r="EG20" s="125"/>
      <c r="EH20" s="125"/>
      <c r="EI20" s="125"/>
      <c r="EJ20" s="125"/>
      <c r="EK20" s="125"/>
      <c r="EL20" s="125"/>
      <c r="EM20" s="125"/>
      <c r="EN20" s="125"/>
      <c r="EO20" s="125"/>
      <c r="EP20" s="125"/>
      <c r="EQ20" s="125"/>
      <c r="ER20" s="125"/>
      <c r="FC20"/>
      <c r="FD20"/>
      <c r="FE20"/>
      <c r="FF20"/>
      <c r="FG20"/>
      <c r="FH20"/>
      <c r="FI20" s="396"/>
      <c r="FJ20" s="419"/>
      <c r="FK20" s="419"/>
      <c r="FL20" s="419"/>
      <c r="FM20" s="419"/>
      <c r="FN20" s="419"/>
      <c r="FO20" s="419"/>
      <c r="FP20" s="419"/>
      <c r="FQ20" s="419"/>
      <c r="FR20" s="419"/>
      <c r="FS20" s="419"/>
      <c r="FT20" s="419"/>
      <c r="FU20" s="419"/>
      <c r="FV20" s="419"/>
      <c r="FW20" s="419"/>
      <c r="FX20" s="419"/>
      <c r="FY20" s="419"/>
      <c r="FZ20" s="419"/>
      <c r="GA20" s="419"/>
      <c r="GB20" s="419"/>
      <c r="GC20" s="419"/>
      <c r="GD20" s="419"/>
      <c r="GE20" s="419"/>
      <c r="GF20" s="419"/>
      <c r="GG20" s="419"/>
      <c r="GH20" s="419"/>
      <c r="GI20" s="419"/>
      <c r="GJ20" s="419"/>
      <c r="GK20" s="419"/>
      <c r="GL20" s="419"/>
      <c r="GM20" s="419"/>
      <c r="GN20" s="419"/>
      <c r="GO20" s="419"/>
      <c r="GP20" s="419"/>
      <c r="GQ20" s="419"/>
      <c r="GR20" s="419"/>
      <c r="GS20" s="419"/>
      <c r="GT20" s="419"/>
      <c r="GU20" s="419"/>
      <c r="GV20" s="419"/>
      <c r="GW20" s="418"/>
      <c r="GX20" s="418"/>
      <c r="GY20" s="418"/>
      <c r="GZ20" s="418"/>
      <c r="HA20" s="418"/>
      <c r="HB20" s="418"/>
      <c r="HC20" s="418"/>
      <c r="HD20" s="418"/>
      <c r="HE20" s="418"/>
      <c r="HF20" s="418"/>
      <c r="HG20" s="418"/>
      <c r="HH20" s="418"/>
      <c r="HI20" s="418"/>
      <c r="HJ20" s="418"/>
      <c r="HK20" s="418"/>
      <c r="HL20" s="418"/>
      <c r="HM20" s="418"/>
      <c r="HN20" s="418"/>
      <c r="HO20" s="418"/>
      <c r="HP20" s="418"/>
      <c r="HQ20" s="418"/>
      <c r="HR20" s="418"/>
      <c r="HS20" s="418"/>
      <c r="HT20" s="418"/>
      <c r="HU20" s="418"/>
      <c r="HV20" s="418"/>
      <c r="HW20" s="418"/>
      <c r="HX20" s="418"/>
      <c r="HY20" s="418"/>
      <c r="HZ20" s="418"/>
      <c r="IA20" s="418"/>
      <c r="IB20" s="418"/>
      <c r="IC20" s="418"/>
      <c r="ID20" s="418"/>
      <c r="IE20" s="418"/>
      <c r="IF20" s="418"/>
      <c r="IG20" s="418"/>
      <c r="IH20" s="418"/>
      <c r="II20" s="418"/>
      <c r="IJ20" s="418"/>
      <c r="IK20" s="418"/>
      <c r="IL20" s="418"/>
      <c r="IM20" s="418"/>
      <c r="IN20" s="418"/>
      <c r="IO20" s="418"/>
      <c r="IP20" s="418"/>
      <c r="IQ20" s="418"/>
      <c r="IR20" s="418"/>
      <c r="IS20" s="418"/>
      <c r="IT20" s="418"/>
      <c r="IU20" s="418"/>
      <c r="IV20" s="418"/>
    </row>
    <row r="21" spans="1:256" s="1" customFormat="1" x14ac:dyDescent="0.2">
      <c r="A21" s="1" t="s">
        <v>384</v>
      </c>
      <c r="B21" s="125">
        <v>0</v>
      </c>
      <c r="C21" s="111">
        <v>0</v>
      </c>
      <c r="D21" s="111">
        <v>0</v>
      </c>
      <c r="E21" s="111">
        <v>0</v>
      </c>
      <c r="F21" s="111">
        <f t="shared" si="19"/>
        <v>0</v>
      </c>
      <c r="G21" s="125">
        <v>0</v>
      </c>
      <c r="H21" s="111">
        <v>0</v>
      </c>
      <c r="I21" s="111">
        <v>0</v>
      </c>
      <c r="J21" s="111">
        <v>0</v>
      </c>
      <c r="K21" s="111">
        <f t="shared" si="20"/>
        <v>0</v>
      </c>
      <c r="L21" s="125">
        <v>0</v>
      </c>
      <c r="M21" s="111">
        <v>0</v>
      </c>
      <c r="N21" s="111">
        <v>0</v>
      </c>
      <c r="O21" s="111">
        <v>0</v>
      </c>
      <c r="P21" s="111">
        <f t="shared" si="21"/>
        <v>0</v>
      </c>
      <c r="Q21" s="125">
        <v>0</v>
      </c>
      <c r="R21" s="111">
        <v>0</v>
      </c>
      <c r="S21" s="111">
        <v>0</v>
      </c>
      <c r="T21" s="111">
        <v>0</v>
      </c>
      <c r="U21" s="111">
        <f t="shared" si="22"/>
        <v>0</v>
      </c>
      <c r="V21" s="125">
        <v>0</v>
      </c>
      <c r="W21" s="111">
        <v>0</v>
      </c>
      <c r="X21" s="111">
        <v>0</v>
      </c>
      <c r="Y21" s="111">
        <v>0</v>
      </c>
      <c r="Z21" s="111">
        <f t="shared" si="15"/>
        <v>0</v>
      </c>
      <c r="AA21" s="125">
        <v>0</v>
      </c>
      <c r="AB21" s="111">
        <v>0</v>
      </c>
      <c r="AC21" s="111">
        <v>0</v>
      </c>
      <c r="AD21" s="111">
        <v>0</v>
      </c>
      <c r="AE21" s="111">
        <f t="shared" si="0"/>
        <v>0</v>
      </c>
      <c r="AF21" s="125">
        <v>0</v>
      </c>
      <c r="AG21" s="111">
        <v>0</v>
      </c>
      <c r="AH21" s="111">
        <v>0</v>
      </c>
      <c r="AI21" s="111">
        <v>0</v>
      </c>
      <c r="AJ21" s="111">
        <f t="shared" si="1"/>
        <v>0</v>
      </c>
      <c r="AK21" s="125">
        <v>0</v>
      </c>
      <c r="AL21" s="111">
        <v>0</v>
      </c>
      <c r="AM21" s="111">
        <v>0</v>
      </c>
      <c r="AN21" s="111">
        <v>0</v>
      </c>
      <c r="AO21" s="111">
        <f t="shared" si="2"/>
        <v>0</v>
      </c>
      <c r="AP21" s="125">
        <v>0</v>
      </c>
      <c r="AQ21" s="111">
        <v>0</v>
      </c>
      <c r="AR21" s="111">
        <v>0</v>
      </c>
      <c r="AS21" s="111">
        <v>0</v>
      </c>
      <c r="AT21" s="111">
        <f t="shared" si="3"/>
        <v>0</v>
      </c>
      <c r="AU21" s="125">
        <v>0</v>
      </c>
      <c r="AV21" s="111">
        <v>0</v>
      </c>
      <c r="AW21" s="111">
        <v>0</v>
      </c>
      <c r="AX21" s="111">
        <v>0</v>
      </c>
      <c r="AY21" s="111">
        <f>AZ21-AX21-AW21-AV21</f>
        <v>0</v>
      </c>
      <c r="AZ21" s="125">
        <v>0</v>
      </c>
      <c r="BA21" s="111">
        <v>0</v>
      </c>
      <c r="BB21" s="111">
        <v>0</v>
      </c>
      <c r="BC21" s="111">
        <v>0</v>
      </c>
      <c r="BD21" s="111">
        <f t="shared" si="5"/>
        <v>0</v>
      </c>
      <c r="BE21" s="125">
        <v>0</v>
      </c>
      <c r="BF21" s="111">
        <v>23.189</v>
      </c>
      <c r="BG21" s="111">
        <f>51.297-BF21</f>
        <v>28.107999999999997</v>
      </c>
      <c r="BH21" s="111">
        <f>78.698-BG21-BF21</f>
        <v>27.400999999999996</v>
      </c>
      <c r="BI21" s="111">
        <f t="shared" si="6"/>
        <v>26.966000000000008</v>
      </c>
      <c r="BJ21" s="125">
        <v>105.664</v>
      </c>
      <c r="BK21" s="111">
        <v>24.363</v>
      </c>
      <c r="BL21" s="111">
        <f>52.18-BK21</f>
        <v>27.817</v>
      </c>
      <c r="BM21" s="111">
        <f>78.53-BL21-BK21</f>
        <v>26.35</v>
      </c>
      <c r="BN21" s="111">
        <f t="shared" si="7"/>
        <v>25.334999999999987</v>
      </c>
      <c r="BO21" s="125">
        <v>103.86499999999999</v>
      </c>
      <c r="BP21" s="111">
        <v>24.3</v>
      </c>
      <c r="BQ21" s="111">
        <f>39.3-BP21</f>
        <v>14.999999999999996</v>
      </c>
      <c r="BR21" s="111">
        <f>59.7-BQ21-BP21</f>
        <v>20.400000000000002</v>
      </c>
      <c r="BS21" s="111">
        <f t="shared" si="8"/>
        <v>15.299999999999994</v>
      </c>
      <c r="BT21" s="125">
        <v>75</v>
      </c>
      <c r="BU21" s="111">
        <v>22.3</v>
      </c>
      <c r="BV21" s="111">
        <f>42.5-BU21</f>
        <v>20.2</v>
      </c>
      <c r="BW21" s="111">
        <f>63.1-BV21-BU21</f>
        <v>20.600000000000005</v>
      </c>
      <c r="BX21" s="111">
        <f t="shared" si="9"/>
        <v>20.099999999999991</v>
      </c>
      <c r="BY21" s="125">
        <v>83.2</v>
      </c>
      <c r="BZ21" s="111">
        <v>24.3</v>
      </c>
      <c r="CA21" s="111">
        <f>53.4-BZ21</f>
        <v>29.099999999999998</v>
      </c>
      <c r="CB21" s="111">
        <f>81.9-CA21-BZ21</f>
        <v>28.500000000000011</v>
      </c>
      <c r="CC21" s="111">
        <f t="shared" si="10"/>
        <v>31.699999999999985</v>
      </c>
      <c r="CD21" s="125">
        <v>113.6</v>
      </c>
      <c r="CE21" s="111">
        <v>36.5</v>
      </c>
      <c r="CF21" s="111">
        <f>71.2-CE21</f>
        <v>34.700000000000003</v>
      </c>
      <c r="CG21" s="111">
        <f>108.2-CF21-CE21</f>
        <v>37</v>
      </c>
      <c r="CH21" s="111">
        <f t="shared" si="11"/>
        <v>36.999999999999986</v>
      </c>
      <c r="CI21" s="125">
        <v>145.19999999999999</v>
      </c>
      <c r="CJ21" s="111">
        <v>39.799999999999997</v>
      </c>
      <c r="CK21" s="111">
        <f>76-CJ21</f>
        <v>36.200000000000003</v>
      </c>
      <c r="CL21" s="111">
        <f>114.8-SUM(CJ21:CK21)</f>
        <v>38.799999999999997</v>
      </c>
      <c r="CM21" s="111">
        <f t="shared" si="12"/>
        <v>38.799999999999997</v>
      </c>
      <c r="CN21" s="125">
        <v>153.6</v>
      </c>
      <c r="CO21" s="111">
        <v>37.4</v>
      </c>
      <c r="CP21" s="111">
        <f>70.9-CO21</f>
        <v>33.500000000000007</v>
      </c>
      <c r="CQ21" s="117">
        <f>105.6-SUM(CO21:CP21)</f>
        <v>34.699999999999989</v>
      </c>
      <c r="CR21" s="111">
        <f t="shared" si="16"/>
        <v>36.700000000000017</v>
      </c>
      <c r="CS21" s="125">
        <v>142.30000000000001</v>
      </c>
      <c r="CT21" s="111">
        <v>47.8</v>
      </c>
      <c r="CU21" s="117">
        <f>91.6-CT21</f>
        <v>43.8</v>
      </c>
      <c r="CV21" s="117">
        <f>142.6-CU21-CT21</f>
        <v>51</v>
      </c>
      <c r="CW21" s="722">
        <f>CX21-CV21-CU21-CT21</f>
        <v>40.599999999999994</v>
      </c>
      <c r="CX21" s="719">
        <v>183.2</v>
      </c>
      <c r="CY21" s="111">
        <v>51.9</v>
      </c>
      <c r="CZ21" s="111">
        <f>104.2-CY21</f>
        <v>52.300000000000004</v>
      </c>
      <c r="DA21" s="111">
        <f>156.2-CZ21-CY21</f>
        <v>51.999999999999979</v>
      </c>
      <c r="DB21" s="815">
        <f>DC21-DA21-CZ21-CY21</f>
        <v>53.60000000000003</v>
      </c>
      <c r="DC21" s="125">
        <v>209.8</v>
      </c>
      <c r="DD21" s="111">
        <v>57.3</v>
      </c>
      <c r="DE21" s="111">
        <f>108.6-DD21</f>
        <v>51.3</v>
      </c>
      <c r="DF21" s="111">
        <f>158.4-DE21-DD21</f>
        <v>49.800000000000011</v>
      </c>
      <c r="DG21" s="815">
        <f>DH21-DF21-DE21-DD21</f>
        <v>59.699999999999989</v>
      </c>
      <c r="DH21" s="125">
        <v>218.1</v>
      </c>
      <c r="DI21" s="111">
        <v>55</v>
      </c>
      <c r="DJ21" s="111">
        <f>104.9-DI21</f>
        <v>49.900000000000006</v>
      </c>
      <c r="DK21" s="111">
        <f>148.7-SUM(DI21:DJ21)</f>
        <v>43.799999999999983</v>
      </c>
      <c r="DL21" s="111">
        <f>176-SUM(DI21:DK21)</f>
        <v>27.300000000000011</v>
      </c>
      <c r="DM21" s="125">
        <f t="shared" si="13"/>
        <v>176</v>
      </c>
      <c r="DN21" s="143">
        <v>60</v>
      </c>
      <c r="DO21" s="143">
        <v>50</v>
      </c>
      <c r="DP21" s="143">
        <v>45</v>
      </c>
      <c r="DQ21" s="143">
        <v>55</v>
      </c>
      <c r="DR21" s="142">
        <f t="shared" si="14"/>
        <v>210</v>
      </c>
      <c r="DS21" s="143">
        <v>65</v>
      </c>
      <c r="DT21" s="143">
        <v>55</v>
      </c>
      <c r="DU21" s="143">
        <v>45</v>
      </c>
      <c r="DV21" s="143">
        <v>60</v>
      </c>
      <c r="DW21" s="142">
        <f t="shared" si="17"/>
        <v>225</v>
      </c>
      <c r="DX21" s="143">
        <v>67</v>
      </c>
      <c r="DY21" s="143">
        <v>57</v>
      </c>
      <c r="DZ21" s="143">
        <v>47</v>
      </c>
      <c r="EA21" s="143">
        <v>63</v>
      </c>
      <c r="EB21" s="142">
        <f t="shared" si="18"/>
        <v>234</v>
      </c>
      <c r="EE21" s="125">
        <f>BG21+BH21+BI21+BK21</f>
        <v>106.83799999999999</v>
      </c>
      <c r="EF21" s="125"/>
      <c r="EG21" s="125"/>
      <c r="EH21" s="125"/>
      <c r="EI21" s="125"/>
      <c r="EJ21" s="125"/>
      <c r="EK21" s="125"/>
      <c r="EL21" s="125"/>
      <c r="EM21" s="125"/>
      <c r="EN21" s="125"/>
      <c r="EO21" s="125"/>
      <c r="EP21" s="125"/>
      <c r="EQ21" s="125"/>
      <c r="ER21" s="125"/>
      <c r="FC21"/>
      <c r="FD21"/>
      <c r="FE21"/>
      <c r="FF21"/>
      <c r="FG21"/>
      <c r="FH21"/>
      <c r="FI21" s="396"/>
      <c r="FJ21" s="419"/>
      <c r="FK21" s="419"/>
      <c r="FL21" s="419"/>
      <c r="FM21" s="419"/>
      <c r="FN21" s="419"/>
      <c r="FO21" s="419"/>
      <c r="FP21" s="419"/>
      <c r="FQ21" s="419"/>
      <c r="FR21" s="419"/>
      <c r="FS21" s="419"/>
      <c r="FT21" s="419"/>
      <c r="FU21" s="419"/>
      <c r="FV21" s="419"/>
      <c r="FW21" s="419"/>
      <c r="FX21" s="419"/>
      <c r="FY21" s="419"/>
      <c r="FZ21" s="419"/>
      <c r="GA21" s="419"/>
      <c r="GB21" s="419"/>
      <c r="GC21" s="419"/>
      <c r="GD21" s="419"/>
      <c r="GE21" s="419"/>
      <c r="GF21" s="419"/>
      <c r="GG21" s="419"/>
      <c r="GH21" s="419"/>
      <c r="GI21" s="419"/>
      <c r="GJ21" s="419"/>
      <c r="GK21" s="419"/>
      <c r="GL21" s="419"/>
      <c r="GM21" s="419"/>
      <c r="GN21" s="419"/>
      <c r="GO21" s="419"/>
      <c r="GP21" s="419"/>
      <c r="GQ21" s="419"/>
      <c r="GR21" s="419"/>
      <c r="GS21" s="419"/>
      <c r="GT21" s="419"/>
      <c r="GU21" s="419"/>
      <c r="GV21" s="419"/>
      <c r="GW21" s="418"/>
      <c r="GX21" s="418"/>
      <c r="GY21" s="418"/>
      <c r="GZ21" s="418"/>
      <c r="HA21" s="418"/>
      <c r="HB21" s="418"/>
      <c r="HC21" s="418"/>
      <c r="HD21" s="418"/>
      <c r="HE21" s="418"/>
      <c r="HF21" s="418"/>
      <c r="HG21" s="418"/>
      <c r="HH21" s="418"/>
      <c r="HI21" s="418"/>
      <c r="HJ21" s="418"/>
      <c r="HK21" s="418"/>
      <c r="HL21" s="418"/>
      <c r="HM21" s="418"/>
      <c r="HN21" s="418"/>
      <c r="HO21" s="418"/>
      <c r="HP21" s="418"/>
      <c r="HQ21" s="418"/>
      <c r="HR21" s="418"/>
      <c r="HS21" s="418"/>
      <c r="HT21" s="418"/>
      <c r="HU21" s="418"/>
      <c r="HV21" s="418"/>
      <c r="HW21" s="418"/>
      <c r="HX21" s="418"/>
      <c r="HY21" s="418"/>
      <c r="HZ21" s="418"/>
      <c r="IA21" s="418"/>
      <c r="IB21" s="418"/>
      <c r="IC21" s="418"/>
      <c r="ID21" s="418"/>
      <c r="IE21" s="418"/>
      <c r="IF21" s="418"/>
      <c r="IG21" s="418"/>
      <c r="IH21" s="418"/>
      <c r="II21" s="418"/>
      <c r="IJ21" s="418"/>
      <c r="IK21" s="418"/>
      <c r="IL21" s="418"/>
      <c r="IM21" s="418"/>
      <c r="IN21" s="418"/>
      <c r="IO21" s="418"/>
      <c r="IP21" s="418"/>
      <c r="IQ21" s="418"/>
      <c r="IR21" s="418"/>
      <c r="IS21" s="418"/>
      <c r="IT21" s="418"/>
      <c r="IU21" s="418"/>
      <c r="IV21" s="418"/>
    </row>
    <row r="22" spans="1:256" s="1" customFormat="1" x14ac:dyDescent="0.2">
      <c r="A22" s="1" t="s">
        <v>463</v>
      </c>
      <c r="B22" s="125">
        <v>0</v>
      </c>
      <c r="C22" s="111">
        <v>0</v>
      </c>
      <c r="D22" s="111">
        <v>0</v>
      </c>
      <c r="E22" s="111">
        <v>0</v>
      </c>
      <c r="F22" s="111">
        <f t="shared" si="19"/>
        <v>0</v>
      </c>
      <c r="G22" s="125">
        <v>0</v>
      </c>
      <c r="H22" s="111">
        <v>0</v>
      </c>
      <c r="I22" s="111">
        <v>0</v>
      </c>
      <c r="J22" s="111">
        <v>0</v>
      </c>
      <c r="K22" s="111">
        <f t="shared" si="20"/>
        <v>0</v>
      </c>
      <c r="L22" s="125">
        <v>0</v>
      </c>
      <c r="M22" s="111">
        <v>0</v>
      </c>
      <c r="N22" s="111">
        <v>0</v>
      </c>
      <c r="O22" s="111">
        <v>0</v>
      </c>
      <c r="P22" s="111">
        <f t="shared" si="21"/>
        <v>0</v>
      </c>
      <c r="Q22" s="125">
        <v>0</v>
      </c>
      <c r="R22" s="111">
        <v>0</v>
      </c>
      <c r="S22" s="111">
        <v>0</v>
      </c>
      <c r="T22" s="111">
        <v>0</v>
      </c>
      <c r="U22" s="111">
        <f t="shared" si="22"/>
        <v>0</v>
      </c>
      <c r="V22" s="125">
        <v>0</v>
      </c>
      <c r="W22" s="111">
        <v>0</v>
      </c>
      <c r="X22" s="111">
        <v>0</v>
      </c>
      <c r="Y22" s="111">
        <v>0</v>
      </c>
      <c r="Z22" s="111">
        <f t="shared" si="15"/>
        <v>0</v>
      </c>
      <c r="AA22" s="125">
        <v>0</v>
      </c>
      <c r="AB22" s="111">
        <v>1.081</v>
      </c>
      <c r="AC22" s="111">
        <f>13.276-AB22</f>
        <v>12.195</v>
      </c>
      <c r="AD22" s="111">
        <f>19.195-AB22-AC22</f>
        <v>5.9190000000000005</v>
      </c>
      <c r="AE22" s="111">
        <f t="shared" si="0"/>
        <v>11.936</v>
      </c>
      <c r="AF22" s="125">
        <v>31.131</v>
      </c>
      <c r="AG22" s="111">
        <v>10.198</v>
      </c>
      <c r="AH22" s="111">
        <f>25.904-AG22</f>
        <v>15.706</v>
      </c>
      <c r="AI22" s="111">
        <f>29.686-AH22-AG22</f>
        <v>3.782</v>
      </c>
      <c r="AJ22" s="111">
        <f t="shared" si="1"/>
        <v>1.213000000000001</v>
      </c>
      <c r="AK22" s="125">
        <v>30.899000000000001</v>
      </c>
      <c r="AL22" s="111">
        <v>9.17</v>
      </c>
      <c r="AM22" s="111">
        <f>24.976-AL22</f>
        <v>15.805999999999999</v>
      </c>
      <c r="AN22" s="111">
        <f>43.26-AM22-AL22</f>
        <v>18.283999999999999</v>
      </c>
      <c r="AO22" s="111">
        <f t="shared" si="2"/>
        <v>0.93900000000000006</v>
      </c>
      <c r="AP22" s="125">
        <v>44.198999999999998</v>
      </c>
      <c r="AQ22" s="111">
        <v>4.274</v>
      </c>
      <c r="AR22" s="111">
        <f>18.02-AQ22</f>
        <v>13.745999999999999</v>
      </c>
      <c r="AS22" s="111">
        <f>23.328-AQ22-AR22</f>
        <v>5.3079999999999998</v>
      </c>
      <c r="AT22" s="111">
        <f t="shared" si="3"/>
        <v>13.260999999999999</v>
      </c>
      <c r="AU22" s="125">
        <v>36.588999999999999</v>
      </c>
      <c r="AV22" s="111">
        <v>9.4390000000000001</v>
      </c>
      <c r="AW22" s="111">
        <f>31.363-AV22</f>
        <v>21.923999999999999</v>
      </c>
      <c r="AX22" s="111">
        <f>45.045-AW22-AV22</f>
        <v>13.682000000000002</v>
      </c>
      <c r="AY22" s="111">
        <f>AZ22-AX22-AW22-AV22</f>
        <v>18.36</v>
      </c>
      <c r="AZ22" s="125">
        <v>63.405000000000001</v>
      </c>
      <c r="BA22" s="111">
        <v>71.05</v>
      </c>
      <c r="BB22" s="111">
        <f>88.781-BA22</f>
        <v>17.731000000000009</v>
      </c>
      <c r="BC22" s="111">
        <f>99.798-(SUM(BA22:BB22))</f>
        <v>11.016999999999996</v>
      </c>
      <c r="BD22" s="111">
        <f t="shared" si="5"/>
        <v>10.179999999999993</v>
      </c>
      <c r="BE22" s="125">
        <v>109.97799999999999</v>
      </c>
      <c r="BF22" s="111">
        <v>0.11</v>
      </c>
      <c r="BG22" s="111">
        <f>0.52-BF22</f>
        <v>0.41000000000000003</v>
      </c>
      <c r="BH22" s="111">
        <f>0.908-BG22-BF22</f>
        <v>0.38800000000000001</v>
      </c>
      <c r="BI22" s="111">
        <f t="shared" si="6"/>
        <v>0.41000000000000003</v>
      </c>
      <c r="BJ22" s="125">
        <v>1.3180000000000001</v>
      </c>
      <c r="BK22" s="111">
        <v>3.4220000000000002</v>
      </c>
      <c r="BL22" s="111">
        <f>4.982-BK22</f>
        <v>1.56</v>
      </c>
      <c r="BM22" s="111">
        <f>5.865-BL22-BK22</f>
        <v>0.88299999999999956</v>
      </c>
      <c r="BN22" s="111">
        <f t="shared" si="7"/>
        <v>1.8400000000000003</v>
      </c>
      <c r="BO22" s="125">
        <v>7.7050000000000001</v>
      </c>
      <c r="BP22" s="111">
        <v>1.1000000000000001</v>
      </c>
      <c r="BQ22" s="111">
        <f>2.8-BP22</f>
        <v>1.6999999999999997</v>
      </c>
      <c r="BR22" s="111">
        <f>3.6-BQ22-BP22</f>
        <v>0.80000000000000027</v>
      </c>
      <c r="BS22" s="111">
        <f t="shared" si="8"/>
        <v>0.19999999999999973</v>
      </c>
      <c r="BT22" s="125">
        <v>3.8</v>
      </c>
      <c r="BU22" s="111">
        <v>0.3</v>
      </c>
      <c r="BV22" s="111">
        <f>0.6-BU22</f>
        <v>0.3</v>
      </c>
      <c r="BW22" s="111">
        <f>1.1-BV22-BU22</f>
        <v>0.5</v>
      </c>
      <c r="BX22" s="111">
        <f t="shared" si="9"/>
        <v>0.89999999999999991</v>
      </c>
      <c r="BY22" s="125">
        <v>2</v>
      </c>
      <c r="BZ22" s="111">
        <v>5.3</v>
      </c>
      <c r="CA22" s="111">
        <f>6.9-BZ22</f>
        <v>1.6000000000000005</v>
      </c>
      <c r="CB22" s="111">
        <f>10.7-CA22-BZ22</f>
        <v>3.799999999999998</v>
      </c>
      <c r="CC22" s="111">
        <f t="shared" si="10"/>
        <v>2.8000000000000016</v>
      </c>
      <c r="CD22" s="125">
        <v>13.5</v>
      </c>
      <c r="CE22" s="111">
        <v>11.9</v>
      </c>
      <c r="CF22" s="111">
        <f>17-CE22</f>
        <v>5.0999999999999996</v>
      </c>
      <c r="CG22" s="111">
        <f>25.1-CF22-CE22</f>
        <v>8.1</v>
      </c>
      <c r="CH22" s="111">
        <f t="shared" si="11"/>
        <v>-25.1</v>
      </c>
      <c r="CI22" s="367">
        <v>0</v>
      </c>
      <c r="CJ22" s="366">
        <v>0</v>
      </c>
      <c r="CK22" s="366">
        <v>0</v>
      </c>
      <c r="CL22" s="366">
        <v>0</v>
      </c>
      <c r="CM22" s="366">
        <f t="shared" si="12"/>
        <v>0</v>
      </c>
      <c r="CN22" s="367">
        <v>0</v>
      </c>
      <c r="CO22" s="366">
        <v>0</v>
      </c>
      <c r="CP22" s="366">
        <v>0</v>
      </c>
      <c r="CQ22" s="495">
        <v>0</v>
      </c>
      <c r="CR22" s="366">
        <f t="shared" si="16"/>
        <v>0</v>
      </c>
      <c r="CS22" s="367">
        <v>0</v>
      </c>
      <c r="CT22" s="366">
        <v>0</v>
      </c>
      <c r="CU22" s="495">
        <v>0</v>
      </c>
      <c r="CV22" s="495">
        <v>0</v>
      </c>
      <c r="CW22" s="722">
        <v>0</v>
      </c>
      <c r="CX22" s="723">
        <v>0</v>
      </c>
      <c r="CY22" s="366">
        <v>0</v>
      </c>
      <c r="CZ22" s="366">
        <v>0</v>
      </c>
      <c r="DA22" s="366">
        <v>0</v>
      </c>
      <c r="DB22" s="815">
        <v>0</v>
      </c>
      <c r="DC22" s="367">
        <v>0</v>
      </c>
      <c r="DD22" s="366">
        <v>0</v>
      </c>
      <c r="DE22" s="366">
        <v>0</v>
      </c>
      <c r="DF22" s="366">
        <v>0</v>
      </c>
      <c r="DG22" s="815">
        <v>0</v>
      </c>
      <c r="DH22" s="367">
        <v>0</v>
      </c>
      <c r="DI22" s="366">
        <v>0</v>
      </c>
      <c r="DJ22" s="366">
        <v>0</v>
      </c>
      <c r="DK22" s="366">
        <v>0</v>
      </c>
      <c r="DL22" s="111">
        <v>0</v>
      </c>
      <c r="DM22" s="125">
        <f t="shared" si="13"/>
        <v>0</v>
      </c>
      <c r="DN22" s="143">
        <v>0</v>
      </c>
      <c r="DO22" s="143">
        <v>0</v>
      </c>
      <c r="DP22" s="143">
        <v>0</v>
      </c>
      <c r="DQ22" s="143">
        <v>0</v>
      </c>
      <c r="DR22" s="142">
        <f t="shared" si="14"/>
        <v>0</v>
      </c>
      <c r="DS22" s="143">
        <v>0</v>
      </c>
      <c r="DT22" s="143">
        <v>0</v>
      </c>
      <c r="DU22" s="143">
        <v>0</v>
      </c>
      <c r="DV22" s="143">
        <v>0</v>
      </c>
      <c r="DW22" s="142">
        <f t="shared" si="17"/>
        <v>0</v>
      </c>
      <c r="DX22" s="143">
        <v>0</v>
      </c>
      <c r="DY22" s="143">
        <v>0</v>
      </c>
      <c r="DZ22" s="143">
        <v>0</v>
      </c>
      <c r="EA22" s="143">
        <v>0</v>
      </c>
      <c r="EB22" s="142">
        <f t="shared" si="18"/>
        <v>0</v>
      </c>
      <c r="EE22" s="125"/>
      <c r="EF22" s="125"/>
      <c r="EG22" s="125"/>
      <c r="EH22" s="125"/>
      <c r="EI22" s="125"/>
      <c r="EJ22" s="125"/>
      <c r="EK22" s="125"/>
      <c r="EL22" s="125"/>
      <c r="EM22" s="125"/>
      <c r="EN22" s="125"/>
      <c r="EO22" s="125"/>
      <c r="EP22" s="125"/>
      <c r="EQ22" s="125"/>
      <c r="ER22" s="125"/>
      <c r="FC22"/>
      <c r="FD22"/>
      <c r="FE22"/>
      <c r="FF22"/>
      <c r="FG22"/>
      <c r="FH22"/>
      <c r="FI22" s="396"/>
      <c r="FJ22" s="419"/>
      <c r="FK22" s="419"/>
      <c r="FL22" s="419"/>
      <c r="FM22" s="419"/>
      <c r="FN22" s="419"/>
      <c r="FO22" s="419"/>
      <c r="FP22" s="419"/>
      <c r="FQ22" s="419"/>
      <c r="FR22" s="419"/>
      <c r="FS22" s="419"/>
      <c r="FT22" s="419"/>
      <c r="FU22" s="419"/>
      <c r="FV22" s="419"/>
      <c r="FW22" s="419"/>
      <c r="FX22" s="419"/>
      <c r="FY22" s="419"/>
      <c r="FZ22" s="419"/>
      <c r="GA22" s="419"/>
      <c r="GB22" s="419"/>
      <c r="GC22" s="419"/>
      <c r="GD22" s="419"/>
      <c r="GE22" s="419"/>
      <c r="GF22" s="419"/>
      <c r="GG22" s="419"/>
      <c r="GH22" s="419"/>
      <c r="GI22" s="419"/>
      <c r="GJ22" s="419"/>
      <c r="GK22" s="419"/>
      <c r="GL22" s="419"/>
      <c r="GM22" s="419"/>
      <c r="GN22" s="419"/>
      <c r="GO22" s="419"/>
      <c r="GP22" s="419"/>
      <c r="GQ22" s="419"/>
      <c r="GR22" s="419"/>
      <c r="GS22" s="419"/>
      <c r="GT22" s="419"/>
      <c r="GU22" s="419"/>
      <c r="GV22" s="419"/>
      <c r="GW22" s="418"/>
      <c r="GX22" s="418"/>
      <c r="GY22" s="418"/>
      <c r="GZ22" s="418"/>
      <c r="HA22" s="418"/>
      <c r="HB22" s="418"/>
      <c r="HC22" s="418"/>
      <c r="HD22" s="418"/>
      <c r="HE22" s="418"/>
      <c r="HF22" s="418"/>
      <c r="HG22" s="418"/>
      <c r="HH22" s="418"/>
      <c r="HI22" s="418"/>
      <c r="HJ22" s="418"/>
      <c r="HK22" s="418"/>
      <c r="HL22" s="418"/>
      <c r="HM22" s="418"/>
      <c r="HN22" s="418"/>
      <c r="HO22" s="418"/>
      <c r="HP22" s="418"/>
      <c r="HQ22" s="418"/>
      <c r="HR22" s="418"/>
      <c r="HS22" s="418"/>
      <c r="HT22" s="418"/>
      <c r="HU22" s="418"/>
      <c r="HV22" s="418"/>
      <c r="HW22" s="418"/>
      <c r="HX22" s="418"/>
      <c r="HY22" s="418"/>
      <c r="HZ22" s="418"/>
      <c r="IA22" s="418"/>
      <c r="IB22" s="418"/>
      <c r="IC22" s="418"/>
      <c r="ID22" s="418"/>
      <c r="IE22" s="418"/>
      <c r="IF22" s="418"/>
      <c r="IG22" s="418"/>
      <c r="IH22" s="418"/>
      <c r="II22" s="418"/>
      <c r="IJ22" s="418"/>
      <c r="IK22" s="418"/>
      <c r="IL22" s="418"/>
      <c r="IM22" s="418"/>
      <c r="IN22" s="418"/>
      <c r="IO22" s="418"/>
      <c r="IP22" s="418"/>
      <c r="IQ22" s="418"/>
      <c r="IR22" s="418"/>
      <c r="IS22" s="418"/>
      <c r="IT22" s="418"/>
      <c r="IU22" s="418"/>
      <c r="IV22" s="418"/>
    </row>
    <row r="23" spans="1:256" s="1" customFormat="1" x14ac:dyDescent="0.2">
      <c r="A23" s="1" t="s">
        <v>431</v>
      </c>
      <c r="B23" s="125">
        <v>0</v>
      </c>
      <c r="C23" s="111">
        <v>0</v>
      </c>
      <c r="D23" s="111">
        <v>0</v>
      </c>
      <c r="E23" s="111">
        <v>0</v>
      </c>
      <c r="F23" s="111">
        <f t="shared" si="19"/>
        <v>0</v>
      </c>
      <c r="G23" s="125">
        <v>0</v>
      </c>
      <c r="H23" s="111">
        <v>0</v>
      </c>
      <c r="I23" s="111">
        <v>0</v>
      </c>
      <c r="J23" s="111">
        <v>0</v>
      </c>
      <c r="K23" s="111">
        <f t="shared" si="20"/>
        <v>0</v>
      </c>
      <c r="L23" s="125">
        <v>0</v>
      </c>
      <c r="M23" s="111">
        <v>0</v>
      </c>
      <c r="N23" s="111">
        <v>0</v>
      </c>
      <c r="O23" s="111">
        <v>0</v>
      </c>
      <c r="P23" s="111">
        <f t="shared" si="21"/>
        <v>0</v>
      </c>
      <c r="Q23" s="125">
        <v>0</v>
      </c>
      <c r="R23" s="111">
        <v>0</v>
      </c>
      <c r="S23" s="111">
        <v>0</v>
      </c>
      <c r="T23" s="111">
        <v>0</v>
      </c>
      <c r="U23" s="111">
        <f t="shared" si="22"/>
        <v>0</v>
      </c>
      <c r="V23" s="125">
        <v>0</v>
      </c>
      <c r="W23" s="111">
        <v>0</v>
      </c>
      <c r="X23" s="111">
        <v>0</v>
      </c>
      <c r="Y23" s="111">
        <v>0</v>
      </c>
      <c r="Z23" s="111">
        <f t="shared" si="15"/>
        <v>0</v>
      </c>
      <c r="AA23" s="125">
        <v>0</v>
      </c>
      <c r="AB23" s="111">
        <v>0</v>
      </c>
      <c r="AC23" s="111">
        <v>0</v>
      </c>
      <c r="AD23" s="111">
        <v>0</v>
      </c>
      <c r="AE23" s="111">
        <f t="shared" si="0"/>
        <v>0</v>
      </c>
      <c r="AF23" s="125">
        <v>0</v>
      </c>
      <c r="AG23" s="111">
        <v>0</v>
      </c>
      <c r="AH23" s="111">
        <v>0</v>
      </c>
      <c r="AI23" s="111">
        <v>0</v>
      </c>
      <c r="AJ23" s="111">
        <f t="shared" si="1"/>
        <v>0</v>
      </c>
      <c r="AK23" s="125">
        <v>0</v>
      </c>
      <c r="AL23" s="111">
        <v>0</v>
      </c>
      <c r="AM23" s="111">
        <v>0</v>
      </c>
      <c r="AN23" s="111">
        <v>0</v>
      </c>
      <c r="AO23" s="111">
        <f t="shared" si="2"/>
        <v>0</v>
      </c>
      <c r="AP23" s="125">
        <v>0</v>
      </c>
      <c r="AQ23" s="111">
        <v>0</v>
      </c>
      <c r="AR23" s="111">
        <v>0</v>
      </c>
      <c r="AS23" s="111">
        <v>0</v>
      </c>
      <c r="AT23" s="111">
        <f t="shared" si="3"/>
        <v>0</v>
      </c>
      <c r="AU23" s="125">
        <v>0</v>
      </c>
      <c r="AV23" s="111">
        <v>0</v>
      </c>
      <c r="AW23" s="111">
        <v>0</v>
      </c>
      <c r="AX23" s="111">
        <v>0</v>
      </c>
      <c r="AY23" s="111">
        <f>AZ23-AX23-AW23-AV23</f>
        <v>0</v>
      </c>
      <c r="AZ23" s="125">
        <v>0</v>
      </c>
      <c r="BA23" s="111">
        <v>0</v>
      </c>
      <c r="BB23" s="111">
        <v>0</v>
      </c>
      <c r="BC23" s="111">
        <v>0</v>
      </c>
      <c r="BD23" s="111">
        <f t="shared" si="5"/>
        <v>0</v>
      </c>
      <c r="BE23" s="125">
        <v>0</v>
      </c>
      <c r="BF23" s="111">
        <v>-23.724</v>
      </c>
      <c r="BG23" s="111">
        <f>-54.872-BF23</f>
        <v>-31.148</v>
      </c>
      <c r="BH23" s="111">
        <f>-93.327-BG23-BF23</f>
        <v>-38.454999999999998</v>
      </c>
      <c r="BI23" s="111">
        <f t="shared" si="6"/>
        <v>-24.041</v>
      </c>
      <c r="BJ23" s="125">
        <v>-117.36799999999999</v>
      </c>
      <c r="BK23" s="111">
        <v>-29.617999999999999</v>
      </c>
      <c r="BL23" s="111">
        <f>-46.347-BK23</f>
        <v>-16.729000000000003</v>
      </c>
      <c r="BM23" s="111">
        <f>-52.034-BL23-BK23</f>
        <v>-5.6869999999999941</v>
      </c>
      <c r="BN23" s="111">
        <f t="shared" si="7"/>
        <v>-41.021000000000015</v>
      </c>
      <c r="BO23" s="125">
        <v>-93.055000000000007</v>
      </c>
      <c r="BP23" s="111">
        <v>-3</v>
      </c>
      <c r="BQ23" s="111">
        <f>-7.7-BP23</f>
        <v>-4.7</v>
      </c>
      <c r="BR23" s="111">
        <f>-11.8-BQ23-BP23</f>
        <v>-4.1000000000000005</v>
      </c>
      <c r="BS23" s="111">
        <f t="shared" si="8"/>
        <v>-2.8999999999999977</v>
      </c>
      <c r="BT23" s="125">
        <v>-14.7</v>
      </c>
      <c r="BU23" s="111">
        <v>-5.6</v>
      </c>
      <c r="BV23" s="111">
        <f>-5.9-BU23</f>
        <v>-0.30000000000000071</v>
      </c>
      <c r="BW23" s="111">
        <f>-6.7-BV23-BU23</f>
        <v>-0.79999999999999982</v>
      </c>
      <c r="BX23" s="111">
        <f t="shared" si="9"/>
        <v>-9.2000000000000011</v>
      </c>
      <c r="BY23" s="125">
        <v>-15.9</v>
      </c>
      <c r="BZ23" s="111">
        <v>-8.6</v>
      </c>
      <c r="CA23" s="111">
        <f>-13.8-BZ23</f>
        <v>-5.2000000000000011</v>
      </c>
      <c r="CB23" s="111">
        <f>-20.7-CA23-BZ23</f>
        <v>-6.8999999999999986</v>
      </c>
      <c r="CC23" s="111">
        <f t="shared" si="10"/>
        <v>-16.199999999999996</v>
      </c>
      <c r="CD23" s="125">
        <v>-36.9</v>
      </c>
      <c r="CE23" s="111">
        <v>-36.6</v>
      </c>
      <c r="CF23" s="111">
        <f>-67.6-CE23</f>
        <v>-30.999999999999993</v>
      </c>
      <c r="CG23" s="111">
        <f>-87.3-CF23-CE23</f>
        <v>-19.700000000000003</v>
      </c>
      <c r="CH23" s="111">
        <f t="shared" si="11"/>
        <v>-16.600000000000009</v>
      </c>
      <c r="CI23" s="125">
        <v>-103.9</v>
      </c>
      <c r="CJ23" s="111">
        <v>-1.7</v>
      </c>
      <c r="CK23" s="111">
        <f>0-CJ23</f>
        <v>1.7</v>
      </c>
      <c r="CL23" s="366">
        <f>0-SUM(CJ23:CK23)</f>
        <v>0</v>
      </c>
      <c r="CM23" s="366">
        <f t="shared" si="12"/>
        <v>0</v>
      </c>
      <c r="CN23" s="367">
        <v>0</v>
      </c>
      <c r="CO23" s="366">
        <v>0</v>
      </c>
      <c r="CP23" s="366">
        <v>0</v>
      </c>
      <c r="CQ23" s="552">
        <v>0</v>
      </c>
      <c r="CR23" s="366">
        <f>CS23-SUM(CO23:CQ23)</f>
        <v>0</v>
      </c>
      <c r="CS23" s="367">
        <v>0</v>
      </c>
      <c r="CT23" s="366">
        <v>0</v>
      </c>
      <c r="CU23" s="495">
        <v>0</v>
      </c>
      <c r="CV23" s="495">
        <v>0</v>
      </c>
      <c r="CW23" s="722">
        <f>CX23-CV23-CU23-CT23</f>
        <v>-114.4</v>
      </c>
      <c r="CX23" s="723">
        <v>-114.4</v>
      </c>
      <c r="CY23" s="366">
        <v>-53.3</v>
      </c>
      <c r="CZ23" s="366">
        <f>-78-CY23</f>
        <v>-24.700000000000003</v>
      </c>
      <c r="DA23" s="366">
        <f>-97.9-CZ23-CY23</f>
        <v>-19.900000000000006</v>
      </c>
      <c r="DB23" s="815">
        <f>DC23-DA23-CZ23-CY23</f>
        <v>-34.5</v>
      </c>
      <c r="DC23" s="367">
        <v>-132.4</v>
      </c>
      <c r="DD23" s="366">
        <v>-67.2</v>
      </c>
      <c r="DE23" s="366">
        <f>-89.3-DD23</f>
        <v>-22.099999999999994</v>
      </c>
      <c r="DF23" s="366">
        <f>-110.9-DE23-DD23</f>
        <v>-21.600000000000009</v>
      </c>
      <c r="DG23" s="815">
        <f>DH23-DF23-DE23-DD23</f>
        <v>-11.899999999999991</v>
      </c>
      <c r="DH23" s="367">
        <v>-122.8</v>
      </c>
      <c r="DI23" s="366">
        <v>-34.1</v>
      </c>
      <c r="DJ23" s="366">
        <f>-52.7-DI23</f>
        <v>-18.600000000000001</v>
      </c>
      <c r="DK23" s="366">
        <f>-69.4-SUM(DI23:DJ23)</f>
        <v>-16.700000000000003</v>
      </c>
      <c r="DL23" s="111">
        <f>-77.5-SUM(DI23:DK23)</f>
        <v>-8.0999999999999943</v>
      </c>
      <c r="DM23" s="125">
        <f t="shared" si="13"/>
        <v>-77.5</v>
      </c>
      <c r="DN23" s="143">
        <v>-2</v>
      </c>
      <c r="DO23" s="143">
        <v>-2</v>
      </c>
      <c r="DP23" s="143">
        <v>-2</v>
      </c>
      <c r="DQ23" s="143">
        <v>-2</v>
      </c>
      <c r="DR23" s="142">
        <f t="shared" si="14"/>
        <v>-8</v>
      </c>
      <c r="DS23" s="143">
        <v>-2</v>
      </c>
      <c r="DT23" s="143">
        <v>-2</v>
      </c>
      <c r="DU23" s="143">
        <v>-2</v>
      </c>
      <c r="DV23" s="143">
        <v>-2</v>
      </c>
      <c r="DW23" s="142">
        <f t="shared" si="17"/>
        <v>-8</v>
      </c>
      <c r="DX23" s="143">
        <v>-2</v>
      </c>
      <c r="DY23" s="143">
        <v>-2</v>
      </c>
      <c r="DZ23" s="143">
        <v>-2</v>
      </c>
      <c r="EA23" s="143">
        <v>-2</v>
      </c>
      <c r="EB23" s="142">
        <f t="shared" si="18"/>
        <v>-8</v>
      </c>
      <c r="EE23" s="125"/>
      <c r="EF23" s="125"/>
      <c r="EG23" s="125"/>
      <c r="EH23" s="125"/>
      <c r="EI23" s="125"/>
      <c r="EJ23" s="125"/>
      <c r="EK23" s="125"/>
      <c r="EL23" s="125"/>
      <c r="EM23" s="125"/>
      <c r="EN23" s="125"/>
      <c r="EO23" s="125"/>
      <c r="EP23" s="125"/>
      <c r="EQ23" s="125"/>
      <c r="ER23" s="125"/>
      <c r="FC23"/>
      <c r="FD23"/>
      <c r="FE23"/>
      <c r="FF23"/>
      <c r="FG23"/>
      <c r="FH23"/>
      <c r="FI23" s="396"/>
      <c r="FJ23" s="419"/>
      <c r="FK23" s="419"/>
      <c r="FL23" s="419"/>
      <c r="FM23" s="419"/>
      <c r="FN23" s="419"/>
      <c r="FO23" s="419"/>
      <c r="FP23" s="419"/>
      <c r="FQ23" s="419"/>
      <c r="FR23" s="419"/>
      <c r="FS23" s="419"/>
      <c r="FT23" s="419"/>
      <c r="FU23" s="419"/>
      <c r="FV23" s="419"/>
      <c r="FW23" s="419"/>
      <c r="FX23" s="419"/>
      <c r="FY23" s="419"/>
      <c r="FZ23" s="419"/>
      <c r="GA23" s="419"/>
      <c r="GB23" s="419"/>
      <c r="GC23" s="419"/>
      <c r="GD23" s="419"/>
      <c r="GE23" s="419"/>
      <c r="GF23" s="419"/>
      <c r="GG23" s="419"/>
      <c r="GH23" s="419"/>
      <c r="GI23" s="419"/>
      <c r="GJ23" s="419"/>
      <c r="GK23" s="419"/>
      <c r="GL23" s="419"/>
      <c r="GM23" s="419"/>
      <c r="GN23" s="419"/>
      <c r="GO23" s="419"/>
      <c r="GP23" s="419"/>
      <c r="GQ23" s="419"/>
      <c r="GR23" s="419"/>
      <c r="GS23" s="419"/>
      <c r="GT23" s="419"/>
      <c r="GU23" s="419"/>
      <c r="GV23" s="419"/>
      <c r="GW23" s="418"/>
      <c r="GX23" s="418"/>
      <c r="GY23" s="418"/>
      <c r="GZ23" s="418"/>
      <c r="HA23" s="418"/>
      <c r="HB23" s="418"/>
      <c r="HC23" s="418"/>
      <c r="HD23" s="418"/>
      <c r="HE23" s="418"/>
      <c r="HF23" s="418"/>
      <c r="HG23" s="418"/>
      <c r="HH23" s="418"/>
      <c r="HI23" s="418"/>
      <c r="HJ23" s="418"/>
      <c r="HK23" s="418"/>
      <c r="HL23" s="418"/>
      <c r="HM23" s="418"/>
      <c r="HN23" s="418"/>
      <c r="HO23" s="418"/>
      <c r="HP23" s="418"/>
      <c r="HQ23" s="418"/>
      <c r="HR23" s="418"/>
      <c r="HS23" s="418"/>
      <c r="HT23" s="418"/>
      <c r="HU23" s="418"/>
      <c r="HV23" s="418"/>
      <c r="HW23" s="418"/>
      <c r="HX23" s="418"/>
      <c r="HY23" s="418"/>
      <c r="HZ23" s="418"/>
      <c r="IA23" s="418"/>
      <c r="IB23" s="418"/>
      <c r="IC23" s="418"/>
      <c r="ID23" s="418"/>
      <c r="IE23" s="418"/>
      <c r="IF23" s="418"/>
      <c r="IG23" s="418"/>
      <c r="IH23" s="418"/>
      <c r="II23" s="418"/>
      <c r="IJ23" s="418"/>
      <c r="IK23" s="418"/>
      <c r="IL23" s="418"/>
      <c r="IM23" s="418"/>
      <c r="IN23" s="418"/>
      <c r="IO23" s="418"/>
      <c r="IP23" s="418"/>
      <c r="IQ23" s="418"/>
      <c r="IR23" s="418"/>
      <c r="IS23" s="418"/>
      <c r="IT23" s="418"/>
      <c r="IU23" s="418"/>
      <c r="IV23" s="418"/>
    </row>
    <row r="24" spans="1:256" s="1" customFormat="1" x14ac:dyDescent="0.2">
      <c r="A24" s="1" t="s">
        <v>237</v>
      </c>
      <c r="B24" s="125">
        <v>0</v>
      </c>
      <c r="C24" s="111">
        <v>0</v>
      </c>
      <c r="D24" s="111">
        <v>0</v>
      </c>
      <c r="E24" s="111">
        <v>0</v>
      </c>
      <c r="F24" s="111">
        <f t="shared" si="19"/>
        <v>0</v>
      </c>
      <c r="G24" s="125">
        <v>0</v>
      </c>
      <c r="H24" s="111">
        <v>0</v>
      </c>
      <c r="I24" s="111">
        <v>0</v>
      </c>
      <c r="J24" s="111">
        <v>0</v>
      </c>
      <c r="K24" s="111">
        <f t="shared" si="20"/>
        <v>0</v>
      </c>
      <c r="L24" s="125">
        <v>0</v>
      </c>
      <c r="M24" s="111">
        <v>0</v>
      </c>
      <c r="N24" s="111">
        <v>0</v>
      </c>
      <c r="O24" s="111">
        <v>0</v>
      </c>
      <c r="P24" s="111">
        <f t="shared" si="21"/>
        <v>0</v>
      </c>
      <c r="Q24" s="125">
        <v>0</v>
      </c>
      <c r="R24" s="111">
        <v>0</v>
      </c>
      <c r="S24" s="111">
        <v>0</v>
      </c>
      <c r="T24" s="111">
        <v>0</v>
      </c>
      <c r="U24" s="111">
        <f t="shared" si="22"/>
        <v>0</v>
      </c>
      <c r="V24" s="125">
        <v>0</v>
      </c>
      <c r="W24" s="111">
        <v>0</v>
      </c>
      <c r="X24" s="111">
        <v>0</v>
      </c>
      <c r="Y24" s="111">
        <v>0</v>
      </c>
      <c r="Z24" s="111">
        <f t="shared" si="15"/>
        <v>0</v>
      </c>
      <c r="AA24" s="125">
        <v>0</v>
      </c>
      <c r="AB24" s="111">
        <v>0</v>
      </c>
      <c r="AC24" s="111">
        <v>0</v>
      </c>
      <c r="AD24" s="111">
        <v>0</v>
      </c>
      <c r="AE24" s="111">
        <f t="shared" si="0"/>
        <v>0</v>
      </c>
      <c r="AF24" s="125">
        <v>0</v>
      </c>
      <c r="AG24" s="111">
        <v>0</v>
      </c>
      <c r="AH24" s="111">
        <v>0</v>
      </c>
      <c r="AI24" s="111">
        <v>0</v>
      </c>
      <c r="AJ24" s="111">
        <f t="shared" si="1"/>
        <v>0</v>
      </c>
      <c r="AK24" s="125">
        <v>0</v>
      </c>
      <c r="AL24" s="111">
        <v>0</v>
      </c>
      <c r="AM24" s="111">
        <v>0</v>
      </c>
      <c r="AN24" s="111">
        <v>0</v>
      </c>
      <c r="AO24" s="111">
        <f t="shared" si="2"/>
        <v>0</v>
      </c>
      <c r="AP24" s="125">
        <v>0</v>
      </c>
      <c r="AQ24" s="111">
        <v>0</v>
      </c>
      <c r="AR24" s="111">
        <v>0</v>
      </c>
      <c r="AS24" s="111">
        <v>0</v>
      </c>
      <c r="AT24" s="111">
        <f t="shared" si="3"/>
        <v>0</v>
      </c>
      <c r="AU24" s="125">
        <v>0</v>
      </c>
      <c r="AV24" s="111">
        <v>0</v>
      </c>
      <c r="AW24" s="111">
        <v>0</v>
      </c>
      <c r="AX24" s="111">
        <v>0</v>
      </c>
      <c r="AY24" s="111">
        <f>AZ24-AX24-AW24-AV24</f>
        <v>0</v>
      </c>
      <c r="AZ24" s="125">
        <v>0</v>
      </c>
      <c r="BA24" s="111">
        <v>0</v>
      </c>
      <c r="BB24" s="111">
        <v>0</v>
      </c>
      <c r="BC24" s="111">
        <v>0</v>
      </c>
      <c r="BD24" s="111">
        <f t="shared" si="5"/>
        <v>0</v>
      </c>
      <c r="BE24" s="125">
        <v>0</v>
      </c>
      <c r="BF24" s="111">
        <v>0</v>
      </c>
      <c r="BG24" s="111">
        <v>0</v>
      </c>
      <c r="BH24" s="111">
        <v>0</v>
      </c>
      <c r="BI24" s="111">
        <f t="shared" si="6"/>
        <v>0</v>
      </c>
      <c r="BJ24" s="125">
        <v>0</v>
      </c>
      <c r="BK24" s="111">
        <v>0</v>
      </c>
      <c r="BL24" s="111">
        <v>0</v>
      </c>
      <c r="BM24" s="111">
        <v>0</v>
      </c>
      <c r="BN24" s="111">
        <f t="shared" si="7"/>
        <v>0</v>
      </c>
      <c r="BO24" s="125">
        <v>0</v>
      </c>
      <c r="BP24" s="111">
        <v>0</v>
      </c>
      <c r="BQ24" s="111">
        <v>0</v>
      </c>
      <c r="BR24" s="111">
        <v>0</v>
      </c>
      <c r="BS24" s="111">
        <f t="shared" si="8"/>
        <v>0</v>
      </c>
      <c r="BT24" s="125">
        <v>0</v>
      </c>
      <c r="BU24" s="111">
        <v>0</v>
      </c>
      <c r="BV24" s="111">
        <v>0</v>
      </c>
      <c r="BW24" s="111">
        <v>0</v>
      </c>
      <c r="BX24" s="111">
        <f t="shared" si="9"/>
        <v>0</v>
      </c>
      <c r="BY24" s="125">
        <v>0</v>
      </c>
      <c r="BZ24" s="111">
        <v>0</v>
      </c>
      <c r="CA24" s="111">
        <v>0</v>
      </c>
      <c r="CB24" s="111">
        <v>0</v>
      </c>
      <c r="CC24" s="111">
        <f t="shared" si="10"/>
        <v>0</v>
      </c>
      <c r="CD24" s="367">
        <v>0</v>
      </c>
      <c r="CE24" s="366">
        <v>0</v>
      </c>
      <c r="CF24" s="366">
        <v>0</v>
      </c>
      <c r="CG24" s="366">
        <v>0</v>
      </c>
      <c r="CH24" s="366">
        <f t="shared" si="11"/>
        <v>0</v>
      </c>
      <c r="CI24" s="367">
        <v>0</v>
      </c>
      <c r="CJ24" s="366">
        <v>0</v>
      </c>
      <c r="CK24" s="111">
        <f>-0.8-CJ24</f>
        <v>-0.8</v>
      </c>
      <c r="CL24" s="111">
        <f>10-SUM(CJ24:CK24)</f>
        <v>10.8</v>
      </c>
      <c r="CM24" s="111">
        <f t="shared" si="12"/>
        <v>13.600000000000001</v>
      </c>
      <c r="CN24" s="125">
        <v>23.6</v>
      </c>
      <c r="CO24" s="111">
        <v>5.6</v>
      </c>
      <c r="CP24" s="111">
        <f>-35.2+11.2-CO24</f>
        <v>-29.6</v>
      </c>
      <c r="CQ24" s="495">
        <f>18.3-35.2-SUM(CO24:CP24)</f>
        <v>7.0999999999999979</v>
      </c>
      <c r="CR24" s="366">
        <f t="shared" si="16"/>
        <v>39.900000000000006</v>
      </c>
      <c r="CS24" s="125">
        <v>23</v>
      </c>
      <c r="CT24" s="111">
        <v>0.7</v>
      </c>
      <c r="CU24" s="117">
        <f>11.4-CT24</f>
        <v>10.700000000000001</v>
      </c>
      <c r="CV24" s="117">
        <f>33.5-CU24-CT24</f>
        <v>22.099999999999998</v>
      </c>
      <c r="CW24" s="722">
        <f>CX24-CV24-CU24-CT24</f>
        <v>2.7000000000000037</v>
      </c>
      <c r="CX24" s="723">
        <v>36.200000000000003</v>
      </c>
      <c r="CY24" s="366">
        <v>8.5</v>
      </c>
      <c r="CZ24" s="366">
        <f>27.7-CY24</f>
        <v>19.2</v>
      </c>
      <c r="DA24" s="366">
        <f>41.8-CZ24-CY24</f>
        <v>14.099999999999998</v>
      </c>
      <c r="DB24" s="815">
        <f>DC24-DA24-CZ24-CY24</f>
        <v>12.000000000000004</v>
      </c>
      <c r="DC24" s="367">
        <v>53.8</v>
      </c>
      <c r="DD24" s="366">
        <v>18</v>
      </c>
      <c r="DE24" s="366">
        <f>24.5-DD24</f>
        <v>6.5</v>
      </c>
      <c r="DF24" s="366">
        <f>40.8-DE24-DD24</f>
        <v>16.299999999999997</v>
      </c>
      <c r="DG24" s="815">
        <f>DH24-DF24-DE24-DD24</f>
        <v>4.3000000000000043</v>
      </c>
      <c r="DH24" s="367">
        <v>45.1</v>
      </c>
      <c r="DI24" s="366">
        <v>9.3000000000000007</v>
      </c>
      <c r="DJ24" s="366">
        <f>-11.4-DI24</f>
        <v>-20.700000000000003</v>
      </c>
      <c r="DK24" s="366">
        <f>28.2-SUM(DI24:DJ24)</f>
        <v>39.6</v>
      </c>
      <c r="DL24" s="111">
        <f>87.2+68.9-SUM(DI24:DK24)</f>
        <v>127.90000000000002</v>
      </c>
      <c r="DM24" s="125">
        <f t="shared" si="13"/>
        <v>156.10000000000002</v>
      </c>
      <c r="DN24" s="143">
        <v>0</v>
      </c>
      <c r="DO24" s="143">
        <v>0</v>
      </c>
      <c r="DP24" s="143">
        <v>0</v>
      </c>
      <c r="DQ24" s="143">
        <v>0</v>
      </c>
      <c r="DR24" s="142">
        <f t="shared" si="14"/>
        <v>0</v>
      </c>
      <c r="DS24" s="143">
        <v>0</v>
      </c>
      <c r="DT24" s="143">
        <v>0</v>
      </c>
      <c r="DU24" s="143">
        <v>0</v>
      </c>
      <c r="DV24" s="143">
        <v>0</v>
      </c>
      <c r="DW24" s="142">
        <f t="shared" si="17"/>
        <v>0</v>
      </c>
      <c r="DX24" s="143">
        <v>0</v>
      </c>
      <c r="DY24" s="143">
        <v>0</v>
      </c>
      <c r="DZ24" s="143">
        <v>0</v>
      </c>
      <c r="EA24" s="143">
        <v>0</v>
      </c>
      <c r="EB24" s="142">
        <f t="shared" si="18"/>
        <v>0</v>
      </c>
      <c r="EE24" s="125"/>
      <c r="EF24" s="125"/>
      <c r="EG24" s="125"/>
      <c r="EH24" s="125"/>
      <c r="EI24" s="125"/>
      <c r="EJ24" s="125"/>
      <c r="EK24" s="125"/>
      <c r="EL24" s="125"/>
      <c r="EM24" s="125"/>
      <c r="EN24" s="125"/>
      <c r="EO24" s="125"/>
      <c r="EP24" s="125"/>
      <c r="EQ24" s="125"/>
      <c r="ER24" s="125"/>
      <c r="FC24"/>
      <c r="FD24"/>
      <c r="FE24"/>
      <c r="FF24"/>
      <c r="FG24"/>
      <c r="FH24"/>
      <c r="FI24" s="396"/>
      <c r="FJ24" s="419"/>
      <c r="FK24" s="419"/>
      <c r="FL24" s="419"/>
      <c r="FM24" s="419"/>
      <c r="FN24" s="419"/>
      <c r="FO24" s="419"/>
      <c r="FP24" s="419"/>
      <c r="FQ24" s="419"/>
      <c r="FR24" s="419"/>
      <c r="FS24" s="419"/>
      <c r="FT24" s="419"/>
      <c r="FU24" s="419"/>
      <c r="FV24" s="419"/>
      <c r="FW24" s="419"/>
      <c r="FX24" s="419"/>
      <c r="FY24" s="419"/>
      <c r="FZ24" s="419"/>
      <c r="GA24" s="419"/>
      <c r="GB24" s="419"/>
      <c r="GC24" s="419"/>
      <c r="GD24" s="419"/>
      <c r="GE24" s="419"/>
      <c r="GF24" s="419"/>
      <c r="GG24" s="419"/>
      <c r="GH24" s="419"/>
      <c r="GI24" s="419"/>
      <c r="GJ24" s="419"/>
      <c r="GK24" s="419"/>
      <c r="GL24" s="419"/>
      <c r="GM24" s="419"/>
      <c r="GN24" s="419"/>
      <c r="GO24" s="419"/>
      <c r="GP24" s="419"/>
      <c r="GQ24" s="419"/>
      <c r="GR24" s="419"/>
      <c r="GS24" s="419"/>
      <c r="GT24" s="419"/>
      <c r="GU24" s="419"/>
      <c r="GV24" s="419"/>
      <c r="GW24" s="418"/>
      <c r="GX24" s="418"/>
      <c r="GY24" s="418"/>
      <c r="GZ24" s="418"/>
      <c r="HA24" s="418"/>
      <c r="HB24" s="418"/>
      <c r="HC24" s="418"/>
      <c r="HD24" s="418"/>
      <c r="HE24" s="418"/>
      <c r="HF24" s="418"/>
      <c r="HG24" s="418"/>
      <c r="HH24" s="418"/>
      <c r="HI24" s="418"/>
      <c r="HJ24" s="418"/>
      <c r="HK24" s="418"/>
      <c r="HL24" s="418"/>
      <c r="HM24" s="418"/>
      <c r="HN24" s="418"/>
      <c r="HO24" s="418"/>
      <c r="HP24" s="418"/>
      <c r="HQ24" s="418"/>
      <c r="HR24" s="418"/>
      <c r="HS24" s="418"/>
      <c r="HT24" s="418"/>
      <c r="HU24" s="418"/>
      <c r="HV24" s="418"/>
      <c r="HW24" s="418"/>
      <c r="HX24" s="418"/>
      <c r="HY24" s="418"/>
      <c r="HZ24" s="418"/>
      <c r="IA24" s="418"/>
      <c r="IB24" s="418"/>
      <c r="IC24" s="418"/>
      <c r="ID24" s="418"/>
      <c r="IE24" s="418"/>
      <c r="IF24" s="418"/>
      <c r="IG24" s="418"/>
      <c r="IH24" s="418"/>
      <c r="II24" s="418"/>
      <c r="IJ24" s="418"/>
      <c r="IK24" s="418"/>
      <c r="IL24" s="418"/>
      <c r="IM24" s="418"/>
      <c r="IN24" s="418"/>
      <c r="IO24" s="418"/>
      <c r="IP24" s="418"/>
      <c r="IQ24" s="418"/>
      <c r="IR24" s="418"/>
      <c r="IS24" s="418"/>
      <c r="IT24" s="418"/>
      <c r="IU24" s="418"/>
      <c r="IV24" s="418"/>
    </row>
    <row r="25" spans="1:256" s="1" customFormat="1" x14ac:dyDescent="0.2">
      <c r="B25" s="125"/>
      <c r="C25" s="111"/>
      <c r="D25" s="111"/>
      <c r="E25" s="111"/>
      <c r="F25" s="111"/>
      <c r="G25" s="125"/>
      <c r="H25" s="111"/>
      <c r="I25" s="111"/>
      <c r="J25" s="111"/>
      <c r="K25" s="111"/>
      <c r="L25" s="125"/>
      <c r="M25" s="111"/>
      <c r="N25" s="111"/>
      <c r="O25" s="111"/>
      <c r="P25" s="111"/>
      <c r="Q25" s="125"/>
      <c r="R25" s="111"/>
      <c r="S25" s="111"/>
      <c r="T25" s="111"/>
      <c r="U25" s="111"/>
      <c r="V25" s="125"/>
      <c r="W25" s="111"/>
      <c r="X25" s="111"/>
      <c r="Y25" s="111"/>
      <c r="Z25" s="111"/>
      <c r="AA25" s="125"/>
      <c r="AB25" s="111"/>
      <c r="AC25" s="111"/>
      <c r="AD25" s="111"/>
      <c r="AE25" s="111"/>
      <c r="AF25" s="125"/>
      <c r="AG25" s="111"/>
      <c r="AH25" s="111"/>
      <c r="AI25" s="111"/>
      <c r="AJ25" s="111"/>
      <c r="AK25" s="125"/>
      <c r="AL25" s="111"/>
      <c r="AM25" s="111"/>
      <c r="AN25" s="111"/>
      <c r="AO25" s="111"/>
      <c r="AP25" s="125"/>
      <c r="AQ25" s="111"/>
      <c r="AR25" s="111"/>
      <c r="AS25" s="111"/>
      <c r="AT25" s="111"/>
      <c r="AU25" s="125"/>
      <c r="AV25" s="111"/>
      <c r="AW25" s="111"/>
      <c r="AX25" s="111"/>
      <c r="AY25" s="111"/>
      <c r="AZ25" s="125"/>
      <c r="BA25" s="111"/>
      <c r="BB25" s="111"/>
      <c r="BC25" s="111"/>
      <c r="BD25" s="111"/>
      <c r="BE25" s="125"/>
      <c r="BF25" s="111"/>
      <c r="BG25" s="111"/>
      <c r="BH25" s="111"/>
      <c r="BI25" s="111"/>
      <c r="BJ25" s="125"/>
      <c r="BK25" s="111"/>
      <c r="BL25" s="111"/>
      <c r="BM25" s="111"/>
      <c r="BN25" s="111"/>
      <c r="BO25" s="125"/>
      <c r="BP25" s="111"/>
      <c r="BQ25" s="111"/>
      <c r="BR25" s="111"/>
      <c r="BS25" s="111"/>
      <c r="BT25" s="125"/>
      <c r="BU25" s="111"/>
      <c r="BV25" s="111"/>
      <c r="BW25" s="111"/>
      <c r="BX25" s="111"/>
      <c r="BY25" s="125"/>
      <c r="BZ25" s="111"/>
      <c r="CA25" s="111"/>
      <c r="CB25" s="111"/>
      <c r="CC25" s="111"/>
      <c r="CD25" s="125"/>
      <c r="CE25" s="111"/>
      <c r="CF25" s="111"/>
      <c r="CG25" s="111"/>
      <c r="CH25" s="111"/>
      <c r="CI25" s="125"/>
      <c r="CJ25" s="111"/>
      <c r="CK25" s="111"/>
      <c r="CL25" s="111"/>
      <c r="CM25" s="111"/>
      <c r="CN25" s="125"/>
      <c r="CO25" s="111"/>
      <c r="CP25" s="111"/>
      <c r="CQ25" s="117"/>
      <c r="CR25" s="111"/>
      <c r="CS25" s="125"/>
      <c r="CT25" s="111"/>
      <c r="CU25" s="117"/>
      <c r="CV25" s="117"/>
      <c r="CW25" s="659"/>
      <c r="CX25" s="719">
        <v>0</v>
      </c>
      <c r="CY25" s="111"/>
      <c r="CZ25" s="111"/>
      <c r="DA25" s="111"/>
      <c r="DB25" s="813"/>
      <c r="DC25" s="125"/>
      <c r="DD25" s="111"/>
      <c r="DE25" s="111"/>
      <c r="DF25" s="111"/>
      <c r="DG25" s="813"/>
      <c r="DH25" s="125">
        <v>0</v>
      </c>
      <c r="DI25" s="111"/>
      <c r="DJ25" s="111"/>
      <c r="DK25" s="111"/>
      <c r="DL25" s="111"/>
      <c r="DM25" s="125">
        <f t="shared" si="13"/>
        <v>0</v>
      </c>
      <c r="DN25" s="143"/>
      <c r="DO25" s="143"/>
      <c r="DP25" s="143"/>
      <c r="DQ25" s="143"/>
      <c r="DR25" s="142">
        <f t="shared" si="14"/>
        <v>0</v>
      </c>
      <c r="DS25" s="143"/>
      <c r="DT25" s="143"/>
      <c r="DU25" s="143"/>
      <c r="DV25" s="143"/>
      <c r="DW25" s="142">
        <f t="shared" si="17"/>
        <v>0</v>
      </c>
      <c r="DX25" s="143"/>
      <c r="DY25" s="143"/>
      <c r="DZ25" s="143"/>
      <c r="EA25" s="143"/>
      <c r="EB25" s="142">
        <f t="shared" si="18"/>
        <v>0</v>
      </c>
      <c r="EE25" s="125"/>
      <c r="EF25" s="125"/>
      <c r="EG25" s="125"/>
      <c r="EH25" s="125"/>
      <c r="EI25" s="125"/>
      <c r="EJ25" s="125"/>
      <c r="EK25" s="125"/>
      <c r="EL25" s="125"/>
      <c r="EM25" s="125"/>
      <c r="EN25" s="125"/>
      <c r="EO25" s="125"/>
      <c r="EP25" s="125"/>
      <c r="EQ25" s="125"/>
      <c r="ER25" s="125"/>
      <c r="FC25"/>
      <c r="FD25"/>
      <c r="FE25"/>
      <c r="FF25"/>
      <c r="FG25"/>
      <c r="FH25"/>
      <c r="FI25" s="396"/>
      <c r="FJ25" s="418"/>
      <c r="FK25" s="418"/>
      <c r="FL25" s="418"/>
      <c r="FM25" s="418"/>
      <c r="FN25" s="418"/>
      <c r="FO25" s="418"/>
      <c r="FP25" s="418"/>
      <c r="FQ25" s="418"/>
      <c r="FR25" s="418"/>
      <c r="FS25" s="418"/>
      <c r="FT25" s="418"/>
      <c r="FU25" s="418"/>
      <c r="FV25" s="418"/>
      <c r="FW25" s="418"/>
      <c r="FX25" s="418"/>
      <c r="FY25" s="418"/>
      <c r="FZ25" s="418"/>
      <c r="GA25" s="418"/>
      <c r="GB25" s="418"/>
      <c r="GC25" s="418"/>
      <c r="GD25" s="418"/>
      <c r="GE25" s="418"/>
      <c r="GF25" s="418"/>
      <c r="GG25" s="418"/>
      <c r="GH25" s="418"/>
      <c r="GI25" s="418"/>
      <c r="GJ25" s="418"/>
      <c r="GK25" s="418"/>
      <c r="GL25" s="418"/>
      <c r="GM25" s="418"/>
      <c r="GN25" s="418"/>
      <c r="GO25" s="418"/>
      <c r="GP25" s="418"/>
      <c r="GQ25" s="418"/>
      <c r="GR25" s="418"/>
      <c r="GS25" s="418"/>
      <c r="GT25" s="418"/>
      <c r="GU25" s="418"/>
      <c r="GV25" s="418"/>
      <c r="GW25" s="418"/>
      <c r="GX25" s="418"/>
      <c r="GY25" s="418"/>
      <c r="GZ25" s="418"/>
      <c r="HA25" s="418"/>
      <c r="HB25" s="418"/>
      <c r="HC25" s="418"/>
      <c r="HD25" s="418"/>
      <c r="HE25" s="418"/>
      <c r="HF25" s="418"/>
      <c r="HG25" s="418"/>
      <c r="HH25" s="418"/>
      <c r="HI25" s="418"/>
      <c r="HJ25" s="418"/>
      <c r="HK25" s="418"/>
      <c r="HL25" s="418"/>
      <c r="HM25" s="418"/>
      <c r="HN25" s="418"/>
      <c r="HO25" s="418"/>
      <c r="HP25" s="418"/>
      <c r="HQ25" s="418"/>
      <c r="HR25" s="418"/>
      <c r="HS25" s="418"/>
      <c r="HT25" s="418"/>
      <c r="HU25" s="418"/>
      <c r="HV25" s="418"/>
      <c r="HW25" s="418"/>
      <c r="HX25" s="418"/>
      <c r="HY25" s="418"/>
      <c r="HZ25" s="418"/>
      <c r="IA25" s="418"/>
      <c r="IB25" s="418"/>
      <c r="IC25" s="418"/>
      <c r="ID25" s="418"/>
      <c r="IE25" s="418"/>
      <c r="IF25" s="418"/>
      <c r="IG25" s="418"/>
      <c r="IH25" s="418"/>
      <c r="II25" s="418"/>
      <c r="IJ25" s="418"/>
      <c r="IK25" s="418"/>
      <c r="IL25" s="418"/>
      <c r="IM25" s="418"/>
      <c r="IN25" s="418"/>
      <c r="IO25" s="418"/>
      <c r="IP25" s="418"/>
      <c r="IQ25" s="418"/>
      <c r="IR25" s="418"/>
      <c r="IS25" s="418"/>
      <c r="IT25" s="418"/>
      <c r="IU25" s="418"/>
      <c r="IV25" s="418"/>
    </row>
    <row r="26" spans="1:256" s="811" customFormat="1" hidden="1" outlineLevel="1" x14ac:dyDescent="0.2">
      <c r="A26" s="811" t="s">
        <v>462</v>
      </c>
      <c r="B26" s="812">
        <v>0</v>
      </c>
      <c r="C26" s="813">
        <v>0</v>
      </c>
      <c r="D26" s="813">
        <v>0</v>
      </c>
      <c r="E26" s="813">
        <v>0</v>
      </c>
      <c r="F26" s="813">
        <f>G26-E26-D26-C26</f>
        <v>0</v>
      </c>
      <c r="G26" s="812">
        <v>0</v>
      </c>
      <c r="H26" s="813">
        <v>0</v>
      </c>
      <c r="I26" s="813">
        <v>0</v>
      </c>
      <c r="J26" s="813">
        <v>0</v>
      </c>
      <c r="K26" s="813">
        <f>L26-J26-I26-H26</f>
        <v>0</v>
      </c>
      <c r="L26" s="812">
        <v>0</v>
      </c>
      <c r="M26" s="813">
        <v>0</v>
      </c>
      <c r="N26" s="813">
        <v>0</v>
      </c>
      <c r="O26" s="813">
        <v>0</v>
      </c>
      <c r="P26" s="813">
        <f>Q26-O26-N26-M26</f>
        <v>0</v>
      </c>
      <c r="Q26" s="812">
        <v>0</v>
      </c>
      <c r="R26" s="813">
        <v>0</v>
      </c>
      <c r="S26" s="813">
        <v>0</v>
      </c>
      <c r="T26" s="813">
        <v>0</v>
      </c>
      <c r="U26" s="813">
        <f t="shared" ref="U26:U31" si="23">V26-T26-S26-R26</f>
        <v>0</v>
      </c>
      <c r="V26" s="812">
        <v>0</v>
      </c>
      <c r="W26" s="813">
        <v>0</v>
      </c>
      <c r="X26" s="813">
        <v>0</v>
      </c>
      <c r="Y26" s="813">
        <v>0</v>
      </c>
      <c r="Z26" s="813">
        <f t="shared" ref="Z26:Z36" si="24">AA26-Y26-X26-W26</f>
        <v>0</v>
      </c>
      <c r="AA26" s="812">
        <v>0</v>
      </c>
      <c r="AB26" s="813">
        <v>0</v>
      </c>
      <c r="AC26" s="813">
        <v>0</v>
      </c>
      <c r="AD26" s="813">
        <f>-1.107-AC26-AB26</f>
        <v>-1.107</v>
      </c>
      <c r="AE26" s="813">
        <f t="shared" ref="AE26:AE36" si="25">AF26-AD26-AC26-AB26</f>
        <v>-0.30699999999999994</v>
      </c>
      <c r="AF26" s="812">
        <v>-1.4139999999999999</v>
      </c>
      <c r="AG26" s="813">
        <v>-2.5920000000000001</v>
      </c>
      <c r="AH26" s="813">
        <f>-3.022-AG26</f>
        <v>-0.42999999999999972</v>
      </c>
      <c r="AI26" s="813">
        <f>-3.6-AH26-AG26</f>
        <v>-0.57800000000000029</v>
      </c>
      <c r="AJ26" s="813">
        <f t="shared" ref="AJ26:AJ36" si="26">AK26-AI26-AH26-AG26</f>
        <v>3.6</v>
      </c>
      <c r="AK26" s="812">
        <v>0</v>
      </c>
      <c r="AL26" s="813">
        <v>-2.6739999999999999</v>
      </c>
      <c r="AM26" s="813">
        <f>-3.577-AL26</f>
        <v>-0.90300000000000002</v>
      </c>
      <c r="AN26" s="813">
        <f>-4.86-AM26-AL26</f>
        <v>-1.2830000000000004</v>
      </c>
      <c r="AO26" s="813">
        <f t="shared" ref="AO26:AO36" si="27">AP26-AN26-AM26-AL26</f>
        <v>4.8600000000000003</v>
      </c>
      <c r="AP26" s="812">
        <v>0</v>
      </c>
      <c r="AQ26" s="813">
        <v>0</v>
      </c>
      <c r="AR26" s="813">
        <f>-5.443-AQ26</f>
        <v>-5.4429999999999996</v>
      </c>
      <c r="AS26" s="813">
        <v>0</v>
      </c>
      <c r="AT26" s="813">
        <f t="shared" ref="AT26:AT36" si="28">AU26-AS26-AR26-AQ26</f>
        <v>5.4429999999999996</v>
      </c>
      <c r="AU26" s="812">
        <v>0</v>
      </c>
      <c r="AV26" s="813">
        <v>0</v>
      </c>
      <c r="AW26" s="813">
        <v>0</v>
      </c>
      <c r="AX26" s="813">
        <v>0</v>
      </c>
      <c r="AY26" s="813">
        <f t="shared" ref="AY26:AY36" si="29">AZ26-AX26-AW26-AV26</f>
        <v>0</v>
      </c>
      <c r="AZ26" s="812">
        <v>0</v>
      </c>
      <c r="BA26" s="813">
        <v>0</v>
      </c>
      <c r="BB26" s="813">
        <v>0</v>
      </c>
      <c r="BC26" s="813">
        <v>0</v>
      </c>
      <c r="BD26" s="813">
        <f t="shared" ref="BD26:BD36" si="30">BE26-BC26-BB26-BA26</f>
        <v>0</v>
      </c>
      <c r="BE26" s="812">
        <v>0</v>
      </c>
      <c r="BF26" s="813">
        <v>0</v>
      </c>
      <c r="BG26" s="813">
        <v>0</v>
      </c>
      <c r="BH26" s="813">
        <v>0</v>
      </c>
      <c r="BI26" s="813">
        <f t="shared" ref="BI26:BI36" si="31">BJ26-BH26-BG26-BF26</f>
        <v>0</v>
      </c>
      <c r="BJ26" s="812">
        <v>0</v>
      </c>
      <c r="BK26" s="813">
        <v>0</v>
      </c>
      <c r="BL26" s="813">
        <v>0</v>
      </c>
      <c r="BM26" s="813">
        <v>0</v>
      </c>
      <c r="BN26" s="813">
        <f t="shared" ref="BN26:BN36" si="32">BO26-BM26-BL26-BK26</f>
        <v>0</v>
      </c>
      <c r="BO26" s="812">
        <v>0</v>
      </c>
      <c r="BP26" s="813">
        <v>0</v>
      </c>
      <c r="BQ26" s="813">
        <v>0</v>
      </c>
      <c r="BR26" s="813">
        <v>0</v>
      </c>
      <c r="BS26" s="813">
        <f t="shared" ref="BS26:BS36" si="33">BT26-BR26-BQ26-BP26</f>
        <v>0</v>
      </c>
      <c r="BT26" s="812">
        <v>0</v>
      </c>
      <c r="BU26" s="813">
        <v>0</v>
      </c>
      <c r="BV26" s="813">
        <v>0</v>
      </c>
      <c r="BW26" s="813">
        <v>0</v>
      </c>
      <c r="BX26" s="813">
        <f t="shared" ref="BX26:BX36" si="34">BY26-BW26-BV26-BU26</f>
        <v>0</v>
      </c>
      <c r="BY26" s="812">
        <v>0</v>
      </c>
      <c r="BZ26" s="813">
        <v>0</v>
      </c>
      <c r="CA26" s="813">
        <v>0</v>
      </c>
      <c r="CB26" s="813">
        <v>0</v>
      </c>
      <c r="CC26" s="813">
        <f t="shared" ref="CC26:CC36" si="35">CD26-CB26-CA26-BZ26</f>
        <v>0</v>
      </c>
      <c r="CD26" s="814">
        <v>0</v>
      </c>
      <c r="CE26" s="815">
        <v>0</v>
      </c>
      <c r="CF26" s="815">
        <v>0</v>
      </c>
      <c r="CG26" s="815">
        <v>0</v>
      </c>
      <c r="CH26" s="815">
        <f t="shared" ref="CH26:CH36" si="36">CI26-CG26-CF26-CE26</f>
        <v>0</v>
      </c>
      <c r="CI26" s="814">
        <v>0</v>
      </c>
      <c r="CJ26" s="815">
        <v>0</v>
      </c>
      <c r="CK26" s="815">
        <v>0</v>
      </c>
      <c r="CL26" s="815">
        <v>0</v>
      </c>
      <c r="CM26" s="815">
        <f t="shared" ref="CM26:CM36" si="37">CN26-CL26-CK26-CJ26</f>
        <v>0</v>
      </c>
      <c r="CN26" s="814">
        <v>0</v>
      </c>
      <c r="CO26" s="815">
        <v>0</v>
      </c>
      <c r="CP26" s="815">
        <v>0</v>
      </c>
      <c r="CQ26" s="816">
        <v>0</v>
      </c>
      <c r="CR26" s="815">
        <f t="shared" si="16"/>
        <v>0</v>
      </c>
      <c r="CS26" s="814">
        <v>0</v>
      </c>
      <c r="CT26" s="815">
        <v>0</v>
      </c>
      <c r="CU26" s="816">
        <v>0</v>
      </c>
      <c r="CV26" s="816">
        <v>0</v>
      </c>
      <c r="CW26" s="817">
        <v>0</v>
      </c>
      <c r="CX26" s="818">
        <v>0</v>
      </c>
      <c r="CY26" s="815">
        <v>0</v>
      </c>
      <c r="CZ26" s="815">
        <v>0</v>
      </c>
      <c r="DA26" s="815">
        <v>0</v>
      </c>
      <c r="DB26" s="815">
        <v>0</v>
      </c>
      <c r="DC26" s="814">
        <v>0</v>
      </c>
      <c r="DD26" s="815">
        <v>0</v>
      </c>
      <c r="DE26" s="815">
        <v>0</v>
      </c>
      <c r="DF26" s="815">
        <v>0</v>
      </c>
      <c r="DG26" s="815">
        <v>0</v>
      </c>
      <c r="DH26" s="814">
        <v>0</v>
      </c>
      <c r="DI26" s="815">
        <v>0</v>
      </c>
      <c r="DJ26" s="815">
        <v>0</v>
      </c>
      <c r="DK26" s="815">
        <v>0</v>
      </c>
      <c r="DL26" s="813">
        <v>0</v>
      </c>
      <c r="DM26" s="812">
        <f t="shared" si="13"/>
        <v>0</v>
      </c>
      <c r="DN26" s="819">
        <v>0</v>
      </c>
      <c r="DO26" s="819">
        <v>0</v>
      </c>
      <c r="DP26" s="819">
        <v>0</v>
      </c>
      <c r="DQ26" s="819">
        <v>0</v>
      </c>
      <c r="DR26" s="820">
        <f t="shared" si="14"/>
        <v>0</v>
      </c>
      <c r="DS26" s="819">
        <v>0</v>
      </c>
      <c r="DT26" s="819">
        <v>0</v>
      </c>
      <c r="DU26" s="819">
        <v>0</v>
      </c>
      <c r="DV26" s="819">
        <v>0</v>
      </c>
      <c r="DW26" s="820">
        <f t="shared" si="17"/>
        <v>0</v>
      </c>
      <c r="DX26" s="819">
        <v>0</v>
      </c>
      <c r="DY26" s="819">
        <v>0</v>
      </c>
      <c r="DZ26" s="819">
        <v>0</v>
      </c>
      <c r="EA26" s="819">
        <v>0</v>
      </c>
      <c r="EB26" s="820">
        <f t="shared" si="18"/>
        <v>0</v>
      </c>
      <c r="EE26" s="812"/>
      <c r="EF26" s="812"/>
      <c r="EG26" s="812"/>
      <c r="EH26" s="812"/>
      <c r="EI26" s="812"/>
      <c r="EJ26" s="812"/>
      <c r="EK26" s="812"/>
      <c r="EL26" s="812"/>
      <c r="EM26" s="812"/>
      <c r="EN26" s="812"/>
      <c r="EO26" s="812"/>
      <c r="EP26" s="812"/>
      <c r="EQ26" s="812"/>
      <c r="ER26" s="812"/>
      <c r="FC26"/>
      <c r="FD26"/>
      <c r="FE26"/>
      <c r="FF26"/>
      <c r="FG26"/>
      <c r="FH26"/>
      <c r="FI26" s="821"/>
      <c r="FJ26" s="822"/>
      <c r="FK26" s="822"/>
      <c r="FL26" s="822"/>
      <c r="FM26" s="822"/>
      <c r="FN26" s="822"/>
      <c r="FO26" s="822"/>
      <c r="FP26" s="822"/>
      <c r="FQ26" s="822"/>
      <c r="FR26" s="822"/>
      <c r="FS26" s="822"/>
      <c r="FT26" s="822"/>
      <c r="FU26" s="822"/>
      <c r="FV26" s="822"/>
      <c r="FW26" s="822"/>
      <c r="FX26" s="822"/>
      <c r="FY26" s="822"/>
      <c r="FZ26" s="822"/>
      <c r="GA26" s="822"/>
      <c r="GB26" s="822"/>
      <c r="GC26" s="822"/>
      <c r="GD26" s="822"/>
      <c r="GE26" s="822"/>
      <c r="GF26" s="822"/>
      <c r="GG26" s="822"/>
      <c r="GH26" s="822"/>
      <c r="GI26" s="822"/>
      <c r="GJ26" s="822"/>
      <c r="GK26" s="822"/>
      <c r="GL26" s="822"/>
      <c r="GM26" s="822"/>
      <c r="GN26" s="822"/>
      <c r="GO26" s="822"/>
      <c r="GP26" s="822"/>
      <c r="GQ26" s="822"/>
      <c r="GR26" s="822"/>
      <c r="GS26" s="822"/>
      <c r="GT26" s="822"/>
      <c r="GU26" s="822"/>
      <c r="GV26" s="822"/>
      <c r="GW26" s="821"/>
      <c r="GX26" s="821"/>
      <c r="GY26" s="821"/>
      <c r="GZ26" s="821"/>
      <c r="HA26" s="821"/>
      <c r="HB26" s="821"/>
      <c r="HC26" s="821"/>
      <c r="HD26" s="821"/>
      <c r="HE26" s="821"/>
      <c r="HF26" s="821"/>
      <c r="HG26" s="821"/>
      <c r="HH26" s="821"/>
      <c r="HI26" s="821"/>
      <c r="HJ26" s="821"/>
      <c r="HK26" s="821"/>
      <c r="HL26" s="821"/>
      <c r="HM26" s="821"/>
      <c r="HN26" s="821"/>
      <c r="HO26" s="821"/>
      <c r="HP26" s="821"/>
      <c r="HQ26" s="821"/>
      <c r="HR26" s="821"/>
      <c r="HS26" s="821"/>
      <c r="HT26" s="821"/>
      <c r="HU26" s="821"/>
      <c r="HV26" s="821"/>
      <c r="HW26" s="821"/>
      <c r="HX26" s="821"/>
      <c r="HY26" s="821"/>
      <c r="HZ26" s="821"/>
      <c r="IA26" s="821"/>
      <c r="IB26" s="821"/>
      <c r="IC26" s="821"/>
      <c r="ID26" s="821"/>
      <c r="IE26" s="821"/>
      <c r="IF26" s="821"/>
      <c r="IG26" s="821"/>
      <c r="IH26" s="821"/>
      <c r="II26" s="821"/>
      <c r="IJ26" s="821"/>
      <c r="IK26" s="821"/>
      <c r="IL26" s="821"/>
      <c r="IM26" s="821"/>
      <c r="IN26" s="821"/>
      <c r="IO26" s="821"/>
      <c r="IP26" s="821"/>
      <c r="IQ26" s="821"/>
      <c r="IR26" s="821"/>
      <c r="IS26" s="821"/>
      <c r="IT26" s="821"/>
      <c r="IU26" s="821"/>
      <c r="IV26" s="821"/>
    </row>
    <row r="27" spans="1:256" s="1" customFormat="1" hidden="1" outlineLevel="1" x14ac:dyDescent="0.2">
      <c r="A27" s="1" t="s">
        <v>461</v>
      </c>
      <c r="B27" s="125">
        <v>-2.29</v>
      </c>
      <c r="C27" s="111">
        <v>-2.3690000000000002</v>
      </c>
      <c r="D27" s="111">
        <v>-0.83499999999999996</v>
      </c>
      <c r="E27" s="111">
        <v>0.25900000000000001</v>
      </c>
      <c r="F27" s="111">
        <v>-1.8160000000000001</v>
      </c>
      <c r="G27" s="125">
        <v>-4.7610000000000001</v>
      </c>
      <c r="H27" s="111">
        <v>0.33500000000000002</v>
      </c>
      <c r="I27" s="111">
        <v>-2.2970000000000002</v>
      </c>
      <c r="J27" s="111">
        <v>-3.0230000000000001</v>
      </c>
      <c r="K27" s="111">
        <v>-2.786</v>
      </c>
      <c r="L27" s="125">
        <v>-7.77</v>
      </c>
      <c r="M27" s="111">
        <v>-0.73299999999999998</v>
      </c>
      <c r="N27" s="111">
        <v>-3.024</v>
      </c>
      <c r="O27" s="111">
        <v>3.77</v>
      </c>
      <c r="P27" s="111">
        <v>-12.92</v>
      </c>
      <c r="Q27" s="125">
        <v>-13.5</v>
      </c>
      <c r="R27" s="111">
        <v>-4.55</v>
      </c>
      <c r="S27" s="111">
        <f>-4.12-R27</f>
        <v>0.42999999999999972</v>
      </c>
      <c r="T27" s="111">
        <f>-2.828-SUM(R27:S27)</f>
        <v>1.2920000000000003</v>
      </c>
      <c r="U27" s="111">
        <f t="shared" si="23"/>
        <v>-16.962</v>
      </c>
      <c r="V27" s="125">
        <v>-19.79</v>
      </c>
      <c r="W27" s="111">
        <v>5.92</v>
      </c>
      <c r="X27" s="111">
        <f>13.984-W27</f>
        <v>8.0640000000000001</v>
      </c>
      <c r="Y27" s="111">
        <f>9.564-X27-W27</f>
        <v>-4.42</v>
      </c>
      <c r="Z27" s="111">
        <f t="shared" si="24"/>
        <v>-5.7260000000000009</v>
      </c>
      <c r="AA27" s="125">
        <v>3.8380000000000001</v>
      </c>
      <c r="AB27" s="111">
        <v>-0.76500000000000001</v>
      </c>
      <c r="AC27" s="111">
        <f>-10.814-AB27</f>
        <v>-10.048999999999999</v>
      </c>
      <c r="AD27" s="111">
        <f>-15.073-AC27-AB27</f>
        <v>-4.2590000000000012</v>
      </c>
      <c r="AE27" s="111">
        <f t="shared" si="25"/>
        <v>-9.9400000000000013</v>
      </c>
      <c r="AF27" s="125">
        <v>-25.013000000000002</v>
      </c>
      <c r="AG27" s="111">
        <v>-1.9590000000000001</v>
      </c>
      <c r="AH27" s="111">
        <f>0.406-AG27</f>
        <v>2.3650000000000002</v>
      </c>
      <c r="AI27" s="111">
        <f>-19.561-AH27-AG27</f>
        <v>-19.967000000000002</v>
      </c>
      <c r="AJ27" s="111">
        <f t="shared" si="26"/>
        <v>19.561000000000003</v>
      </c>
      <c r="AK27" s="125">
        <v>0</v>
      </c>
      <c r="AL27" s="111">
        <v>0.61099999999999999</v>
      </c>
      <c r="AM27" s="111">
        <f>4.281-AL27</f>
        <v>3.67</v>
      </c>
      <c r="AN27" s="111">
        <f>-2.174-AM27-AL27</f>
        <v>-6.4549999999999992</v>
      </c>
      <c r="AO27" s="111">
        <f t="shared" si="27"/>
        <v>2.1739999999999995</v>
      </c>
      <c r="AP27" s="125">
        <v>0</v>
      </c>
      <c r="AQ27" s="111">
        <v>-13.661</v>
      </c>
      <c r="AR27" s="111">
        <v>0</v>
      </c>
      <c r="AS27" s="111">
        <v>0</v>
      </c>
      <c r="AT27" s="111">
        <f t="shared" si="28"/>
        <v>13.661</v>
      </c>
      <c r="AU27" s="125">
        <v>0</v>
      </c>
      <c r="AV27" s="111">
        <v>-7.4249999999999998</v>
      </c>
      <c r="AW27" s="111">
        <f>0-AV27</f>
        <v>7.4249999999999998</v>
      </c>
      <c r="AX27" s="111">
        <v>0</v>
      </c>
      <c r="AY27" s="111">
        <f t="shared" si="29"/>
        <v>-24.977</v>
      </c>
      <c r="AZ27" s="125">
        <v>-24.977</v>
      </c>
      <c r="BA27" s="111">
        <v>0</v>
      </c>
      <c r="BB27" s="111">
        <v>0</v>
      </c>
      <c r="BC27" s="111">
        <v>0</v>
      </c>
      <c r="BD27" s="111">
        <f t="shared" si="30"/>
        <v>-49.311</v>
      </c>
      <c r="BE27" s="125">
        <v>-49.311</v>
      </c>
      <c r="BF27" s="111">
        <v>0</v>
      </c>
      <c r="BG27" s="111">
        <v>0</v>
      </c>
      <c r="BH27" s="111">
        <v>0</v>
      </c>
      <c r="BI27" s="111">
        <f t="shared" si="31"/>
        <v>0</v>
      </c>
      <c r="BJ27" s="125">
        <v>0</v>
      </c>
      <c r="BK27" s="111">
        <v>0</v>
      </c>
      <c r="BL27" s="111">
        <v>0</v>
      </c>
      <c r="BM27" s="111">
        <v>0</v>
      </c>
      <c r="BN27" s="111">
        <f t="shared" si="32"/>
        <v>0</v>
      </c>
      <c r="BO27" s="125">
        <v>0</v>
      </c>
      <c r="BP27" s="111">
        <v>0</v>
      </c>
      <c r="BQ27" s="111">
        <v>0</v>
      </c>
      <c r="BR27" s="111">
        <v>0</v>
      </c>
      <c r="BS27" s="111">
        <f t="shared" si="33"/>
        <v>0</v>
      </c>
      <c r="BT27" s="125">
        <v>0</v>
      </c>
      <c r="BU27" s="111">
        <v>0</v>
      </c>
      <c r="BV27" s="111">
        <v>0</v>
      </c>
      <c r="BW27" s="111">
        <v>0</v>
      </c>
      <c r="BX27" s="111">
        <f t="shared" si="34"/>
        <v>0</v>
      </c>
      <c r="BY27" s="125">
        <v>0</v>
      </c>
      <c r="BZ27" s="111">
        <v>0</v>
      </c>
      <c r="CA27" s="111">
        <v>0</v>
      </c>
      <c r="CB27" s="111">
        <v>0</v>
      </c>
      <c r="CC27" s="111">
        <f t="shared" si="35"/>
        <v>0</v>
      </c>
      <c r="CD27" s="125">
        <v>0</v>
      </c>
      <c r="CE27" s="111">
        <v>0</v>
      </c>
      <c r="CF27" s="111">
        <v>0</v>
      </c>
      <c r="CG27" s="111">
        <v>0</v>
      </c>
      <c r="CH27" s="111">
        <f t="shared" si="36"/>
        <v>-88.7</v>
      </c>
      <c r="CI27" s="125">
        <v>-88.7</v>
      </c>
      <c r="CJ27" s="366">
        <v>0</v>
      </c>
      <c r="CK27" s="366">
        <v>0</v>
      </c>
      <c r="CL27" s="366">
        <v>0</v>
      </c>
      <c r="CM27" s="111">
        <f t="shared" si="37"/>
        <v>-90.3</v>
      </c>
      <c r="CN27" s="125">
        <v>-90.3</v>
      </c>
      <c r="CO27" s="366">
        <v>0</v>
      </c>
      <c r="CP27" s="111">
        <f>-25.2-CO27</f>
        <v>-25.2</v>
      </c>
      <c r="CQ27" s="117">
        <f>-20.3-SUM(CO27:CP27)</f>
        <v>4.8999999999999986</v>
      </c>
      <c r="CR27" s="111">
        <f t="shared" si="16"/>
        <v>-48</v>
      </c>
      <c r="CS27" s="125">
        <v>-68.3</v>
      </c>
      <c r="CT27" s="111">
        <v>-26.1</v>
      </c>
      <c r="CU27" s="117">
        <f>-28.6-CT27</f>
        <v>-2.5</v>
      </c>
      <c r="CV27" s="117">
        <f>-19-CU27-CT27</f>
        <v>9.6000000000000014</v>
      </c>
      <c r="CW27" s="722">
        <f>CX27-CV27-CU27-CT27</f>
        <v>-60.70000000000001</v>
      </c>
      <c r="CX27" s="719">
        <v>-79.7</v>
      </c>
      <c r="CY27" s="111">
        <v>-9.3000000000000007</v>
      </c>
      <c r="CZ27" s="111">
        <f>-14.1-CY27</f>
        <v>-4.7999999999999989</v>
      </c>
      <c r="DA27" s="111">
        <f>-31.4-CZ27-CY27</f>
        <v>-17.3</v>
      </c>
      <c r="DB27" s="815">
        <f>DC27-DA27-CZ27-CY27</f>
        <v>-51.400000000000006</v>
      </c>
      <c r="DC27" s="125">
        <v>-82.8</v>
      </c>
      <c r="DD27" s="111">
        <v>-65.099999999999994</v>
      </c>
      <c r="DE27" s="111">
        <f>-39.8-DD27</f>
        <v>25.299999999999997</v>
      </c>
      <c r="DF27" s="111">
        <f>-39.5-DE27-DD27</f>
        <v>0.29999999999999716</v>
      </c>
      <c r="DG27" s="815">
        <f>DH27-DF27-DE27-DD27</f>
        <v>-16.099999999999994</v>
      </c>
      <c r="DH27" s="125">
        <v>-55.6</v>
      </c>
      <c r="DI27" s="111">
        <v>-128.69999999999999</v>
      </c>
      <c r="DJ27" s="111">
        <f>-45.6-DI27</f>
        <v>83.1</v>
      </c>
      <c r="DK27" s="111">
        <f>-40.1-SUM(DI27:DJ27)</f>
        <v>5.4999999999999929</v>
      </c>
      <c r="DL27" s="111">
        <f>-96.8-SUM(DI27:DK27)</f>
        <v>-56.699999999999996</v>
      </c>
      <c r="DM27" s="125">
        <f t="shared" si="13"/>
        <v>-96.8</v>
      </c>
      <c r="DN27" s="143">
        <f>BS!DM12-BS!DN12</f>
        <v>-46.127040415845499</v>
      </c>
      <c r="DO27" s="143">
        <f>BS!DN12-BS!DO12</f>
        <v>27.385971058388918</v>
      </c>
      <c r="DP27" s="143">
        <f>BS!DO12-BS!DP12</f>
        <v>4.1148827175910583</v>
      </c>
      <c r="DQ27" s="143">
        <f>BS!DP12-BS!DQ12</f>
        <v>22.497083110368408</v>
      </c>
      <c r="DR27" s="142">
        <f t="shared" si="14"/>
        <v>7.8708964705028848</v>
      </c>
      <c r="DS27" s="143">
        <f>BS!DR12-BS!DS12</f>
        <v>-153.95857578163816</v>
      </c>
      <c r="DT27" s="143">
        <f>BS!DS12-BS!DT12</f>
        <v>42.983497349329127</v>
      </c>
      <c r="DU27" s="143">
        <f>BS!DT12-BS!DU12</f>
        <v>3.0551209782952355</v>
      </c>
      <c r="DV27" s="143">
        <f>BS!DU12-BS!DV12</f>
        <v>24.388510751891772</v>
      </c>
      <c r="DW27" s="142">
        <f t="shared" si="17"/>
        <v>-83.531446702122025</v>
      </c>
      <c r="DX27" s="143">
        <f>BS!DW12-BS!DX12</f>
        <v>-166.57660694254196</v>
      </c>
      <c r="DY27" s="143">
        <f>BS!DX12-BS!DY12</f>
        <v>46.192716601812208</v>
      </c>
      <c r="DZ27" s="143">
        <f>BS!DY12-BS!DZ12</f>
        <v>4.0707165453302423</v>
      </c>
      <c r="EA27" s="143">
        <f>BS!DZ12-BS!EA12</f>
        <v>27.74525220598548</v>
      </c>
      <c r="EB27" s="142">
        <f t="shared" si="18"/>
        <v>-88.567921589414027</v>
      </c>
      <c r="EE27" s="125"/>
      <c r="EF27" s="125"/>
      <c r="EG27" s="125"/>
      <c r="EH27" s="125"/>
      <c r="EI27" s="125"/>
      <c r="EJ27" s="125"/>
      <c r="EK27" s="125"/>
      <c r="EL27" s="125"/>
      <c r="EM27" s="125"/>
      <c r="EN27" s="125"/>
      <c r="EO27" s="125"/>
      <c r="EP27" s="125"/>
      <c r="EQ27" s="125"/>
      <c r="ER27" s="125"/>
      <c r="FC27"/>
      <c r="FD27"/>
      <c r="FE27"/>
      <c r="FF27"/>
      <c r="FG27"/>
      <c r="FH27"/>
      <c r="FI27" s="396"/>
      <c r="FJ27" s="419"/>
      <c r="FK27" s="419"/>
      <c r="FL27" s="419"/>
      <c r="FM27" s="419"/>
      <c r="FN27" s="419"/>
      <c r="FO27" s="419"/>
      <c r="FP27" s="419"/>
      <c r="FQ27" s="419"/>
      <c r="FR27" s="419"/>
      <c r="FS27" s="419"/>
      <c r="FT27" s="419"/>
      <c r="FU27" s="419"/>
      <c r="FV27" s="419"/>
      <c r="FW27" s="419"/>
      <c r="FX27" s="419"/>
      <c r="FY27" s="419"/>
      <c r="FZ27" s="419"/>
      <c r="GA27" s="419"/>
      <c r="GB27" s="419"/>
      <c r="GC27" s="419"/>
      <c r="GD27" s="419"/>
      <c r="GE27" s="419"/>
      <c r="GF27" s="419"/>
      <c r="GG27" s="419"/>
      <c r="GH27" s="419"/>
      <c r="GI27" s="419"/>
      <c r="GJ27" s="419"/>
      <c r="GK27" s="419"/>
      <c r="GL27" s="419"/>
      <c r="GM27" s="419"/>
      <c r="GN27" s="419"/>
      <c r="GO27" s="419"/>
      <c r="GP27" s="419"/>
      <c r="GQ27" s="419"/>
      <c r="GR27" s="419"/>
      <c r="GS27" s="419"/>
      <c r="GT27" s="419"/>
      <c r="GU27" s="419"/>
      <c r="GV27" s="419"/>
      <c r="GW27" s="418"/>
      <c r="GX27" s="418"/>
      <c r="GY27" s="418"/>
      <c r="GZ27" s="418"/>
      <c r="HA27" s="418"/>
      <c r="HB27" s="418"/>
      <c r="HC27" s="418"/>
      <c r="HD27" s="418"/>
      <c r="HE27" s="418"/>
      <c r="HF27" s="418"/>
      <c r="HG27" s="418"/>
      <c r="HH27" s="418"/>
      <c r="HI27" s="418"/>
      <c r="HJ27" s="418"/>
      <c r="HK27" s="418"/>
      <c r="HL27" s="418"/>
      <c r="HM27" s="418"/>
      <c r="HN27" s="418"/>
      <c r="HO27" s="418"/>
      <c r="HP27" s="418"/>
      <c r="HQ27" s="418"/>
      <c r="HR27" s="418"/>
      <c r="HS27" s="418"/>
      <c r="HT27" s="418"/>
      <c r="HU27" s="418"/>
      <c r="HV27" s="418"/>
      <c r="HW27" s="418"/>
      <c r="HX27" s="418"/>
      <c r="HY27" s="418"/>
      <c r="HZ27" s="418"/>
      <c r="IA27" s="418"/>
      <c r="IB27" s="418"/>
      <c r="IC27" s="418"/>
      <c r="ID27" s="418"/>
      <c r="IE27" s="418"/>
      <c r="IF27" s="418"/>
      <c r="IG27" s="418"/>
      <c r="IH27" s="418"/>
      <c r="II27" s="418"/>
      <c r="IJ27" s="418"/>
      <c r="IK27" s="418"/>
      <c r="IL27" s="418"/>
      <c r="IM27" s="418"/>
      <c r="IN27" s="418"/>
      <c r="IO27" s="418"/>
      <c r="IP27" s="418"/>
      <c r="IQ27" s="418"/>
      <c r="IR27" s="418"/>
      <c r="IS27" s="418"/>
      <c r="IT27" s="418"/>
      <c r="IU27" s="418"/>
      <c r="IV27" s="418"/>
    </row>
    <row r="28" spans="1:256" s="1" customFormat="1" hidden="1" outlineLevel="1" x14ac:dyDescent="0.2">
      <c r="A28" s="1" t="s">
        <v>460</v>
      </c>
      <c r="B28" s="125">
        <v>-30</v>
      </c>
      <c r="C28" s="111">
        <v>-10.170999999999999</v>
      </c>
      <c r="D28" s="111">
        <v>-0.94399999999999995</v>
      </c>
      <c r="E28" s="111">
        <v>-20.728000000000002</v>
      </c>
      <c r="F28" s="111">
        <v>-35.735999999999997</v>
      </c>
      <c r="G28" s="125">
        <v>-67.578999999999994</v>
      </c>
      <c r="H28" s="111">
        <v>14.58</v>
      </c>
      <c r="I28" s="111">
        <v>18.253</v>
      </c>
      <c r="J28" s="111">
        <v>13.864000000000001</v>
      </c>
      <c r="K28" s="111">
        <v>-6.423</v>
      </c>
      <c r="L28" s="125">
        <v>40.200000000000003</v>
      </c>
      <c r="M28" s="111">
        <v>19.975999999999999</v>
      </c>
      <c r="N28" s="111">
        <v>-18.021000000000001</v>
      </c>
      <c r="O28" s="111">
        <v>-28.545000000000002</v>
      </c>
      <c r="P28" s="111">
        <v>-9.5950000000000006</v>
      </c>
      <c r="Q28" s="125">
        <v>-36.4</v>
      </c>
      <c r="R28" s="111">
        <v>3.7</v>
      </c>
      <c r="S28" s="111">
        <f>-9.489-R28</f>
        <v>-13.189</v>
      </c>
      <c r="T28" s="111">
        <f>-32.143-SUM(R28:S28)</f>
        <v>-22.654</v>
      </c>
      <c r="U28" s="111">
        <f t="shared" si="23"/>
        <v>8.647000000000002</v>
      </c>
      <c r="V28" s="125">
        <v>-23.495999999999999</v>
      </c>
      <c r="W28" s="111">
        <v>26.434999999999999</v>
      </c>
      <c r="X28" s="111">
        <f>11.485-W28</f>
        <v>-14.95</v>
      </c>
      <c r="Y28" s="111">
        <f>(-24.519)-X28-W28</f>
        <v>-36.003999999999998</v>
      </c>
      <c r="Z28" s="111">
        <f t="shared" si="24"/>
        <v>-11.886000000000003</v>
      </c>
      <c r="AA28" s="125">
        <v>-36.405000000000001</v>
      </c>
      <c r="AB28" s="111">
        <v>24.692</v>
      </c>
      <c r="AC28" s="111">
        <f>29.882-AB28</f>
        <v>5.1900000000000013</v>
      </c>
      <c r="AD28" s="111">
        <f>-0.218-AC28-AB28</f>
        <v>-30.1</v>
      </c>
      <c r="AE28" s="111">
        <f t="shared" si="25"/>
        <v>-19.277000000000001</v>
      </c>
      <c r="AF28" s="125">
        <v>-19.495000000000001</v>
      </c>
      <c r="AG28" s="111">
        <v>33.22</v>
      </c>
      <c r="AH28" s="111">
        <f>50.203-AG28</f>
        <v>16.983000000000004</v>
      </c>
      <c r="AI28" s="111">
        <f>11.772-AH28-AG28</f>
        <v>-38.431000000000004</v>
      </c>
      <c r="AJ28" s="111">
        <f t="shared" si="26"/>
        <v>-31.475999999999999</v>
      </c>
      <c r="AK28" s="125">
        <v>-19.704000000000001</v>
      </c>
      <c r="AL28" s="111">
        <v>44.122</v>
      </c>
      <c r="AM28" s="111">
        <f>48.672-AL28</f>
        <v>4.5499999999999972</v>
      </c>
      <c r="AN28" s="111">
        <f>2.97-AM28-AL28</f>
        <v>-45.701999999999998</v>
      </c>
      <c r="AO28" s="111">
        <f t="shared" si="27"/>
        <v>-44.348999999999997</v>
      </c>
      <c r="AP28" s="125">
        <v>-41.378999999999998</v>
      </c>
      <c r="AQ28" s="111">
        <v>53.406999999999996</v>
      </c>
      <c r="AR28" s="111">
        <f>60.655-AQ28</f>
        <v>7.2480000000000047</v>
      </c>
      <c r="AS28" s="111">
        <f>-15.081-AR28-AQ28</f>
        <v>-75.736000000000004</v>
      </c>
      <c r="AT28" s="111">
        <f t="shared" si="28"/>
        <v>-49.686999999999998</v>
      </c>
      <c r="AU28" s="125">
        <v>-64.768000000000001</v>
      </c>
      <c r="AV28" s="111">
        <v>39.450000000000003</v>
      </c>
      <c r="AW28" s="111">
        <f>36.907-AV28</f>
        <v>-2.5430000000000064</v>
      </c>
      <c r="AX28" s="111">
        <f>-41.278-AW28-AV28</f>
        <v>-78.185000000000002</v>
      </c>
      <c r="AY28" s="111">
        <f t="shared" si="29"/>
        <v>-36.384</v>
      </c>
      <c r="AZ28" s="125">
        <v>-77.662000000000006</v>
      </c>
      <c r="BA28" s="111">
        <v>46.487000000000002</v>
      </c>
      <c r="BB28" s="111">
        <f>18.894-BA28</f>
        <v>-27.593000000000004</v>
      </c>
      <c r="BC28" s="111">
        <f>-72.292-(SUM(BA28:BB28))</f>
        <v>-91.186000000000007</v>
      </c>
      <c r="BD28" s="111">
        <f t="shared" si="30"/>
        <v>-49.325999999999986</v>
      </c>
      <c r="BE28" s="125">
        <v>-121.61799999999999</v>
      </c>
      <c r="BF28" s="111">
        <v>93.347999999999999</v>
      </c>
      <c r="BG28" s="111">
        <f>91.975-BF28</f>
        <v>-1.3730000000000047</v>
      </c>
      <c r="BH28" s="111">
        <f>-6.672-BG28-BF28</f>
        <v>-98.646999999999991</v>
      </c>
      <c r="BI28" s="111">
        <f t="shared" si="31"/>
        <v>-78.855000000000004</v>
      </c>
      <c r="BJ28" s="125">
        <v>-85.527000000000001</v>
      </c>
      <c r="BK28" s="111">
        <v>91.293000000000006</v>
      </c>
      <c r="BL28" s="111">
        <f>60.553-BK28</f>
        <v>-30.740000000000009</v>
      </c>
      <c r="BM28" s="111">
        <f>-16.734-BL28-BK28</f>
        <v>-77.287000000000006</v>
      </c>
      <c r="BN28" s="111">
        <f t="shared" si="32"/>
        <v>-31.841999999999992</v>
      </c>
      <c r="BO28" s="125">
        <v>-48.576000000000001</v>
      </c>
      <c r="BP28" s="111">
        <v>111.9</v>
      </c>
      <c r="BQ28" s="111">
        <f>87.8-BP28</f>
        <v>-24.100000000000009</v>
      </c>
      <c r="BR28" s="111">
        <f>32.6-BQ28-BP28</f>
        <v>-55.199999999999996</v>
      </c>
      <c r="BS28" s="111">
        <f t="shared" si="33"/>
        <v>-33.200000000000003</v>
      </c>
      <c r="BT28" s="125">
        <v>-0.6</v>
      </c>
      <c r="BU28" s="111">
        <v>99.1</v>
      </c>
      <c r="BV28" s="111">
        <f>59.9-BU28</f>
        <v>-39.199999999999996</v>
      </c>
      <c r="BW28" s="111">
        <f>-12.4-BV28-BU28</f>
        <v>-72.3</v>
      </c>
      <c r="BX28" s="111">
        <f t="shared" si="34"/>
        <v>40.900000000000006</v>
      </c>
      <c r="BY28" s="125">
        <v>28.5</v>
      </c>
      <c r="BZ28" s="111">
        <v>120.7</v>
      </c>
      <c r="CA28" s="111">
        <f>174.7-BZ28</f>
        <v>53.999999999999986</v>
      </c>
      <c r="CB28" s="111">
        <f>163.6-CA28-BZ28</f>
        <v>-11.099999999999994</v>
      </c>
      <c r="CC28" s="111">
        <f t="shared" si="35"/>
        <v>-40.399999999999977</v>
      </c>
      <c r="CD28" s="125">
        <v>123.2</v>
      </c>
      <c r="CE28" s="111">
        <v>-77.599999999999994</v>
      </c>
      <c r="CF28" s="111">
        <f>-226.2-CE28</f>
        <v>-148.6</v>
      </c>
      <c r="CG28" s="111">
        <f>-308.5-CF28-CE28</f>
        <v>-82.300000000000011</v>
      </c>
      <c r="CH28" s="111">
        <f t="shared" si="36"/>
        <v>-113.80000000000001</v>
      </c>
      <c r="CI28" s="125">
        <v>-422.3</v>
      </c>
      <c r="CJ28" s="111">
        <v>-157.69999999999999</v>
      </c>
      <c r="CK28" s="111">
        <f>-236.5-CJ28</f>
        <v>-78.800000000000011</v>
      </c>
      <c r="CL28" s="111">
        <f>-285.1-SUM(CJ28:CK28)</f>
        <v>-48.600000000000023</v>
      </c>
      <c r="CM28" s="111">
        <f t="shared" si="37"/>
        <v>11.800000000000011</v>
      </c>
      <c r="CN28" s="125">
        <v>-273.3</v>
      </c>
      <c r="CO28" s="111">
        <v>150.1</v>
      </c>
      <c r="CP28" s="111">
        <f>138.6-CO28</f>
        <v>-11.5</v>
      </c>
      <c r="CQ28" s="117">
        <f>88.8-SUM(CO28:CP28)</f>
        <v>-49.8</v>
      </c>
      <c r="CR28" s="111">
        <f t="shared" si="16"/>
        <v>63.7</v>
      </c>
      <c r="CS28" s="125">
        <v>152.5</v>
      </c>
      <c r="CT28" s="111">
        <v>167.9</v>
      </c>
      <c r="CU28" s="117">
        <f>156.2-CT28</f>
        <v>-11.700000000000017</v>
      </c>
      <c r="CV28" s="117">
        <f>85.2-CU28-CT28</f>
        <v>-70.999999999999986</v>
      </c>
      <c r="CW28" s="722">
        <f>CX28-CV28-CU28-CT28</f>
        <v>-70.900000000000006</v>
      </c>
      <c r="CX28" s="719">
        <v>14.3</v>
      </c>
      <c r="CY28" s="111">
        <v>92</v>
      </c>
      <c r="CZ28" s="111">
        <f>39.6-CY28</f>
        <v>-52.4</v>
      </c>
      <c r="DA28" s="111">
        <f>-64.3-CZ28-CY28</f>
        <v>-103.9</v>
      </c>
      <c r="DB28" s="815">
        <f>DC28-DA28-CZ28-CY28</f>
        <v>-143.6</v>
      </c>
      <c r="DC28" s="125">
        <v>-207.9</v>
      </c>
      <c r="DD28" s="111">
        <v>60.6</v>
      </c>
      <c r="DE28" s="111">
        <f>15.3-DD28</f>
        <v>-45.3</v>
      </c>
      <c r="DF28" s="111">
        <f>-15.7-DE28-DD28</f>
        <v>-31.000000000000004</v>
      </c>
      <c r="DG28" s="815">
        <f>DH28-DF28-DE28-DD28</f>
        <v>-51.800000000000004</v>
      </c>
      <c r="DH28" s="125">
        <v>-67.5</v>
      </c>
      <c r="DI28" s="111">
        <v>146.4</v>
      </c>
      <c r="DJ28" s="111">
        <f>45.4-DI28</f>
        <v>-101</v>
      </c>
      <c r="DK28" s="111">
        <f>19.1-SUM(DI28:DJ28)</f>
        <v>-26.300000000000004</v>
      </c>
      <c r="DL28" s="111">
        <f>14-SUM(DI28:DK28)</f>
        <v>-5.1000000000000014</v>
      </c>
      <c r="DM28" s="125">
        <f t="shared" si="13"/>
        <v>14</v>
      </c>
      <c r="DN28" s="143">
        <f>BS!DM13-BS!DN13</f>
        <v>34.900117647058778</v>
      </c>
      <c r="DO28" s="143">
        <f>BS!DN13-BS!DO13</f>
        <v>-188.05396900604296</v>
      </c>
      <c r="DP28" s="143">
        <f>BS!DO13-BS!DP13</f>
        <v>-28.849741858751713</v>
      </c>
      <c r="DQ28" s="143">
        <f>BS!DP13-BS!DQ13</f>
        <v>-48.638427570177782</v>
      </c>
      <c r="DR28" s="142">
        <f t="shared" si="14"/>
        <v>-230.64202078791368</v>
      </c>
      <c r="DS28" s="143">
        <f>BS!DR13-BS!DS13</f>
        <v>135.82968612829723</v>
      </c>
      <c r="DT28" s="143">
        <f>BS!DS13-BS!DT13</f>
        <v>-179.1827987353729</v>
      </c>
      <c r="DU28" s="143">
        <f>BS!DT13-BS!DU13</f>
        <v>-34.798734967554765</v>
      </c>
      <c r="DV28" s="143">
        <f>BS!DU13-BS!DV13</f>
        <v>-55.40100622898035</v>
      </c>
      <c r="DW28" s="142">
        <f t="shared" si="17"/>
        <v>-133.55285380361079</v>
      </c>
      <c r="DX28" s="143">
        <f>BS!DW13-BS!DX13</f>
        <v>144.95868157884161</v>
      </c>
      <c r="DY28" s="143">
        <f>BS!DX13-BS!DY13</f>
        <v>-195.86926529477751</v>
      </c>
      <c r="DZ28" s="143">
        <f>BS!DY13-BS!DZ13</f>
        <v>-36.41057906052788</v>
      </c>
      <c r="EA28" s="143">
        <f>BS!DZ13-BS!EA13</f>
        <v>-58.732882383780861</v>
      </c>
      <c r="EB28" s="142">
        <f t="shared" si="18"/>
        <v>-146.05404516024464</v>
      </c>
      <c r="EE28" s="125"/>
      <c r="EF28" s="125"/>
      <c r="EG28" s="125"/>
      <c r="EH28" s="125"/>
      <c r="EI28" s="125"/>
      <c r="EJ28" s="125"/>
      <c r="EK28" s="125"/>
      <c r="EL28" s="125"/>
      <c r="EM28" s="125"/>
      <c r="EN28" s="125"/>
      <c r="EO28" s="125"/>
      <c r="EP28" s="125"/>
      <c r="EQ28" s="125"/>
      <c r="ER28" s="125"/>
      <c r="FC28"/>
      <c r="FD28"/>
      <c r="FE28"/>
      <c r="FF28"/>
      <c r="FG28"/>
      <c r="FH28"/>
      <c r="FI28" s="396"/>
      <c r="FJ28" s="419"/>
      <c r="FK28" s="419"/>
      <c r="FL28" s="419"/>
      <c r="FM28" s="419"/>
      <c r="FN28" s="419"/>
      <c r="FO28" s="419"/>
      <c r="FP28" s="419"/>
      <c r="FQ28" s="419"/>
      <c r="FR28" s="419"/>
      <c r="FS28" s="419"/>
      <c r="FT28" s="419"/>
      <c r="FU28" s="419"/>
      <c r="FV28" s="419"/>
      <c r="FW28" s="419"/>
      <c r="FX28" s="419"/>
      <c r="FY28" s="419"/>
      <c r="FZ28" s="419"/>
      <c r="GA28" s="419"/>
      <c r="GB28" s="419"/>
      <c r="GC28" s="419"/>
      <c r="GD28" s="419"/>
      <c r="GE28" s="419"/>
      <c r="GF28" s="419"/>
      <c r="GG28" s="419"/>
      <c r="GH28" s="419"/>
      <c r="GI28" s="419"/>
      <c r="GJ28" s="419"/>
      <c r="GK28" s="419"/>
      <c r="GL28" s="419"/>
      <c r="GM28" s="419"/>
      <c r="GN28" s="419"/>
      <c r="GO28" s="419"/>
      <c r="GP28" s="419"/>
      <c r="GQ28" s="419"/>
      <c r="GR28" s="419"/>
      <c r="GS28" s="419"/>
      <c r="GT28" s="419"/>
      <c r="GU28" s="419"/>
      <c r="GV28" s="419"/>
      <c r="GW28" s="418"/>
      <c r="GX28" s="418"/>
      <c r="GY28" s="418"/>
      <c r="GZ28" s="418"/>
      <c r="HA28" s="418"/>
      <c r="HB28" s="418"/>
      <c r="HC28" s="418"/>
      <c r="HD28" s="418"/>
      <c r="HE28" s="418"/>
      <c r="HF28" s="418"/>
      <c r="HG28" s="418"/>
      <c r="HH28" s="418"/>
      <c r="HI28" s="418"/>
      <c r="HJ28" s="418"/>
      <c r="HK28" s="418"/>
      <c r="HL28" s="418"/>
      <c r="HM28" s="418"/>
      <c r="HN28" s="418"/>
      <c r="HO28" s="418"/>
      <c r="HP28" s="418"/>
      <c r="HQ28" s="418"/>
      <c r="HR28" s="418"/>
      <c r="HS28" s="418"/>
      <c r="HT28" s="418"/>
      <c r="HU28" s="418"/>
      <c r="HV28" s="418"/>
      <c r="HW28" s="418"/>
      <c r="HX28" s="418"/>
      <c r="HY28" s="418"/>
      <c r="HZ28" s="418"/>
      <c r="IA28" s="418"/>
      <c r="IB28" s="418"/>
      <c r="IC28" s="418"/>
      <c r="ID28" s="418"/>
      <c r="IE28" s="418"/>
      <c r="IF28" s="418"/>
      <c r="IG28" s="418"/>
      <c r="IH28" s="418"/>
      <c r="II28" s="418"/>
      <c r="IJ28" s="418"/>
      <c r="IK28" s="418"/>
      <c r="IL28" s="418"/>
      <c r="IM28" s="418"/>
      <c r="IN28" s="418"/>
      <c r="IO28" s="418"/>
      <c r="IP28" s="418"/>
      <c r="IQ28" s="418"/>
      <c r="IR28" s="418"/>
      <c r="IS28" s="418"/>
      <c r="IT28" s="418"/>
      <c r="IU28" s="418"/>
      <c r="IV28" s="418"/>
    </row>
    <row r="29" spans="1:256" s="1" customFormat="1" hidden="1" outlineLevel="1" x14ac:dyDescent="0.2">
      <c r="A29" s="1" t="s">
        <v>459</v>
      </c>
      <c r="B29" s="125">
        <v>-1.81</v>
      </c>
      <c r="C29" s="111">
        <v>-0.11799999999999999</v>
      </c>
      <c r="D29" s="111">
        <v>-0.16</v>
      </c>
      <c r="E29" s="111">
        <v>7.9000000000000001E-2</v>
      </c>
      <c r="F29" s="111">
        <v>-0.20100000000000001</v>
      </c>
      <c r="G29" s="125">
        <v>-0.4</v>
      </c>
      <c r="H29" s="111">
        <v>0.97299999999999998</v>
      </c>
      <c r="I29" s="111">
        <v>-0.68400000000000005</v>
      </c>
      <c r="J29" s="111">
        <v>-1.296</v>
      </c>
      <c r="K29" s="111">
        <v>-0.76200000000000001</v>
      </c>
      <c r="L29" s="125">
        <v>-1.76</v>
      </c>
      <c r="M29" s="111">
        <v>-0.36199999999999999</v>
      </c>
      <c r="N29" s="111">
        <v>-1.3149999999999999</v>
      </c>
      <c r="O29" s="111">
        <v>-0.505</v>
      </c>
      <c r="P29" s="111">
        <v>-5.3999999999999999E-2</v>
      </c>
      <c r="Q29" s="125">
        <v>-2.2000000000000002</v>
      </c>
      <c r="R29" s="111">
        <v>-0.64</v>
      </c>
      <c r="S29" s="111">
        <f>-1.138-R29</f>
        <v>-0.49799999999999989</v>
      </c>
      <c r="T29" s="111">
        <f>-1.523-SUM(R29:S29)</f>
        <v>-0.38500000000000001</v>
      </c>
      <c r="U29" s="111">
        <f t="shared" si="23"/>
        <v>-0.97400000000000031</v>
      </c>
      <c r="V29" s="125">
        <v>-2.4969999999999999</v>
      </c>
      <c r="W29" s="111">
        <v>-0.41899999999999998</v>
      </c>
      <c r="X29" s="111">
        <f>(-4.473)-W29</f>
        <v>-4.0540000000000003</v>
      </c>
      <c r="Y29" s="111">
        <f>(-8.891)-X29-W29</f>
        <v>-4.4180000000000001</v>
      </c>
      <c r="Z29" s="111">
        <f t="shared" si="24"/>
        <v>1.3390000000000009</v>
      </c>
      <c r="AA29" s="125">
        <v>-7.5519999999999996</v>
      </c>
      <c r="AB29" s="111">
        <v>1.6559999999999999</v>
      </c>
      <c r="AC29" s="111">
        <f>-0.638-AB29</f>
        <v>-2.294</v>
      </c>
      <c r="AD29" s="111">
        <f>-1.625-AC29-AB29</f>
        <v>-0.98699999999999988</v>
      </c>
      <c r="AE29" s="111">
        <f t="shared" si="25"/>
        <v>0.92500000000000004</v>
      </c>
      <c r="AF29" s="125">
        <v>-0.7</v>
      </c>
      <c r="AG29" s="111">
        <v>-1.81</v>
      </c>
      <c r="AH29" s="111">
        <f>-9.035-AG29</f>
        <v>-7.2249999999999996</v>
      </c>
      <c r="AI29" s="111">
        <f>-9.051-AH29-AG29</f>
        <v>-1.6000000000000458E-2</v>
      </c>
      <c r="AJ29" s="111">
        <f t="shared" si="26"/>
        <v>-1.8680000000000008</v>
      </c>
      <c r="AK29" s="125">
        <v>-10.919</v>
      </c>
      <c r="AL29" s="111">
        <v>-3.4649999999999999</v>
      </c>
      <c r="AM29" s="111">
        <f>-6.761-AL29</f>
        <v>-3.2960000000000003</v>
      </c>
      <c r="AN29" s="111">
        <f>-10.852-AM29-AL29</f>
        <v>-4.0910000000000002</v>
      </c>
      <c r="AO29" s="111">
        <f t="shared" si="27"/>
        <v>-1.6079999999999997</v>
      </c>
      <c r="AP29" s="125">
        <v>-12.46</v>
      </c>
      <c r="AQ29" s="111">
        <v>-8.6359999999999992</v>
      </c>
      <c r="AR29" s="111">
        <v>0</v>
      </c>
      <c r="AS29" s="111">
        <f>-19.856-AR29-AQ29</f>
        <v>-11.220000000000002</v>
      </c>
      <c r="AT29" s="111">
        <f t="shared" si="28"/>
        <v>6.995000000000001</v>
      </c>
      <c r="AU29" s="125">
        <v>-12.861000000000001</v>
      </c>
      <c r="AV29" s="111">
        <v>-1.6819999999999999</v>
      </c>
      <c r="AW29" s="111">
        <f>-17.205-AV29</f>
        <v>-15.522999999999998</v>
      </c>
      <c r="AX29" s="111">
        <f>-4.845-AW29-AV29</f>
        <v>12.359999999999998</v>
      </c>
      <c r="AY29" s="111">
        <f t="shared" si="29"/>
        <v>41.201000000000001</v>
      </c>
      <c r="AZ29" s="125">
        <v>36.356000000000002</v>
      </c>
      <c r="BA29" s="111">
        <v>-15.000999999999999</v>
      </c>
      <c r="BB29" s="111">
        <f>11.842-BA29</f>
        <v>26.843</v>
      </c>
      <c r="BC29" s="111">
        <f>13.965-(SUM(BA29:BB29))</f>
        <v>2.1229999999999993</v>
      </c>
      <c r="BD29" s="111">
        <f t="shared" si="30"/>
        <v>42.929000000000002</v>
      </c>
      <c r="BE29" s="125">
        <v>56.893999999999998</v>
      </c>
      <c r="BF29" s="111">
        <v>17.992999999999999</v>
      </c>
      <c r="BG29" s="111">
        <f>34.815-BF29</f>
        <v>16.821999999999999</v>
      </c>
      <c r="BH29" s="111">
        <f>39.434-BG29-BF29</f>
        <v>4.6189999999999998</v>
      </c>
      <c r="BI29" s="111">
        <f t="shared" si="31"/>
        <v>-39.433999999999997</v>
      </c>
      <c r="BJ29" s="125">
        <v>0</v>
      </c>
      <c r="BK29" s="111">
        <v>0</v>
      </c>
      <c r="BL29" s="111">
        <v>0</v>
      </c>
      <c r="BM29" s="111">
        <v>0</v>
      </c>
      <c r="BN29" s="111">
        <f t="shared" si="32"/>
        <v>0</v>
      </c>
      <c r="BO29" s="125">
        <v>0</v>
      </c>
      <c r="BP29" s="111">
        <v>0</v>
      </c>
      <c r="BQ29" s="111">
        <v>0</v>
      </c>
      <c r="BR29" s="111">
        <v>0</v>
      </c>
      <c r="BS29" s="111">
        <f t="shared" si="33"/>
        <v>0</v>
      </c>
      <c r="BT29" s="125">
        <v>0</v>
      </c>
      <c r="BU29" s="111">
        <v>0</v>
      </c>
      <c r="BV29" s="111">
        <v>0</v>
      </c>
      <c r="BW29" s="111">
        <v>0</v>
      </c>
      <c r="BX29" s="111">
        <f t="shared" si="34"/>
        <v>0</v>
      </c>
      <c r="BY29" s="125">
        <v>0</v>
      </c>
      <c r="BZ29" s="111">
        <v>0</v>
      </c>
      <c r="CA29" s="111">
        <v>0</v>
      </c>
      <c r="CB29" s="111">
        <v>0</v>
      </c>
      <c r="CC29" s="111">
        <f t="shared" si="35"/>
        <v>0</v>
      </c>
      <c r="CD29" s="367">
        <v>0</v>
      </c>
      <c r="CE29" s="366">
        <v>20.9</v>
      </c>
      <c r="CF29" s="366">
        <f>-129.1-CE29</f>
        <v>-150</v>
      </c>
      <c r="CG29" s="366">
        <f>-66.1-CF29-CE29</f>
        <v>63.000000000000007</v>
      </c>
      <c r="CH29" s="366">
        <f t="shared" si="36"/>
        <v>66.099999999999994</v>
      </c>
      <c r="CI29" s="367">
        <v>0</v>
      </c>
      <c r="CJ29" s="366">
        <v>0</v>
      </c>
      <c r="CK29" s="111">
        <f>-157.8-CJ29</f>
        <v>-157.80000000000001</v>
      </c>
      <c r="CL29" s="111">
        <f>-81-SUM(CJ29:CK29)</f>
        <v>76.800000000000011</v>
      </c>
      <c r="CM29" s="111">
        <f t="shared" si="37"/>
        <v>61.3</v>
      </c>
      <c r="CN29" s="125">
        <v>-19.7</v>
      </c>
      <c r="CO29" s="366">
        <v>0</v>
      </c>
      <c r="CP29" s="366">
        <v>0</v>
      </c>
      <c r="CQ29" s="495">
        <v>0</v>
      </c>
      <c r="CR29" s="366">
        <f t="shared" si="16"/>
        <v>76.3</v>
      </c>
      <c r="CS29" s="367">
        <v>76.3</v>
      </c>
      <c r="CT29" s="366">
        <v>38.799999999999997</v>
      </c>
      <c r="CU29" s="495">
        <f>-4.4-CT29</f>
        <v>-43.199999999999996</v>
      </c>
      <c r="CV29" s="495">
        <f>-10-CU29-CT29</f>
        <v>-5.6000000000000014</v>
      </c>
      <c r="CW29" s="722">
        <f>CX29-CV29-CU29-CT29</f>
        <v>14.600000000000001</v>
      </c>
      <c r="CX29" s="723">
        <v>4.5999999999999996</v>
      </c>
      <c r="CY29" s="366">
        <v>14.9</v>
      </c>
      <c r="CZ29" s="366">
        <f>0-CY29</f>
        <v>-14.9</v>
      </c>
      <c r="DA29" s="366">
        <f>23.1-CZ29-CY29</f>
        <v>23.1</v>
      </c>
      <c r="DB29" s="815">
        <f>DC29-DA29-CZ29-CY29</f>
        <v>26.4</v>
      </c>
      <c r="DC29" s="367">
        <v>49.5</v>
      </c>
      <c r="DD29" s="111">
        <v>-11.6</v>
      </c>
      <c r="DE29" s="366">
        <f>0-DD29</f>
        <v>11.6</v>
      </c>
      <c r="DF29" s="907">
        <f>0-DE29-DD29</f>
        <v>0</v>
      </c>
      <c r="DG29" s="815">
        <f>DH29-DF29-DE29-DD29</f>
        <v>0</v>
      </c>
      <c r="DH29" s="367">
        <v>0</v>
      </c>
      <c r="DI29" s="111">
        <v>12.6</v>
      </c>
      <c r="DJ29" s="111">
        <f>-211.6-DI29</f>
        <v>-224.2</v>
      </c>
      <c r="DK29" s="907">
        <f>-124.6-SUM(DI29:DJ29)</f>
        <v>87</v>
      </c>
      <c r="DL29" s="111">
        <f>-4.7-SUM(DI29:DK29)</f>
        <v>119.89999999999999</v>
      </c>
      <c r="DM29" s="125">
        <f t="shared" si="13"/>
        <v>-4.7000000000000028</v>
      </c>
      <c r="DN29" s="143">
        <f>BS!DM14-BS!DN14</f>
        <v>0</v>
      </c>
      <c r="DO29" s="143">
        <f>BS!DN14-BS!DO14</f>
        <v>0</v>
      </c>
      <c r="DP29" s="143">
        <f>BS!DO14-BS!DP14</f>
        <v>0</v>
      </c>
      <c r="DQ29" s="143">
        <f>BS!DP14-BS!DQ14</f>
        <v>0</v>
      </c>
      <c r="DR29" s="142">
        <f t="shared" si="14"/>
        <v>0</v>
      </c>
      <c r="DS29" s="143">
        <f>BS!DR14-BS!DS14</f>
        <v>0</v>
      </c>
      <c r="DT29" s="143">
        <f>BS!DS14-BS!DT14</f>
        <v>0</v>
      </c>
      <c r="DU29" s="143">
        <f>BS!DT14-BS!DU14</f>
        <v>0</v>
      </c>
      <c r="DV29" s="143">
        <f>BS!DU14-BS!DV14</f>
        <v>0</v>
      </c>
      <c r="DW29" s="142">
        <f t="shared" si="17"/>
        <v>0</v>
      </c>
      <c r="DX29" s="143">
        <f>BS!DW14-BS!DX14</f>
        <v>0</v>
      </c>
      <c r="DY29" s="143">
        <f>BS!DX14-BS!DY14</f>
        <v>0</v>
      </c>
      <c r="DZ29" s="143">
        <f>BS!DY14-BS!DZ14</f>
        <v>0</v>
      </c>
      <c r="EA29" s="143">
        <f>BS!DZ14-BS!EA14</f>
        <v>0</v>
      </c>
      <c r="EB29" s="142">
        <f t="shared" si="18"/>
        <v>0</v>
      </c>
      <c r="EE29" s="125"/>
      <c r="EF29" s="125"/>
      <c r="EG29" s="125"/>
      <c r="EH29" s="125"/>
      <c r="EI29" s="125"/>
      <c r="EJ29" s="125"/>
      <c r="EK29" s="125"/>
      <c r="EL29" s="125"/>
      <c r="EM29" s="125"/>
      <c r="EN29" s="125"/>
      <c r="EO29" s="125"/>
      <c r="EP29" s="125"/>
      <c r="EQ29" s="125"/>
      <c r="ER29" s="125"/>
      <c r="FC29"/>
      <c r="FD29"/>
      <c r="FE29"/>
      <c r="FF29"/>
      <c r="FG29"/>
      <c r="FH29"/>
      <c r="FI29" s="396"/>
      <c r="FJ29" s="419"/>
      <c r="FK29" s="419"/>
      <c r="FL29" s="419"/>
      <c r="FM29" s="419"/>
      <c r="FN29" s="419"/>
      <c r="FO29" s="419"/>
      <c r="FP29" s="419"/>
      <c r="FQ29" s="419"/>
      <c r="FR29" s="419"/>
      <c r="FS29" s="419"/>
      <c r="FT29" s="419"/>
      <c r="FU29" s="419"/>
      <c r="FV29" s="419"/>
      <c r="FW29" s="419"/>
      <c r="FX29" s="419"/>
      <c r="FY29" s="419"/>
      <c r="FZ29" s="419"/>
      <c r="GA29" s="419"/>
      <c r="GB29" s="419"/>
      <c r="GC29" s="419"/>
      <c r="GD29" s="419"/>
      <c r="GE29" s="419"/>
      <c r="GF29" s="419"/>
      <c r="GG29" s="419"/>
      <c r="GH29" s="419"/>
      <c r="GI29" s="419"/>
      <c r="GJ29" s="419"/>
      <c r="GK29" s="419"/>
      <c r="GL29" s="419"/>
      <c r="GM29" s="419"/>
      <c r="GN29" s="419"/>
      <c r="GO29" s="419"/>
      <c r="GP29" s="419"/>
      <c r="GQ29" s="419"/>
      <c r="GR29" s="419"/>
      <c r="GS29" s="419"/>
      <c r="GT29" s="419"/>
      <c r="GU29" s="419"/>
      <c r="GV29" s="419"/>
      <c r="GW29" s="418"/>
      <c r="GX29" s="418"/>
      <c r="GY29" s="418"/>
      <c r="GZ29" s="418"/>
      <c r="HA29" s="418"/>
      <c r="HB29" s="418"/>
      <c r="HC29" s="418"/>
      <c r="HD29" s="418"/>
      <c r="HE29" s="418"/>
      <c r="HF29" s="418"/>
      <c r="HG29" s="418"/>
      <c r="HH29" s="418"/>
      <c r="HI29" s="418"/>
      <c r="HJ29" s="418"/>
      <c r="HK29" s="418"/>
      <c r="HL29" s="418"/>
      <c r="HM29" s="418"/>
      <c r="HN29" s="418"/>
      <c r="HO29" s="418"/>
      <c r="HP29" s="418"/>
      <c r="HQ29" s="418"/>
      <c r="HR29" s="418"/>
      <c r="HS29" s="418"/>
      <c r="HT29" s="418"/>
      <c r="HU29" s="418"/>
      <c r="HV29" s="418"/>
      <c r="HW29" s="418"/>
      <c r="HX29" s="418"/>
      <c r="HY29" s="418"/>
      <c r="HZ29" s="418"/>
      <c r="IA29" s="418"/>
      <c r="IB29" s="418"/>
      <c r="IC29" s="418"/>
      <c r="ID29" s="418"/>
      <c r="IE29" s="418"/>
      <c r="IF29" s="418"/>
      <c r="IG29" s="418"/>
      <c r="IH29" s="418"/>
      <c r="II29" s="418"/>
      <c r="IJ29" s="418"/>
      <c r="IK29" s="418"/>
      <c r="IL29" s="418"/>
      <c r="IM29" s="418"/>
      <c r="IN29" s="418"/>
      <c r="IO29" s="418"/>
      <c r="IP29" s="418"/>
      <c r="IQ29" s="418"/>
      <c r="IR29" s="418"/>
      <c r="IS29" s="418"/>
      <c r="IT29" s="418"/>
      <c r="IU29" s="418"/>
      <c r="IV29" s="418"/>
    </row>
    <row r="30" spans="1:256" s="1" customFormat="1" hidden="1" outlineLevel="1" x14ac:dyDescent="0.2">
      <c r="A30" s="1" t="s">
        <v>458</v>
      </c>
      <c r="B30" s="125">
        <v>2.3889999999999998</v>
      </c>
      <c r="C30" s="111">
        <v>4.4960000000000004</v>
      </c>
      <c r="D30" s="111">
        <v>3.6349999999999998</v>
      </c>
      <c r="E30" s="111">
        <v>0.71299999999999997</v>
      </c>
      <c r="F30" s="111">
        <v>10.746</v>
      </c>
      <c r="G30" s="125">
        <v>19.59</v>
      </c>
      <c r="H30" s="111">
        <v>-8.1769999999999996</v>
      </c>
      <c r="I30" s="111">
        <v>-0.82299999999999995</v>
      </c>
      <c r="J30" s="111">
        <v>3.9620000000000002</v>
      </c>
      <c r="K30" s="111">
        <v>14.329000000000001</v>
      </c>
      <c r="L30" s="125">
        <v>9.2899999999999991</v>
      </c>
      <c r="M30" s="111">
        <v>-8.1039999999999992</v>
      </c>
      <c r="N30" s="111">
        <v>11.057</v>
      </c>
      <c r="O30" s="111">
        <v>8.2690000000000001</v>
      </c>
      <c r="P30" s="111">
        <v>-3.109</v>
      </c>
      <c r="Q30" s="125">
        <v>9.6</v>
      </c>
      <c r="R30" s="111">
        <v>13.7</v>
      </c>
      <c r="S30" s="111">
        <f>21.401-R30</f>
        <v>7.7010000000000005</v>
      </c>
      <c r="T30" s="111">
        <f>11.919-SUM(R30:S30)</f>
        <v>-9.4819999999999993</v>
      </c>
      <c r="U30" s="111">
        <f t="shared" si="23"/>
        <v>-7.3180000000000014</v>
      </c>
      <c r="V30" s="125">
        <v>4.601</v>
      </c>
      <c r="W30" s="111">
        <v>-1.6020000000000001</v>
      </c>
      <c r="X30" s="111">
        <f>1.523-W30</f>
        <v>3.125</v>
      </c>
      <c r="Y30" s="111">
        <f>12.653-X30-W30</f>
        <v>11.13</v>
      </c>
      <c r="Z30" s="111">
        <f t="shared" si="24"/>
        <v>-7.9420000000000002</v>
      </c>
      <c r="AA30" s="125">
        <v>4.7110000000000003</v>
      </c>
      <c r="AB30" s="111">
        <v>7.0069999999999997</v>
      </c>
      <c r="AC30" s="111">
        <f>8.14-AB30</f>
        <v>1.1330000000000009</v>
      </c>
      <c r="AD30" s="111">
        <f>17.4-AC30-AB30</f>
        <v>9.2599999999999962</v>
      </c>
      <c r="AE30" s="111">
        <f t="shared" si="25"/>
        <v>-1.8389999999999969</v>
      </c>
      <c r="AF30" s="125">
        <v>15.561</v>
      </c>
      <c r="AG30" s="111">
        <v>10.611000000000001</v>
      </c>
      <c r="AH30" s="111">
        <f>12.581-AG30</f>
        <v>1.9699999999999989</v>
      </c>
      <c r="AI30" s="111">
        <f>21.662-AH30-AG30</f>
        <v>9.0809999999999995</v>
      </c>
      <c r="AJ30" s="111">
        <f t="shared" si="26"/>
        <v>32.454999999999998</v>
      </c>
      <c r="AK30" s="125">
        <v>54.116999999999997</v>
      </c>
      <c r="AL30" s="111">
        <v>-42.965000000000003</v>
      </c>
      <c r="AM30" s="111">
        <f>-27.655-AL30</f>
        <v>15.310000000000002</v>
      </c>
      <c r="AN30" s="111">
        <f>-7.662-AM30-AL30</f>
        <v>19.993000000000002</v>
      </c>
      <c r="AO30" s="111">
        <f t="shared" si="27"/>
        <v>13.125</v>
      </c>
      <c r="AP30" s="125">
        <v>5.4630000000000001</v>
      </c>
      <c r="AQ30" s="111">
        <v>-12.439</v>
      </c>
      <c r="AR30" s="111">
        <f>6.997-AQ30</f>
        <v>19.436</v>
      </c>
      <c r="AS30" s="111">
        <f>40.248-AR30-AQ30</f>
        <v>33.250999999999998</v>
      </c>
      <c r="AT30" s="111">
        <f t="shared" si="28"/>
        <v>-15.257999999999999</v>
      </c>
      <c r="AU30" s="125">
        <v>24.99</v>
      </c>
      <c r="AV30" s="111">
        <v>-25.835000000000001</v>
      </c>
      <c r="AW30" s="111">
        <f>0-AV30</f>
        <v>25.835000000000001</v>
      </c>
      <c r="AX30" s="111">
        <f>-28.617-AW30-AV30</f>
        <v>-28.616999999999997</v>
      </c>
      <c r="AY30" s="111">
        <f t="shared" si="29"/>
        <v>56.564999999999998</v>
      </c>
      <c r="AZ30" s="125">
        <v>27.948</v>
      </c>
      <c r="BA30" s="111">
        <v>-41.558999999999997</v>
      </c>
      <c r="BB30" s="111">
        <f>-20.35-BA30</f>
        <v>21.208999999999996</v>
      </c>
      <c r="BC30" s="111">
        <f>-16.44-(SUM(BA30:BB30))</f>
        <v>3.91</v>
      </c>
      <c r="BD30" s="111">
        <f t="shared" si="30"/>
        <v>26.157000000000004</v>
      </c>
      <c r="BE30" s="125">
        <v>9.7170000000000005</v>
      </c>
      <c r="BF30" s="111">
        <v>-8.18</v>
      </c>
      <c r="BG30" s="111">
        <f>8.27-BF30</f>
        <v>16.45</v>
      </c>
      <c r="BH30" s="111">
        <f>27.549-BG30-BF30</f>
        <v>19.279</v>
      </c>
      <c r="BI30" s="111">
        <f t="shared" si="31"/>
        <v>77.417000000000002</v>
      </c>
      <c r="BJ30" s="125">
        <v>104.96599999999999</v>
      </c>
      <c r="BK30" s="111">
        <v>-64.241</v>
      </c>
      <c r="BL30" s="111">
        <f>-60.498-BK30</f>
        <v>3.7430000000000021</v>
      </c>
      <c r="BM30" s="111">
        <f>-30.944-BL30-BK30</f>
        <v>29.554000000000002</v>
      </c>
      <c r="BN30" s="111">
        <f t="shared" si="32"/>
        <v>67.012</v>
      </c>
      <c r="BO30" s="125">
        <v>36.067999999999998</v>
      </c>
      <c r="BP30" s="111">
        <v>-42.6</v>
      </c>
      <c r="BQ30" s="111">
        <f>-70-BP30</f>
        <v>-27.4</v>
      </c>
      <c r="BR30" s="111">
        <f>-55.4-BQ30-BP30</f>
        <v>14.600000000000001</v>
      </c>
      <c r="BS30" s="111">
        <f t="shared" si="33"/>
        <v>-8.5</v>
      </c>
      <c r="BT30" s="125">
        <v>-63.9</v>
      </c>
      <c r="BU30" s="111">
        <v>-41.8</v>
      </c>
      <c r="BV30" s="111">
        <f>-47.3-BU30</f>
        <v>-5.5</v>
      </c>
      <c r="BW30" s="111">
        <f>-60.4-BV30-BU30</f>
        <v>-13.100000000000001</v>
      </c>
      <c r="BX30" s="111">
        <f t="shared" si="34"/>
        <v>7.3999999999999986</v>
      </c>
      <c r="BY30" s="125">
        <v>-53</v>
      </c>
      <c r="BZ30" s="111">
        <v>-43.8</v>
      </c>
      <c r="CA30" s="111">
        <f>3.3-BZ30</f>
        <v>47.099999999999994</v>
      </c>
      <c r="CB30" s="111">
        <f>1.3-CA30-BZ30</f>
        <v>-2</v>
      </c>
      <c r="CC30" s="111">
        <f t="shared" si="35"/>
        <v>-4.8999999999999986</v>
      </c>
      <c r="CD30" s="125">
        <v>-3.6</v>
      </c>
      <c r="CE30" s="111">
        <v>15.4</v>
      </c>
      <c r="CF30" s="111">
        <f>46.1-CE30</f>
        <v>30.700000000000003</v>
      </c>
      <c r="CG30" s="111">
        <f>55.5-CF30-CE30</f>
        <v>9.3999999999999968</v>
      </c>
      <c r="CH30" s="111">
        <f t="shared" si="36"/>
        <v>171.99999999999997</v>
      </c>
      <c r="CI30" s="125">
        <v>227.5</v>
      </c>
      <c r="CJ30" s="111">
        <v>-178.2</v>
      </c>
      <c r="CK30" s="111">
        <f>-159.3-CJ30</f>
        <v>18.899999999999977</v>
      </c>
      <c r="CL30" s="111">
        <f>-139.1-SUM(CJ30:CK30)</f>
        <v>20.200000000000017</v>
      </c>
      <c r="CM30" s="111">
        <f t="shared" si="37"/>
        <v>3.0999999999999943</v>
      </c>
      <c r="CN30" s="125">
        <v>-136</v>
      </c>
      <c r="CO30" s="111">
        <v>-9.6</v>
      </c>
      <c r="CP30" s="111">
        <f>-37.2-CO30</f>
        <v>-27.6</v>
      </c>
      <c r="CQ30" s="117">
        <f>20.8-SUM(CO30:CP30)</f>
        <v>58</v>
      </c>
      <c r="CR30" s="111">
        <f t="shared" si="16"/>
        <v>67.900000000000006</v>
      </c>
      <c r="CS30" s="125">
        <v>88.7</v>
      </c>
      <c r="CT30" s="111">
        <v>-41.8</v>
      </c>
      <c r="CU30" s="117">
        <f>-9.6-CT30</f>
        <v>32.199999999999996</v>
      </c>
      <c r="CV30" s="117">
        <f>-3.1-CU30-CT30</f>
        <v>6.5</v>
      </c>
      <c r="CW30" s="722">
        <f>CX30-CV30-CU30-CT30</f>
        <v>63.5</v>
      </c>
      <c r="CX30" s="719">
        <v>60.4</v>
      </c>
      <c r="CY30" s="111">
        <v>-20.8</v>
      </c>
      <c r="CZ30" s="111">
        <f>48.2-CY30</f>
        <v>69</v>
      </c>
      <c r="DA30" s="111">
        <f>53.7-CZ30-CY30</f>
        <v>5.5000000000000036</v>
      </c>
      <c r="DB30" s="815">
        <f>DC30-DA30-CZ30-CY30</f>
        <v>83.999999999999986</v>
      </c>
      <c r="DC30" s="125">
        <v>137.69999999999999</v>
      </c>
      <c r="DD30" s="111">
        <v>-28.2</v>
      </c>
      <c r="DE30" s="111">
        <f>-17.2-DD30</f>
        <v>11</v>
      </c>
      <c r="DF30" s="111">
        <f>-3.7-DE30-DD30</f>
        <v>13.5</v>
      </c>
      <c r="DG30" s="815">
        <f>DH30-DF30-DE30-DD30</f>
        <v>50.599999999999994</v>
      </c>
      <c r="DH30" s="125">
        <v>46.9</v>
      </c>
      <c r="DI30" s="111">
        <v>-34.700000000000003</v>
      </c>
      <c r="DJ30" s="111">
        <f>-21.5-DI30</f>
        <v>13.200000000000003</v>
      </c>
      <c r="DK30" s="111">
        <f>-18.3-SUM(DI30:DJ30)</f>
        <v>3.1999999999999993</v>
      </c>
      <c r="DL30" s="111">
        <f>46.4-SUM(DI30:DK30)</f>
        <v>64.7</v>
      </c>
      <c r="DM30" s="125">
        <f t="shared" si="13"/>
        <v>46.400000000000006</v>
      </c>
      <c r="DN30" s="143">
        <f>BS!DN30-BS!DM30</f>
        <v>-59.985294117646959</v>
      </c>
      <c r="DO30" s="143">
        <f>BS!DO30-BS!DN30</f>
        <v>64.832665301151451</v>
      </c>
      <c r="DP30" s="143">
        <f>BS!DP30-BS!DO30</f>
        <v>12.478550246904547</v>
      </c>
      <c r="DQ30" s="143">
        <f>BS!DQ30-BS!DP30</f>
        <v>45.328565611774366</v>
      </c>
      <c r="DR30" s="142">
        <f t="shared" si="14"/>
        <v>62.654487042183405</v>
      </c>
      <c r="DS30" s="143">
        <f>BS!DS30-BS!DR30</f>
        <v>-52.126529618702875</v>
      </c>
      <c r="DT30" s="143">
        <f>BS!DT30-BS!DS30</f>
        <v>57.031620340963741</v>
      </c>
      <c r="DU30" s="143">
        <f>BS!DU30-BS!DT30</f>
        <v>15.361371446620751</v>
      </c>
      <c r="DV30" s="143">
        <f>BS!DV30-BS!DU30</f>
        <v>50.516065933343953</v>
      </c>
      <c r="DW30" s="142">
        <f t="shared" si="17"/>
        <v>70.782528102225569</v>
      </c>
      <c r="DX30" s="143">
        <f>BS!DX30-BS!DW30</f>
        <v>-55.270749557388172</v>
      </c>
      <c r="DY30" s="143">
        <f>BS!DY30-BS!DX30</f>
        <v>62.624410834401715</v>
      </c>
      <c r="DZ30" s="143">
        <f>BS!DZ30-BS!DY30</f>
        <v>15.967675777650356</v>
      </c>
      <c r="EA30" s="143">
        <f>BS!EA30-BS!DZ30</f>
        <v>54.086777123119759</v>
      </c>
      <c r="EB30" s="142">
        <f t="shared" si="18"/>
        <v>77.408114177783659</v>
      </c>
      <c r="EE30" s="125"/>
      <c r="EF30" s="125"/>
      <c r="EG30" s="125"/>
      <c r="EH30" s="125"/>
      <c r="EI30" s="125"/>
      <c r="EJ30" s="125"/>
      <c r="EK30" s="125"/>
      <c r="EL30" s="125"/>
      <c r="EM30" s="125"/>
      <c r="EN30" s="125"/>
      <c r="EO30" s="125"/>
      <c r="EP30" s="125"/>
      <c r="EQ30" s="125"/>
      <c r="ER30" s="125"/>
      <c r="FC30"/>
      <c r="FD30"/>
      <c r="FE30"/>
      <c r="FF30"/>
      <c r="FG30"/>
      <c r="FH30"/>
      <c r="FI30" s="396"/>
      <c r="FJ30" s="419"/>
      <c r="FK30" s="419"/>
      <c r="FL30" s="419"/>
      <c r="FM30" s="419"/>
      <c r="FN30" s="419"/>
      <c r="FO30" s="419"/>
      <c r="FP30" s="419"/>
      <c r="FQ30" s="419"/>
      <c r="FR30" s="419"/>
      <c r="FS30" s="419"/>
      <c r="FT30" s="419"/>
      <c r="FU30" s="419"/>
      <c r="FV30" s="419"/>
      <c r="FW30" s="419"/>
      <c r="FX30" s="419"/>
      <c r="FY30" s="419"/>
      <c r="FZ30" s="419"/>
      <c r="GA30" s="419"/>
      <c r="GB30" s="419"/>
      <c r="GC30" s="419"/>
      <c r="GD30" s="419"/>
      <c r="GE30" s="419"/>
      <c r="GF30" s="419"/>
      <c r="GG30" s="419"/>
      <c r="GH30" s="419"/>
      <c r="GI30" s="419"/>
      <c r="GJ30" s="419"/>
      <c r="GK30" s="419"/>
      <c r="GL30" s="419"/>
      <c r="GM30" s="419"/>
      <c r="GN30" s="419"/>
      <c r="GO30" s="419"/>
      <c r="GP30" s="419"/>
      <c r="GQ30" s="419"/>
      <c r="GR30" s="419"/>
      <c r="GS30" s="419"/>
      <c r="GT30" s="419"/>
      <c r="GU30" s="419"/>
      <c r="GV30" s="419"/>
      <c r="GW30" s="418"/>
      <c r="GX30" s="418"/>
      <c r="GY30" s="418"/>
      <c r="GZ30" s="418"/>
      <c r="HA30" s="418"/>
      <c r="HB30" s="418"/>
      <c r="HC30" s="418"/>
      <c r="HD30" s="418"/>
      <c r="HE30" s="418"/>
      <c r="HF30" s="418"/>
      <c r="HG30" s="418"/>
      <c r="HH30" s="418"/>
      <c r="HI30" s="418"/>
      <c r="HJ30" s="418"/>
      <c r="HK30" s="418"/>
      <c r="HL30" s="418"/>
      <c r="HM30" s="418"/>
      <c r="HN30" s="418"/>
      <c r="HO30" s="418"/>
      <c r="HP30" s="418"/>
      <c r="HQ30" s="418"/>
      <c r="HR30" s="418"/>
      <c r="HS30" s="418"/>
      <c r="HT30" s="418"/>
      <c r="HU30" s="418"/>
      <c r="HV30" s="418"/>
      <c r="HW30" s="418"/>
      <c r="HX30" s="418"/>
      <c r="HY30" s="418"/>
      <c r="HZ30" s="418"/>
      <c r="IA30" s="418"/>
      <c r="IB30" s="418"/>
      <c r="IC30" s="418"/>
      <c r="ID30" s="418"/>
      <c r="IE30" s="418"/>
      <c r="IF30" s="418"/>
      <c r="IG30" s="418"/>
      <c r="IH30" s="418"/>
      <c r="II30" s="418"/>
      <c r="IJ30" s="418"/>
      <c r="IK30" s="418"/>
      <c r="IL30" s="418"/>
      <c r="IM30" s="418"/>
      <c r="IN30" s="418"/>
      <c r="IO30" s="418"/>
      <c r="IP30" s="418"/>
      <c r="IQ30" s="418"/>
      <c r="IR30" s="418"/>
      <c r="IS30" s="418"/>
      <c r="IT30" s="418"/>
      <c r="IU30" s="418"/>
      <c r="IV30" s="418"/>
    </row>
    <row r="31" spans="1:256" s="1" customFormat="1" hidden="1" outlineLevel="1" x14ac:dyDescent="0.2">
      <c r="A31" s="1" t="s">
        <v>457</v>
      </c>
      <c r="B31" s="125">
        <v>2.9</v>
      </c>
      <c r="C31" s="111">
        <v>-1.091</v>
      </c>
      <c r="D31" s="111">
        <v>2.6280000000000001</v>
      </c>
      <c r="E31" s="111">
        <v>1.5229999999999999</v>
      </c>
      <c r="F31" s="111">
        <v>0.65700000000000003</v>
      </c>
      <c r="G31" s="125">
        <v>3.71</v>
      </c>
      <c r="H31" s="111">
        <v>-3.0760000000000001</v>
      </c>
      <c r="I31" s="111">
        <v>0.88300000000000001</v>
      </c>
      <c r="J31" s="111">
        <v>2.0129999999999999</v>
      </c>
      <c r="K31" s="111">
        <v>2.3879999999999999</v>
      </c>
      <c r="L31" s="125">
        <v>2.2000000000000002</v>
      </c>
      <c r="M31" s="111">
        <v>0.755</v>
      </c>
      <c r="N31" s="111">
        <v>3.4449999999999998</v>
      </c>
      <c r="O31" s="111">
        <v>0.502</v>
      </c>
      <c r="P31" s="111">
        <v>14.752000000000001</v>
      </c>
      <c r="Q31" s="125">
        <v>19.5</v>
      </c>
      <c r="R31" s="111">
        <v>1.29</v>
      </c>
      <c r="S31" s="111">
        <f>4.636+2.666-4.288-R31</f>
        <v>1.7239999999999993</v>
      </c>
      <c r="T31" s="111">
        <f>8.953+3.899+5.709-SUM(R31:S31)</f>
        <v>15.547000000000001</v>
      </c>
      <c r="U31" s="111">
        <f t="shared" si="23"/>
        <v>5.695999999999998</v>
      </c>
      <c r="V31" s="125">
        <f>9.943+5.342+8.972</f>
        <v>24.256999999999998</v>
      </c>
      <c r="W31" s="111">
        <f>12.596+1.83+0.252</f>
        <v>14.678000000000001</v>
      </c>
      <c r="X31" s="111">
        <f>4.75+2.342-6.556-W31</f>
        <v>-14.141999999999999</v>
      </c>
      <c r="Y31" s="111">
        <f>(9.688+3.909+6.156+7.553)-X31-W31</f>
        <v>26.77</v>
      </c>
      <c r="Z31" s="111">
        <f t="shared" si="24"/>
        <v>8.539000000000005</v>
      </c>
      <c r="AA31" s="125">
        <f>7.586+5.517+12.429+10.313</f>
        <v>35.845000000000006</v>
      </c>
      <c r="AB31" s="111">
        <v>7.3810000000000002</v>
      </c>
      <c r="AC31" s="111">
        <f>18.301-AB31</f>
        <v>10.919999999999998</v>
      </c>
      <c r="AD31" s="111">
        <f>28.917-AB31-AC31</f>
        <v>10.616000000000003</v>
      </c>
      <c r="AE31" s="111">
        <f t="shared" si="25"/>
        <v>2.0449999999999982</v>
      </c>
      <c r="AF31" s="125">
        <v>30.962</v>
      </c>
      <c r="AG31" s="111">
        <v>6.7850000000000001</v>
      </c>
      <c r="AH31" s="111">
        <f>13.27-AG31</f>
        <v>6.4849999999999994</v>
      </c>
      <c r="AI31" s="111">
        <f>19.627-AH31-AG31</f>
        <v>6.3569999999999993</v>
      </c>
      <c r="AJ31" s="111">
        <f t="shared" si="26"/>
        <v>-7.5289999999999981</v>
      </c>
      <c r="AK31" s="125">
        <v>12.098000000000001</v>
      </c>
      <c r="AL31" s="111">
        <v>4.5090000000000003</v>
      </c>
      <c r="AM31" s="111">
        <f>10.071-AL31</f>
        <v>5.5619999999999994</v>
      </c>
      <c r="AN31" s="111">
        <f>25.628-AM31-AL31</f>
        <v>15.557000000000002</v>
      </c>
      <c r="AO31" s="111">
        <f t="shared" si="27"/>
        <v>-1.5410000000000021</v>
      </c>
      <c r="AP31" s="125">
        <v>24.087</v>
      </c>
      <c r="AQ31" s="111">
        <v>0</v>
      </c>
      <c r="AR31" s="111">
        <v>0</v>
      </c>
      <c r="AS31" s="111">
        <f>28.638-AR31-AQ31</f>
        <v>28.638000000000002</v>
      </c>
      <c r="AT31" s="111">
        <f t="shared" si="28"/>
        <v>13.493999999999996</v>
      </c>
      <c r="AU31" s="125">
        <v>42.131999999999998</v>
      </c>
      <c r="AV31" s="111">
        <v>0</v>
      </c>
      <c r="AW31" s="111">
        <f>32.093-AV31</f>
        <v>32.093000000000004</v>
      </c>
      <c r="AX31" s="111">
        <f>45.185-AW31-AV31</f>
        <v>13.091999999999999</v>
      </c>
      <c r="AY31" s="111">
        <f t="shared" si="29"/>
        <v>9.7439999999999998</v>
      </c>
      <c r="AZ31" s="125">
        <v>54.929000000000002</v>
      </c>
      <c r="BA31" s="111">
        <v>0</v>
      </c>
      <c r="BB31" s="111">
        <f>-5.488-BA31</f>
        <v>-5.4880000000000004</v>
      </c>
      <c r="BC31" s="111">
        <f>7.393-(SUM(BA31:BB31))</f>
        <v>12.881</v>
      </c>
      <c r="BD31" s="111">
        <f t="shared" si="30"/>
        <v>15.317999999999998</v>
      </c>
      <c r="BE31" s="125">
        <v>22.710999999999999</v>
      </c>
      <c r="BF31" s="111">
        <v>0</v>
      </c>
      <c r="BG31" s="111">
        <f>50.099-BF31</f>
        <v>50.098999999999997</v>
      </c>
      <c r="BH31" s="111">
        <f>58.535-BG31-BF31</f>
        <v>8.4359999999999999</v>
      </c>
      <c r="BI31" s="111">
        <f t="shared" si="31"/>
        <v>-4.1109999999999971</v>
      </c>
      <c r="BJ31" s="125">
        <v>54.423999999999999</v>
      </c>
      <c r="BK31" s="111">
        <v>0</v>
      </c>
      <c r="BL31" s="111">
        <f>10.161-BK31</f>
        <v>10.161</v>
      </c>
      <c r="BM31" s="111">
        <f>32.374-BL31-BK31</f>
        <v>22.213000000000001</v>
      </c>
      <c r="BN31" s="111">
        <f t="shared" si="32"/>
        <v>6.2539999999999996</v>
      </c>
      <c r="BO31" s="125">
        <v>38.628</v>
      </c>
      <c r="BP31" s="111">
        <v>0</v>
      </c>
      <c r="BQ31" s="111">
        <v>0</v>
      </c>
      <c r="BR31" s="111">
        <v>0</v>
      </c>
      <c r="BS31" s="111">
        <f t="shared" si="33"/>
        <v>0</v>
      </c>
      <c r="BT31" s="125">
        <v>0</v>
      </c>
      <c r="BU31" s="111">
        <v>0</v>
      </c>
      <c r="BV31" s="111">
        <v>0</v>
      </c>
      <c r="BW31" s="111">
        <v>0</v>
      </c>
      <c r="BX31" s="111">
        <f t="shared" si="34"/>
        <v>0</v>
      </c>
      <c r="BY31" s="125">
        <v>0</v>
      </c>
      <c r="BZ31" s="111">
        <v>0</v>
      </c>
      <c r="CA31" s="111">
        <v>0</v>
      </c>
      <c r="CB31" s="111">
        <v>0</v>
      </c>
      <c r="CC31" s="111">
        <f t="shared" si="35"/>
        <v>0</v>
      </c>
      <c r="CD31" s="367">
        <v>0</v>
      </c>
      <c r="CE31" s="366">
        <v>0</v>
      </c>
      <c r="CF31" s="366">
        <v>0</v>
      </c>
      <c r="CG31" s="366">
        <v>0</v>
      </c>
      <c r="CH31" s="366">
        <f t="shared" si="36"/>
        <v>0</v>
      </c>
      <c r="CI31" s="367">
        <v>0</v>
      </c>
      <c r="CJ31" s="366">
        <v>0</v>
      </c>
      <c r="CK31" s="366">
        <v>0</v>
      </c>
      <c r="CL31" s="366">
        <v>0</v>
      </c>
      <c r="CM31" s="366">
        <f t="shared" si="37"/>
        <v>0</v>
      </c>
      <c r="CN31" s="367">
        <v>0</v>
      </c>
      <c r="CO31" s="366">
        <v>0</v>
      </c>
      <c r="CP31" s="366">
        <v>0</v>
      </c>
      <c r="CQ31" s="371">
        <v>0</v>
      </c>
      <c r="CR31" s="397">
        <f t="shared" si="16"/>
        <v>0</v>
      </c>
      <c r="CS31" s="436">
        <v>0</v>
      </c>
      <c r="CT31" s="397">
        <f>BS!CT32-BS!CS32</f>
        <v>0</v>
      </c>
      <c r="CU31" s="371">
        <f>BS!CU32-BS!CT32</f>
        <v>0</v>
      </c>
      <c r="CV31" s="371">
        <f>BS!CV32-BS!CU32</f>
        <v>0</v>
      </c>
      <c r="CW31" s="724">
        <f>BS!CW32-BS!CV32</f>
        <v>0</v>
      </c>
      <c r="CX31" s="725">
        <f>SUM(CT31:CW31)</f>
        <v>0</v>
      </c>
      <c r="CY31" s="397">
        <v>0</v>
      </c>
      <c r="CZ31" s="397">
        <v>0</v>
      </c>
      <c r="DA31" s="397">
        <v>0</v>
      </c>
      <c r="DB31" s="825">
        <v>0</v>
      </c>
      <c r="DC31" s="436">
        <f t="shared" ref="DC31:DC32" si="38">SUM(CY31:DB31)</f>
        <v>0</v>
      </c>
      <c r="DD31" s="397">
        <v>0</v>
      </c>
      <c r="DE31" s="397">
        <v>0</v>
      </c>
      <c r="DF31" s="397">
        <v>0</v>
      </c>
      <c r="DG31" s="825">
        <v>0</v>
      </c>
      <c r="DH31" s="436">
        <v>0</v>
      </c>
      <c r="DI31" s="397">
        <v>0</v>
      </c>
      <c r="DJ31" s="397">
        <v>0</v>
      </c>
      <c r="DK31" s="397">
        <v>0</v>
      </c>
      <c r="DL31" s="111">
        <v>0</v>
      </c>
      <c r="DM31" s="125">
        <f t="shared" si="13"/>
        <v>0</v>
      </c>
      <c r="DN31" s="143">
        <f>BS!DN32-BS!DM32</f>
        <v>0</v>
      </c>
      <c r="DO31" s="143">
        <f>BS!DO32-BS!DN32</f>
        <v>0</v>
      </c>
      <c r="DP31" s="143">
        <f>BS!DP32-BS!DO32</f>
        <v>0</v>
      </c>
      <c r="DQ31" s="143">
        <f>BS!DQ32-BS!DP32</f>
        <v>0</v>
      </c>
      <c r="DR31" s="142">
        <f t="shared" si="14"/>
        <v>0</v>
      </c>
      <c r="DS31" s="143">
        <f>BS!DS32-BS!DR32</f>
        <v>0</v>
      </c>
      <c r="DT31" s="143">
        <f>BS!DT32-BS!DS32</f>
        <v>0</v>
      </c>
      <c r="DU31" s="143">
        <f>BS!DU32-BS!DT32</f>
        <v>0</v>
      </c>
      <c r="DV31" s="143">
        <f>BS!DV32-BS!DU32</f>
        <v>0</v>
      </c>
      <c r="DW31" s="142">
        <f t="shared" si="17"/>
        <v>0</v>
      </c>
      <c r="DX31" s="143">
        <f>BS!DX32-BS!DW32</f>
        <v>0</v>
      </c>
      <c r="DY31" s="143">
        <f>BS!DY32-BS!DX32</f>
        <v>0</v>
      </c>
      <c r="DZ31" s="143">
        <f>BS!DZ32-BS!DY32</f>
        <v>0</v>
      </c>
      <c r="EA31" s="143">
        <f>BS!EA32-BS!DZ32</f>
        <v>0</v>
      </c>
      <c r="EB31" s="142">
        <f t="shared" si="18"/>
        <v>0</v>
      </c>
      <c r="EE31" s="125"/>
      <c r="EF31" s="125"/>
      <c r="EG31" s="125"/>
      <c r="EH31" s="125"/>
      <c r="EI31" s="125"/>
      <c r="EJ31" s="125"/>
      <c r="EK31" s="125"/>
      <c r="EL31" s="125"/>
      <c r="EM31" s="125"/>
      <c r="EN31" s="125"/>
      <c r="EO31" s="125"/>
      <c r="EP31" s="125"/>
      <c r="EQ31" s="125"/>
      <c r="ER31" s="125"/>
      <c r="FC31"/>
      <c r="FD31"/>
      <c r="FE31"/>
      <c r="FF31"/>
      <c r="FG31"/>
      <c r="FH31"/>
      <c r="FI31" s="396"/>
      <c r="FJ31" s="419"/>
      <c r="FK31" s="419"/>
      <c r="FL31" s="419"/>
      <c r="FM31" s="419"/>
      <c r="FN31" s="419"/>
      <c r="FO31" s="419"/>
      <c r="FP31" s="419"/>
      <c r="FQ31" s="419"/>
      <c r="FR31" s="419"/>
      <c r="FS31" s="419"/>
      <c r="FT31" s="419"/>
      <c r="FU31" s="419"/>
      <c r="FV31" s="419"/>
      <c r="FW31" s="419"/>
      <c r="FX31" s="419"/>
      <c r="FY31" s="419"/>
      <c r="FZ31" s="419"/>
      <c r="GA31" s="419"/>
      <c r="GB31" s="419"/>
      <c r="GC31" s="419"/>
      <c r="GD31" s="419"/>
      <c r="GE31" s="419"/>
      <c r="GF31" s="419"/>
      <c r="GG31" s="419"/>
      <c r="GH31" s="419"/>
      <c r="GI31" s="419"/>
      <c r="GJ31" s="419"/>
      <c r="GK31" s="419"/>
      <c r="GL31" s="419"/>
      <c r="GM31" s="419"/>
      <c r="GN31" s="419"/>
      <c r="GO31" s="419"/>
      <c r="GP31" s="419"/>
      <c r="GQ31" s="419"/>
      <c r="GR31" s="419"/>
      <c r="GS31" s="419"/>
      <c r="GT31" s="419"/>
      <c r="GU31" s="419"/>
      <c r="GV31" s="419"/>
      <c r="GW31" s="418"/>
      <c r="GX31" s="418"/>
      <c r="GY31" s="418"/>
      <c r="GZ31" s="418"/>
      <c r="HA31" s="418"/>
      <c r="HB31" s="418"/>
      <c r="HC31" s="418"/>
      <c r="HD31" s="418"/>
      <c r="HE31" s="418"/>
      <c r="HF31" s="418"/>
      <c r="HG31" s="418"/>
      <c r="HH31" s="418"/>
      <c r="HI31" s="418"/>
      <c r="HJ31" s="418"/>
      <c r="HK31" s="418"/>
      <c r="HL31" s="418"/>
      <c r="HM31" s="418"/>
      <c r="HN31" s="418"/>
      <c r="HO31" s="418"/>
      <c r="HP31" s="418"/>
      <c r="HQ31" s="418"/>
      <c r="HR31" s="418"/>
      <c r="HS31" s="418"/>
      <c r="HT31" s="418"/>
      <c r="HU31" s="418"/>
      <c r="HV31" s="418"/>
      <c r="HW31" s="418"/>
      <c r="HX31" s="418"/>
      <c r="HY31" s="418"/>
      <c r="HZ31" s="418"/>
      <c r="IA31" s="418"/>
      <c r="IB31" s="418"/>
      <c r="IC31" s="418"/>
      <c r="ID31" s="418"/>
      <c r="IE31" s="418"/>
      <c r="IF31" s="418"/>
      <c r="IG31" s="418"/>
      <c r="IH31" s="418"/>
      <c r="II31" s="418"/>
      <c r="IJ31" s="418"/>
      <c r="IK31" s="418"/>
      <c r="IL31" s="418"/>
      <c r="IM31" s="418"/>
      <c r="IN31" s="418"/>
      <c r="IO31" s="418"/>
      <c r="IP31" s="418"/>
      <c r="IQ31" s="418"/>
      <c r="IR31" s="418"/>
      <c r="IS31" s="418"/>
      <c r="IT31" s="418"/>
      <c r="IU31" s="418"/>
      <c r="IV31" s="418"/>
    </row>
    <row r="32" spans="1:256" s="1" customFormat="1" hidden="1" outlineLevel="1" x14ac:dyDescent="0.2">
      <c r="A32" s="1" t="s">
        <v>456</v>
      </c>
      <c r="B32" s="125">
        <v>3.41</v>
      </c>
      <c r="C32" s="111">
        <v>7.9960000000000004</v>
      </c>
      <c r="D32" s="111">
        <v>-1.4119999999999999</v>
      </c>
      <c r="E32" s="111">
        <v>6.8170000000000002</v>
      </c>
      <c r="F32" s="111">
        <v>-7.5549999999999997</v>
      </c>
      <c r="G32" s="125">
        <v>5.84</v>
      </c>
      <c r="H32" s="111">
        <v>9.2230000000000008</v>
      </c>
      <c r="I32" s="111">
        <v>-2.4020000000000001</v>
      </c>
      <c r="J32" s="111">
        <v>-6.8209999999999997</v>
      </c>
      <c r="K32" s="111">
        <v>15.412000000000001</v>
      </c>
      <c r="L32" s="125">
        <v>15.4</v>
      </c>
      <c r="M32" s="111">
        <v>1.901</v>
      </c>
      <c r="N32" s="111">
        <v>-1.702</v>
      </c>
      <c r="O32" s="111">
        <v>2.0449999999999999</v>
      </c>
      <c r="P32" s="111">
        <v>-2.2440000000000002</v>
      </c>
      <c r="Q32" s="125">
        <v>0</v>
      </c>
      <c r="R32" s="111">
        <v>4.5</v>
      </c>
      <c r="S32" s="111">
        <f>-R32</f>
        <v>-4.5</v>
      </c>
      <c r="T32" s="111"/>
      <c r="U32" s="111"/>
      <c r="V32" s="125"/>
      <c r="W32" s="111">
        <v>0</v>
      </c>
      <c r="X32" s="111">
        <v>0</v>
      </c>
      <c r="Y32" s="111">
        <f>0.4+0.228-X32-W32</f>
        <v>0.628</v>
      </c>
      <c r="Z32" s="111">
        <f t="shared" si="24"/>
        <v>-0.628</v>
      </c>
      <c r="AA32" s="125">
        <v>0</v>
      </c>
      <c r="AB32" s="111">
        <v>2.625</v>
      </c>
      <c r="AC32" s="111">
        <f>2.984-AB32</f>
        <v>0.35899999999999999</v>
      </c>
      <c r="AD32" s="111">
        <f>4.421-AB32-AC32</f>
        <v>1.4370000000000003</v>
      </c>
      <c r="AE32" s="111">
        <f t="shared" si="25"/>
        <v>1.5859999999999994</v>
      </c>
      <c r="AF32" s="125">
        <v>6.0069999999999997</v>
      </c>
      <c r="AG32" s="111">
        <v>1.899</v>
      </c>
      <c r="AH32" s="111">
        <f>3.46-AG32</f>
        <v>1.5609999999999999</v>
      </c>
      <c r="AI32" s="111">
        <f>5.144-AH32-AG32</f>
        <v>1.6840000000000002</v>
      </c>
      <c r="AJ32" s="111">
        <f t="shared" si="26"/>
        <v>1.6529999999999996</v>
      </c>
      <c r="AK32" s="125">
        <v>6.7969999999999997</v>
      </c>
      <c r="AL32" s="111">
        <v>1.149</v>
      </c>
      <c r="AM32" s="111">
        <f>6.22-AL32</f>
        <v>5.0709999999999997</v>
      </c>
      <c r="AN32" s="111">
        <f>6.615-AM32-AL32</f>
        <v>0.39500000000000046</v>
      </c>
      <c r="AO32" s="111">
        <f t="shared" si="27"/>
        <v>8.7280000000000015</v>
      </c>
      <c r="AP32" s="125">
        <v>15.343</v>
      </c>
      <c r="AQ32" s="111">
        <v>0</v>
      </c>
      <c r="AR32" s="111">
        <v>0</v>
      </c>
      <c r="AS32" s="111">
        <f>2.39-AR32-AQ32</f>
        <v>2.39</v>
      </c>
      <c r="AT32" s="111">
        <f t="shared" si="28"/>
        <v>1.903</v>
      </c>
      <c r="AU32" s="125">
        <v>4.2930000000000001</v>
      </c>
      <c r="AV32" s="111">
        <v>0</v>
      </c>
      <c r="AW32" s="111">
        <v>0</v>
      </c>
      <c r="AX32" s="111">
        <v>0</v>
      </c>
      <c r="AY32" s="111">
        <f t="shared" si="29"/>
        <v>0</v>
      </c>
      <c r="AZ32" s="125">
        <v>0</v>
      </c>
      <c r="BA32" s="111">
        <v>0</v>
      </c>
      <c r="BB32" s="111">
        <v>0</v>
      </c>
      <c r="BC32" s="111">
        <v>0</v>
      </c>
      <c r="BD32" s="111">
        <f t="shared" si="30"/>
        <v>0</v>
      </c>
      <c r="BE32" s="125">
        <v>0</v>
      </c>
      <c r="BF32" s="111">
        <v>0</v>
      </c>
      <c r="BG32" s="111">
        <v>0</v>
      </c>
      <c r="BH32" s="111">
        <v>0</v>
      </c>
      <c r="BI32" s="111">
        <f t="shared" si="31"/>
        <v>0</v>
      </c>
      <c r="BJ32" s="125">
        <v>0</v>
      </c>
      <c r="BK32" s="111">
        <v>0</v>
      </c>
      <c r="BL32" s="111">
        <v>0</v>
      </c>
      <c r="BM32" s="111">
        <v>0</v>
      </c>
      <c r="BN32" s="111">
        <f t="shared" si="32"/>
        <v>0</v>
      </c>
      <c r="BO32" s="125">
        <v>0</v>
      </c>
      <c r="BP32" s="111">
        <v>0</v>
      </c>
      <c r="BQ32" s="111">
        <v>0</v>
      </c>
      <c r="BR32" s="111">
        <v>0</v>
      </c>
      <c r="BS32" s="111">
        <f t="shared" si="33"/>
        <v>0</v>
      </c>
      <c r="BT32" s="125">
        <v>0</v>
      </c>
      <c r="BU32" s="111">
        <v>0</v>
      </c>
      <c r="BV32" s="111">
        <v>0</v>
      </c>
      <c r="BW32" s="111">
        <v>0</v>
      </c>
      <c r="BX32" s="111">
        <f t="shared" si="34"/>
        <v>0</v>
      </c>
      <c r="BY32" s="125">
        <v>0</v>
      </c>
      <c r="BZ32" s="111">
        <v>0</v>
      </c>
      <c r="CA32" s="111">
        <v>0</v>
      </c>
      <c r="CB32" s="111">
        <v>0</v>
      </c>
      <c r="CC32" s="111">
        <f t="shared" si="35"/>
        <v>0</v>
      </c>
      <c r="CD32" s="367">
        <v>0</v>
      </c>
      <c r="CE32" s="366">
        <v>0</v>
      </c>
      <c r="CF32" s="366">
        <v>0</v>
      </c>
      <c r="CG32" s="366">
        <v>0</v>
      </c>
      <c r="CH32" s="366">
        <f t="shared" si="36"/>
        <v>0</v>
      </c>
      <c r="CI32" s="367">
        <v>0</v>
      </c>
      <c r="CJ32" s="366">
        <v>0</v>
      </c>
      <c r="CK32" s="366">
        <v>0</v>
      </c>
      <c r="CL32" s="366">
        <v>0</v>
      </c>
      <c r="CM32" s="366">
        <f t="shared" si="37"/>
        <v>0</v>
      </c>
      <c r="CN32" s="367">
        <v>0</v>
      </c>
      <c r="CO32" s="366">
        <v>0</v>
      </c>
      <c r="CP32" s="366">
        <v>0</v>
      </c>
      <c r="CQ32" s="371">
        <v>0</v>
      </c>
      <c r="CR32" s="397">
        <f t="shared" si="16"/>
        <v>0</v>
      </c>
      <c r="CS32" s="436">
        <v>0</v>
      </c>
      <c r="CT32" s="397">
        <f>BS!CT33-BS!CS33</f>
        <v>0</v>
      </c>
      <c r="CU32" s="371">
        <f>BS!CU33-BS!CT33</f>
        <v>0</v>
      </c>
      <c r="CV32" s="371">
        <f>BS!CV33-BS!CU33</f>
        <v>0</v>
      </c>
      <c r="CW32" s="724">
        <f>BS!CW33-BS!CV33</f>
        <v>0</v>
      </c>
      <c r="CX32" s="725">
        <f>SUM(CT32:CW32)</f>
        <v>0</v>
      </c>
      <c r="CY32" s="397">
        <v>0</v>
      </c>
      <c r="CZ32" s="397">
        <v>0</v>
      </c>
      <c r="DA32" s="397">
        <v>0</v>
      </c>
      <c r="DB32" s="825">
        <v>0</v>
      </c>
      <c r="DC32" s="436">
        <f t="shared" si="38"/>
        <v>0</v>
      </c>
      <c r="DD32" s="397">
        <v>0</v>
      </c>
      <c r="DE32" s="397">
        <v>0</v>
      </c>
      <c r="DF32" s="397">
        <v>0</v>
      </c>
      <c r="DG32" s="825">
        <v>0</v>
      </c>
      <c r="DH32" s="436">
        <v>0</v>
      </c>
      <c r="DI32" s="397">
        <v>0</v>
      </c>
      <c r="DJ32" s="397">
        <v>0</v>
      </c>
      <c r="DK32" s="397">
        <v>0</v>
      </c>
      <c r="DL32" s="111">
        <v>0</v>
      </c>
      <c r="DM32" s="125">
        <f t="shared" si="13"/>
        <v>0</v>
      </c>
      <c r="DN32" s="143">
        <f>BS!DN33-BS!DM33</f>
        <v>0</v>
      </c>
      <c r="DO32" s="143">
        <f>BS!DO33-BS!DN33</f>
        <v>0</v>
      </c>
      <c r="DP32" s="143">
        <f>BS!DP33-BS!DO33</f>
        <v>0</v>
      </c>
      <c r="DQ32" s="143">
        <f>BS!DQ33-BS!DP33</f>
        <v>0</v>
      </c>
      <c r="DR32" s="142">
        <f t="shared" si="14"/>
        <v>0</v>
      </c>
      <c r="DS32" s="143">
        <f>BS!DS33-BS!DR33</f>
        <v>0</v>
      </c>
      <c r="DT32" s="143">
        <f>BS!DT33-BS!DS33</f>
        <v>0</v>
      </c>
      <c r="DU32" s="143">
        <f>BS!DU33-BS!DT33</f>
        <v>0</v>
      </c>
      <c r="DV32" s="143">
        <f>BS!DV33-BS!DU33</f>
        <v>0</v>
      </c>
      <c r="DW32" s="142">
        <f t="shared" si="17"/>
        <v>0</v>
      </c>
      <c r="DX32" s="143">
        <f>BS!DX33-BS!DW33</f>
        <v>0</v>
      </c>
      <c r="DY32" s="143">
        <f>BS!DY33-BS!DX33</f>
        <v>0</v>
      </c>
      <c r="DZ32" s="143">
        <f>BS!DZ33-BS!DY33</f>
        <v>0</v>
      </c>
      <c r="EA32" s="143">
        <f>BS!EA33-BS!DZ33</f>
        <v>0</v>
      </c>
      <c r="EB32" s="142">
        <f t="shared" si="18"/>
        <v>0</v>
      </c>
      <c r="EE32" s="125"/>
      <c r="EF32" s="125"/>
      <c r="EG32" s="125"/>
      <c r="EH32" s="125">
        <f>550/6000</f>
        <v>9.166666666666666E-2</v>
      </c>
      <c r="EI32" s="125"/>
      <c r="EJ32" s="125"/>
      <c r="EK32" s="125"/>
      <c r="EL32" s="125"/>
      <c r="EM32" s="125"/>
      <c r="EN32" s="125"/>
      <c r="EO32" s="125"/>
      <c r="EP32" s="125"/>
      <c r="EQ32" s="125"/>
      <c r="ER32" s="125"/>
      <c r="FC32"/>
      <c r="FD32"/>
      <c r="FE32"/>
      <c r="FF32"/>
      <c r="FG32"/>
      <c r="FH32"/>
      <c r="FI32" s="396"/>
      <c r="FJ32" s="419"/>
      <c r="FK32" s="419"/>
      <c r="FL32" s="419"/>
      <c r="FM32" s="419"/>
      <c r="FN32" s="419"/>
      <c r="FO32" s="419"/>
      <c r="FP32" s="419"/>
      <c r="FQ32" s="419"/>
      <c r="FR32" s="419"/>
      <c r="FS32" s="419"/>
      <c r="FT32" s="419"/>
      <c r="FU32" s="419"/>
      <c r="FV32" s="419"/>
      <c r="FW32" s="419"/>
      <c r="FX32" s="419"/>
      <c r="FY32" s="419"/>
      <c r="FZ32" s="419"/>
      <c r="GA32" s="419"/>
      <c r="GB32" s="419"/>
      <c r="GC32" s="419"/>
      <c r="GD32" s="419"/>
      <c r="GE32" s="419"/>
      <c r="GF32" s="419"/>
      <c r="GG32" s="419"/>
      <c r="GH32" s="419"/>
      <c r="GI32" s="419"/>
      <c r="GJ32" s="419"/>
      <c r="GK32" s="419"/>
      <c r="GL32" s="419"/>
      <c r="GM32" s="419"/>
      <c r="GN32" s="419"/>
      <c r="GO32" s="419"/>
      <c r="GP32" s="419"/>
      <c r="GQ32" s="419"/>
      <c r="GR32" s="419"/>
      <c r="GS32" s="419"/>
      <c r="GT32" s="419"/>
      <c r="GU32" s="419"/>
      <c r="GV32" s="419"/>
      <c r="GW32" s="418"/>
      <c r="GX32" s="418"/>
      <c r="GY32" s="418"/>
      <c r="GZ32" s="418"/>
      <c r="HA32" s="418"/>
      <c r="HB32" s="418"/>
      <c r="HC32" s="418"/>
      <c r="HD32" s="418"/>
      <c r="HE32" s="418"/>
      <c r="HF32" s="418"/>
      <c r="HG32" s="418"/>
      <c r="HH32" s="418"/>
      <c r="HI32" s="418"/>
      <c r="HJ32" s="418"/>
      <c r="HK32" s="418"/>
      <c r="HL32" s="418"/>
      <c r="HM32" s="418"/>
      <c r="HN32" s="418"/>
      <c r="HO32" s="418"/>
      <c r="HP32" s="418"/>
      <c r="HQ32" s="418"/>
      <c r="HR32" s="418"/>
      <c r="HS32" s="418"/>
      <c r="HT32" s="418"/>
      <c r="HU32" s="418"/>
      <c r="HV32" s="418"/>
      <c r="HW32" s="418"/>
      <c r="HX32" s="418"/>
      <c r="HY32" s="418"/>
      <c r="HZ32" s="418"/>
      <c r="IA32" s="418"/>
      <c r="IB32" s="418"/>
      <c r="IC32" s="418"/>
      <c r="ID32" s="418"/>
      <c r="IE32" s="418"/>
      <c r="IF32" s="418"/>
      <c r="IG32" s="418"/>
      <c r="IH32" s="418"/>
      <c r="II32" s="418"/>
      <c r="IJ32" s="418"/>
      <c r="IK32" s="418"/>
      <c r="IL32" s="418"/>
      <c r="IM32" s="418"/>
      <c r="IN32" s="418"/>
      <c r="IO32" s="418"/>
      <c r="IP32" s="418"/>
      <c r="IQ32" s="418"/>
      <c r="IR32" s="418"/>
      <c r="IS32" s="418"/>
      <c r="IT32" s="418"/>
      <c r="IU32" s="418"/>
      <c r="IV32" s="418"/>
    </row>
    <row r="33" spans="1:256" s="1" customFormat="1" hidden="1" outlineLevel="1" x14ac:dyDescent="0.2">
      <c r="A33" s="1" t="s">
        <v>455</v>
      </c>
      <c r="B33" s="125">
        <v>0</v>
      </c>
      <c r="C33" s="111">
        <v>0</v>
      </c>
      <c r="D33" s="111">
        <v>0</v>
      </c>
      <c r="E33" s="111">
        <v>0</v>
      </c>
      <c r="F33" s="111">
        <f>G33-E33-D33-C33</f>
        <v>0</v>
      </c>
      <c r="G33" s="125">
        <v>0</v>
      </c>
      <c r="H33" s="111">
        <v>0</v>
      </c>
      <c r="I33" s="111">
        <v>0</v>
      </c>
      <c r="J33" s="111">
        <v>0</v>
      </c>
      <c r="K33" s="111">
        <f>L33-J33-I33-H33</f>
        <v>0</v>
      </c>
      <c r="L33" s="125">
        <v>0</v>
      </c>
      <c r="M33" s="111">
        <v>0</v>
      </c>
      <c r="N33" s="111">
        <v>0</v>
      </c>
      <c r="O33" s="111">
        <v>0</v>
      </c>
      <c r="P33" s="111">
        <f>Q33-O33-N33-M33</f>
        <v>0</v>
      </c>
      <c r="Q33" s="125">
        <v>0</v>
      </c>
      <c r="R33" s="111">
        <v>0</v>
      </c>
      <c r="S33" s="111">
        <v>0</v>
      </c>
      <c r="T33" s="111">
        <v>0</v>
      </c>
      <c r="U33" s="111">
        <f>V33-T33-S33-R33</f>
        <v>0</v>
      </c>
      <c r="V33" s="125">
        <v>0</v>
      </c>
      <c r="W33" s="111">
        <v>0</v>
      </c>
      <c r="X33" s="111">
        <v>0</v>
      </c>
      <c r="Y33" s="111">
        <v>0</v>
      </c>
      <c r="Z33" s="111">
        <f t="shared" si="24"/>
        <v>0</v>
      </c>
      <c r="AA33" s="125">
        <v>0</v>
      </c>
      <c r="AB33" s="111">
        <v>9.625</v>
      </c>
      <c r="AC33" s="111">
        <f>-18.954-AB33</f>
        <v>-28.579000000000001</v>
      </c>
      <c r="AD33" s="111">
        <f>-9.967-AB33-AC33</f>
        <v>8.9870000000000019</v>
      </c>
      <c r="AE33" s="111">
        <f t="shared" si="25"/>
        <v>14.992999999999999</v>
      </c>
      <c r="AF33" s="125">
        <v>5.0259999999999998</v>
      </c>
      <c r="AG33" s="111">
        <v>10.903</v>
      </c>
      <c r="AH33" s="111">
        <f>-7.676-AG33</f>
        <v>-18.579000000000001</v>
      </c>
      <c r="AI33" s="111">
        <f>11.676-AH33-AG33</f>
        <v>19.352000000000004</v>
      </c>
      <c r="AJ33" s="111">
        <f t="shared" si="26"/>
        <v>-11.676000000000004</v>
      </c>
      <c r="AK33" s="125">
        <v>0</v>
      </c>
      <c r="AL33" s="111">
        <v>1.593</v>
      </c>
      <c r="AM33" s="111">
        <f>-39.617-AL33</f>
        <v>-41.209999999999994</v>
      </c>
      <c r="AN33" s="111">
        <f>-51.501-AM33-AL33</f>
        <v>-11.884000000000004</v>
      </c>
      <c r="AO33" s="111">
        <f t="shared" si="27"/>
        <v>51.500999999999991</v>
      </c>
      <c r="AP33" s="125">
        <v>0</v>
      </c>
      <c r="AQ33" s="111">
        <v>24.94</v>
      </c>
      <c r="AR33" s="111">
        <f>-25.16-AQ33</f>
        <v>-50.1</v>
      </c>
      <c r="AS33" s="111">
        <f>-6.326-AR33-AQ33</f>
        <v>18.834</v>
      </c>
      <c r="AT33" s="111">
        <f t="shared" si="28"/>
        <v>6.3260000000000005</v>
      </c>
      <c r="AU33" s="125">
        <v>0</v>
      </c>
      <c r="AV33" s="111">
        <v>58.456000000000003</v>
      </c>
      <c r="AW33" s="111">
        <f>-5.537-AV33</f>
        <v>-63.993000000000002</v>
      </c>
      <c r="AX33" s="111">
        <f>-5.169-AW33-AV33</f>
        <v>0.3680000000000021</v>
      </c>
      <c r="AY33" s="111">
        <f t="shared" si="29"/>
        <v>5.1689999999999969</v>
      </c>
      <c r="AZ33" s="125">
        <v>0</v>
      </c>
      <c r="BA33" s="111">
        <v>23.818999999999999</v>
      </c>
      <c r="BB33" s="111">
        <f>0-BA33</f>
        <v>-23.818999999999999</v>
      </c>
      <c r="BC33" s="111">
        <f>32.994-(SUM(BA33:BB33))</f>
        <v>32.994</v>
      </c>
      <c r="BD33" s="111">
        <f t="shared" si="30"/>
        <v>-32.994</v>
      </c>
      <c r="BE33" s="125">
        <v>0</v>
      </c>
      <c r="BF33" s="111">
        <v>127.11799999999999</v>
      </c>
      <c r="BG33" s="111">
        <f>76.716-BF33</f>
        <v>-50.402000000000001</v>
      </c>
      <c r="BH33" s="111">
        <f>85.308-BG33-BF33</f>
        <v>8.592000000000013</v>
      </c>
      <c r="BI33" s="111">
        <f t="shared" si="31"/>
        <v>47.416999999999973</v>
      </c>
      <c r="BJ33" s="125">
        <v>132.72499999999999</v>
      </c>
      <c r="BK33" s="111">
        <v>109.813</v>
      </c>
      <c r="BL33" s="111">
        <f>27.168-BK33</f>
        <v>-82.64500000000001</v>
      </c>
      <c r="BM33" s="111">
        <f>38.04-BL33-BK33</f>
        <v>10.872</v>
      </c>
      <c r="BN33" s="111">
        <f t="shared" si="32"/>
        <v>48.331000000000003</v>
      </c>
      <c r="BO33" s="125">
        <v>86.370999999999995</v>
      </c>
      <c r="BP33" s="111">
        <v>124.6</v>
      </c>
      <c r="BQ33" s="111">
        <f>-50.4-BP33</f>
        <v>-175</v>
      </c>
      <c r="BR33" s="111">
        <f>-19.6-BQ33-BP33</f>
        <v>30.800000000000011</v>
      </c>
      <c r="BS33" s="111">
        <f t="shared" si="33"/>
        <v>26.900000000000006</v>
      </c>
      <c r="BT33" s="125">
        <v>7.3</v>
      </c>
      <c r="BU33" s="111">
        <v>42.1</v>
      </c>
      <c r="BV33" s="111">
        <f>29.9-BU33</f>
        <v>-12.200000000000003</v>
      </c>
      <c r="BW33" s="111">
        <f>52.9-BV33-BU33</f>
        <v>22.999999999999993</v>
      </c>
      <c r="BX33" s="111">
        <f t="shared" si="34"/>
        <v>4.3000000000000114</v>
      </c>
      <c r="BY33" s="125">
        <v>57.2</v>
      </c>
      <c r="BZ33" s="111">
        <v>69.5</v>
      </c>
      <c r="CA33" s="111">
        <f>-48.6-BZ33</f>
        <v>-118.1</v>
      </c>
      <c r="CB33" s="111">
        <f>-39-CA33-BZ33</f>
        <v>9.5999999999999943</v>
      </c>
      <c r="CC33" s="111">
        <f t="shared" si="35"/>
        <v>26.099999999999994</v>
      </c>
      <c r="CD33" s="125">
        <v>-12.9</v>
      </c>
      <c r="CE33" s="111">
        <v>37.6</v>
      </c>
      <c r="CF33" s="111">
        <f>12.5-CE33</f>
        <v>-25.1</v>
      </c>
      <c r="CG33" s="111">
        <f>37.8-CF33-CE33</f>
        <v>25.299999999999997</v>
      </c>
      <c r="CH33" s="111">
        <f t="shared" si="36"/>
        <v>66.200000000000017</v>
      </c>
      <c r="CI33" s="125">
        <v>104</v>
      </c>
      <c r="CJ33" s="111">
        <v>56</v>
      </c>
      <c r="CK33" s="111">
        <f>0-CJ33</f>
        <v>-56</v>
      </c>
      <c r="CL33" s="366">
        <f>0-SUM(CJ33:CK33)</f>
        <v>0</v>
      </c>
      <c r="CM33" s="366">
        <f t="shared" si="37"/>
        <v>0</v>
      </c>
      <c r="CN33" s="367">
        <v>0</v>
      </c>
      <c r="CO33" s="366">
        <v>0</v>
      </c>
      <c r="CP33" s="366">
        <v>0</v>
      </c>
      <c r="CQ33" s="371">
        <v>0</v>
      </c>
      <c r="CR33" s="397">
        <f t="shared" si="16"/>
        <v>0</v>
      </c>
      <c r="CS33" s="436">
        <v>0</v>
      </c>
      <c r="CT33" s="397">
        <f>BS!CT34-BS!CS34</f>
        <v>0</v>
      </c>
      <c r="CU33" s="371">
        <f>BS!CU34-BS!CT34</f>
        <v>0</v>
      </c>
      <c r="CV33" s="371">
        <f>BS!CV34-BS!CU34</f>
        <v>0</v>
      </c>
      <c r="CW33" s="724">
        <f>BS!CW34-BS!CV34</f>
        <v>0</v>
      </c>
      <c r="CX33" s="725"/>
      <c r="CY33" s="397">
        <v>-17.8</v>
      </c>
      <c r="CZ33" s="397">
        <f>-56.5-CY33</f>
        <v>-38.700000000000003</v>
      </c>
      <c r="DA33" s="397">
        <f>-42.5-CZ33-CY33</f>
        <v>14.000000000000004</v>
      </c>
      <c r="DB33" s="815">
        <f>DC33-DA33-CZ33-CY33</f>
        <v>130.1</v>
      </c>
      <c r="DC33" s="436">
        <v>87.6</v>
      </c>
      <c r="DD33" s="397">
        <v>48.7</v>
      </c>
      <c r="DE33" s="397">
        <f>-69.9-DD33</f>
        <v>-118.60000000000001</v>
      </c>
      <c r="DF33" s="908">
        <f>0-DE33-DD33</f>
        <v>69.900000000000006</v>
      </c>
      <c r="DG33" s="815">
        <f>DH33-DF33-DE33-DD33</f>
        <v>0</v>
      </c>
      <c r="DH33" s="436">
        <v>0</v>
      </c>
      <c r="DI33" s="397">
        <v>0</v>
      </c>
      <c r="DJ33" s="397">
        <v>0</v>
      </c>
      <c r="DK33" s="908">
        <v>0</v>
      </c>
      <c r="DL33" s="111">
        <v>0</v>
      </c>
      <c r="DM33" s="125">
        <f t="shared" si="13"/>
        <v>0</v>
      </c>
      <c r="DN33" s="143">
        <f>BS!DN34-BS!DM34</f>
        <v>0</v>
      </c>
      <c r="DO33" s="143">
        <f>BS!DO34-BS!DN34</f>
        <v>0</v>
      </c>
      <c r="DP33" s="143">
        <f>BS!DP34-BS!DO34</f>
        <v>0</v>
      </c>
      <c r="DQ33" s="143">
        <f>BS!DQ34-BS!DP34</f>
        <v>0</v>
      </c>
      <c r="DR33" s="142">
        <f t="shared" si="14"/>
        <v>0</v>
      </c>
      <c r="DS33" s="143">
        <f>BS!DS34-BS!DR34</f>
        <v>0</v>
      </c>
      <c r="DT33" s="143">
        <f>BS!DT34-BS!DS34</f>
        <v>0</v>
      </c>
      <c r="DU33" s="143">
        <f>BS!DU34-BS!DT34</f>
        <v>0</v>
      </c>
      <c r="DV33" s="143">
        <f>BS!DV34-BS!DU34</f>
        <v>0</v>
      </c>
      <c r="DW33" s="142">
        <f t="shared" si="17"/>
        <v>0</v>
      </c>
      <c r="DX33" s="143">
        <f>BS!DX34-BS!DW34</f>
        <v>0</v>
      </c>
      <c r="DY33" s="143">
        <f>BS!DY34-BS!DX34</f>
        <v>0</v>
      </c>
      <c r="DZ33" s="143">
        <f>BS!DZ34-BS!DY34</f>
        <v>0</v>
      </c>
      <c r="EA33" s="143">
        <f>BS!EA34-BS!DZ34</f>
        <v>0</v>
      </c>
      <c r="EB33" s="142">
        <f t="shared" si="18"/>
        <v>0</v>
      </c>
      <c r="EE33" s="125"/>
      <c r="EF33" s="125"/>
      <c r="EG33" s="125"/>
      <c r="EH33" s="125"/>
      <c r="EI33" s="125"/>
      <c r="EJ33" s="125"/>
      <c r="EK33" s="125"/>
      <c r="EL33" s="125"/>
      <c r="EM33" s="125"/>
      <c r="EN33" s="125"/>
      <c r="EO33" s="125"/>
      <c r="EP33" s="125"/>
      <c r="EQ33" s="125"/>
      <c r="ER33" s="125"/>
      <c r="FC33"/>
      <c r="FD33"/>
      <c r="FE33"/>
      <c r="FF33"/>
      <c r="FG33"/>
      <c r="FH33"/>
      <c r="FI33" s="396"/>
      <c r="FJ33" s="419"/>
      <c r="FK33" s="419"/>
      <c r="FL33" s="419"/>
      <c r="FM33" s="419"/>
      <c r="FN33" s="419"/>
      <c r="FO33" s="419"/>
      <c r="FP33" s="419"/>
      <c r="FQ33" s="419"/>
      <c r="FR33" s="419"/>
      <c r="FS33" s="419"/>
      <c r="FT33" s="419"/>
      <c r="FU33" s="419"/>
      <c r="FV33" s="419"/>
      <c r="FW33" s="419"/>
      <c r="FX33" s="419"/>
      <c r="FY33" s="419"/>
      <c r="FZ33" s="419"/>
      <c r="GA33" s="419"/>
      <c r="GB33" s="419"/>
      <c r="GC33" s="419"/>
      <c r="GD33" s="419"/>
      <c r="GE33" s="419"/>
      <c r="GF33" s="419"/>
      <c r="GG33" s="419"/>
      <c r="GH33" s="419"/>
      <c r="GI33" s="419"/>
      <c r="GJ33" s="419"/>
      <c r="GK33" s="419"/>
      <c r="GL33" s="419"/>
      <c r="GM33" s="419"/>
      <c r="GN33" s="419"/>
      <c r="GO33" s="419"/>
      <c r="GP33" s="419"/>
      <c r="GQ33" s="419"/>
      <c r="GR33" s="419"/>
      <c r="GS33" s="419"/>
      <c r="GT33" s="419"/>
      <c r="GU33" s="419"/>
      <c r="GV33" s="419"/>
      <c r="GW33" s="418"/>
      <c r="GX33" s="418"/>
      <c r="GY33" s="418"/>
      <c r="GZ33" s="418"/>
      <c r="HA33" s="418"/>
      <c r="HB33" s="418"/>
      <c r="HC33" s="418"/>
      <c r="HD33" s="418"/>
      <c r="HE33" s="418"/>
      <c r="HF33" s="418"/>
      <c r="HG33" s="418"/>
      <c r="HH33" s="418"/>
      <c r="HI33" s="418"/>
      <c r="HJ33" s="418"/>
      <c r="HK33" s="418"/>
      <c r="HL33" s="418"/>
      <c r="HM33" s="418"/>
      <c r="HN33" s="418"/>
      <c r="HO33" s="418"/>
      <c r="HP33" s="418"/>
      <c r="HQ33" s="418"/>
      <c r="HR33" s="418"/>
      <c r="HS33" s="418"/>
      <c r="HT33" s="418"/>
      <c r="HU33" s="418"/>
      <c r="HV33" s="418"/>
      <c r="HW33" s="418"/>
      <c r="HX33" s="418"/>
      <c r="HY33" s="418"/>
      <c r="HZ33" s="418"/>
      <c r="IA33" s="418"/>
      <c r="IB33" s="418"/>
      <c r="IC33" s="418"/>
      <c r="ID33" s="418"/>
      <c r="IE33" s="418"/>
      <c r="IF33" s="418"/>
      <c r="IG33" s="418"/>
      <c r="IH33" s="418"/>
      <c r="II33" s="418"/>
      <c r="IJ33" s="418"/>
      <c r="IK33" s="418"/>
      <c r="IL33" s="418"/>
      <c r="IM33" s="418"/>
      <c r="IN33" s="418"/>
      <c r="IO33" s="418"/>
      <c r="IP33" s="418"/>
      <c r="IQ33" s="418"/>
      <c r="IR33" s="418"/>
      <c r="IS33" s="418"/>
      <c r="IT33" s="418"/>
      <c r="IU33" s="418"/>
      <c r="IV33" s="418"/>
    </row>
    <row r="34" spans="1:256" s="1" customFormat="1" hidden="1" outlineLevel="1" x14ac:dyDescent="0.2">
      <c r="A34" s="1" t="s">
        <v>454</v>
      </c>
      <c r="B34" s="125">
        <v>0</v>
      </c>
      <c r="C34" s="111">
        <v>0</v>
      </c>
      <c r="D34" s="111">
        <v>0</v>
      </c>
      <c r="E34" s="111">
        <v>0</v>
      </c>
      <c r="F34" s="111">
        <f>G34-E34-D34-C34</f>
        <v>0</v>
      </c>
      <c r="G34" s="125">
        <v>0</v>
      </c>
      <c r="H34" s="111">
        <v>0</v>
      </c>
      <c r="I34" s="111">
        <v>0</v>
      </c>
      <c r="J34" s="111">
        <v>0</v>
      </c>
      <c r="K34" s="111">
        <f>L34-J34-I34-H34</f>
        <v>0</v>
      </c>
      <c r="L34" s="125">
        <v>0</v>
      </c>
      <c r="M34" s="111">
        <v>0</v>
      </c>
      <c r="N34" s="111">
        <v>0</v>
      </c>
      <c r="O34" s="111">
        <v>0</v>
      </c>
      <c r="P34" s="111">
        <f>Q34-O34-N34-M34</f>
        <v>0</v>
      </c>
      <c r="Q34" s="125">
        <v>0</v>
      </c>
      <c r="R34" s="111">
        <v>0</v>
      </c>
      <c r="S34" s="111">
        <v>0</v>
      </c>
      <c r="T34" s="111">
        <v>0</v>
      </c>
      <c r="U34" s="111">
        <f>V34-T34-S34-R34</f>
        <v>0</v>
      </c>
      <c r="V34" s="125">
        <v>0</v>
      </c>
      <c r="W34" s="111">
        <v>0</v>
      </c>
      <c r="X34" s="111">
        <v>0</v>
      </c>
      <c r="Y34" s="111">
        <v>0</v>
      </c>
      <c r="Z34" s="111">
        <f t="shared" si="24"/>
        <v>0</v>
      </c>
      <c r="AA34" s="125">
        <v>0</v>
      </c>
      <c r="AB34" s="111">
        <v>0</v>
      </c>
      <c r="AC34" s="111">
        <v>0</v>
      </c>
      <c r="AD34" s="111">
        <f>2.125-AB34-AC34</f>
        <v>2.125</v>
      </c>
      <c r="AE34" s="111">
        <f t="shared" si="25"/>
        <v>1.0009999999999999</v>
      </c>
      <c r="AF34" s="125">
        <v>3.1259999999999999</v>
      </c>
      <c r="AG34" s="111">
        <v>0.442</v>
      </c>
      <c r="AH34" s="111">
        <f>0.798-AG34</f>
        <v>0.35600000000000004</v>
      </c>
      <c r="AI34" s="111">
        <f>2.335-AH34-AG34</f>
        <v>1.5369999999999999</v>
      </c>
      <c r="AJ34" s="111">
        <f t="shared" si="26"/>
        <v>-2.335</v>
      </c>
      <c r="AK34" s="125">
        <v>0</v>
      </c>
      <c r="AL34" s="111">
        <v>3.2000000000000001E-2</v>
      </c>
      <c r="AM34" s="111">
        <v>0</v>
      </c>
      <c r="AN34" s="111">
        <v>0</v>
      </c>
      <c r="AO34" s="111">
        <f t="shared" si="27"/>
        <v>-3.2000000000000001E-2</v>
      </c>
      <c r="AP34" s="125">
        <v>0</v>
      </c>
      <c r="AQ34" s="111">
        <v>0</v>
      </c>
      <c r="AR34" s="111">
        <v>0</v>
      </c>
      <c r="AS34" s="111">
        <v>0</v>
      </c>
      <c r="AT34" s="111">
        <f t="shared" si="28"/>
        <v>0</v>
      </c>
      <c r="AU34" s="125">
        <v>0</v>
      </c>
      <c r="AV34" s="111">
        <v>0</v>
      </c>
      <c r="AW34" s="111">
        <v>0</v>
      </c>
      <c r="AX34" s="111">
        <v>0</v>
      </c>
      <c r="AY34" s="111">
        <f t="shared" si="29"/>
        <v>0</v>
      </c>
      <c r="AZ34" s="125">
        <v>0</v>
      </c>
      <c r="BA34" s="111">
        <v>0</v>
      </c>
      <c r="BB34" s="111">
        <v>0</v>
      </c>
      <c r="BC34" s="111">
        <v>0</v>
      </c>
      <c r="BD34" s="111">
        <f t="shared" si="30"/>
        <v>0</v>
      </c>
      <c r="BE34" s="125">
        <v>0</v>
      </c>
      <c r="BF34" s="111">
        <v>0</v>
      </c>
      <c r="BG34" s="111">
        <v>0</v>
      </c>
      <c r="BH34" s="111">
        <v>0</v>
      </c>
      <c r="BI34" s="111">
        <f t="shared" si="31"/>
        <v>0</v>
      </c>
      <c r="BJ34" s="125">
        <v>0</v>
      </c>
      <c r="BK34" s="111">
        <v>0</v>
      </c>
      <c r="BL34" s="111">
        <v>0</v>
      </c>
      <c r="BM34" s="111">
        <v>0</v>
      </c>
      <c r="BN34" s="111">
        <f t="shared" si="32"/>
        <v>0</v>
      </c>
      <c r="BO34" s="125">
        <v>0</v>
      </c>
      <c r="BP34" s="111">
        <v>0</v>
      </c>
      <c r="BQ34" s="111">
        <v>0</v>
      </c>
      <c r="BR34" s="111">
        <v>0</v>
      </c>
      <c r="BS34" s="111">
        <f t="shared" si="33"/>
        <v>0</v>
      </c>
      <c r="BT34" s="125">
        <v>0</v>
      </c>
      <c r="BU34" s="111">
        <v>0</v>
      </c>
      <c r="BV34" s="111">
        <v>0</v>
      </c>
      <c r="BW34" s="111">
        <v>0</v>
      </c>
      <c r="BX34" s="111">
        <f t="shared" si="34"/>
        <v>0</v>
      </c>
      <c r="BY34" s="125">
        <v>0</v>
      </c>
      <c r="BZ34" s="111">
        <v>0</v>
      </c>
      <c r="CA34" s="111">
        <v>0</v>
      </c>
      <c r="CB34" s="111">
        <v>0</v>
      </c>
      <c r="CC34" s="111">
        <f t="shared" si="35"/>
        <v>0</v>
      </c>
      <c r="CD34" s="367">
        <v>0</v>
      </c>
      <c r="CE34" s="366">
        <v>0</v>
      </c>
      <c r="CF34" s="366">
        <v>0</v>
      </c>
      <c r="CG34" s="366">
        <v>0</v>
      </c>
      <c r="CH34" s="366">
        <f t="shared" si="36"/>
        <v>0</v>
      </c>
      <c r="CI34" s="367">
        <v>0</v>
      </c>
      <c r="CJ34" s="366">
        <v>0</v>
      </c>
      <c r="CK34" s="366">
        <v>0</v>
      </c>
      <c r="CL34" s="366">
        <v>0</v>
      </c>
      <c r="CM34" s="366">
        <f t="shared" si="37"/>
        <v>0</v>
      </c>
      <c r="CN34" s="367">
        <v>0</v>
      </c>
      <c r="CO34" s="366">
        <v>0</v>
      </c>
      <c r="CP34" s="366">
        <v>0</v>
      </c>
      <c r="CQ34" s="371">
        <v>0</v>
      </c>
      <c r="CR34" s="397">
        <f t="shared" si="16"/>
        <v>0</v>
      </c>
      <c r="CS34" s="436">
        <v>0</v>
      </c>
      <c r="CT34" s="397">
        <v>0</v>
      </c>
      <c r="CU34" s="371">
        <v>0</v>
      </c>
      <c r="CV34" s="371">
        <v>0</v>
      </c>
      <c r="CW34" s="724">
        <v>0</v>
      </c>
      <c r="CX34" s="725">
        <f>SUM(CT34:CW34)</f>
        <v>0</v>
      </c>
      <c r="CY34" s="397">
        <v>0</v>
      </c>
      <c r="CZ34" s="397">
        <v>0</v>
      </c>
      <c r="DA34" s="397">
        <v>0</v>
      </c>
      <c r="DB34" s="825">
        <v>0</v>
      </c>
      <c r="DC34" s="436">
        <v>0</v>
      </c>
      <c r="DD34" s="397">
        <v>0</v>
      </c>
      <c r="DE34" s="397">
        <v>0</v>
      </c>
      <c r="DF34" s="397">
        <v>0</v>
      </c>
      <c r="DG34" s="825">
        <v>0</v>
      </c>
      <c r="DH34" s="436">
        <v>0</v>
      </c>
      <c r="DI34" s="397">
        <v>0</v>
      </c>
      <c r="DJ34" s="397">
        <v>0</v>
      </c>
      <c r="DK34" s="397">
        <v>0</v>
      </c>
      <c r="DL34" s="111">
        <v>0</v>
      </c>
      <c r="DM34" s="125">
        <f t="shared" si="13"/>
        <v>0</v>
      </c>
      <c r="DN34" s="143">
        <v>0</v>
      </c>
      <c r="DO34" s="143">
        <v>0</v>
      </c>
      <c r="DP34" s="143">
        <v>0</v>
      </c>
      <c r="DQ34" s="143">
        <v>0</v>
      </c>
      <c r="DR34" s="142">
        <f t="shared" si="14"/>
        <v>0</v>
      </c>
      <c r="DS34" s="143">
        <v>0</v>
      </c>
      <c r="DT34" s="143">
        <v>0</v>
      </c>
      <c r="DU34" s="143">
        <v>0</v>
      </c>
      <c r="DV34" s="143">
        <v>0</v>
      </c>
      <c r="DW34" s="142">
        <f t="shared" si="17"/>
        <v>0</v>
      </c>
      <c r="DX34" s="143">
        <v>0</v>
      </c>
      <c r="DY34" s="143">
        <v>0</v>
      </c>
      <c r="DZ34" s="143">
        <v>0</v>
      </c>
      <c r="EA34" s="143">
        <v>0</v>
      </c>
      <c r="EB34" s="142">
        <f t="shared" si="18"/>
        <v>0</v>
      </c>
      <c r="EE34" s="125"/>
      <c r="EF34" s="125"/>
      <c r="EG34" s="125"/>
      <c r="EH34" s="125"/>
      <c r="EI34" s="125"/>
      <c r="EJ34" s="125"/>
      <c r="EK34" s="125"/>
      <c r="EL34" s="125"/>
      <c r="EM34" s="125"/>
      <c r="EN34" s="125"/>
      <c r="EO34" s="125"/>
      <c r="EP34" s="125"/>
      <c r="EQ34" s="125"/>
      <c r="ER34" s="125"/>
      <c r="FC34"/>
      <c r="FD34"/>
      <c r="FE34"/>
      <c r="FF34"/>
      <c r="FG34"/>
      <c r="FH34"/>
      <c r="FI34" s="396"/>
      <c r="FJ34" s="419"/>
      <c r="FK34" s="419"/>
      <c r="FL34" s="419"/>
      <c r="FM34" s="419"/>
      <c r="FN34" s="419"/>
      <c r="FO34" s="419"/>
      <c r="FP34" s="419"/>
      <c r="FQ34" s="419"/>
      <c r="FR34" s="419"/>
      <c r="FS34" s="419"/>
      <c r="FT34" s="419"/>
      <c r="FU34" s="419"/>
      <c r="FV34" s="419"/>
      <c r="FW34" s="419"/>
      <c r="FX34" s="419"/>
      <c r="FY34" s="419"/>
      <c r="FZ34" s="419"/>
      <c r="GA34" s="419"/>
      <c r="GB34" s="419"/>
      <c r="GC34" s="419"/>
      <c r="GD34" s="419"/>
      <c r="GE34" s="419"/>
      <c r="GF34" s="419"/>
      <c r="GG34" s="419"/>
      <c r="GH34" s="419"/>
      <c r="GI34" s="419"/>
      <c r="GJ34" s="419"/>
      <c r="GK34" s="419"/>
      <c r="GL34" s="419"/>
      <c r="GM34" s="419"/>
      <c r="GN34" s="419"/>
      <c r="GO34" s="419"/>
      <c r="GP34" s="419"/>
      <c r="GQ34" s="419"/>
      <c r="GR34" s="419"/>
      <c r="GS34" s="419"/>
      <c r="GT34" s="419"/>
      <c r="GU34" s="419"/>
      <c r="GV34" s="419"/>
      <c r="GW34" s="418"/>
      <c r="GX34" s="418"/>
      <c r="GY34" s="418"/>
      <c r="GZ34" s="418"/>
      <c r="HA34" s="418"/>
      <c r="HB34" s="418"/>
      <c r="HC34" s="418"/>
      <c r="HD34" s="418"/>
      <c r="HE34" s="418"/>
      <c r="HF34" s="418"/>
      <c r="HG34" s="418"/>
      <c r="HH34" s="418"/>
      <c r="HI34" s="418"/>
      <c r="HJ34" s="418"/>
      <c r="HK34" s="418"/>
      <c r="HL34" s="418"/>
      <c r="HM34" s="418"/>
      <c r="HN34" s="418"/>
      <c r="HO34" s="418"/>
      <c r="HP34" s="418"/>
      <c r="HQ34" s="418"/>
      <c r="HR34" s="418"/>
      <c r="HS34" s="418"/>
      <c r="HT34" s="418"/>
      <c r="HU34" s="418"/>
      <c r="HV34" s="418"/>
      <c r="HW34" s="418"/>
      <c r="HX34" s="418"/>
      <c r="HY34" s="418"/>
      <c r="HZ34" s="418"/>
      <c r="IA34" s="418"/>
      <c r="IB34" s="418"/>
      <c r="IC34" s="418"/>
      <c r="ID34" s="418"/>
      <c r="IE34" s="418"/>
      <c r="IF34" s="418"/>
      <c r="IG34" s="418"/>
      <c r="IH34" s="418"/>
      <c r="II34" s="418"/>
      <c r="IJ34" s="418"/>
      <c r="IK34" s="418"/>
      <c r="IL34" s="418"/>
      <c r="IM34" s="418"/>
      <c r="IN34" s="418"/>
      <c r="IO34" s="418"/>
      <c r="IP34" s="418"/>
      <c r="IQ34" s="418"/>
      <c r="IR34" s="418"/>
      <c r="IS34" s="418"/>
      <c r="IT34" s="418"/>
      <c r="IU34" s="418"/>
      <c r="IV34" s="418"/>
    </row>
    <row r="35" spans="1:256" s="1" customFormat="1" hidden="1" outlineLevel="1" x14ac:dyDescent="0.2">
      <c r="A35" s="1" t="s">
        <v>453</v>
      </c>
      <c r="B35" s="125">
        <v>0</v>
      </c>
      <c r="C35" s="111">
        <v>0</v>
      </c>
      <c r="D35" s="111">
        <v>0</v>
      </c>
      <c r="E35" s="111">
        <v>0</v>
      </c>
      <c r="F35" s="111">
        <f>G35-E35-D35-C35</f>
        <v>0</v>
      </c>
      <c r="G35" s="125">
        <v>0</v>
      </c>
      <c r="H35" s="111">
        <v>0</v>
      </c>
      <c r="I35" s="111">
        <v>0</v>
      </c>
      <c r="J35" s="111">
        <v>0</v>
      </c>
      <c r="K35" s="111">
        <f>L35-J35-I35-H35</f>
        <v>0</v>
      </c>
      <c r="L35" s="125">
        <v>0</v>
      </c>
      <c r="M35" s="111">
        <v>0</v>
      </c>
      <c r="N35" s="111">
        <v>0</v>
      </c>
      <c r="O35" s="111">
        <v>0</v>
      </c>
      <c r="P35" s="111">
        <f>Q35-O35-N35-M35</f>
        <v>0</v>
      </c>
      <c r="Q35" s="125">
        <v>0</v>
      </c>
      <c r="R35" s="111">
        <v>0</v>
      </c>
      <c r="S35" s="111">
        <v>0</v>
      </c>
      <c r="T35" s="111">
        <v>0</v>
      </c>
      <c r="U35" s="111">
        <f>V35-T35-S35-R35</f>
        <v>0</v>
      </c>
      <c r="V35" s="125">
        <v>0</v>
      </c>
      <c r="W35" s="111">
        <v>0</v>
      </c>
      <c r="X35" s="111">
        <v>0</v>
      </c>
      <c r="Y35" s="111">
        <v>0</v>
      </c>
      <c r="Z35" s="111">
        <f t="shared" si="24"/>
        <v>0</v>
      </c>
      <c r="AA35" s="125">
        <v>0</v>
      </c>
      <c r="AB35" s="111">
        <v>0.28899999999999998</v>
      </c>
      <c r="AC35" s="111">
        <f>14.47-AB35</f>
        <v>14.181000000000001</v>
      </c>
      <c r="AD35" s="111">
        <f>10.796-AB35-AC35</f>
        <v>-3.6740000000000013</v>
      </c>
      <c r="AE35" s="111">
        <f t="shared" si="25"/>
        <v>-3.9599999999999995</v>
      </c>
      <c r="AF35" s="125">
        <v>6.8360000000000003</v>
      </c>
      <c r="AG35" s="111">
        <v>-3.851</v>
      </c>
      <c r="AH35" s="111">
        <f>-5.555-AG35</f>
        <v>-1.7039999999999997</v>
      </c>
      <c r="AI35" s="111">
        <f>6.227-AH35-AG35</f>
        <v>11.782</v>
      </c>
      <c r="AJ35" s="111">
        <f t="shared" si="26"/>
        <v>13.367000000000001</v>
      </c>
      <c r="AK35" s="125">
        <v>19.594000000000001</v>
      </c>
      <c r="AL35" s="111">
        <v>22.437000000000001</v>
      </c>
      <c r="AM35" s="111">
        <f>12.323-AL35</f>
        <v>-10.114000000000001</v>
      </c>
      <c r="AN35" s="111">
        <f>17.512-AM35-AL35</f>
        <v>5.1890000000000001</v>
      </c>
      <c r="AO35" s="111">
        <f t="shared" si="27"/>
        <v>-2.1909999999999989</v>
      </c>
      <c r="AP35" s="125">
        <v>15.321</v>
      </c>
      <c r="AQ35" s="111">
        <v>49.442</v>
      </c>
      <c r="AR35" s="111">
        <f>25.129-AQ35</f>
        <v>-24.312999999999999</v>
      </c>
      <c r="AS35" s="111">
        <f>32.017-AR35-AQ35</f>
        <v>6.8879999999999981</v>
      </c>
      <c r="AT35" s="111">
        <f t="shared" si="28"/>
        <v>-1.2850000000000037</v>
      </c>
      <c r="AU35" s="125">
        <v>30.731999999999999</v>
      </c>
      <c r="AV35" s="111">
        <v>72.545000000000002</v>
      </c>
      <c r="AW35" s="111">
        <f>31.734-AV35</f>
        <v>-40.811</v>
      </c>
      <c r="AX35" s="111">
        <f>50.864-AW35-AV35</f>
        <v>19.129999999999995</v>
      </c>
      <c r="AY35" s="111">
        <f t="shared" si="29"/>
        <v>-3.2739999999999867</v>
      </c>
      <c r="AZ35" s="125">
        <v>47.59</v>
      </c>
      <c r="BA35" s="111">
        <v>100.658</v>
      </c>
      <c r="BB35" s="111">
        <f>47.061-BA35</f>
        <v>-53.597000000000001</v>
      </c>
      <c r="BC35" s="111">
        <f>51.616-(SUM(BA35:BB35))</f>
        <v>4.5549999999999997</v>
      </c>
      <c r="BD35" s="111">
        <f t="shared" si="30"/>
        <v>1.6600000000000108</v>
      </c>
      <c r="BE35" s="125">
        <v>53.276000000000003</v>
      </c>
      <c r="BF35" s="111">
        <v>135.785</v>
      </c>
      <c r="BG35" s="111">
        <f>58.25-BF35</f>
        <v>-77.534999999999997</v>
      </c>
      <c r="BH35" s="111">
        <f>60.085-BG35-BF35</f>
        <v>1.835000000000008</v>
      </c>
      <c r="BI35" s="111">
        <f t="shared" si="31"/>
        <v>-3.5380000000000109</v>
      </c>
      <c r="BJ35" s="125">
        <v>56.546999999999997</v>
      </c>
      <c r="BK35" s="111">
        <v>191.21899999999999</v>
      </c>
      <c r="BL35" s="111">
        <f>68.832-BK35</f>
        <v>-122.387</v>
      </c>
      <c r="BM35" s="111">
        <f>76.944-BL35-BK35</f>
        <v>8.1120000000000232</v>
      </c>
      <c r="BN35" s="111">
        <f t="shared" si="32"/>
        <v>-13.711000000000013</v>
      </c>
      <c r="BO35" s="125">
        <v>63.232999999999997</v>
      </c>
      <c r="BP35" s="111">
        <v>215.6</v>
      </c>
      <c r="BQ35" s="111">
        <f>79.8-BP35</f>
        <v>-135.80000000000001</v>
      </c>
      <c r="BR35" s="111">
        <f>76.9-BQ35-BP35</f>
        <v>-2.8999999999999773</v>
      </c>
      <c r="BS35" s="111">
        <f t="shared" si="33"/>
        <v>-4.5</v>
      </c>
      <c r="BT35" s="125">
        <v>72.400000000000006</v>
      </c>
      <c r="BU35" s="111">
        <v>233.6</v>
      </c>
      <c r="BV35" s="111">
        <f>66.9-BU35</f>
        <v>-166.7</v>
      </c>
      <c r="BW35" s="111">
        <f>48.2-BV35-BU35</f>
        <v>-18.700000000000017</v>
      </c>
      <c r="BX35" s="111">
        <f t="shared" si="34"/>
        <v>-31.900000000000006</v>
      </c>
      <c r="BY35" s="125">
        <v>16.3</v>
      </c>
      <c r="BZ35" s="111">
        <v>180.3</v>
      </c>
      <c r="CA35" s="111">
        <f>44.3-BZ35</f>
        <v>-136</v>
      </c>
      <c r="CB35" s="111">
        <f>44.8-CA35-BZ35</f>
        <v>0.5</v>
      </c>
      <c r="CC35" s="111">
        <f t="shared" si="35"/>
        <v>-20.600000000000023</v>
      </c>
      <c r="CD35" s="125">
        <v>24.2</v>
      </c>
      <c r="CE35" s="111">
        <v>193</v>
      </c>
      <c r="CF35" s="111">
        <f>70.7-CE35</f>
        <v>-122.3</v>
      </c>
      <c r="CG35" s="111">
        <f>73.5-CF35-CE35</f>
        <v>2.8000000000000114</v>
      </c>
      <c r="CH35" s="111">
        <f t="shared" si="36"/>
        <v>-37.700000000000017</v>
      </c>
      <c r="CI35" s="125">
        <v>35.799999999999997</v>
      </c>
      <c r="CJ35" s="111">
        <v>224.3</v>
      </c>
      <c r="CK35" s="111">
        <f>81.6-CJ35</f>
        <v>-142.70000000000002</v>
      </c>
      <c r="CL35" s="111">
        <f>71.8-SUM(CJ35:CK35)</f>
        <v>-9.7999999999999972</v>
      </c>
      <c r="CM35" s="111">
        <f t="shared" si="37"/>
        <v>-11</v>
      </c>
      <c r="CN35" s="125">
        <v>60.8</v>
      </c>
      <c r="CO35" s="111">
        <v>275.3</v>
      </c>
      <c r="CP35" s="111">
        <f>154-CO35</f>
        <v>-121.30000000000001</v>
      </c>
      <c r="CQ35" s="552">
        <f>168.1-SUM(CO35:CP35)</f>
        <v>14.099999999999994</v>
      </c>
      <c r="CR35" s="331">
        <f t="shared" si="16"/>
        <v>-28.199999999999989</v>
      </c>
      <c r="CS35" s="392">
        <v>139.9</v>
      </c>
      <c r="CT35" s="331">
        <v>359.7</v>
      </c>
      <c r="CU35" s="552">
        <f>162.5-CT35</f>
        <v>-197.2</v>
      </c>
      <c r="CV35" s="552">
        <f>177-CU35-CT35</f>
        <v>14.5</v>
      </c>
      <c r="CW35" s="722">
        <f>CX35-CV35-CU35-CT35</f>
        <v>-36.199999999999989</v>
      </c>
      <c r="CX35" s="726">
        <v>140.80000000000001</v>
      </c>
      <c r="CY35" s="331">
        <v>408.4</v>
      </c>
      <c r="CZ35" s="331">
        <f>200.1-CY35</f>
        <v>-208.29999999999998</v>
      </c>
      <c r="DA35" s="331">
        <f>206.6-CZ35-CY35</f>
        <v>6.5</v>
      </c>
      <c r="DB35" s="815">
        <f>DC35-DA35-CZ35-CY35</f>
        <v>-36.299999999999955</v>
      </c>
      <c r="DC35" s="392">
        <v>170.3</v>
      </c>
      <c r="DD35" s="111">
        <v>468.9</v>
      </c>
      <c r="DE35" s="331">
        <f>216.2-DD35</f>
        <v>-252.7</v>
      </c>
      <c r="DF35" s="331">
        <f>223.5-DE35-DD35</f>
        <v>7.3000000000000114</v>
      </c>
      <c r="DG35" s="815">
        <f>DH35-DF35-DE35-DD35</f>
        <v>-43.100000000000023</v>
      </c>
      <c r="DH35" s="392">
        <v>180.4</v>
      </c>
      <c r="DI35" s="111">
        <v>425</v>
      </c>
      <c r="DJ35" s="111">
        <f>179.2-DI35</f>
        <v>-245.8</v>
      </c>
      <c r="DK35" s="331">
        <f>178.3-SUM(DI35:DJ35)</f>
        <v>-0.89999999999997726</v>
      </c>
      <c r="DL35" s="111">
        <f>130.8-SUM(DI35:DK35)</f>
        <v>-47.5</v>
      </c>
      <c r="DM35" s="125">
        <f t="shared" si="13"/>
        <v>130.80000000000001</v>
      </c>
      <c r="DN35" s="143">
        <f>BS!DN37-BS!DM37</f>
        <v>225</v>
      </c>
      <c r="DO35" s="143">
        <f>BS!DO37-BS!DN37</f>
        <v>-200</v>
      </c>
      <c r="DP35" s="143">
        <f>BS!DP37-BS!DO37</f>
        <v>0</v>
      </c>
      <c r="DQ35" s="143">
        <f>BS!DQ37-BS!DP37</f>
        <v>0</v>
      </c>
      <c r="DR35" s="142">
        <f t="shared" si="14"/>
        <v>25</v>
      </c>
      <c r="DS35" s="143">
        <f>BS!DS37-BS!DR37</f>
        <v>225</v>
      </c>
      <c r="DT35" s="143">
        <f>BS!DT37-BS!DS37</f>
        <v>-200</v>
      </c>
      <c r="DU35" s="143">
        <f>BS!DU37-BS!DT37</f>
        <v>0</v>
      </c>
      <c r="DV35" s="143">
        <f>BS!DV37-BS!DU37</f>
        <v>0</v>
      </c>
      <c r="DW35" s="142">
        <f t="shared" si="17"/>
        <v>25</v>
      </c>
      <c r="DX35" s="143">
        <f>BS!DX37-BS!DW37</f>
        <v>225</v>
      </c>
      <c r="DY35" s="143">
        <f>BS!DY37-BS!DX37</f>
        <v>-200</v>
      </c>
      <c r="DZ35" s="143">
        <f>BS!DZ37-BS!DY37</f>
        <v>0</v>
      </c>
      <c r="EA35" s="143">
        <f>BS!EA37-BS!DZ37</f>
        <v>0</v>
      </c>
      <c r="EB35" s="142">
        <f t="shared" si="18"/>
        <v>25</v>
      </c>
      <c r="EE35" s="125"/>
      <c r="EF35" s="125"/>
      <c r="EG35" s="125"/>
      <c r="EH35" s="125"/>
      <c r="EI35" s="125"/>
      <c r="EJ35" s="125"/>
      <c r="EK35" s="125"/>
      <c r="EL35" s="125"/>
      <c r="EM35" s="125"/>
      <c r="EN35" s="125"/>
      <c r="EO35" s="125"/>
      <c r="EP35" s="125"/>
      <c r="EQ35" s="125"/>
      <c r="ER35" s="125"/>
      <c r="FC35"/>
      <c r="FD35"/>
      <c r="FE35"/>
      <c r="FF35"/>
      <c r="FG35"/>
      <c r="FH35"/>
      <c r="FI35" s="396"/>
      <c r="FJ35" s="419"/>
      <c r="FK35" s="419"/>
      <c r="FL35" s="419"/>
      <c r="FM35" s="419"/>
      <c r="FN35" s="419"/>
      <c r="FO35" s="419"/>
      <c r="FP35" s="419"/>
      <c r="FQ35" s="419"/>
      <c r="FR35" s="419"/>
      <c r="FS35" s="419"/>
      <c r="FT35" s="419"/>
      <c r="FU35" s="419"/>
      <c r="FV35" s="419"/>
      <c r="FW35" s="419"/>
      <c r="FX35" s="419"/>
      <c r="FY35" s="419"/>
      <c r="FZ35" s="419"/>
      <c r="GA35" s="419"/>
      <c r="GB35" s="419"/>
      <c r="GC35" s="419"/>
      <c r="GD35" s="419"/>
      <c r="GE35" s="419"/>
      <c r="GF35" s="419"/>
      <c r="GG35" s="419"/>
      <c r="GH35" s="419"/>
      <c r="GI35" s="419"/>
      <c r="GJ35" s="419"/>
      <c r="GK35" s="419"/>
      <c r="GL35" s="419"/>
      <c r="GM35" s="419"/>
      <c r="GN35" s="419"/>
      <c r="GO35" s="419"/>
      <c r="GP35" s="419"/>
      <c r="GQ35" s="419"/>
      <c r="GR35" s="419"/>
      <c r="GS35" s="419"/>
      <c r="GT35" s="419"/>
      <c r="GU35" s="419"/>
      <c r="GV35" s="419"/>
      <c r="GW35" s="418"/>
      <c r="GX35" s="418"/>
      <c r="GY35" s="418"/>
      <c r="GZ35" s="418"/>
      <c r="HA35" s="418"/>
      <c r="HB35" s="418"/>
      <c r="HC35" s="418"/>
      <c r="HD35" s="418"/>
      <c r="HE35" s="418"/>
      <c r="HF35" s="418"/>
      <c r="HG35" s="418"/>
      <c r="HH35" s="418"/>
      <c r="HI35" s="418"/>
      <c r="HJ35" s="418"/>
      <c r="HK35" s="418"/>
      <c r="HL35" s="418"/>
      <c r="HM35" s="418"/>
      <c r="HN35" s="418"/>
      <c r="HO35" s="418"/>
      <c r="HP35" s="418"/>
      <c r="HQ35" s="418"/>
      <c r="HR35" s="418"/>
      <c r="HS35" s="418"/>
      <c r="HT35" s="418"/>
      <c r="HU35" s="418"/>
      <c r="HV35" s="418"/>
      <c r="HW35" s="418"/>
      <c r="HX35" s="418"/>
      <c r="HY35" s="418"/>
      <c r="HZ35" s="418"/>
      <c r="IA35" s="418"/>
      <c r="IB35" s="418"/>
      <c r="IC35" s="418"/>
      <c r="ID35" s="418"/>
      <c r="IE35" s="418"/>
      <c r="IF35" s="418"/>
      <c r="IG35" s="418"/>
      <c r="IH35" s="418"/>
      <c r="II35" s="418"/>
      <c r="IJ35" s="418"/>
      <c r="IK35" s="418"/>
      <c r="IL35" s="418"/>
      <c r="IM35" s="418"/>
      <c r="IN35" s="418"/>
      <c r="IO35" s="418"/>
      <c r="IP35" s="418"/>
      <c r="IQ35" s="418"/>
      <c r="IR35" s="418"/>
      <c r="IS35" s="418"/>
      <c r="IT35" s="418"/>
      <c r="IU35" s="418"/>
      <c r="IV35" s="418"/>
    </row>
    <row r="36" spans="1:256" s="1" customFormat="1" hidden="1" outlineLevel="1" x14ac:dyDescent="0.2">
      <c r="A36" s="1" t="s">
        <v>452</v>
      </c>
      <c r="B36" s="125">
        <v>0</v>
      </c>
      <c r="C36" s="111">
        <v>0</v>
      </c>
      <c r="D36" s="111">
        <v>0</v>
      </c>
      <c r="E36" s="111">
        <v>0</v>
      </c>
      <c r="F36" s="111">
        <f>G36-E36-D36-C36</f>
        <v>0</v>
      </c>
      <c r="G36" s="125">
        <v>0</v>
      </c>
      <c r="H36" s="111">
        <v>0</v>
      </c>
      <c r="I36" s="111">
        <v>0</v>
      </c>
      <c r="J36" s="111">
        <v>0</v>
      </c>
      <c r="K36" s="111">
        <f>L36-J36-I36-H36</f>
        <v>0</v>
      </c>
      <c r="L36" s="125">
        <v>0</v>
      </c>
      <c r="M36" s="111">
        <v>0</v>
      </c>
      <c r="N36" s="111">
        <v>0</v>
      </c>
      <c r="O36" s="111">
        <v>0</v>
      </c>
      <c r="P36" s="111">
        <f>Q36-O36-N36-M36</f>
        <v>0</v>
      </c>
      <c r="Q36" s="125">
        <v>0</v>
      </c>
      <c r="R36" s="111">
        <v>0</v>
      </c>
      <c r="S36" s="111">
        <v>0</v>
      </c>
      <c r="T36" s="111">
        <v>0</v>
      </c>
      <c r="U36" s="111">
        <f>V36-T36-S36-R36</f>
        <v>0</v>
      </c>
      <c r="V36" s="125">
        <v>0</v>
      </c>
      <c r="W36" s="111">
        <v>0</v>
      </c>
      <c r="X36" s="111">
        <v>0</v>
      </c>
      <c r="Y36" s="111">
        <v>0</v>
      </c>
      <c r="Z36" s="111">
        <f t="shared" si="24"/>
        <v>0</v>
      </c>
      <c r="AA36" s="125">
        <v>0</v>
      </c>
      <c r="AB36" s="111">
        <v>-1.141</v>
      </c>
      <c r="AC36" s="111">
        <f>3.004-AB36</f>
        <v>4.1449999999999996</v>
      </c>
      <c r="AD36" s="111">
        <f>8.107-AB36-AC36</f>
        <v>5.1029999999999998</v>
      </c>
      <c r="AE36" s="111">
        <f t="shared" si="25"/>
        <v>-6.2269999999999994</v>
      </c>
      <c r="AF36" s="125">
        <v>1.88</v>
      </c>
      <c r="AG36" s="111">
        <v>2.589</v>
      </c>
      <c r="AH36" s="111">
        <f>16.292-AG36</f>
        <v>13.703000000000001</v>
      </c>
      <c r="AI36" s="111">
        <f>8.452-AH36-AG36</f>
        <v>-7.8400000000000016</v>
      </c>
      <c r="AJ36" s="111">
        <f t="shared" si="26"/>
        <v>4.4710000000000001</v>
      </c>
      <c r="AK36" s="125">
        <v>12.923</v>
      </c>
      <c r="AL36" s="111">
        <v>11.343</v>
      </c>
      <c r="AM36" s="111">
        <f>19.71+0.616-AL36</f>
        <v>8.9830000000000005</v>
      </c>
      <c r="AN36" s="111">
        <f>27.054+0.616-AM36-AL36</f>
        <v>7.3439999999999976</v>
      </c>
      <c r="AO36" s="111">
        <f t="shared" si="27"/>
        <v>-22.204999999999998</v>
      </c>
      <c r="AP36" s="125">
        <v>5.4649999999999999</v>
      </c>
      <c r="AQ36" s="111">
        <v>1.633</v>
      </c>
      <c r="AR36" s="111">
        <f>2.139-AQ36</f>
        <v>0.50599999999999978</v>
      </c>
      <c r="AS36" s="111">
        <f>15.103-AR36-AQ36</f>
        <v>12.963999999999999</v>
      </c>
      <c r="AT36" s="111">
        <f t="shared" si="28"/>
        <v>-22.415999999999997</v>
      </c>
      <c r="AU36" s="125">
        <v>-7.3129999999999997</v>
      </c>
      <c r="AV36" s="111">
        <v>54.347999999999999</v>
      </c>
      <c r="AW36" s="111">
        <f>23.57-AV36</f>
        <v>-30.777999999999999</v>
      </c>
      <c r="AX36" s="111">
        <f>28.968-AW36-AV36</f>
        <v>5.3979999999999961</v>
      </c>
      <c r="AY36" s="111">
        <f t="shared" si="29"/>
        <v>-28.967999999999996</v>
      </c>
      <c r="AZ36" s="125">
        <v>0</v>
      </c>
      <c r="BA36" s="111">
        <v>5.6740000000000004</v>
      </c>
      <c r="BB36" s="111">
        <f>23.753-BA36</f>
        <v>18.079000000000001</v>
      </c>
      <c r="BC36" s="111">
        <f>16.227-(SUM(BA36:BB36))</f>
        <v>-7.5259999999999998</v>
      </c>
      <c r="BD36" s="111">
        <f t="shared" si="30"/>
        <v>-16.227</v>
      </c>
      <c r="BE36" s="125">
        <v>0</v>
      </c>
      <c r="BF36" s="111">
        <v>0</v>
      </c>
      <c r="BG36" s="111">
        <v>0</v>
      </c>
      <c r="BH36" s="111">
        <v>0</v>
      </c>
      <c r="BI36" s="111">
        <f t="shared" si="31"/>
        <v>-41.192999999999998</v>
      </c>
      <c r="BJ36" s="125">
        <v>-41.192999999999998</v>
      </c>
      <c r="BK36" s="111">
        <v>38.853999999999999</v>
      </c>
      <c r="BL36" s="111">
        <f>45.32-BK36</f>
        <v>6.4660000000000011</v>
      </c>
      <c r="BM36" s="111">
        <f>47.77-BL36-BK36</f>
        <v>2.4500000000000028</v>
      </c>
      <c r="BN36" s="111">
        <f t="shared" si="32"/>
        <v>-64.207000000000008</v>
      </c>
      <c r="BO36" s="125">
        <v>-16.437000000000001</v>
      </c>
      <c r="BP36" s="111">
        <v>46.8</v>
      </c>
      <c r="BQ36" s="111">
        <f>59.4-BP36</f>
        <v>12.600000000000001</v>
      </c>
      <c r="BR36" s="111">
        <f>115.9-BQ36-BP36</f>
        <v>56.500000000000014</v>
      </c>
      <c r="BS36" s="111">
        <f t="shared" si="33"/>
        <v>-55.600000000000016</v>
      </c>
      <c r="BT36" s="125">
        <v>60.3</v>
      </c>
      <c r="BU36" s="111">
        <v>61.6</v>
      </c>
      <c r="BV36" s="111">
        <f>76.2-BU36</f>
        <v>14.600000000000001</v>
      </c>
      <c r="BW36" s="111">
        <f>131.9-BV36-BU36</f>
        <v>55.70000000000001</v>
      </c>
      <c r="BX36" s="111">
        <f t="shared" si="34"/>
        <v>49.9</v>
      </c>
      <c r="BY36" s="125">
        <f>120.5+61.3</f>
        <v>181.8</v>
      </c>
      <c r="BZ36" s="111">
        <f>38.8-35.3</f>
        <v>3.5</v>
      </c>
      <c r="CA36" s="111">
        <f>-1.6-19.4-BZ36</f>
        <v>-24.5</v>
      </c>
      <c r="CB36" s="111">
        <f>1.3+25.7-CA36-BZ36</f>
        <v>48</v>
      </c>
      <c r="CC36" s="111">
        <f t="shared" si="35"/>
        <v>-25.5</v>
      </c>
      <c r="CD36" s="125">
        <v>1.5</v>
      </c>
      <c r="CE36" s="111">
        <v>-70.099999999999994</v>
      </c>
      <c r="CF36" s="111">
        <f>-69.4-CE36</f>
        <v>0.69999999999998863</v>
      </c>
      <c r="CG36" s="111">
        <f>-57.9-CF36-CE36</f>
        <v>11.500000000000007</v>
      </c>
      <c r="CH36" s="111">
        <f t="shared" si="36"/>
        <v>-46.5</v>
      </c>
      <c r="CI36" s="125">
        <v>-104.4</v>
      </c>
      <c r="CJ36" s="111">
        <v>-64.2</v>
      </c>
      <c r="CK36" s="111">
        <f>-34.2-CJ36</f>
        <v>30</v>
      </c>
      <c r="CL36" s="111">
        <f>-13.8-SUM(CJ36:CK36)</f>
        <v>20.400000000000002</v>
      </c>
      <c r="CM36" s="111">
        <f t="shared" si="37"/>
        <v>37.5</v>
      </c>
      <c r="CN36" s="125">
        <v>23.7</v>
      </c>
      <c r="CO36" s="111">
        <f>45.9-30.7</f>
        <v>15.2</v>
      </c>
      <c r="CP36" s="111">
        <f>13.9-36.9-CO36</f>
        <v>-38.200000000000003</v>
      </c>
      <c r="CQ36" s="495">
        <f>38.1-27.9-SUM(CO36:CP36)</f>
        <v>33.200000000000003</v>
      </c>
      <c r="CR36" s="366">
        <f t="shared" si="16"/>
        <v>77.399999999999991</v>
      </c>
      <c r="CS36" s="367">
        <v>87.6</v>
      </c>
      <c r="CT36" s="366">
        <f>-2763.9+60.9</f>
        <v>-2703</v>
      </c>
      <c r="CU36" s="495">
        <f>-2763.9+54.2-CT36</f>
        <v>-6.7000000000002728</v>
      </c>
      <c r="CV36" s="495">
        <f>-2763.9+195.3-CU36-CT36</f>
        <v>141.10000000000036</v>
      </c>
      <c r="CW36" s="722">
        <f>CX36-CV36-CU36-CT36</f>
        <v>218.40000000000009</v>
      </c>
      <c r="CX36" s="719">
        <f>-2763.9+309.8+103.9</f>
        <v>-2350.1999999999998</v>
      </c>
      <c r="CY36" s="366">
        <v>40.299999999999997</v>
      </c>
      <c r="CZ36" s="366">
        <f>32.8+121.9-CY36</f>
        <v>114.39999999999999</v>
      </c>
      <c r="DA36" s="366">
        <f>119.3-CZ36-CY36</f>
        <v>-35.399999999999991</v>
      </c>
      <c r="DB36" s="815">
        <f>DC36-DA36-CZ36-CY36</f>
        <v>5.1000000000000227</v>
      </c>
      <c r="DC36" s="367">
        <f>124.4</f>
        <v>124.4</v>
      </c>
      <c r="DD36" s="111">
        <v>-27.3</v>
      </c>
      <c r="DE36" s="366">
        <f>-23.8+23.1-DD36</f>
        <v>26.6</v>
      </c>
      <c r="DF36" s="907">
        <f>-59.3-DE36-DD36</f>
        <v>-58.600000000000009</v>
      </c>
      <c r="DG36" s="815">
        <f>DH36-DF36-DE36-DD36</f>
        <v>308.10000000000002</v>
      </c>
      <c r="DH36" s="367">
        <v>248.8</v>
      </c>
      <c r="DI36" s="111">
        <v>0</v>
      </c>
      <c r="DJ36" s="111">
        <v>0</v>
      </c>
      <c r="DK36" s="907">
        <f>BS!DK36-BS!DJ36</f>
        <v>0</v>
      </c>
      <c r="DL36" s="111">
        <v>0</v>
      </c>
      <c r="DM36" s="125">
        <f t="shared" si="13"/>
        <v>0</v>
      </c>
      <c r="DN36" s="143">
        <f>BS!DN36-BS!DM36</f>
        <v>0</v>
      </c>
      <c r="DO36" s="143">
        <f>BS!DO36-BS!DN36</f>
        <v>0</v>
      </c>
      <c r="DP36" s="143">
        <f>BS!DP36-BS!DO36</f>
        <v>0</v>
      </c>
      <c r="DQ36" s="143">
        <f>BS!DQ36-BS!DP36</f>
        <v>0</v>
      </c>
      <c r="DR36" s="142">
        <f t="shared" si="14"/>
        <v>0</v>
      </c>
      <c r="DS36" s="143">
        <f>BS!DS36-BS!DR36</f>
        <v>0</v>
      </c>
      <c r="DT36" s="143">
        <f>BS!DT36-BS!DS36</f>
        <v>0</v>
      </c>
      <c r="DU36" s="143">
        <f>BS!DU36-BS!DT36</f>
        <v>0</v>
      </c>
      <c r="DV36" s="143">
        <f>BS!DV36-BS!DU36</f>
        <v>0</v>
      </c>
      <c r="DW36" s="142">
        <f t="shared" si="17"/>
        <v>0</v>
      </c>
      <c r="DX36" s="143">
        <f>BS!DX36-BS!DW36</f>
        <v>0</v>
      </c>
      <c r="DY36" s="143">
        <f>BS!DY36-BS!DX36</f>
        <v>0</v>
      </c>
      <c r="DZ36" s="143">
        <f>BS!DZ36-BS!DY36</f>
        <v>0</v>
      </c>
      <c r="EA36" s="143">
        <f>BS!EA36-BS!DZ36</f>
        <v>0</v>
      </c>
      <c r="EB36" s="142">
        <f t="shared" si="18"/>
        <v>0</v>
      </c>
      <c r="EE36" s="125"/>
      <c r="EF36" s="125"/>
      <c r="EG36" s="125"/>
      <c r="EH36" s="125"/>
      <c r="EI36" s="125"/>
      <c r="EJ36" s="125"/>
      <c r="EK36" s="125"/>
      <c r="EL36" s="125"/>
      <c r="EM36" s="125"/>
      <c r="EN36" s="125"/>
      <c r="EO36" s="125"/>
      <c r="EP36" s="125"/>
      <c r="EQ36" s="125"/>
      <c r="ER36" s="125"/>
      <c r="FC36"/>
      <c r="FD36"/>
      <c r="FE36"/>
      <c r="FF36"/>
      <c r="FG36"/>
      <c r="FH36"/>
      <c r="FI36" s="396"/>
      <c r="FJ36" s="419"/>
      <c r="FK36" s="419"/>
      <c r="FL36" s="419"/>
      <c r="FM36" s="419"/>
      <c r="FN36" s="419"/>
      <c r="FO36" s="419"/>
      <c r="FP36" s="419"/>
      <c r="FQ36" s="419"/>
      <c r="FR36" s="419"/>
      <c r="FS36" s="419"/>
      <c r="FT36" s="419"/>
      <c r="FU36" s="419"/>
      <c r="FV36" s="419"/>
      <c r="FW36" s="419"/>
      <c r="FX36" s="419"/>
      <c r="FY36" s="419"/>
      <c r="FZ36" s="419"/>
      <c r="GA36" s="419"/>
      <c r="GB36" s="419"/>
      <c r="GC36" s="419"/>
      <c r="GD36" s="419"/>
      <c r="GE36" s="419"/>
      <c r="GF36" s="419"/>
      <c r="GG36" s="419"/>
      <c r="GH36" s="419"/>
      <c r="GI36" s="419"/>
      <c r="GJ36" s="419"/>
      <c r="GK36" s="419"/>
      <c r="GL36" s="419"/>
      <c r="GM36" s="419"/>
      <c r="GN36" s="419"/>
      <c r="GO36" s="419"/>
      <c r="GP36" s="419"/>
      <c r="GQ36" s="419"/>
      <c r="GR36" s="419"/>
      <c r="GS36" s="419"/>
      <c r="GT36" s="419"/>
      <c r="GU36" s="419"/>
      <c r="GV36" s="419"/>
      <c r="GW36" s="418"/>
      <c r="GX36" s="418"/>
      <c r="GY36" s="418"/>
      <c r="GZ36" s="418"/>
      <c r="HA36" s="418"/>
      <c r="HB36" s="418"/>
      <c r="HC36" s="418"/>
      <c r="HD36" s="418"/>
      <c r="HE36" s="418"/>
      <c r="HF36" s="418"/>
      <c r="HG36" s="418"/>
      <c r="HH36" s="418"/>
      <c r="HI36" s="418"/>
      <c r="HJ36" s="418"/>
      <c r="HK36" s="418"/>
      <c r="HL36" s="418"/>
      <c r="HM36" s="418"/>
      <c r="HN36" s="418"/>
      <c r="HO36" s="418"/>
      <c r="HP36" s="418"/>
      <c r="HQ36" s="418"/>
      <c r="HR36" s="418"/>
      <c r="HS36" s="418"/>
      <c r="HT36" s="418"/>
      <c r="HU36" s="418"/>
      <c r="HV36" s="418"/>
      <c r="HW36" s="418"/>
      <c r="HX36" s="418"/>
      <c r="HY36" s="418"/>
      <c r="HZ36" s="418"/>
      <c r="IA36" s="418"/>
      <c r="IB36" s="418"/>
      <c r="IC36" s="418"/>
      <c r="ID36" s="418"/>
      <c r="IE36" s="418"/>
      <c r="IF36" s="418"/>
      <c r="IG36" s="418"/>
      <c r="IH36" s="418"/>
      <c r="II36" s="418"/>
      <c r="IJ36" s="418"/>
      <c r="IK36" s="418"/>
      <c r="IL36" s="418"/>
      <c r="IM36" s="418"/>
      <c r="IN36" s="418"/>
      <c r="IO36" s="418"/>
      <c r="IP36" s="418"/>
      <c r="IQ36" s="418"/>
      <c r="IR36" s="418"/>
      <c r="IS36" s="418"/>
      <c r="IT36" s="418"/>
      <c r="IU36" s="418"/>
      <c r="IV36" s="418"/>
    </row>
    <row r="37" spans="1:256" s="16" customFormat="1" collapsed="1" x14ac:dyDescent="0.2">
      <c r="A37" s="16" t="s">
        <v>451</v>
      </c>
      <c r="B37" s="151">
        <f t="shared" ref="B37:AG37" si="39">SUM(B26:B36)</f>
        <v>-25.401000000000003</v>
      </c>
      <c r="C37" s="119">
        <f t="shared" si="39"/>
        <v>-1.2569999999999979</v>
      </c>
      <c r="D37" s="119">
        <f t="shared" si="39"/>
        <v>2.9119999999999999</v>
      </c>
      <c r="E37" s="119">
        <f t="shared" si="39"/>
        <v>-11.337</v>
      </c>
      <c r="F37" s="119">
        <f t="shared" si="39"/>
        <v>-33.905000000000001</v>
      </c>
      <c r="G37" s="151">
        <f t="shared" si="39"/>
        <v>-43.599999999999994</v>
      </c>
      <c r="H37" s="119">
        <f t="shared" si="39"/>
        <v>13.858000000000002</v>
      </c>
      <c r="I37" s="119">
        <f t="shared" si="39"/>
        <v>12.93</v>
      </c>
      <c r="J37" s="119">
        <f t="shared" si="39"/>
        <v>8.6990000000000016</v>
      </c>
      <c r="K37" s="119">
        <f t="shared" si="39"/>
        <v>22.158000000000001</v>
      </c>
      <c r="L37" s="151">
        <f t="shared" si="39"/>
        <v>57.560000000000009</v>
      </c>
      <c r="M37" s="119">
        <f t="shared" si="39"/>
        <v>13.433000000000002</v>
      </c>
      <c r="N37" s="119">
        <f t="shared" si="39"/>
        <v>-9.5600000000000023</v>
      </c>
      <c r="O37" s="119">
        <f t="shared" si="39"/>
        <v>-14.464000000000004</v>
      </c>
      <c r="P37" s="119">
        <f t="shared" si="39"/>
        <v>-13.169999999999996</v>
      </c>
      <c r="Q37" s="151">
        <f t="shared" si="39"/>
        <v>-23</v>
      </c>
      <c r="R37" s="119">
        <f t="shared" si="39"/>
        <v>18</v>
      </c>
      <c r="S37" s="119">
        <f t="shared" si="39"/>
        <v>-8.3320000000000007</v>
      </c>
      <c r="T37" s="119">
        <f t="shared" si="39"/>
        <v>-15.681999999999999</v>
      </c>
      <c r="U37" s="119">
        <f t="shared" si="39"/>
        <v>-10.911000000000001</v>
      </c>
      <c r="V37" s="151">
        <f t="shared" si="39"/>
        <v>-16.925000000000004</v>
      </c>
      <c r="W37" s="119">
        <f t="shared" si="39"/>
        <v>45.012</v>
      </c>
      <c r="X37" s="119">
        <f t="shared" si="39"/>
        <v>-21.957000000000001</v>
      </c>
      <c r="Y37" s="119">
        <f t="shared" si="39"/>
        <v>-6.3139999999999965</v>
      </c>
      <c r="Z37" s="119">
        <f t="shared" si="39"/>
        <v>-16.303999999999995</v>
      </c>
      <c r="AA37" s="151">
        <f t="shared" si="39"/>
        <v>0.43700000000000472</v>
      </c>
      <c r="AB37" s="119">
        <f t="shared" si="39"/>
        <v>51.369</v>
      </c>
      <c r="AC37" s="119">
        <f t="shared" si="39"/>
        <v>-4.9939999999999998</v>
      </c>
      <c r="AD37" s="119">
        <f t="shared" si="39"/>
        <v>-2.5990000000000002</v>
      </c>
      <c r="AE37" s="119">
        <f t="shared" si="39"/>
        <v>-21</v>
      </c>
      <c r="AF37" s="151">
        <f t="shared" si="39"/>
        <v>22.775999999999993</v>
      </c>
      <c r="AG37" s="119">
        <f t="shared" si="39"/>
        <v>56.236999999999995</v>
      </c>
      <c r="AH37" s="119">
        <f t="shared" ref="AH37:BM37" si="40">SUM(AH26:AH36)</f>
        <v>15.485000000000003</v>
      </c>
      <c r="AI37" s="119">
        <f t="shared" si="40"/>
        <v>-17.039000000000001</v>
      </c>
      <c r="AJ37" s="119">
        <f t="shared" si="40"/>
        <v>20.223000000000006</v>
      </c>
      <c r="AK37" s="151">
        <f t="shared" si="40"/>
        <v>74.905999999999992</v>
      </c>
      <c r="AL37" s="119">
        <f t="shared" si="40"/>
        <v>36.691999999999993</v>
      </c>
      <c r="AM37" s="119">
        <f t="shared" si="40"/>
        <v>-12.376999999999995</v>
      </c>
      <c r="AN37" s="119">
        <f t="shared" si="40"/>
        <v>-20.937000000000001</v>
      </c>
      <c r="AO37" s="119">
        <f t="shared" si="40"/>
        <v>8.4619999999999997</v>
      </c>
      <c r="AP37" s="151">
        <f t="shared" si="40"/>
        <v>11.840000000000002</v>
      </c>
      <c r="AQ37" s="119">
        <f t="shared" si="40"/>
        <v>94.685999999999993</v>
      </c>
      <c r="AR37" s="119">
        <f t="shared" si="40"/>
        <v>-52.665999999999997</v>
      </c>
      <c r="AS37" s="119">
        <f t="shared" si="40"/>
        <v>16.008999999999993</v>
      </c>
      <c r="AT37" s="119">
        <f t="shared" si="40"/>
        <v>-40.823999999999998</v>
      </c>
      <c r="AU37" s="151">
        <f t="shared" si="40"/>
        <v>17.204999999999988</v>
      </c>
      <c r="AV37" s="119">
        <f t="shared" si="40"/>
        <v>189.85700000000003</v>
      </c>
      <c r="AW37" s="119">
        <f t="shared" si="40"/>
        <v>-88.295000000000002</v>
      </c>
      <c r="AX37" s="119">
        <f t="shared" si="40"/>
        <v>-56.454000000000008</v>
      </c>
      <c r="AY37" s="119">
        <f t="shared" si="40"/>
        <v>19.076000000000008</v>
      </c>
      <c r="AZ37" s="151">
        <f t="shared" si="40"/>
        <v>64.183999999999997</v>
      </c>
      <c r="BA37" s="119">
        <f t="shared" si="40"/>
        <v>120.07800000000002</v>
      </c>
      <c r="BB37" s="119">
        <f t="shared" si="40"/>
        <v>-44.366000000000007</v>
      </c>
      <c r="BC37" s="119">
        <f t="shared" si="40"/>
        <v>-42.249000000000009</v>
      </c>
      <c r="BD37" s="119">
        <f t="shared" si="40"/>
        <v>-61.793999999999969</v>
      </c>
      <c r="BE37" s="151">
        <f t="shared" si="40"/>
        <v>-28.330999999999996</v>
      </c>
      <c r="BF37" s="119">
        <f t="shared" si="40"/>
        <v>366.06399999999996</v>
      </c>
      <c r="BG37" s="119">
        <f t="shared" si="40"/>
        <v>-45.939000000000007</v>
      </c>
      <c r="BH37" s="119">
        <f t="shared" si="40"/>
        <v>-55.885999999999967</v>
      </c>
      <c r="BI37" s="119">
        <f t="shared" si="40"/>
        <v>-42.297000000000033</v>
      </c>
      <c r="BJ37" s="151">
        <f t="shared" si="40"/>
        <v>221.94200000000001</v>
      </c>
      <c r="BK37" s="119">
        <f t="shared" si="40"/>
        <v>366.93799999999999</v>
      </c>
      <c r="BL37" s="119">
        <f t="shared" si="40"/>
        <v>-215.40200000000002</v>
      </c>
      <c r="BM37" s="119">
        <f t="shared" si="40"/>
        <v>-4.0859999999999772</v>
      </c>
      <c r="BN37" s="119">
        <f t="shared" ref="BN37:CQ37" si="41">SUM(BN26:BN36)</f>
        <v>11.836999999999989</v>
      </c>
      <c r="BO37" s="151">
        <f t="shared" si="41"/>
        <v>159.28699999999998</v>
      </c>
      <c r="BP37" s="119">
        <f t="shared" si="41"/>
        <v>456.3</v>
      </c>
      <c r="BQ37" s="119">
        <f t="shared" si="41"/>
        <v>-349.7</v>
      </c>
      <c r="BR37" s="119">
        <f t="shared" si="41"/>
        <v>43.800000000000054</v>
      </c>
      <c r="BS37" s="119">
        <f t="shared" si="41"/>
        <v>-74.900000000000006</v>
      </c>
      <c r="BT37" s="151">
        <f t="shared" si="41"/>
        <v>75.5</v>
      </c>
      <c r="BU37" s="119">
        <f t="shared" si="41"/>
        <v>394.6</v>
      </c>
      <c r="BV37" s="119">
        <f t="shared" si="41"/>
        <v>-209</v>
      </c>
      <c r="BW37" s="119">
        <f t="shared" si="41"/>
        <v>-25.400000000000013</v>
      </c>
      <c r="BX37" s="119">
        <f t="shared" si="41"/>
        <v>70.600000000000009</v>
      </c>
      <c r="BY37" s="151">
        <f t="shared" si="41"/>
        <v>230.8</v>
      </c>
      <c r="BZ37" s="119">
        <f t="shared" si="41"/>
        <v>330.20000000000005</v>
      </c>
      <c r="CA37" s="119">
        <f t="shared" si="41"/>
        <v>-177.5</v>
      </c>
      <c r="CB37" s="119">
        <f t="shared" si="41"/>
        <v>45</v>
      </c>
      <c r="CC37" s="119">
        <f t="shared" si="41"/>
        <v>-65.300000000000011</v>
      </c>
      <c r="CD37" s="151">
        <f t="shared" si="41"/>
        <v>132.4</v>
      </c>
      <c r="CE37" s="119">
        <f t="shared" si="41"/>
        <v>119.20000000000002</v>
      </c>
      <c r="CF37" s="119">
        <f t="shared" si="41"/>
        <v>-414.60000000000008</v>
      </c>
      <c r="CG37" s="119">
        <f t="shared" si="41"/>
        <v>29.70000000000001</v>
      </c>
      <c r="CH37" s="119">
        <f t="shared" si="41"/>
        <v>17.599999999999966</v>
      </c>
      <c r="CI37" s="151">
        <f t="shared" si="41"/>
        <v>-248.1</v>
      </c>
      <c r="CJ37" s="119">
        <f t="shared" si="41"/>
        <v>-119.79999999999997</v>
      </c>
      <c r="CK37" s="119">
        <f t="shared" si="41"/>
        <v>-386.40000000000009</v>
      </c>
      <c r="CL37" s="119">
        <f t="shared" si="41"/>
        <v>59.000000000000014</v>
      </c>
      <c r="CM37" s="119">
        <f t="shared" si="41"/>
        <v>12.400000000000006</v>
      </c>
      <c r="CN37" s="151">
        <f t="shared" si="41"/>
        <v>-434.79999999999995</v>
      </c>
      <c r="CO37" s="119">
        <f t="shared" si="41"/>
        <v>431</v>
      </c>
      <c r="CP37" s="119">
        <f t="shared" si="41"/>
        <v>-223.8</v>
      </c>
      <c r="CQ37" s="119">
        <f t="shared" si="41"/>
        <v>60.4</v>
      </c>
      <c r="CR37" s="540">
        <f t="shared" si="16"/>
        <v>209.10000000000008</v>
      </c>
      <c r="CS37" s="148">
        <f>SUM(CS26:CS36)</f>
        <v>476.70000000000005</v>
      </c>
      <c r="CT37" s="540">
        <f>SUM(CT26:CT36)</f>
        <v>-2204.5</v>
      </c>
      <c r="CU37" s="119">
        <f>SUM(CU26:CU36)</f>
        <v>-229.10000000000028</v>
      </c>
      <c r="CV37" s="119">
        <f>SUM(CV26:CV36)</f>
        <v>95.100000000000378</v>
      </c>
      <c r="CW37" s="722">
        <f>CX37-CV37-CU37-CT37</f>
        <v>128.70000000000027</v>
      </c>
      <c r="CX37" s="727">
        <f t="shared" ref="CX37:EB37" si="42">SUM(CX26:CX36)</f>
        <v>-2209.7999999999997</v>
      </c>
      <c r="CY37" s="540">
        <f t="shared" si="42"/>
        <v>507.7</v>
      </c>
      <c r="CZ37" s="540">
        <f t="shared" si="42"/>
        <v>-135.69999999999999</v>
      </c>
      <c r="DA37" s="540">
        <f t="shared" si="42"/>
        <v>-107.49999999999999</v>
      </c>
      <c r="DB37" s="826">
        <f t="shared" si="42"/>
        <v>14.300000000000054</v>
      </c>
      <c r="DC37" s="148">
        <f t="shared" si="42"/>
        <v>278.8</v>
      </c>
      <c r="DD37" s="540">
        <f>SUM(DD26:DD36)</f>
        <v>445.99999999999994</v>
      </c>
      <c r="DE37" s="540">
        <f t="shared" ref="DE37" si="43">SUM(DE26:DE36)</f>
        <v>-342.09999999999997</v>
      </c>
      <c r="DF37" s="540">
        <f t="shared" ref="DF37" si="44">SUM(DF26:DF36)</f>
        <v>1.4000000000000057</v>
      </c>
      <c r="DG37" s="826">
        <f t="shared" ref="DG37" si="45">SUM(DG26:DG36)</f>
        <v>247.7</v>
      </c>
      <c r="DH37" s="148">
        <f t="shared" si="42"/>
        <v>353</v>
      </c>
      <c r="DI37" s="540">
        <f t="shared" si="42"/>
        <v>420.6</v>
      </c>
      <c r="DJ37" s="540">
        <f t="shared" si="42"/>
        <v>-474.7</v>
      </c>
      <c r="DK37" s="540">
        <f t="shared" si="42"/>
        <v>68.500000000000014</v>
      </c>
      <c r="DL37" s="540">
        <f>SUM(DL26:DL36)</f>
        <v>75.3</v>
      </c>
      <c r="DM37" s="148">
        <f t="shared" si="42"/>
        <v>89.700000000000017</v>
      </c>
      <c r="DN37" s="150">
        <f t="shared" si="42"/>
        <v>153.78778311356632</v>
      </c>
      <c r="DO37" s="150">
        <f t="shared" si="42"/>
        <v>-295.83533264650259</v>
      </c>
      <c r="DP37" s="150">
        <f t="shared" si="42"/>
        <v>-12.256308894256108</v>
      </c>
      <c r="DQ37" s="150">
        <f t="shared" si="42"/>
        <v>19.187221151964991</v>
      </c>
      <c r="DR37" s="149">
        <f t="shared" si="42"/>
        <v>-135.11663727522739</v>
      </c>
      <c r="DS37" s="150">
        <f t="shared" si="42"/>
        <v>154.74458072795619</v>
      </c>
      <c r="DT37" s="150">
        <f t="shared" si="42"/>
        <v>-279.16768104508003</v>
      </c>
      <c r="DU37" s="150">
        <f t="shared" si="42"/>
        <v>-16.382242542638778</v>
      </c>
      <c r="DV37" s="150">
        <f t="shared" si="42"/>
        <v>19.503570456255375</v>
      </c>
      <c r="DW37" s="149">
        <f t="shared" si="42"/>
        <v>-121.30177240350724</v>
      </c>
      <c r="DX37" s="150">
        <f t="shared" si="42"/>
        <v>148.11132507891148</v>
      </c>
      <c r="DY37" s="150">
        <f t="shared" si="42"/>
        <v>-287.05213785856358</v>
      </c>
      <c r="DZ37" s="150">
        <f t="shared" si="42"/>
        <v>-16.372186737547281</v>
      </c>
      <c r="EA37" s="150">
        <f t="shared" si="42"/>
        <v>23.099146945324378</v>
      </c>
      <c r="EB37" s="149">
        <f t="shared" si="42"/>
        <v>-132.21385257187501</v>
      </c>
      <c r="EE37" s="148"/>
      <c r="EF37" s="148"/>
      <c r="EG37" s="148"/>
      <c r="EH37" s="148"/>
      <c r="EI37" s="148"/>
      <c r="EJ37" s="148"/>
      <c r="EK37" s="148"/>
      <c r="EL37" s="148"/>
      <c r="EM37" s="148"/>
      <c r="EN37" s="148"/>
      <c r="EO37" s="148"/>
      <c r="EP37" s="148"/>
      <c r="EQ37" s="148"/>
      <c r="ER37" s="148"/>
      <c r="FC37"/>
      <c r="FD37"/>
      <c r="FE37"/>
      <c r="FF37"/>
      <c r="FG37"/>
      <c r="FH37"/>
      <c r="FI37" s="396"/>
      <c r="FJ37" s="419"/>
      <c r="FK37" s="419"/>
      <c r="FL37" s="419"/>
      <c r="FM37" s="419"/>
      <c r="FN37" s="419"/>
      <c r="FO37" s="419"/>
      <c r="FP37" s="419"/>
      <c r="FQ37" s="419"/>
      <c r="FR37" s="419"/>
      <c r="FS37" s="419"/>
      <c r="FT37" s="419"/>
      <c r="FU37" s="419"/>
      <c r="FV37" s="419"/>
      <c r="FW37" s="419"/>
      <c r="FX37" s="419"/>
      <c r="FY37" s="419"/>
      <c r="FZ37" s="419"/>
      <c r="GA37" s="419"/>
      <c r="GB37" s="419"/>
      <c r="GC37" s="419"/>
      <c r="GD37" s="419"/>
      <c r="GE37" s="419"/>
      <c r="GF37" s="419"/>
      <c r="GG37" s="419"/>
      <c r="GH37" s="419"/>
      <c r="GI37" s="419"/>
      <c r="GJ37" s="419"/>
      <c r="GK37" s="419"/>
      <c r="GL37" s="419"/>
      <c r="GM37" s="419"/>
      <c r="GN37" s="419"/>
      <c r="GO37" s="419"/>
      <c r="GP37" s="419"/>
      <c r="GQ37" s="419"/>
      <c r="GR37" s="419"/>
      <c r="GS37" s="419"/>
      <c r="GT37" s="419"/>
      <c r="GU37" s="419"/>
      <c r="GV37" s="419"/>
      <c r="GW37" s="418"/>
      <c r="GX37" s="418"/>
      <c r="GY37" s="418"/>
      <c r="GZ37" s="418"/>
      <c r="HA37" s="418"/>
      <c r="HB37" s="418"/>
      <c r="HC37" s="418"/>
      <c r="HD37" s="418"/>
      <c r="HE37" s="418"/>
      <c r="HF37" s="418"/>
      <c r="HG37" s="418"/>
      <c r="HH37" s="418"/>
      <c r="HI37" s="418"/>
      <c r="HJ37" s="418"/>
      <c r="HK37" s="418"/>
      <c r="HL37" s="418"/>
      <c r="HM37" s="418"/>
      <c r="HN37" s="418"/>
      <c r="HO37" s="418"/>
      <c r="HP37" s="418"/>
      <c r="HQ37" s="418"/>
      <c r="HR37" s="418"/>
      <c r="HS37" s="418"/>
      <c r="HT37" s="418"/>
      <c r="HU37" s="418"/>
      <c r="HV37" s="418"/>
      <c r="HW37" s="418"/>
      <c r="HX37" s="418"/>
      <c r="HY37" s="418"/>
      <c r="HZ37" s="418"/>
      <c r="IA37" s="418"/>
      <c r="IB37" s="418"/>
      <c r="IC37" s="418"/>
      <c r="ID37" s="418"/>
      <c r="IE37" s="418"/>
      <c r="IF37" s="418"/>
      <c r="IG37" s="418"/>
      <c r="IH37" s="418"/>
      <c r="II37" s="418"/>
      <c r="IJ37" s="418"/>
      <c r="IK37" s="418"/>
      <c r="IL37" s="418"/>
      <c r="IM37" s="418"/>
      <c r="IN37" s="418"/>
      <c r="IO37" s="418"/>
      <c r="IP37" s="418"/>
      <c r="IQ37" s="418"/>
      <c r="IR37" s="418"/>
      <c r="IS37" s="418"/>
      <c r="IT37" s="418"/>
      <c r="IU37" s="418"/>
      <c r="IV37" s="418"/>
    </row>
    <row r="38" spans="1:256" s="1" customFormat="1" x14ac:dyDescent="0.2">
      <c r="B38" s="125"/>
      <c r="C38" s="111"/>
      <c r="D38" s="111"/>
      <c r="E38" s="111"/>
      <c r="F38" s="111"/>
      <c r="G38" s="125"/>
      <c r="H38" s="111"/>
      <c r="I38" s="111"/>
      <c r="J38" s="111"/>
      <c r="K38" s="111"/>
      <c r="L38" s="125"/>
      <c r="M38" s="111"/>
      <c r="N38" s="111"/>
      <c r="O38" s="111"/>
      <c r="P38" s="111"/>
      <c r="Q38" s="125"/>
      <c r="R38" s="111"/>
      <c r="S38" s="111"/>
      <c r="T38" s="111"/>
      <c r="U38" s="111"/>
      <c r="V38" s="125"/>
      <c r="W38" s="111"/>
      <c r="X38" s="111"/>
      <c r="Y38" s="111"/>
      <c r="Z38" s="111"/>
      <c r="AA38" s="125"/>
      <c r="AB38" s="111"/>
      <c r="AC38" s="111"/>
      <c r="AD38" s="111"/>
      <c r="AE38" s="111"/>
      <c r="AF38" s="125"/>
      <c r="AG38" s="111"/>
      <c r="AH38" s="111"/>
      <c r="AI38" s="111"/>
      <c r="AJ38" s="111"/>
      <c r="AK38" s="125"/>
      <c r="AL38" s="111"/>
      <c r="AM38" s="111"/>
      <c r="AN38" s="111"/>
      <c r="AO38" s="111"/>
      <c r="AP38" s="125"/>
      <c r="AQ38" s="111"/>
      <c r="AR38" s="111"/>
      <c r="AS38" s="111"/>
      <c r="AT38" s="111"/>
      <c r="AU38" s="125"/>
      <c r="AV38" s="111"/>
      <c r="AW38" s="111"/>
      <c r="AX38" s="111"/>
      <c r="AY38" s="111"/>
      <c r="AZ38" s="125"/>
      <c r="BA38" s="111"/>
      <c r="BB38" s="111"/>
      <c r="BC38" s="111"/>
      <c r="BD38" s="111"/>
      <c r="BE38" s="125"/>
      <c r="BF38" s="111"/>
      <c r="BG38" s="111"/>
      <c r="BH38" s="111"/>
      <c r="BI38" s="111"/>
      <c r="BJ38" s="125"/>
      <c r="BK38" s="111"/>
      <c r="BL38" s="111"/>
      <c r="BM38" s="111"/>
      <c r="BN38" s="111"/>
      <c r="BO38" s="125"/>
      <c r="BP38" s="111"/>
      <c r="BQ38" s="111"/>
      <c r="BR38" s="111"/>
      <c r="BS38" s="111"/>
      <c r="BT38" s="125"/>
      <c r="BU38" s="111"/>
      <c r="BV38" s="111"/>
      <c r="BW38" s="111"/>
      <c r="BX38" s="111"/>
      <c r="BY38" s="125"/>
      <c r="BZ38" s="111"/>
      <c r="CA38" s="111"/>
      <c r="CB38" s="111"/>
      <c r="CC38" s="111"/>
      <c r="CD38" s="125"/>
      <c r="CE38" s="111"/>
      <c r="CF38" s="111"/>
      <c r="CG38" s="111"/>
      <c r="CH38" s="111"/>
      <c r="CI38" s="125"/>
      <c r="CJ38" s="111"/>
      <c r="CK38" s="111"/>
      <c r="CL38" s="111"/>
      <c r="CM38" s="111"/>
      <c r="CN38" s="125"/>
      <c r="CO38" s="111"/>
      <c r="CP38" s="111"/>
      <c r="CQ38" s="117"/>
      <c r="CR38" s="111"/>
      <c r="CS38" s="125"/>
      <c r="CT38" s="111"/>
      <c r="CU38" s="117"/>
      <c r="CV38" s="117"/>
      <c r="CW38" s="659"/>
      <c r="CX38" s="719"/>
      <c r="CY38" s="111"/>
      <c r="CZ38" s="111"/>
      <c r="DA38" s="111"/>
      <c r="DB38" s="813"/>
      <c r="DC38" s="125"/>
      <c r="DD38" s="143"/>
      <c r="DE38" s="111"/>
      <c r="DF38" s="111"/>
      <c r="DG38" s="143"/>
      <c r="DH38" s="142"/>
      <c r="DI38" s="143"/>
      <c r="DJ38" s="143"/>
      <c r="DK38" s="111"/>
      <c r="DL38" s="111"/>
      <c r="DM38" s="125"/>
      <c r="DN38" s="143"/>
      <c r="DO38" s="143"/>
      <c r="DP38" s="143"/>
      <c r="DQ38" s="143"/>
      <c r="DR38" s="142"/>
      <c r="DS38" s="143"/>
      <c r="DT38" s="143"/>
      <c r="DU38" s="143"/>
      <c r="DV38" s="143"/>
      <c r="DW38" s="142"/>
      <c r="DX38" s="143"/>
      <c r="DY38" s="143"/>
      <c r="DZ38" s="143"/>
      <c r="EA38" s="143"/>
      <c r="EB38" s="142"/>
      <c r="EE38" s="125"/>
      <c r="EF38" s="125"/>
      <c r="EG38" s="125"/>
      <c r="EH38" s="125"/>
      <c r="EI38" s="125"/>
      <c r="EJ38" s="125"/>
      <c r="EK38" s="125"/>
      <c r="EL38" s="125"/>
      <c r="EM38" s="125"/>
      <c r="EN38" s="125"/>
      <c r="EO38" s="125"/>
      <c r="EP38" s="125"/>
      <c r="EQ38" s="125"/>
      <c r="ER38" s="125"/>
      <c r="FC38"/>
      <c r="FD38"/>
      <c r="FE38"/>
      <c r="FF38"/>
      <c r="FG38"/>
      <c r="FH38"/>
      <c r="FI38" s="288"/>
      <c r="FJ38" s="416"/>
      <c r="FK38" s="416"/>
      <c r="FL38" s="416"/>
      <c r="FM38" s="416"/>
      <c r="FN38" s="416"/>
      <c r="FO38" s="416"/>
      <c r="FP38" s="416"/>
      <c r="FQ38" s="416"/>
      <c r="FR38" s="416"/>
      <c r="FS38" s="416"/>
      <c r="FT38" s="416"/>
      <c r="FU38" s="416"/>
      <c r="FV38" s="416"/>
      <c r="FW38" s="416"/>
      <c r="FX38" s="416"/>
      <c r="FY38" s="416"/>
      <c r="FZ38" s="416"/>
      <c r="GA38" s="416"/>
      <c r="GB38" s="416"/>
      <c r="GC38" s="416"/>
      <c r="GD38" s="416"/>
      <c r="GE38" s="416"/>
      <c r="GF38" s="416"/>
      <c r="GG38" s="416"/>
      <c r="GH38" s="416"/>
      <c r="GI38" s="416"/>
      <c r="GJ38" s="416"/>
      <c r="GK38" s="416"/>
      <c r="GL38" s="416"/>
      <c r="GM38" s="416"/>
      <c r="GN38" s="416"/>
      <c r="GO38" s="416"/>
      <c r="GP38" s="416"/>
      <c r="GQ38" s="416"/>
      <c r="GR38" s="416"/>
      <c r="GS38" s="416"/>
      <c r="GT38" s="416"/>
      <c r="GU38" s="416"/>
      <c r="GV38" s="416"/>
      <c r="GW38" s="416"/>
      <c r="GX38" s="416"/>
      <c r="GY38" s="416"/>
      <c r="GZ38" s="416"/>
      <c r="HA38" s="416"/>
      <c r="HB38" s="416"/>
      <c r="HC38" s="416"/>
      <c r="HD38" s="416"/>
      <c r="HE38" s="416"/>
      <c r="HF38" s="416"/>
      <c r="HG38" s="416"/>
      <c r="HH38" s="416"/>
      <c r="HI38" s="416"/>
      <c r="HJ38" s="416"/>
      <c r="HK38" s="416"/>
      <c r="HL38" s="416"/>
      <c r="HM38" s="416"/>
      <c r="HN38" s="416"/>
      <c r="HO38" s="416"/>
      <c r="HP38" s="416"/>
      <c r="HQ38" s="416"/>
      <c r="HR38" s="416"/>
      <c r="HS38" s="416"/>
      <c r="HT38" s="416"/>
      <c r="HU38" s="416"/>
      <c r="HV38" s="416"/>
      <c r="HW38" s="416"/>
      <c r="HX38" s="416"/>
      <c r="HY38" s="416"/>
      <c r="HZ38" s="416"/>
      <c r="IA38" s="416"/>
      <c r="IB38" s="416"/>
      <c r="IC38" s="416"/>
      <c r="ID38" s="416"/>
      <c r="IE38" s="416"/>
      <c r="IF38" s="416"/>
      <c r="IG38" s="416"/>
      <c r="IH38" s="416"/>
      <c r="II38" s="416"/>
      <c r="IJ38" s="416"/>
      <c r="IK38" s="416"/>
      <c r="IL38" s="416"/>
      <c r="IM38" s="416"/>
      <c r="IN38" s="416"/>
      <c r="IO38" s="416"/>
      <c r="IP38" s="416"/>
      <c r="IQ38" s="416"/>
      <c r="IR38" s="416"/>
      <c r="IS38" s="416"/>
      <c r="IT38" s="416"/>
      <c r="IU38" s="416"/>
      <c r="IV38" s="416"/>
    </row>
    <row r="39" spans="1:256" s="16" customFormat="1" x14ac:dyDescent="0.2">
      <c r="A39" s="33" t="s">
        <v>450</v>
      </c>
      <c r="B39" s="124">
        <f t="shared" ref="B39:AG39" si="46">(SUM(B10:B24))+B37</f>
        <v>0.34899999999999665</v>
      </c>
      <c r="C39" s="123">
        <f t="shared" si="46"/>
        <v>12.453000000000001</v>
      </c>
      <c r="D39" s="123">
        <f t="shared" si="46"/>
        <v>13.763999999999999</v>
      </c>
      <c r="E39" s="123">
        <f t="shared" si="46"/>
        <v>0.63499999999999979</v>
      </c>
      <c r="F39" s="123">
        <f t="shared" si="46"/>
        <v>-15.222999999999999</v>
      </c>
      <c r="G39" s="124">
        <f t="shared" si="46"/>
        <v>11.602000000000004</v>
      </c>
      <c r="H39" s="123">
        <f t="shared" si="46"/>
        <v>34.198999999999998</v>
      </c>
      <c r="I39" s="123">
        <f t="shared" si="46"/>
        <v>23.431000000000001</v>
      </c>
      <c r="J39" s="123">
        <f t="shared" si="46"/>
        <v>29.505000000000003</v>
      </c>
      <c r="K39" s="123">
        <f t="shared" si="46"/>
        <v>49.543999999999997</v>
      </c>
      <c r="L39" s="124">
        <f t="shared" si="46"/>
        <v>136.53</v>
      </c>
      <c r="M39" s="123">
        <f t="shared" si="46"/>
        <v>42.93</v>
      </c>
      <c r="N39" s="123">
        <f t="shared" si="46"/>
        <v>14.749999999999996</v>
      </c>
      <c r="O39" s="123">
        <f t="shared" si="46"/>
        <v>19.934999999999995</v>
      </c>
      <c r="P39" s="123">
        <f t="shared" si="46"/>
        <v>23.376000000000005</v>
      </c>
      <c r="Q39" s="124">
        <f t="shared" si="46"/>
        <v>100.31099999999999</v>
      </c>
      <c r="R39" s="123">
        <f t="shared" si="46"/>
        <v>56.626000000000005</v>
      </c>
      <c r="S39" s="123">
        <f t="shared" si="46"/>
        <v>26.008999999999993</v>
      </c>
      <c r="T39" s="123">
        <f t="shared" si="46"/>
        <v>18.82100000000003</v>
      </c>
      <c r="U39" s="123">
        <f t="shared" si="46"/>
        <v>34.789000000000044</v>
      </c>
      <c r="V39" s="124">
        <f t="shared" si="46"/>
        <v>165.16800000000006</v>
      </c>
      <c r="W39" s="123">
        <f t="shared" si="46"/>
        <v>97.340000000000018</v>
      </c>
      <c r="X39" s="123">
        <f t="shared" si="46"/>
        <v>24.246000000000016</v>
      </c>
      <c r="Y39" s="123">
        <f t="shared" si="46"/>
        <v>46.927999999999997</v>
      </c>
      <c r="Z39" s="123">
        <f t="shared" si="46"/>
        <v>42.059999999999967</v>
      </c>
      <c r="AA39" s="124">
        <f t="shared" si="46"/>
        <v>210.57399999999998</v>
      </c>
      <c r="AB39" s="123">
        <f t="shared" si="46"/>
        <v>114.75</v>
      </c>
      <c r="AC39" s="123">
        <f t="shared" si="46"/>
        <v>66.98599999999999</v>
      </c>
      <c r="AD39" s="123">
        <f t="shared" si="46"/>
        <v>71.525999999999996</v>
      </c>
      <c r="AE39" s="123">
        <f t="shared" si="46"/>
        <v>68.533999999999992</v>
      </c>
      <c r="AF39" s="124">
        <f t="shared" si="46"/>
        <v>321.79599999999999</v>
      </c>
      <c r="AG39" s="123">
        <f t="shared" si="46"/>
        <v>162.767</v>
      </c>
      <c r="AH39" s="123">
        <f t="shared" ref="AH39:BM39" si="47">(SUM(AH10:AH24))+AH37</f>
        <v>104.50999999999999</v>
      </c>
      <c r="AI39" s="123">
        <f t="shared" si="47"/>
        <v>71.804000000000016</v>
      </c>
      <c r="AJ39" s="123">
        <f t="shared" si="47"/>
        <v>117.22399999999999</v>
      </c>
      <c r="AK39" s="124">
        <f t="shared" si="47"/>
        <v>456.30500000000001</v>
      </c>
      <c r="AL39" s="123">
        <f t="shared" si="47"/>
        <v>146.63999999999999</v>
      </c>
      <c r="AM39" s="123">
        <f t="shared" si="47"/>
        <v>85.454000000000008</v>
      </c>
      <c r="AN39" s="123">
        <f t="shared" si="47"/>
        <v>137.65099999999998</v>
      </c>
      <c r="AO39" s="123">
        <f t="shared" si="47"/>
        <v>107.94000000000001</v>
      </c>
      <c r="AP39" s="124">
        <f t="shared" si="47"/>
        <v>477.68499999999995</v>
      </c>
      <c r="AQ39" s="123">
        <f t="shared" si="47"/>
        <v>233.74799999999999</v>
      </c>
      <c r="AR39" s="123">
        <f t="shared" si="47"/>
        <v>82.50200000000001</v>
      </c>
      <c r="AS39" s="123">
        <f t="shared" si="47"/>
        <v>152.22499999999999</v>
      </c>
      <c r="AT39" s="123">
        <f t="shared" si="47"/>
        <v>97.971000000000018</v>
      </c>
      <c r="AU39" s="124">
        <f t="shared" si="47"/>
        <v>566.44600000000003</v>
      </c>
      <c r="AV39" s="123">
        <f t="shared" si="47"/>
        <v>375.53300000000002</v>
      </c>
      <c r="AW39" s="123">
        <f t="shared" si="47"/>
        <v>88.758999999999972</v>
      </c>
      <c r="AX39" s="123">
        <f t="shared" si="47"/>
        <v>136.37100000000004</v>
      </c>
      <c r="AY39" s="123">
        <f t="shared" si="47"/>
        <v>219.54600000000011</v>
      </c>
      <c r="AZ39" s="124">
        <f t="shared" si="47"/>
        <v>858.53699999999981</v>
      </c>
      <c r="BA39" s="123">
        <f t="shared" si="47"/>
        <v>407.91500000000002</v>
      </c>
      <c r="BB39" s="123">
        <f t="shared" si="47"/>
        <v>158.578</v>
      </c>
      <c r="BC39" s="123">
        <f t="shared" si="47"/>
        <v>192.43699999999995</v>
      </c>
      <c r="BD39" s="123">
        <f t="shared" si="47"/>
        <v>164.678</v>
      </c>
      <c r="BE39" s="124">
        <f t="shared" si="47"/>
        <v>923.60799999999983</v>
      </c>
      <c r="BF39" s="123">
        <f t="shared" si="47"/>
        <v>609.31700000000001</v>
      </c>
      <c r="BG39" s="123">
        <f t="shared" si="47"/>
        <v>152.67499999999995</v>
      </c>
      <c r="BH39" s="123">
        <f t="shared" si="47"/>
        <v>173.78200000000004</v>
      </c>
      <c r="BI39" s="123">
        <f t="shared" si="47"/>
        <v>195.85900000000004</v>
      </c>
      <c r="BJ39" s="124">
        <f t="shared" si="47"/>
        <v>1131.633</v>
      </c>
      <c r="BK39" s="123">
        <f t="shared" si="47"/>
        <v>678.40900000000011</v>
      </c>
      <c r="BL39" s="123">
        <f t="shared" si="47"/>
        <v>59.41</v>
      </c>
      <c r="BM39" s="123">
        <f t="shared" si="47"/>
        <v>302.02100000000007</v>
      </c>
      <c r="BN39" s="123">
        <f t="shared" ref="BN39:CS39" si="48">(SUM(BN10:BN24))+BN37</f>
        <v>291.38100000000003</v>
      </c>
      <c r="BO39" s="124">
        <f t="shared" si="48"/>
        <v>1331.2209999999998</v>
      </c>
      <c r="BP39" s="123">
        <f t="shared" si="48"/>
        <v>807.59999999999991</v>
      </c>
      <c r="BQ39" s="123">
        <f t="shared" si="48"/>
        <v>-42.199999999999932</v>
      </c>
      <c r="BR39" s="123">
        <f t="shared" si="48"/>
        <v>313.30000000000013</v>
      </c>
      <c r="BS39" s="123">
        <f t="shared" si="48"/>
        <v>179.99999999999994</v>
      </c>
      <c r="BT39" s="124">
        <f t="shared" si="48"/>
        <v>1258.7</v>
      </c>
      <c r="BU39" s="123">
        <f t="shared" si="48"/>
        <v>693.50000000000011</v>
      </c>
      <c r="BV39" s="123">
        <f t="shared" si="48"/>
        <v>21.899999999999949</v>
      </c>
      <c r="BW39" s="123">
        <f t="shared" si="48"/>
        <v>301.3</v>
      </c>
      <c r="BX39" s="123">
        <f t="shared" si="48"/>
        <v>372.2999999999999</v>
      </c>
      <c r="BY39" s="124">
        <f t="shared" si="48"/>
        <v>1389</v>
      </c>
      <c r="BZ39" s="123">
        <f t="shared" si="48"/>
        <v>768.7</v>
      </c>
      <c r="CA39" s="123">
        <f t="shared" si="48"/>
        <v>189.10000000000008</v>
      </c>
      <c r="CB39" s="123">
        <f t="shared" si="48"/>
        <v>417.6</v>
      </c>
      <c r="CC39" s="123">
        <f t="shared" si="48"/>
        <v>329.5</v>
      </c>
      <c r="CD39" s="124">
        <f t="shared" si="48"/>
        <v>1704.9</v>
      </c>
      <c r="CE39" s="123">
        <f t="shared" si="48"/>
        <v>673.60000000000014</v>
      </c>
      <c r="CF39" s="123">
        <f t="shared" si="48"/>
        <v>-4.1000000000001364</v>
      </c>
      <c r="CG39" s="123">
        <f t="shared" si="48"/>
        <v>457.19999999999993</v>
      </c>
      <c r="CH39" s="123">
        <f t="shared" si="48"/>
        <v>485.69999999999993</v>
      </c>
      <c r="CI39" s="124">
        <f t="shared" si="48"/>
        <v>1612.3999999999999</v>
      </c>
      <c r="CJ39" s="123">
        <f t="shared" si="48"/>
        <v>466.29999999999995</v>
      </c>
      <c r="CK39" s="123">
        <f t="shared" si="48"/>
        <v>109.2999999999999</v>
      </c>
      <c r="CL39" s="123">
        <f t="shared" si="48"/>
        <v>551.30000000000018</v>
      </c>
      <c r="CM39" s="123">
        <f t="shared" si="48"/>
        <v>592.6</v>
      </c>
      <c r="CN39" s="124">
        <f t="shared" si="48"/>
        <v>1719.5000000000002</v>
      </c>
      <c r="CO39" s="123">
        <f t="shared" si="48"/>
        <v>1067.3000000000002</v>
      </c>
      <c r="CP39" s="123">
        <f t="shared" si="48"/>
        <v>305.2</v>
      </c>
      <c r="CQ39" s="123">
        <f t="shared" si="48"/>
        <v>665.3</v>
      </c>
      <c r="CR39" s="203">
        <f t="shared" si="48"/>
        <v>870.49999999999636</v>
      </c>
      <c r="CS39" s="120">
        <f t="shared" si="48"/>
        <v>2908.2999999999965</v>
      </c>
      <c r="CT39" s="203">
        <f t="shared" ref="CT39:EB39" si="49">(SUM(CT10:CT24))+CT37</f>
        <v>-1401.8999999999999</v>
      </c>
      <c r="CU39" s="123">
        <f t="shared" si="49"/>
        <v>418.39999999999975</v>
      </c>
      <c r="CV39" s="123">
        <f t="shared" si="49"/>
        <v>850.10000000000036</v>
      </c>
      <c r="CW39" s="692">
        <f t="shared" si="49"/>
        <v>741.20000000000232</v>
      </c>
      <c r="CX39" s="728">
        <f t="shared" si="49"/>
        <v>607.800000000002</v>
      </c>
      <c r="CY39" s="203">
        <f t="shared" si="49"/>
        <v>1425.1999999999998</v>
      </c>
      <c r="CZ39" s="203">
        <f t="shared" si="49"/>
        <v>575.70000000000005</v>
      </c>
      <c r="DA39" s="203">
        <f>(SUM(DA10:DA24))+DA37</f>
        <v>778.30000000000007</v>
      </c>
      <c r="DB39" s="827">
        <f t="shared" si="49"/>
        <v>969.90000000000009</v>
      </c>
      <c r="DC39" s="120">
        <f t="shared" si="49"/>
        <v>3749.1000000000004</v>
      </c>
      <c r="DD39" s="906">
        <f>(SUM(DD10:DD24))+DD37</f>
        <v>1635.9999999999998</v>
      </c>
      <c r="DE39" s="906">
        <f t="shared" ref="DE39" si="50">(SUM(DE10:DE24))+DE37</f>
        <v>549.49999999999977</v>
      </c>
      <c r="DF39" s="906">
        <f>(SUM(DF10:DF24))+DF37</f>
        <v>1081.4000000000001</v>
      </c>
      <c r="DG39" s="827">
        <f t="shared" si="49"/>
        <v>1308.1999999999998</v>
      </c>
      <c r="DH39" s="120">
        <f t="shared" si="49"/>
        <v>4575.1000000000013</v>
      </c>
      <c r="DI39" s="906">
        <f t="shared" si="49"/>
        <v>1495.7000000000003</v>
      </c>
      <c r="DJ39" s="906">
        <f t="shared" si="49"/>
        <v>443.29999999999967</v>
      </c>
      <c r="DK39" s="203">
        <f t="shared" si="49"/>
        <v>1150.5999999999999</v>
      </c>
      <c r="DL39" s="203">
        <f t="shared" si="49"/>
        <v>1084.6999999999998</v>
      </c>
      <c r="DM39" s="120">
        <f t="shared" si="49"/>
        <v>4174.3</v>
      </c>
      <c r="DN39" s="137">
        <f t="shared" si="49"/>
        <v>2720.687783113568</v>
      </c>
      <c r="DO39" s="137">
        <f t="shared" si="49"/>
        <v>777.58638536226317</v>
      </c>
      <c r="DP39" s="137">
        <f t="shared" si="49"/>
        <v>1214.5078686968925</v>
      </c>
      <c r="DQ39" s="137">
        <f t="shared" si="49"/>
        <v>1276.5259581723017</v>
      </c>
      <c r="DR39" s="136">
        <f t="shared" si="49"/>
        <v>5989.3079953450242</v>
      </c>
      <c r="DS39" s="137">
        <f t="shared" si="49"/>
        <v>1434.6573133779345</v>
      </c>
      <c r="DT39" s="137">
        <f t="shared" si="49"/>
        <v>921.22963053896672</v>
      </c>
      <c r="DU39" s="137">
        <f t="shared" si="49"/>
        <v>1344.9256004739109</v>
      </c>
      <c r="DV39" s="137">
        <f t="shared" si="49"/>
        <v>1413.5502161580155</v>
      </c>
      <c r="DW39" s="136">
        <f t="shared" si="49"/>
        <v>5114.3627605488282</v>
      </c>
      <c r="DX39" s="137">
        <f t="shared" si="49"/>
        <v>1557.4415421397123</v>
      </c>
      <c r="DY39" s="137">
        <f t="shared" si="49"/>
        <v>1044.3076590515311</v>
      </c>
      <c r="DZ39" s="137">
        <f t="shared" si="49"/>
        <v>1493.4208846903641</v>
      </c>
      <c r="EA39" s="137">
        <f t="shared" si="49"/>
        <v>1566.6428251015959</v>
      </c>
      <c r="EB39" s="136">
        <f t="shared" si="49"/>
        <v>5661.8129109832043</v>
      </c>
      <c r="EE39" s="120">
        <f>BG39+BH39+BI39+BK39</f>
        <v>1200.7250000000001</v>
      </c>
      <c r="EF39" s="120">
        <f>BL39+BM39+BN39+BP39</f>
        <v>1460.412</v>
      </c>
      <c r="EG39" s="120">
        <f>BQ39+BR39+BS39+BU39</f>
        <v>1144.6000000000004</v>
      </c>
      <c r="EH39" s="120">
        <f>BV39+BW39+BX39+BZ39</f>
        <v>1464.1999999999998</v>
      </c>
      <c r="EI39" s="120">
        <f>CA39+CB39+CC39+CE39</f>
        <v>1609.8000000000002</v>
      </c>
      <c r="EJ39" s="120">
        <f>CF39+CG39+CH39+CJ39</f>
        <v>1405.0999999999997</v>
      </c>
      <c r="EK39" s="120">
        <f>CK39+CL39+CM39+CO39</f>
        <v>2320.5000000000005</v>
      </c>
      <c r="EL39" s="120">
        <f>CP39+CQ39+CR39+CT39</f>
        <v>439.0999999999965</v>
      </c>
      <c r="EM39" s="120">
        <f>CU39+CV39+CW39+CY39</f>
        <v>3434.9000000000024</v>
      </c>
      <c r="EN39" s="120">
        <f>CZ39+DA39+DB39+DD39</f>
        <v>3959.8999999999996</v>
      </c>
      <c r="EO39" s="120">
        <f>DE39+DF39+DG39+DI39</f>
        <v>4434.7999999999993</v>
      </c>
      <c r="EP39" s="120">
        <f>DJ39+DK39+DL39+DN39</f>
        <v>5399.2877831135675</v>
      </c>
      <c r="EQ39" s="120">
        <f>SUM(DO39:DQ39,DS39)</f>
        <v>4703.2775256093919</v>
      </c>
      <c r="ER39" s="120">
        <f>SUM(DT39:DV39,DX39)</f>
        <v>5237.1469893106059</v>
      </c>
      <c r="FC39"/>
      <c r="FD39"/>
      <c r="FE39"/>
      <c r="FF39"/>
      <c r="FG39"/>
      <c r="FH39"/>
      <c r="FI39" s="396"/>
      <c r="FJ39" s="418"/>
      <c r="FK39" s="418"/>
      <c r="FL39" s="418"/>
      <c r="FM39" s="418"/>
      <c r="FN39" s="418"/>
      <c r="FO39" s="418"/>
      <c r="FP39" s="418"/>
      <c r="FQ39" s="418"/>
      <c r="FR39" s="418"/>
      <c r="FS39" s="418"/>
      <c r="FT39" s="418"/>
      <c r="FU39" s="418"/>
      <c r="FV39" s="418"/>
      <c r="FW39" s="418"/>
      <c r="FX39" s="418"/>
      <c r="FY39" s="418"/>
      <c r="FZ39" s="418"/>
      <c r="GA39" s="418"/>
      <c r="GB39" s="418"/>
      <c r="GC39" s="418"/>
      <c r="GD39" s="418"/>
      <c r="GE39" s="418"/>
      <c r="GF39" s="418"/>
      <c r="GG39" s="418"/>
      <c r="GH39" s="418"/>
      <c r="GI39" s="418"/>
      <c r="GJ39" s="418"/>
      <c r="GK39" s="418"/>
      <c r="GL39" s="418"/>
      <c r="GM39" s="418"/>
      <c r="GN39" s="418"/>
      <c r="GO39" s="418"/>
      <c r="GP39" s="418"/>
      <c r="GQ39" s="418"/>
      <c r="GR39" s="418"/>
      <c r="GS39" s="418"/>
      <c r="GT39" s="418"/>
      <c r="GU39" s="418"/>
      <c r="GV39" s="418"/>
      <c r="GW39" s="418"/>
      <c r="GX39" s="418"/>
      <c r="GY39" s="418"/>
      <c r="GZ39" s="418"/>
      <c r="HA39" s="418"/>
      <c r="HB39" s="418"/>
      <c r="HC39" s="418"/>
      <c r="HD39" s="418"/>
      <c r="HE39" s="418"/>
      <c r="HF39" s="418"/>
      <c r="HG39" s="418"/>
      <c r="HH39" s="418"/>
      <c r="HI39" s="418"/>
      <c r="HJ39" s="418"/>
      <c r="HK39" s="418"/>
      <c r="HL39" s="418"/>
      <c r="HM39" s="418"/>
      <c r="HN39" s="418"/>
      <c r="HO39" s="418"/>
      <c r="HP39" s="418"/>
      <c r="HQ39" s="418"/>
      <c r="HR39" s="418"/>
      <c r="HS39" s="418"/>
      <c r="HT39" s="418"/>
      <c r="HU39" s="418"/>
      <c r="HV39" s="418"/>
      <c r="HW39" s="418"/>
      <c r="HX39" s="418"/>
      <c r="HY39" s="418"/>
      <c r="HZ39" s="418"/>
      <c r="IA39" s="418"/>
      <c r="IB39" s="418"/>
      <c r="IC39" s="418"/>
      <c r="ID39" s="418"/>
      <c r="IE39" s="418"/>
      <c r="IF39" s="418"/>
      <c r="IG39" s="418"/>
      <c r="IH39" s="418"/>
      <c r="II39" s="418"/>
      <c r="IJ39" s="418"/>
      <c r="IK39" s="418"/>
      <c r="IL39" s="418"/>
      <c r="IM39" s="418"/>
      <c r="IN39" s="418"/>
      <c r="IO39" s="418"/>
      <c r="IP39" s="418"/>
      <c r="IQ39" s="418"/>
      <c r="IR39" s="418"/>
      <c r="IS39" s="418"/>
      <c r="IT39" s="418"/>
      <c r="IU39" s="418"/>
      <c r="IV39" s="418"/>
    </row>
    <row r="40" spans="1:256" s="1" customFormat="1" x14ac:dyDescent="0.2">
      <c r="B40" s="125"/>
      <c r="C40" s="111"/>
      <c r="D40" s="111"/>
      <c r="E40" s="111"/>
      <c r="F40" s="111"/>
      <c r="G40" s="125"/>
      <c r="H40" s="111"/>
      <c r="I40" s="111"/>
      <c r="J40" s="111"/>
      <c r="K40" s="111"/>
      <c r="L40" s="125"/>
      <c r="M40" s="111">
        <f>M39</f>
        <v>42.93</v>
      </c>
      <c r="N40" s="111"/>
      <c r="O40" s="111">
        <f>SUM(M39:O39)</f>
        <v>77.614999999999981</v>
      </c>
      <c r="P40" s="111">
        <f>SUM(M39:P39)</f>
        <v>100.99099999999999</v>
      </c>
      <c r="Q40" s="125"/>
      <c r="R40" s="111"/>
      <c r="S40" s="111"/>
      <c r="T40" s="111"/>
      <c r="U40" s="111"/>
      <c r="V40" s="125"/>
      <c r="W40" s="111"/>
      <c r="X40" s="111"/>
      <c r="Y40" s="111"/>
      <c r="Z40" s="111"/>
      <c r="AA40" s="125"/>
      <c r="AB40" s="111"/>
      <c r="AC40" s="111"/>
      <c r="AD40" s="111"/>
      <c r="AE40" s="111"/>
      <c r="AF40" s="125"/>
      <c r="AG40" s="111"/>
      <c r="AH40" s="111"/>
      <c r="AI40" s="111"/>
      <c r="AJ40" s="111"/>
      <c r="AK40" s="125"/>
      <c r="AL40" s="111"/>
      <c r="AM40" s="111"/>
      <c r="AN40" s="111"/>
      <c r="AO40" s="111"/>
      <c r="AP40" s="125"/>
      <c r="AQ40" s="111"/>
      <c r="AR40" s="111"/>
      <c r="AS40" s="111"/>
      <c r="AT40" s="111"/>
      <c r="AU40" s="125"/>
      <c r="AV40" s="111"/>
      <c r="AW40" s="111"/>
      <c r="AX40" s="111"/>
      <c r="AY40" s="111"/>
      <c r="AZ40" s="125"/>
      <c r="BA40" s="111"/>
      <c r="BB40" s="111"/>
      <c r="BC40" s="111"/>
      <c r="BD40" s="111"/>
      <c r="BE40" s="125"/>
      <c r="BF40" s="111"/>
      <c r="BG40" s="111"/>
      <c r="BH40" s="111"/>
      <c r="BI40" s="111"/>
      <c r="BJ40" s="125"/>
      <c r="BK40" s="111"/>
      <c r="BL40" s="111"/>
      <c r="BM40" s="111"/>
      <c r="BN40" s="111"/>
      <c r="BO40" s="125"/>
      <c r="BP40" s="111"/>
      <c r="BQ40" s="111"/>
      <c r="BR40" s="111"/>
      <c r="BS40" s="111"/>
      <c r="BT40" s="125"/>
      <c r="BU40" s="111"/>
      <c r="BV40" s="111"/>
      <c r="BW40" s="111"/>
      <c r="BX40" s="111"/>
      <c r="BY40" s="125"/>
      <c r="BZ40" s="111"/>
      <c r="CA40" s="111"/>
      <c r="CB40" s="111"/>
      <c r="CC40" s="111"/>
      <c r="CD40" s="125"/>
      <c r="CE40" s="111"/>
      <c r="CF40" s="111"/>
      <c r="CG40" s="111"/>
      <c r="CH40" s="111"/>
      <c r="CI40" s="125"/>
      <c r="CJ40" s="111"/>
      <c r="CK40" s="111"/>
      <c r="CL40" s="111"/>
      <c r="CM40" s="111"/>
      <c r="CN40" s="125"/>
      <c r="CO40" s="111"/>
      <c r="CP40" s="111"/>
      <c r="CQ40" s="143"/>
      <c r="CR40" s="143"/>
      <c r="CS40" s="142"/>
      <c r="CT40" s="143"/>
      <c r="CU40" s="111"/>
      <c r="CV40" s="143"/>
      <c r="CW40" s="659"/>
      <c r="CX40" s="719"/>
      <c r="CY40" s="111"/>
      <c r="CZ40" s="111"/>
      <c r="DA40" s="111"/>
      <c r="DB40" s="813"/>
      <c r="DC40" s="125"/>
      <c r="DD40" s="143"/>
      <c r="DE40" s="143"/>
      <c r="DF40" s="143"/>
      <c r="DG40" s="143"/>
      <c r="DH40" s="142"/>
      <c r="DI40" s="143"/>
      <c r="DJ40" s="143"/>
      <c r="DK40" s="111"/>
      <c r="DL40" s="111"/>
      <c r="DM40" s="125"/>
      <c r="DN40" s="143"/>
      <c r="DO40" s="143"/>
      <c r="DP40" s="143"/>
      <c r="DQ40" s="143"/>
      <c r="DR40" s="142"/>
      <c r="DS40" s="143"/>
      <c r="DT40" s="143"/>
      <c r="DU40" s="143"/>
      <c r="DV40" s="143"/>
      <c r="DW40" s="142"/>
      <c r="DX40" s="143"/>
      <c r="DY40" s="143"/>
      <c r="DZ40" s="143"/>
      <c r="EA40" s="143"/>
      <c r="EB40" s="142"/>
      <c r="EE40" s="125"/>
      <c r="EF40" s="125"/>
      <c r="EG40" s="125"/>
      <c r="EH40" s="125"/>
      <c r="EI40" s="125"/>
      <c r="EJ40" s="125"/>
      <c r="EK40" s="125"/>
      <c r="EL40" s="125"/>
      <c r="EM40" s="125"/>
      <c r="EN40" s="125"/>
      <c r="EO40" s="125"/>
      <c r="EP40" s="125"/>
      <c r="EQ40" s="125"/>
      <c r="ER40" s="125"/>
      <c r="FC40"/>
      <c r="FD40"/>
      <c r="FE40"/>
      <c r="FF40"/>
      <c r="FG40"/>
      <c r="FH40"/>
      <c r="FI40" s="396"/>
      <c r="FJ40" s="418"/>
      <c r="FK40" s="418"/>
      <c r="FL40" s="418"/>
      <c r="FM40" s="418"/>
      <c r="FN40" s="418"/>
      <c r="FO40" s="418"/>
      <c r="FP40" s="418"/>
      <c r="FQ40" s="418"/>
      <c r="FR40" s="418"/>
      <c r="FS40" s="418"/>
      <c r="FT40" s="418"/>
      <c r="FU40" s="418"/>
      <c r="FV40" s="418"/>
      <c r="FW40" s="418"/>
      <c r="FX40" s="418"/>
      <c r="FY40" s="418"/>
      <c r="FZ40" s="418"/>
      <c r="GA40" s="418"/>
      <c r="GB40" s="418"/>
      <c r="GC40" s="418"/>
      <c r="GD40" s="418"/>
      <c r="GE40" s="418"/>
      <c r="GF40" s="418"/>
      <c r="GG40" s="418"/>
      <c r="GH40" s="418"/>
      <c r="GI40" s="418"/>
      <c r="GJ40" s="418"/>
      <c r="GK40" s="418"/>
      <c r="GL40" s="418"/>
      <c r="GM40" s="418"/>
      <c r="GN40" s="418"/>
      <c r="GO40" s="418"/>
      <c r="GP40" s="418"/>
      <c r="GQ40" s="418"/>
      <c r="GR40" s="418"/>
      <c r="GS40" s="418"/>
      <c r="GT40" s="418"/>
      <c r="GU40" s="418"/>
      <c r="GV40" s="418"/>
      <c r="GW40" s="418"/>
      <c r="GX40" s="418"/>
      <c r="GY40" s="418"/>
      <c r="GZ40" s="418"/>
      <c r="HA40" s="418"/>
      <c r="HB40" s="418"/>
      <c r="HC40" s="418"/>
      <c r="HD40" s="418"/>
      <c r="HE40" s="418"/>
      <c r="HF40" s="418"/>
      <c r="HG40" s="418"/>
      <c r="HH40" s="418"/>
      <c r="HI40" s="418"/>
      <c r="HJ40" s="418"/>
      <c r="HK40" s="418"/>
      <c r="HL40" s="418"/>
      <c r="HM40" s="418"/>
      <c r="HN40" s="418"/>
      <c r="HO40" s="418"/>
      <c r="HP40" s="418"/>
      <c r="HQ40" s="418"/>
      <c r="HR40" s="418"/>
      <c r="HS40" s="418"/>
      <c r="HT40" s="418"/>
      <c r="HU40" s="418"/>
      <c r="HV40" s="418"/>
      <c r="HW40" s="418"/>
      <c r="HX40" s="418"/>
      <c r="HY40" s="418"/>
      <c r="HZ40" s="418"/>
      <c r="IA40" s="418"/>
      <c r="IB40" s="418"/>
      <c r="IC40" s="418"/>
      <c r="ID40" s="418"/>
      <c r="IE40" s="418"/>
      <c r="IF40" s="418"/>
      <c r="IG40" s="418"/>
      <c r="IH40" s="418"/>
      <c r="II40" s="418"/>
      <c r="IJ40" s="418"/>
      <c r="IK40" s="418"/>
      <c r="IL40" s="418"/>
      <c r="IM40" s="418"/>
      <c r="IN40" s="418"/>
      <c r="IO40" s="418"/>
      <c r="IP40" s="418"/>
      <c r="IQ40" s="418"/>
      <c r="IR40" s="418"/>
      <c r="IS40" s="418"/>
      <c r="IT40" s="418"/>
      <c r="IU40" s="418"/>
      <c r="IV40" s="418"/>
    </row>
    <row r="41" spans="1:256" s="16" customFormat="1" x14ac:dyDescent="0.2">
      <c r="A41" s="16" t="s">
        <v>449</v>
      </c>
      <c r="B41" s="151"/>
      <c r="C41" s="119"/>
      <c r="D41" s="119"/>
      <c r="E41" s="119"/>
      <c r="F41" s="119"/>
      <c r="G41" s="151"/>
      <c r="H41" s="119"/>
      <c r="I41" s="119"/>
      <c r="J41" s="119"/>
      <c r="K41" s="119"/>
      <c r="L41" s="151"/>
      <c r="M41" s="119"/>
      <c r="N41" s="119"/>
      <c r="O41" s="119"/>
      <c r="P41" s="119"/>
      <c r="Q41" s="151"/>
      <c r="R41" s="119"/>
      <c r="S41" s="119"/>
      <c r="T41" s="119"/>
      <c r="U41" s="119"/>
      <c r="V41" s="151"/>
      <c r="W41" s="119"/>
      <c r="X41" s="119"/>
      <c r="Y41" s="119"/>
      <c r="Z41" s="119"/>
      <c r="AA41" s="151"/>
      <c r="AB41" s="119"/>
      <c r="AC41" s="119"/>
      <c r="AD41" s="119"/>
      <c r="AE41" s="119"/>
      <c r="AF41" s="151"/>
      <c r="AG41" s="119"/>
      <c r="AH41" s="119"/>
      <c r="AI41" s="119"/>
      <c r="AJ41" s="119"/>
      <c r="AK41" s="151"/>
      <c r="AL41" s="119"/>
      <c r="AM41" s="119"/>
      <c r="AN41" s="119"/>
      <c r="AO41" s="119"/>
      <c r="AP41" s="151"/>
      <c r="AQ41" s="119"/>
      <c r="AR41" s="119"/>
      <c r="AS41" s="119"/>
      <c r="AT41" s="119"/>
      <c r="AU41" s="151"/>
      <c r="AV41" s="119"/>
      <c r="AW41" s="119"/>
      <c r="AX41" s="119"/>
      <c r="AY41" s="119"/>
      <c r="AZ41" s="151"/>
      <c r="BA41" s="119"/>
      <c r="BB41" s="119"/>
      <c r="BC41" s="119"/>
      <c r="BD41" s="119"/>
      <c r="BE41" s="151"/>
      <c r="BF41" s="119"/>
      <c r="BG41" s="119"/>
      <c r="BH41" s="119"/>
      <c r="BI41" s="119"/>
      <c r="BJ41" s="151"/>
      <c r="BK41" s="119"/>
      <c r="BL41" s="119"/>
      <c r="BM41" s="119"/>
      <c r="BN41" s="119"/>
      <c r="BO41" s="151"/>
      <c r="BP41" s="119"/>
      <c r="BQ41" s="119"/>
      <c r="BR41" s="119"/>
      <c r="BS41" s="119"/>
      <c r="BT41" s="151"/>
      <c r="BU41" s="119"/>
      <c r="BV41" s="119"/>
      <c r="BW41" s="119"/>
      <c r="BX41" s="119"/>
      <c r="BY41" s="151"/>
      <c r="BZ41" s="119"/>
      <c r="CA41" s="119"/>
      <c r="CB41" s="119"/>
      <c r="CC41" s="119"/>
      <c r="CD41" s="151"/>
      <c r="CE41" s="119"/>
      <c r="CF41" s="119"/>
      <c r="CG41" s="119"/>
      <c r="CH41" s="119"/>
      <c r="CI41" s="151"/>
      <c r="CJ41" s="119"/>
      <c r="CK41" s="119"/>
      <c r="CL41" s="119"/>
      <c r="CM41" s="119"/>
      <c r="CN41" s="151"/>
      <c r="CO41" s="119"/>
      <c r="CP41" s="119"/>
      <c r="CQ41" s="540"/>
      <c r="CR41" s="150"/>
      <c r="CS41" s="149"/>
      <c r="CT41" s="150"/>
      <c r="CU41" s="540"/>
      <c r="CV41" s="150"/>
      <c r="CW41" s="664"/>
      <c r="CX41" s="727"/>
      <c r="CY41" s="540"/>
      <c r="CZ41" s="540"/>
      <c r="DA41" s="540"/>
      <c r="DB41" s="826"/>
      <c r="DC41" s="148"/>
      <c r="DD41" s="150"/>
      <c r="DE41" s="150"/>
      <c r="DF41" s="150"/>
      <c r="DG41" s="150"/>
      <c r="DH41" s="149"/>
      <c r="DI41" s="150"/>
      <c r="DJ41" s="150"/>
      <c r="DK41" s="540"/>
      <c r="DL41" s="540"/>
      <c r="DM41" s="148"/>
      <c r="DN41" s="150"/>
      <c r="DO41" s="150"/>
      <c r="DP41" s="150"/>
      <c r="DQ41" s="150"/>
      <c r="DR41" s="149"/>
      <c r="DS41" s="150"/>
      <c r="DT41" s="150"/>
      <c r="DU41" s="150"/>
      <c r="DV41" s="150"/>
      <c r="DW41" s="149"/>
      <c r="DX41" s="150"/>
      <c r="DY41" s="150"/>
      <c r="DZ41" s="150"/>
      <c r="EA41" s="150"/>
      <c r="EB41" s="149"/>
      <c r="EE41" s="148"/>
      <c r="EF41" s="148"/>
      <c r="EG41" s="148"/>
      <c r="EH41" s="148"/>
      <c r="EI41" s="148"/>
      <c r="EJ41" s="148"/>
      <c r="EK41" s="148"/>
      <c r="EL41" s="148"/>
      <c r="EM41" s="148"/>
      <c r="EN41" s="148"/>
      <c r="EO41" s="148"/>
      <c r="EP41" s="148"/>
      <c r="EQ41" s="148"/>
      <c r="ER41" s="148"/>
      <c r="FC41"/>
      <c r="FD41"/>
      <c r="FE41"/>
      <c r="FF41"/>
      <c r="FG41"/>
      <c r="FH41"/>
      <c r="FI41" s="396"/>
      <c r="FJ41" s="418"/>
      <c r="FK41" s="418"/>
      <c r="FL41" s="418"/>
      <c r="FM41" s="418"/>
      <c r="FN41" s="418"/>
      <c r="FO41" s="418"/>
      <c r="FP41" s="418"/>
      <c r="FQ41" s="418"/>
      <c r="FR41" s="418"/>
      <c r="FS41" s="418"/>
      <c r="FT41" s="418"/>
      <c r="FU41" s="418"/>
      <c r="FV41" s="418"/>
      <c r="FW41" s="418"/>
      <c r="FX41" s="418"/>
      <c r="FY41" s="418"/>
      <c r="FZ41" s="418"/>
      <c r="GA41" s="418"/>
      <c r="GB41" s="418"/>
      <c r="GC41" s="418"/>
      <c r="GD41" s="418"/>
      <c r="GE41" s="418"/>
      <c r="GF41" s="418"/>
      <c r="GG41" s="418"/>
      <c r="GH41" s="418"/>
      <c r="GI41" s="418"/>
      <c r="GJ41" s="418"/>
      <c r="GK41" s="418"/>
      <c r="GL41" s="418"/>
      <c r="GM41" s="418"/>
      <c r="GN41" s="418"/>
      <c r="GO41" s="418"/>
      <c r="GP41" s="418"/>
      <c r="GQ41" s="418"/>
      <c r="GR41" s="418"/>
      <c r="GS41" s="418"/>
      <c r="GT41" s="418"/>
      <c r="GU41" s="418"/>
      <c r="GV41" s="418"/>
      <c r="GW41" s="418"/>
      <c r="GX41" s="418"/>
      <c r="GY41" s="418"/>
      <c r="GZ41" s="418"/>
      <c r="HA41" s="418"/>
      <c r="HB41" s="418"/>
      <c r="HC41" s="418"/>
      <c r="HD41" s="418"/>
      <c r="HE41" s="418"/>
      <c r="HF41" s="418"/>
      <c r="HG41" s="418"/>
      <c r="HH41" s="418"/>
      <c r="HI41" s="418"/>
      <c r="HJ41" s="418"/>
      <c r="HK41" s="418"/>
      <c r="HL41" s="418"/>
      <c r="HM41" s="418"/>
      <c r="HN41" s="418"/>
      <c r="HO41" s="418"/>
      <c r="HP41" s="418"/>
      <c r="HQ41" s="418"/>
      <c r="HR41" s="418"/>
      <c r="HS41" s="418"/>
      <c r="HT41" s="418"/>
      <c r="HU41" s="418"/>
      <c r="HV41" s="418"/>
      <c r="HW41" s="418"/>
      <c r="HX41" s="418"/>
      <c r="HY41" s="418"/>
      <c r="HZ41" s="418"/>
      <c r="IA41" s="418"/>
      <c r="IB41" s="418"/>
      <c r="IC41" s="418"/>
      <c r="ID41" s="418"/>
      <c r="IE41" s="418"/>
      <c r="IF41" s="418"/>
      <c r="IG41" s="418"/>
      <c r="IH41" s="418"/>
      <c r="II41" s="418"/>
      <c r="IJ41" s="418"/>
      <c r="IK41" s="418"/>
      <c r="IL41" s="418"/>
      <c r="IM41" s="418"/>
      <c r="IN41" s="418"/>
      <c r="IO41" s="418"/>
      <c r="IP41" s="418"/>
      <c r="IQ41" s="418"/>
      <c r="IR41" s="418"/>
      <c r="IS41" s="418"/>
      <c r="IT41" s="418"/>
      <c r="IU41" s="418"/>
      <c r="IV41" s="418"/>
    </row>
    <row r="42" spans="1:256" s="811" customFormat="1" x14ac:dyDescent="0.2">
      <c r="A42" s="811" t="s">
        <v>448</v>
      </c>
      <c r="B42" s="812">
        <v>0</v>
      </c>
      <c r="C42" s="813">
        <v>0</v>
      </c>
      <c r="D42" s="813">
        <v>0</v>
      </c>
      <c r="E42" s="813">
        <v>0</v>
      </c>
      <c r="F42" s="813">
        <f t="shared" ref="F42:F49" si="51">G42-E42-D42-C42</f>
        <v>0</v>
      </c>
      <c r="G42" s="812">
        <v>0</v>
      </c>
      <c r="H42" s="813">
        <v>0</v>
      </c>
      <c r="I42" s="813">
        <v>0</v>
      </c>
      <c r="J42" s="813">
        <v>0</v>
      </c>
      <c r="K42" s="813">
        <f t="shared" ref="K42:K49" si="52">L42-J42-I42-H42</f>
        <v>0</v>
      </c>
      <c r="L42" s="812">
        <v>0</v>
      </c>
      <c r="M42" s="813">
        <v>0</v>
      </c>
      <c r="N42" s="813">
        <v>0</v>
      </c>
      <c r="O42" s="813">
        <v>0</v>
      </c>
      <c r="P42" s="813">
        <f t="shared" ref="P42:P49" si="53">Q42-O42-N42-M42</f>
        <v>0</v>
      </c>
      <c r="Q42" s="812">
        <v>0</v>
      </c>
      <c r="R42" s="813">
        <v>0</v>
      </c>
      <c r="S42" s="813">
        <v>0</v>
      </c>
      <c r="T42" s="813">
        <v>0</v>
      </c>
      <c r="U42" s="813">
        <f t="shared" ref="U42:U49" si="54">V42-T42-S42-R42</f>
        <v>0</v>
      </c>
      <c r="V42" s="812">
        <v>0</v>
      </c>
      <c r="W42" s="813">
        <v>0</v>
      </c>
      <c r="X42" s="813">
        <v>0</v>
      </c>
      <c r="Y42" s="813">
        <v>0</v>
      </c>
      <c r="Z42" s="813">
        <f t="shared" ref="Z42:Z51" si="55">AA42-Y42-X42-W42</f>
        <v>0</v>
      </c>
      <c r="AA42" s="812">
        <v>0</v>
      </c>
      <c r="AB42" s="813">
        <v>-18.774999999999999</v>
      </c>
      <c r="AC42" s="813">
        <f>-55.314-AB42</f>
        <v>-36.539000000000001</v>
      </c>
      <c r="AD42" s="813">
        <f>-101.489-AC42-AB42</f>
        <v>-46.175000000000004</v>
      </c>
      <c r="AE42" s="813">
        <f t="shared" ref="AE42:AE51" si="56">AF42-AD42-AC42-AB42</f>
        <v>-17.011999999999993</v>
      </c>
      <c r="AF42" s="812">
        <v>-118.501</v>
      </c>
      <c r="AG42" s="813">
        <v>-26.015999999999998</v>
      </c>
      <c r="AH42" s="813">
        <f>-53.012-AG42</f>
        <v>-26.996000000000002</v>
      </c>
      <c r="AI42" s="813">
        <f>-137.105-AH42-AG42</f>
        <v>-84.092999999999989</v>
      </c>
      <c r="AJ42" s="813">
        <f t="shared" ref="AJ42:AJ51" si="57">AK42-AI42-AH42-AG42</f>
        <v>-47.082000000000015</v>
      </c>
      <c r="AK42" s="812">
        <v>-184.18700000000001</v>
      </c>
      <c r="AL42" s="813">
        <v>-70.763999999999996</v>
      </c>
      <c r="AM42" s="813">
        <f>-159.894-AL42</f>
        <v>-89.13000000000001</v>
      </c>
      <c r="AN42" s="813">
        <f>-272.646-AM42-AL42</f>
        <v>-112.75200000000002</v>
      </c>
      <c r="AO42" s="813">
        <f t="shared" ref="AO42:AO51" si="58">AP42-AN42-AM42-AL42</f>
        <v>-67.322000000000017</v>
      </c>
      <c r="AP42" s="812">
        <v>-339.96800000000002</v>
      </c>
      <c r="AQ42" s="813">
        <v>-60.488999999999997</v>
      </c>
      <c r="AR42" s="813">
        <f>-140.321-AQ42</f>
        <v>-79.831999999999994</v>
      </c>
      <c r="AS42" s="813">
        <f>-271.556-AQ42-AR42</f>
        <v>-131.23499999999999</v>
      </c>
      <c r="AT42" s="813">
        <f t="shared" ref="AT42:AT51" si="59">AU42-AS42-AR42-AQ42</f>
        <v>-51.775000000000041</v>
      </c>
      <c r="AU42" s="812">
        <v>-323.33100000000002</v>
      </c>
      <c r="AV42" s="813">
        <v>-138.02199999999999</v>
      </c>
      <c r="AW42" s="813">
        <f>-322.684-AV42</f>
        <v>-184.66200000000003</v>
      </c>
      <c r="AX42" s="813">
        <f>-413.078-AW42-AV42</f>
        <v>-90.393999999999949</v>
      </c>
      <c r="AY42" s="813">
        <f t="shared" ref="AY42:AY51" si="60">AZ42-AX42-AW42-AV42</f>
        <v>-474.89100000000002</v>
      </c>
      <c r="AZ42" s="812">
        <v>-887.96900000000005</v>
      </c>
      <c r="BA42" s="813">
        <v>-161.453</v>
      </c>
      <c r="BB42" s="813">
        <f>-582.992-BA42</f>
        <v>-421.53899999999999</v>
      </c>
      <c r="BC42" s="813">
        <f>-616.093-(SUM(BA42:BB42))</f>
        <v>-33.100999999999999</v>
      </c>
      <c r="BD42" s="813">
        <f t="shared" ref="BD42:BD51" si="61">BE42-BC42-BB42-BA42</f>
        <v>-27.395000000000067</v>
      </c>
      <c r="BE42" s="812">
        <v>-643.48800000000006</v>
      </c>
      <c r="BF42" s="813">
        <v>-232</v>
      </c>
      <c r="BG42" s="813">
        <f>-356.681-BF42</f>
        <v>-124.68099999999998</v>
      </c>
      <c r="BH42" s="813">
        <f>-529.764-BG42-BF42</f>
        <v>-173.08300000000003</v>
      </c>
      <c r="BI42" s="813">
        <f t="shared" ref="BI42:BI51" si="62">BJ42-BH42-BG42-BF42</f>
        <v>-109.428</v>
      </c>
      <c r="BJ42" s="812">
        <v>-639.19200000000001</v>
      </c>
      <c r="BK42" s="813">
        <v>-148.36199999999999</v>
      </c>
      <c r="BL42" s="813">
        <f>-177.292-BK42</f>
        <v>-28.930000000000007</v>
      </c>
      <c r="BM42" s="813">
        <f>-207.974-BL42-BK42</f>
        <v>-30.681999999999988</v>
      </c>
      <c r="BN42" s="813">
        <f t="shared" ref="BN42:BN51" si="63">BO42-BM42-BL42-BK42</f>
        <v>-29.448000000000008</v>
      </c>
      <c r="BO42" s="812">
        <v>-237.422</v>
      </c>
      <c r="BP42" s="813">
        <v>-41.9</v>
      </c>
      <c r="BQ42" s="813">
        <f>-56.5-BP42</f>
        <v>-14.600000000000001</v>
      </c>
      <c r="BR42" s="813">
        <f>-64.8-BQ42-BP42</f>
        <v>-8.2999999999999972</v>
      </c>
      <c r="BS42" s="813">
        <f t="shared" ref="BS42:BS51" si="64">BT42-BR42-BQ42-BP42</f>
        <v>-7</v>
      </c>
      <c r="BT42" s="812">
        <v>-71.8</v>
      </c>
      <c r="BU42" s="813">
        <v>-5.2</v>
      </c>
      <c r="BV42" s="813">
        <f>-7-BU42</f>
        <v>-1.7999999999999998</v>
      </c>
      <c r="BW42" s="813">
        <f>-7-BV42-BU42</f>
        <v>0</v>
      </c>
      <c r="BX42" s="813">
        <f t="shared" ref="BX42:BX51" si="65">BY42-BW42-BV42-BU42</f>
        <v>-122.19999999999999</v>
      </c>
      <c r="BY42" s="812">
        <v>-129.19999999999999</v>
      </c>
      <c r="BZ42" s="813">
        <v>-9.6</v>
      </c>
      <c r="CA42" s="813">
        <f>-359.8-BZ42</f>
        <v>-350.2</v>
      </c>
      <c r="CB42" s="813">
        <f>-459.1-CA42-BZ42</f>
        <v>-99.30000000000004</v>
      </c>
      <c r="CC42" s="813">
        <f t="shared" ref="CC42:CC51" si="66">CD42-CB42-CA42-BZ42</f>
        <v>-89.899999999999949</v>
      </c>
      <c r="CD42" s="812">
        <v>-549</v>
      </c>
      <c r="CE42" s="813">
        <v>-21</v>
      </c>
      <c r="CF42" s="813">
        <f>-105-CE42</f>
        <v>-84</v>
      </c>
      <c r="CG42" s="813">
        <f>-169.7-CF42-CE42</f>
        <v>-64.699999999999989</v>
      </c>
      <c r="CH42" s="813">
        <f t="shared" ref="CH42:CH51" si="67">CI42-CG42-CF42-CE42</f>
        <v>-796.3</v>
      </c>
      <c r="CI42" s="812">
        <v>-966</v>
      </c>
      <c r="CJ42" s="813">
        <v>-622.1</v>
      </c>
      <c r="CK42" s="813">
        <f>-1240.9-CJ42</f>
        <v>-618.80000000000007</v>
      </c>
      <c r="CL42" s="813">
        <f>-1578.6-SUM(CJ42:CK42)</f>
        <v>-337.69999999999982</v>
      </c>
      <c r="CM42" s="813">
        <f t="shared" ref="CM42:CM51" si="68">CN42-CL42-CK42-CJ42</f>
        <v>-170</v>
      </c>
      <c r="CN42" s="812">
        <v>-1748.6</v>
      </c>
      <c r="CO42" s="813">
        <v>-11.6</v>
      </c>
      <c r="CP42" s="813">
        <f>-119.9-CO42</f>
        <v>-108.30000000000001</v>
      </c>
      <c r="CQ42" s="815">
        <f>-495.8-SUM(CO42:CP42)</f>
        <v>-375.9</v>
      </c>
      <c r="CR42" s="815">
        <f t="shared" ref="CR42:CR51" si="69">CS42-SUM(CO42:CQ42)</f>
        <v>-290.10000000000002</v>
      </c>
      <c r="CS42" s="814">
        <v>-785.9</v>
      </c>
      <c r="CT42" s="815">
        <v>-577.20000000000005</v>
      </c>
      <c r="CU42" s="815">
        <f>-974.9-CT42</f>
        <v>-397.69999999999993</v>
      </c>
      <c r="CV42" s="816">
        <f>-1545.2-CU42-CT42</f>
        <v>-570.29999999999995</v>
      </c>
      <c r="CW42" s="817">
        <f>CX42-CV42-CU42-CT42</f>
        <v>-107.30000000000007</v>
      </c>
      <c r="CX42" s="818">
        <v>-1652.5</v>
      </c>
      <c r="CY42" s="815">
        <f>-133.1</f>
        <v>-133.1</v>
      </c>
      <c r="CZ42" s="815">
        <f>-282-CY42</f>
        <v>-148.9</v>
      </c>
      <c r="DA42" s="815">
        <f>-466.8-CZ42-CY42</f>
        <v>-184.79999999999998</v>
      </c>
      <c r="DB42" s="815">
        <f>DC42-DA42-CZ42-CY42</f>
        <v>-100.60000000000002</v>
      </c>
      <c r="DC42" s="814">
        <v>-567.4</v>
      </c>
      <c r="DD42" s="813">
        <v>-145.6</v>
      </c>
      <c r="DE42" s="815">
        <f>-579-DD42</f>
        <v>-433.4</v>
      </c>
      <c r="DF42" s="815">
        <f>-1022.7-DE42-DD42</f>
        <v>-443.70000000000005</v>
      </c>
      <c r="DG42" s="815">
        <f>DH42-DF42-DE42-DD42</f>
        <v>-563</v>
      </c>
      <c r="DH42" s="814">
        <v>-1585.7</v>
      </c>
      <c r="DI42" s="813">
        <f>-323.4</f>
        <v>-323.39999999999998</v>
      </c>
      <c r="DJ42" s="813">
        <f>-485.7-DI42</f>
        <v>-162.30000000000001</v>
      </c>
      <c r="DK42" s="815">
        <f>-592.5-SUM(DI42:DJ42)</f>
        <v>-106.80000000000001</v>
      </c>
      <c r="DL42" s="813">
        <f>-674.4-SUM(DI42:DK42)</f>
        <v>-81.899999999999977</v>
      </c>
      <c r="DM42" s="812">
        <f t="shared" ref="DM42:DM51" si="70">SUM(DI42:DL42)</f>
        <v>-674.4</v>
      </c>
      <c r="DN42" s="819">
        <v>0</v>
      </c>
      <c r="DO42" s="819">
        <v>0</v>
      </c>
      <c r="DP42" s="819">
        <v>0</v>
      </c>
      <c r="DQ42" s="819">
        <v>0</v>
      </c>
      <c r="DR42" s="820">
        <f t="shared" ref="DR42:DR51" si="71">SUM(DN42:DQ42)</f>
        <v>0</v>
      </c>
      <c r="DS42" s="819">
        <v>0</v>
      </c>
      <c r="DT42" s="819">
        <v>0</v>
      </c>
      <c r="DU42" s="819">
        <v>0</v>
      </c>
      <c r="DV42" s="819">
        <v>0</v>
      </c>
      <c r="DW42" s="820">
        <f t="shared" ref="DW42:DW51" si="72">SUM(DS42:DV42)</f>
        <v>0</v>
      </c>
      <c r="DX42" s="819">
        <v>0</v>
      </c>
      <c r="DY42" s="819">
        <v>0</v>
      </c>
      <c r="DZ42" s="819">
        <v>0</v>
      </c>
      <c r="EA42" s="819">
        <v>0</v>
      </c>
      <c r="EB42" s="820">
        <f t="shared" ref="EB42:EB51" si="73">SUM(DX42:EA42)</f>
        <v>0</v>
      </c>
      <c r="EE42" s="812">
        <f>BG42+BH42+BI42+BK42</f>
        <v>-555.55399999999997</v>
      </c>
      <c r="EF42" s="812">
        <f>BL42+BM42+BN42+BP42</f>
        <v>-130.96</v>
      </c>
      <c r="EG42" s="812">
        <f>BQ42+BR42+BS42+BU42</f>
        <v>-35.1</v>
      </c>
      <c r="EH42" s="812">
        <f>BV42+BW42+BX42+BZ42</f>
        <v>-133.6</v>
      </c>
      <c r="EI42" s="812"/>
      <c r="EJ42" s="812"/>
      <c r="EK42" s="812"/>
      <c r="EL42" s="812"/>
      <c r="EM42" s="812"/>
      <c r="EN42" s="812"/>
      <c r="EO42" s="812"/>
      <c r="EP42" s="812"/>
      <c r="EQ42" s="812"/>
      <c r="ER42" s="812"/>
      <c r="FC42"/>
      <c r="FD42"/>
      <c r="FE42"/>
      <c r="FF42"/>
      <c r="FG42"/>
      <c r="FH42"/>
      <c r="FI42" s="821"/>
      <c r="FJ42" s="822"/>
      <c r="FK42" s="822"/>
      <c r="FL42" s="822"/>
      <c r="FM42" s="822"/>
      <c r="FN42" s="822"/>
      <c r="FO42" s="822"/>
      <c r="FP42" s="822"/>
      <c r="FQ42" s="822"/>
      <c r="FR42" s="822"/>
      <c r="FS42" s="822"/>
      <c r="FT42" s="822"/>
      <c r="FU42" s="822"/>
      <c r="FV42" s="822"/>
      <c r="FW42" s="822"/>
      <c r="FX42" s="822"/>
      <c r="FY42" s="822"/>
      <c r="FZ42" s="822"/>
      <c r="GA42" s="822"/>
      <c r="GB42" s="822"/>
      <c r="GC42" s="822"/>
      <c r="GD42" s="822"/>
      <c r="GE42" s="822"/>
      <c r="GF42" s="822"/>
      <c r="GG42" s="822"/>
      <c r="GH42" s="822"/>
      <c r="GI42" s="822"/>
      <c r="GJ42" s="822"/>
      <c r="GK42" s="822"/>
      <c r="GL42" s="822"/>
      <c r="GM42" s="822"/>
      <c r="GN42" s="822"/>
      <c r="GO42" s="822"/>
      <c r="GP42" s="822"/>
      <c r="GQ42" s="822"/>
      <c r="GR42" s="822"/>
      <c r="GS42" s="822"/>
      <c r="GT42" s="822"/>
      <c r="GU42" s="822"/>
      <c r="GV42" s="822"/>
      <c r="GW42" s="821"/>
      <c r="GX42" s="821"/>
      <c r="GY42" s="821"/>
      <c r="GZ42" s="821"/>
      <c r="HA42" s="821"/>
      <c r="HB42" s="821"/>
      <c r="HC42" s="821"/>
      <c r="HD42" s="821"/>
      <c r="HE42" s="821"/>
      <c r="HF42" s="821"/>
      <c r="HG42" s="821"/>
      <c r="HH42" s="821"/>
      <c r="HI42" s="821"/>
      <c r="HJ42" s="821"/>
      <c r="HK42" s="821"/>
      <c r="HL42" s="821"/>
      <c r="HM42" s="821"/>
      <c r="HN42" s="821"/>
      <c r="HO42" s="821"/>
      <c r="HP42" s="821"/>
      <c r="HQ42" s="821"/>
      <c r="HR42" s="821"/>
      <c r="HS42" s="821"/>
      <c r="HT42" s="821"/>
      <c r="HU42" s="821"/>
      <c r="HV42" s="821"/>
      <c r="HW42" s="821"/>
      <c r="HX42" s="821"/>
      <c r="HY42" s="821"/>
      <c r="HZ42" s="821"/>
      <c r="IA42" s="821"/>
      <c r="IB42" s="821"/>
      <c r="IC42" s="821"/>
      <c r="ID42" s="821"/>
      <c r="IE42" s="821"/>
      <c r="IF42" s="821"/>
      <c r="IG42" s="821"/>
      <c r="IH42" s="821"/>
      <c r="II42" s="821"/>
      <c r="IJ42" s="821"/>
      <c r="IK42" s="821"/>
      <c r="IL42" s="821"/>
      <c r="IM42" s="821"/>
      <c r="IN42" s="821"/>
      <c r="IO42" s="821"/>
      <c r="IP42" s="821"/>
      <c r="IQ42" s="821"/>
      <c r="IR42" s="821"/>
      <c r="IS42" s="821"/>
      <c r="IT42" s="821"/>
      <c r="IU42" s="821"/>
      <c r="IV42" s="821"/>
    </row>
    <row r="43" spans="1:256" s="811" customFormat="1" x14ac:dyDescent="0.2">
      <c r="A43" s="811" t="s">
        <v>447</v>
      </c>
      <c r="B43" s="812">
        <v>0</v>
      </c>
      <c r="C43" s="813">
        <v>0</v>
      </c>
      <c r="D43" s="813">
        <v>0</v>
      </c>
      <c r="E43" s="813">
        <v>0</v>
      </c>
      <c r="F43" s="813">
        <f t="shared" si="51"/>
        <v>0</v>
      </c>
      <c r="G43" s="812">
        <v>0</v>
      </c>
      <c r="H43" s="813">
        <v>0</v>
      </c>
      <c r="I43" s="813">
        <v>0</v>
      </c>
      <c r="J43" s="813">
        <v>0</v>
      </c>
      <c r="K43" s="813">
        <f t="shared" si="52"/>
        <v>0</v>
      </c>
      <c r="L43" s="812">
        <v>0</v>
      </c>
      <c r="M43" s="813">
        <v>0</v>
      </c>
      <c r="N43" s="813">
        <v>0</v>
      </c>
      <c r="O43" s="813">
        <v>0</v>
      </c>
      <c r="P43" s="813">
        <f t="shared" si="53"/>
        <v>0</v>
      </c>
      <c r="Q43" s="812">
        <v>0</v>
      </c>
      <c r="R43" s="813">
        <v>0</v>
      </c>
      <c r="S43" s="813">
        <v>0</v>
      </c>
      <c r="T43" s="813">
        <v>0</v>
      </c>
      <c r="U43" s="813">
        <f t="shared" si="54"/>
        <v>0</v>
      </c>
      <c r="V43" s="812">
        <v>0</v>
      </c>
      <c r="W43" s="813">
        <v>0</v>
      </c>
      <c r="X43" s="813">
        <v>0</v>
      </c>
      <c r="Y43" s="813">
        <v>0</v>
      </c>
      <c r="Z43" s="813">
        <f t="shared" si="55"/>
        <v>0</v>
      </c>
      <c r="AA43" s="812">
        <v>0</v>
      </c>
      <c r="AB43" s="813">
        <v>10</v>
      </c>
      <c r="AC43" s="813">
        <f>28-AB43</f>
        <v>18</v>
      </c>
      <c r="AD43" s="813">
        <f>44.75-AB43-AC43</f>
        <v>16.75</v>
      </c>
      <c r="AE43" s="813">
        <f t="shared" si="56"/>
        <v>14</v>
      </c>
      <c r="AF43" s="812">
        <v>58.75</v>
      </c>
      <c r="AG43" s="813">
        <v>36</v>
      </c>
      <c r="AH43" s="813">
        <f>62-AG43</f>
        <v>26</v>
      </c>
      <c r="AI43" s="813">
        <f>76.5-AH43-AG43</f>
        <v>14.5</v>
      </c>
      <c r="AJ43" s="813">
        <f t="shared" si="57"/>
        <v>17</v>
      </c>
      <c r="AK43" s="812">
        <v>93.5</v>
      </c>
      <c r="AL43" s="813">
        <v>0</v>
      </c>
      <c r="AM43" s="813">
        <f>106.26-AL43</f>
        <v>106.26</v>
      </c>
      <c r="AN43" s="813">
        <f>129.26-AM43-AL43</f>
        <v>22.999999999999986</v>
      </c>
      <c r="AO43" s="813">
        <f t="shared" si="58"/>
        <v>-50.910999999999987</v>
      </c>
      <c r="AP43" s="812">
        <v>78.349000000000004</v>
      </c>
      <c r="AQ43" s="813">
        <v>45.27</v>
      </c>
      <c r="AR43" s="813">
        <f>62.401-AQ43</f>
        <v>17.131</v>
      </c>
      <c r="AS43" s="813">
        <f>132.558-AQ43-AR43</f>
        <v>70.156999999999982</v>
      </c>
      <c r="AT43" s="813">
        <f t="shared" si="59"/>
        <v>48.129000000000026</v>
      </c>
      <c r="AU43" s="812">
        <v>180.68700000000001</v>
      </c>
      <c r="AV43" s="813">
        <v>17.059999999999999</v>
      </c>
      <c r="AW43" s="813">
        <f>62.631-AV43</f>
        <v>45.570999999999998</v>
      </c>
      <c r="AX43" s="813">
        <f>107.943-AW43-AV43</f>
        <v>45.311999999999998</v>
      </c>
      <c r="AY43" s="813">
        <f t="shared" si="60"/>
        <v>62.845999999999989</v>
      </c>
      <c r="AZ43" s="812">
        <v>170.78899999999999</v>
      </c>
      <c r="BA43" s="813">
        <v>115.491</v>
      </c>
      <c r="BB43" s="813">
        <f>362.666-BA43</f>
        <v>247.17500000000001</v>
      </c>
      <c r="BC43" s="813">
        <f>449.524-(SUM(BA43:BB43))</f>
        <v>86.858000000000004</v>
      </c>
      <c r="BD43" s="813">
        <f t="shared" si="61"/>
        <v>20.029999999999959</v>
      </c>
      <c r="BE43" s="812">
        <v>469.55399999999997</v>
      </c>
      <c r="BF43" s="813">
        <v>14.734</v>
      </c>
      <c r="BG43" s="813">
        <f>127.604-BF43</f>
        <v>112.87</v>
      </c>
      <c r="BH43" s="813">
        <f>193.184-BG43-BF43</f>
        <v>65.58</v>
      </c>
      <c r="BI43" s="813">
        <f t="shared" si="62"/>
        <v>75.950000000000031</v>
      </c>
      <c r="BJ43" s="812">
        <v>269.13400000000001</v>
      </c>
      <c r="BK43" s="813">
        <v>115.16500000000001</v>
      </c>
      <c r="BL43" s="813">
        <f>134.712-BK43</f>
        <v>19.546999999999983</v>
      </c>
      <c r="BM43" s="813">
        <f>162.212-BL43-BK43</f>
        <v>27.500000000000014</v>
      </c>
      <c r="BN43" s="813">
        <f t="shared" si="63"/>
        <v>15.954999999999998</v>
      </c>
      <c r="BO43" s="812">
        <v>178.167</v>
      </c>
      <c r="BP43" s="813">
        <v>0</v>
      </c>
      <c r="BQ43" s="813">
        <f>15.3-BP43</f>
        <v>15.3</v>
      </c>
      <c r="BR43" s="813">
        <f>15.3-BQ43-BP43</f>
        <v>0</v>
      </c>
      <c r="BS43" s="813">
        <f t="shared" si="64"/>
        <v>4.6999999999999993</v>
      </c>
      <c r="BT43" s="812">
        <v>20</v>
      </c>
      <c r="BU43" s="813">
        <v>0</v>
      </c>
      <c r="BV43" s="813">
        <v>0</v>
      </c>
      <c r="BW43" s="813">
        <f>7.4-BV43-BU43</f>
        <v>7.4</v>
      </c>
      <c r="BX43" s="813">
        <f t="shared" si="65"/>
        <v>103.6</v>
      </c>
      <c r="BY43" s="812">
        <v>111</v>
      </c>
      <c r="BZ43" s="813">
        <v>21.8</v>
      </c>
      <c r="CA43" s="813">
        <f>23.9-BZ43</f>
        <v>2.0999999999999979</v>
      </c>
      <c r="CB43" s="813">
        <f>63.5-CA43-BZ43</f>
        <v>39.600000000000009</v>
      </c>
      <c r="CC43" s="813">
        <f t="shared" si="66"/>
        <v>146.4</v>
      </c>
      <c r="CD43" s="812">
        <v>209.9</v>
      </c>
      <c r="CE43" s="813">
        <v>113.8</v>
      </c>
      <c r="CF43" s="813">
        <f>214.6-CE43</f>
        <v>100.8</v>
      </c>
      <c r="CG43" s="813">
        <f>333.7-CF43-CE43</f>
        <v>119.09999999999998</v>
      </c>
      <c r="CH43" s="813">
        <f t="shared" si="67"/>
        <v>96.300000000000026</v>
      </c>
      <c r="CI43" s="812">
        <v>430</v>
      </c>
      <c r="CJ43" s="813">
        <v>780.8</v>
      </c>
      <c r="CK43" s="813">
        <f>1306.9-CJ43</f>
        <v>526.10000000000014</v>
      </c>
      <c r="CL43" s="813">
        <f>1452.9-SUM(CJ43:CK43)</f>
        <v>146</v>
      </c>
      <c r="CM43" s="813">
        <f t="shared" si="68"/>
        <v>343.5</v>
      </c>
      <c r="CN43" s="812">
        <v>1796.4</v>
      </c>
      <c r="CO43" s="813">
        <v>287.89999999999998</v>
      </c>
      <c r="CP43" s="813">
        <f>569.9-CO43</f>
        <v>282</v>
      </c>
      <c r="CQ43" s="815">
        <f>803.2-SUM(CO43:CP43)</f>
        <v>233.30000000000007</v>
      </c>
      <c r="CR43" s="815">
        <f t="shared" si="69"/>
        <v>237</v>
      </c>
      <c r="CS43" s="814">
        <v>1040.2</v>
      </c>
      <c r="CT43" s="815">
        <v>659.4</v>
      </c>
      <c r="CU43" s="815">
        <f>943.9-CT43</f>
        <v>284.5</v>
      </c>
      <c r="CV43" s="816">
        <f>1257.9-CU43-CT43</f>
        <v>314.00000000000011</v>
      </c>
      <c r="CW43" s="817">
        <f>CX43-CV43-CU43-CT43</f>
        <v>653.00000000000011</v>
      </c>
      <c r="CX43" s="818">
        <f>1454.8+456.1</f>
        <v>1910.9</v>
      </c>
      <c r="CY43" s="815">
        <v>7.4</v>
      </c>
      <c r="CZ43" s="815">
        <f>12.7-CY43</f>
        <v>5.2999999999999989</v>
      </c>
      <c r="DA43" s="815">
        <f>16-CZ43-CY43</f>
        <v>3.3000000000000007</v>
      </c>
      <c r="DB43" s="815">
        <f>DC43-DA43-CZ43-CY43</f>
        <v>584.60000000000014</v>
      </c>
      <c r="DC43" s="814">
        <v>600.6</v>
      </c>
      <c r="DD43" s="813">
        <v>85.3</v>
      </c>
      <c r="DE43" s="815">
        <f>4.4-DD43</f>
        <v>-80.899999999999991</v>
      </c>
      <c r="DF43" s="815">
        <f>11.8-DE43-DD43</f>
        <v>7.3999999999999915</v>
      </c>
      <c r="DG43" s="815">
        <f>DH43-DF43-DE43-DD43</f>
        <v>16.100000000000009</v>
      </c>
      <c r="DH43" s="814">
        <v>27.9</v>
      </c>
      <c r="DI43" s="813">
        <v>18.100000000000001</v>
      </c>
      <c r="DJ43" s="813">
        <f>33.6-DI43</f>
        <v>15.5</v>
      </c>
      <c r="DK43" s="815">
        <f>61.7-SUM(DI43:DJ43)</f>
        <v>28.1</v>
      </c>
      <c r="DL43" s="813">
        <f>149.6-SUM(DI43:DK43)</f>
        <v>87.899999999999991</v>
      </c>
      <c r="DM43" s="812">
        <f>SUM(DI43:DL43)</f>
        <v>149.6</v>
      </c>
      <c r="DN43" s="819">
        <v>0</v>
      </c>
      <c r="DO43" s="819">
        <v>0</v>
      </c>
      <c r="DP43" s="819">
        <v>0</v>
      </c>
      <c r="DQ43" s="819">
        <v>0</v>
      </c>
      <c r="DR43" s="820">
        <f t="shared" si="71"/>
        <v>0</v>
      </c>
      <c r="DS43" s="819">
        <v>0</v>
      </c>
      <c r="DT43" s="819">
        <v>0</v>
      </c>
      <c r="DU43" s="819">
        <v>0</v>
      </c>
      <c r="DV43" s="819">
        <v>0</v>
      </c>
      <c r="DW43" s="820">
        <f t="shared" si="72"/>
        <v>0</v>
      </c>
      <c r="DX43" s="819">
        <v>0</v>
      </c>
      <c r="DY43" s="819">
        <v>0</v>
      </c>
      <c r="DZ43" s="819">
        <v>0</v>
      </c>
      <c r="EA43" s="819">
        <v>0</v>
      </c>
      <c r="EB43" s="820">
        <f t="shared" si="73"/>
        <v>0</v>
      </c>
      <c r="EE43" s="812"/>
      <c r="EF43" s="812"/>
      <c r="EG43" s="812"/>
      <c r="EH43" s="812"/>
      <c r="EI43" s="812"/>
      <c r="EJ43" s="812"/>
      <c r="EK43" s="812"/>
      <c r="EL43" s="812"/>
      <c r="EM43" s="812"/>
      <c r="EN43" s="812"/>
      <c r="EO43" s="812"/>
      <c r="EP43" s="812"/>
      <c r="EQ43" s="812"/>
      <c r="ER43" s="812"/>
      <c r="FC43"/>
      <c r="FD43"/>
      <c r="FE43"/>
      <c r="FF43"/>
      <c r="FG43"/>
      <c r="FH43"/>
      <c r="FI43" s="821"/>
      <c r="FJ43" s="822"/>
      <c r="FK43" s="822"/>
      <c r="FL43" s="822"/>
      <c r="FM43" s="822"/>
      <c r="FN43" s="822"/>
      <c r="FO43" s="822"/>
      <c r="FP43" s="822"/>
      <c r="FQ43" s="822"/>
      <c r="FR43" s="822"/>
      <c r="FS43" s="822"/>
      <c r="FT43" s="822"/>
      <c r="FU43" s="822"/>
      <c r="FV43" s="822"/>
      <c r="FW43" s="822"/>
      <c r="FX43" s="822"/>
      <c r="FY43" s="822"/>
      <c r="FZ43" s="822"/>
      <c r="GA43" s="822"/>
      <c r="GB43" s="822"/>
      <c r="GC43" s="822"/>
      <c r="GD43" s="822"/>
      <c r="GE43" s="822"/>
      <c r="GF43" s="822"/>
      <c r="GG43" s="822"/>
      <c r="GH43" s="822"/>
      <c r="GI43" s="822"/>
      <c r="GJ43" s="822"/>
      <c r="GK43" s="822"/>
      <c r="GL43" s="822"/>
      <c r="GM43" s="822"/>
      <c r="GN43" s="822"/>
      <c r="GO43" s="822"/>
      <c r="GP43" s="822"/>
      <c r="GQ43" s="822"/>
      <c r="GR43" s="822"/>
      <c r="GS43" s="822"/>
      <c r="GT43" s="822"/>
      <c r="GU43" s="822"/>
      <c r="GV43" s="822"/>
      <c r="GW43" s="821"/>
      <c r="GX43" s="821"/>
      <c r="GY43" s="821"/>
      <c r="GZ43" s="821"/>
      <c r="HA43" s="821"/>
      <c r="HB43" s="821"/>
      <c r="HC43" s="821"/>
      <c r="HD43" s="821"/>
      <c r="HE43" s="821"/>
      <c r="HF43" s="821"/>
      <c r="HG43" s="821"/>
      <c r="HH43" s="821"/>
      <c r="HI43" s="821"/>
      <c r="HJ43" s="821"/>
      <c r="HK43" s="821"/>
      <c r="HL43" s="821"/>
      <c r="HM43" s="821"/>
      <c r="HN43" s="821"/>
      <c r="HO43" s="821"/>
      <c r="HP43" s="821"/>
      <c r="HQ43" s="821"/>
      <c r="HR43" s="821"/>
      <c r="HS43" s="821"/>
      <c r="HT43" s="821"/>
      <c r="HU43" s="821"/>
      <c r="HV43" s="821"/>
      <c r="HW43" s="821"/>
      <c r="HX43" s="821"/>
      <c r="HY43" s="821"/>
      <c r="HZ43" s="821"/>
      <c r="IA43" s="821"/>
      <c r="IB43" s="821"/>
      <c r="IC43" s="821"/>
      <c r="ID43" s="821"/>
      <c r="IE43" s="821"/>
      <c r="IF43" s="821"/>
      <c r="IG43" s="821"/>
      <c r="IH43" s="821"/>
      <c r="II43" s="821"/>
      <c r="IJ43" s="821"/>
      <c r="IK43" s="821"/>
      <c r="IL43" s="821"/>
      <c r="IM43" s="821"/>
      <c r="IN43" s="821"/>
      <c r="IO43" s="821"/>
      <c r="IP43" s="821"/>
      <c r="IQ43" s="821"/>
      <c r="IR43" s="821"/>
      <c r="IS43" s="821"/>
      <c r="IT43" s="821"/>
      <c r="IU43" s="821"/>
      <c r="IV43" s="821"/>
    </row>
    <row r="44" spans="1:256" s="811" customFormat="1" x14ac:dyDescent="0.2">
      <c r="A44" s="811" t="s">
        <v>446</v>
      </c>
      <c r="B44" s="812">
        <v>0</v>
      </c>
      <c r="C44" s="813">
        <v>0</v>
      </c>
      <c r="D44" s="813">
        <v>0</v>
      </c>
      <c r="E44" s="813">
        <v>0</v>
      </c>
      <c r="F44" s="813">
        <f t="shared" si="51"/>
        <v>0</v>
      </c>
      <c r="G44" s="812">
        <v>0</v>
      </c>
      <c r="H44" s="813">
        <v>0</v>
      </c>
      <c r="I44" s="813">
        <v>0</v>
      </c>
      <c r="J44" s="813">
        <v>0</v>
      </c>
      <c r="K44" s="813">
        <f t="shared" si="52"/>
        <v>0</v>
      </c>
      <c r="L44" s="812">
        <v>0</v>
      </c>
      <c r="M44" s="813">
        <v>0</v>
      </c>
      <c r="N44" s="813">
        <v>0</v>
      </c>
      <c r="O44" s="813">
        <v>0</v>
      </c>
      <c r="P44" s="813">
        <f t="shared" si="53"/>
        <v>0</v>
      </c>
      <c r="Q44" s="812">
        <v>0</v>
      </c>
      <c r="R44" s="813">
        <v>0</v>
      </c>
      <c r="S44" s="813">
        <v>0</v>
      </c>
      <c r="T44" s="813">
        <v>0</v>
      </c>
      <c r="U44" s="813">
        <f t="shared" si="54"/>
        <v>0</v>
      </c>
      <c r="V44" s="812">
        <v>0</v>
      </c>
      <c r="W44" s="813">
        <v>0</v>
      </c>
      <c r="X44" s="813">
        <v>0</v>
      </c>
      <c r="Y44" s="813">
        <v>0</v>
      </c>
      <c r="Z44" s="813">
        <f t="shared" si="55"/>
        <v>0</v>
      </c>
      <c r="AA44" s="812">
        <v>0</v>
      </c>
      <c r="AB44" s="813">
        <v>5.282</v>
      </c>
      <c r="AC44" s="813">
        <f>35.524-AB44</f>
        <v>30.242000000000001</v>
      </c>
      <c r="AD44" s="813">
        <f>48.238-AB44-AC44</f>
        <v>12.714000000000002</v>
      </c>
      <c r="AE44" s="813">
        <f t="shared" si="56"/>
        <v>1</v>
      </c>
      <c r="AF44" s="812">
        <v>49.238</v>
      </c>
      <c r="AG44" s="813">
        <v>2</v>
      </c>
      <c r="AH44" s="813">
        <f>2-AG44</f>
        <v>0</v>
      </c>
      <c r="AI44" s="813">
        <f>2-AH44-AG44</f>
        <v>0</v>
      </c>
      <c r="AJ44" s="813">
        <f t="shared" si="57"/>
        <v>44.930999999999997</v>
      </c>
      <c r="AK44" s="812">
        <v>46.930999999999997</v>
      </c>
      <c r="AL44" s="813">
        <v>98</v>
      </c>
      <c r="AM44" s="813">
        <f>2-AL44</f>
        <v>-96</v>
      </c>
      <c r="AN44" s="813">
        <f>36.849-AM44-AL44</f>
        <v>34.84899999999999</v>
      </c>
      <c r="AO44" s="813">
        <f t="shared" si="58"/>
        <v>107.911</v>
      </c>
      <c r="AP44" s="812">
        <v>144.76</v>
      </c>
      <c r="AQ44" s="813">
        <v>40.094000000000001</v>
      </c>
      <c r="AR44" s="813">
        <f>52.314-AQ44</f>
        <v>12.219999999999999</v>
      </c>
      <c r="AS44" s="813">
        <f>69.178-AQ44-AR44</f>
        <v>16.863999999999997</v>
      </c>
      <c r="AT44" s="813">
        <f t="shared" si="59"/>
        <v>19.711000000000006</v>
      </c>
      <c r="AU44" s="812">
        <v>88.888999999999996</v>
      </c>
      <c r="AV44" s="813">
        <v>14.585000000000001</v>
      </c>
      <c r="AW44" s="813">
        <f>66.687-AV44</f>
        <v>52.101999999999997</v>
      </c>
      <c r="AX44" s="813">
        <f>89.321-AW44-AV44</f>
        <v>22.634</v>
      </c>
      <c r="AY44" s="813">
        <f t="shared" si="60"/>
        <v>363.14600000000002</v>
      </c>
      <c r="AZ44" s="812">
        <v>452.46699999999998</v>
      </c>
      <c r="BA44" s="813">
        <v>38.668999999999997</v>
      </c>
      <c r="BB44" s="813">
        <f>196.395-BA44</f>
        <v>157.726</v>
      </c>
      <c r="BC44" s="813">
        <f>507.589-(SUM(BA44:BB44))</f>
        <v>311.19400000000002</v>
      </c>
      <c r="BD44" s="813">
        <f t="shared" si="61"/>
        <v>118.52400000000004</v>
      </c>
      <c r="BE44" s="812">
        <v>626.11300000000006</v>
      </c>
      <c r="BF44" s="813">
        <v>76.504000000000005</v>
      </c>
      <c r="BG44" s="813">
        <f>154.25-BF44</f>
        <v>77.745999999999995</v>
      </c>
      <c r="BH44" s="813">
        <f>291.878-BG44-BF44</f>
        <v>137.62799999999999</v>
      </c>
      <c r="BI44" s="813">
        <f t="shared" si="62"/>
        <v>139.303</v>
      </c>
      <c r="BJ44" s="812">
        <v>431.18099999999998</v>
      </c>
      <c r="BK44" s="813">
        <v>0</v>
      </c>
      <c r="BL44" s="813">
        <f>36.897-BK44</f>
        <v>36.896999999999998</v>
      </c>
      <c r="BM44" s="813">
        <f>36.897-BL44-BK44</f>
        <v>0</v>
      </c>
      <c r="BN44" s="813">
        <f t="shared" si="63"/>
        <v>10.600000000000001</v>
      </c>
      <c r="BO44" s="812">
        <v>47.497</v>
      </c>
      <c r="BP44" s="813">
        <v>33.799999999999997</v>
      </c>
      <c r="BQ44" s="813">
        <f>75.9-BP44</f>
        <v>42.100000000000009</v>
      </c>
      <c r="BR44" s="813">
        <f>75.9-BQ44-BP44</f>
        <v>0</v>
      </c>
      <c r="BS44" s="813">
        <f t="shared" si="64"/>
        <v>0</v>
      </c>
      <c r="BT44" s="812">
        <v>75.900000000000006</v>
      </c>
      <c r="BU44" s="813">
        <v>0</v>
      </c>
      <c r="BV44" s="813">
        <v>0</v>
      </c>
      <c r="BW44" s="813">
        <f>5-BV44-BU44</f>
        <v>5</v>
      </c>
      <c r="BX44" s="813">
        <f t="shared" si="65"/>
        <v>0</v>
      </c>
      <c r="BY44" s="812">
        <v>5</v>
      </c>
      <c r="BZ44" s="813">
        <v>0</v>
      </c>
      <c r="CA44" s="813">
        <v>0</v>
      </c>
      <c r="CB44" s="813">
        <v>0</v>
      </c>
      <c r="CC44" s="813">
        <f t="shared" si="66"/>
        <v>1.1000000000000001</v>
      </c>
      <c r="CD44" s="812">
        <v>1.1000000000000001</v>
      </c>
      <c r="CE44" s="813">
        <v>0</v>
      </c>
      <c r="CF44" s="813">
        <v>0</v>
      </c>
      <c r="CG44" s="813">
        <v>0</v>
      </c>
      <c r="CH44" s="813">
        <f t="shared" si="67"/>
        <v>0</v>
      </c>
      <c r="CI44" s="814">
        <v>0</v>
      </c>
      <c r="CJ44" s="815">
        <v>0</v>
      </c>
      <c r="CK44" s="815">
        <v>0</v>
      </c>
      <c r="CL44" s="815">
        <v>0</v>
      </c>
      <c r="CM44" s="815">
        <f t="shared" si="68"/>
        <v>0</v>
      </c>
      <c r="CN44" s="814">
        <v>0</v>
      </c>
      <c r="CO44" s="815">
        <v>0</v>
      </c>
      <c r="CP44" s="815">
        <v>0</v>
      </c>
      <c r="CQ44" s="815">
        <v>0</v>
      </c>
      <c r="CR44" s="815">
        <f t="shared" si="69"/>
        <v>0</v>
      </c>
      <c r="CS44" s="814">
        <v>0</v>
      </c>
      <c r="CT44" s="815">
        <v>0</v>
      </c>
      <c r="CU44" s="815">
        <v>0</v>
      </c>
      <c r="CV44" s="816">
        <v>0</v>
      </c>
      <c r="CW44" s="817">
        <v>0</v>
      </c>
      <c r="CX44" s="818">
        <f t="shared" ref="CX44:CX49" si="74">SUM(CT44:CW44)</f>
        <v>0</v>
      </c>
      <c r="CY44" s="815">
        <v>177.5</v>
      </c>
      <c r="CZ44" s="815">
        <f>305.3-CY44</f>
        <v>127.80000000000001</v>
      </c>
      <c r="DA44" s="815">
        <f>420.1-CZ44-CY44</f>
        <v>114.80000000000001</v>
      </c>
      <c r="DB44" s="815">
        <f>DC44-DA44-CZ44-CY44</f>
        <v>-401.3</v>
      </c>
      <c r="DC44" s="814">
        <v>18.8</v>
      </c>
      <c r="DD44" s="813">
        <v>0.8</v>
      </c>
      <c r="DE44" s="815">
        <f>247.7-DD44</f>
        <v>246.89999999999998</v>
      </c>
      <c r="DF44" s="815">
        <f>409.6-DE44-DD44</f>
        <v>161.90000000000003</v>
      </c>
      <c r="DG44" s="815">
        <f>DH44-DF44-DE44-DD44</f>
        <v>271.09999999999997</v>
      </c>
      <c r="DH44" s="814">
        <v>680.7</v>
      </c>
      <c r="DI44" s="813">
        <v>149.6</v>
      </c>
      <c r="DJ44" s="813">
        <f>470.6-DI44</f>
        <v>321</v>
      </c>
      <c r="DK44" s="815">
        <f>831.7-SUM(DI44:DJ44)</f>
        <v>361.1</v>
      </c>
      <c r="DL44" s="813">
        <f>1054.5-SUM(DI44:DK44)</f>
        <v>222.79999999999995</v>
      </c>
      <c r="DM44" s="812">
        <f t="shared" si="70"/>
        <v>1054.5</v>
      </c>
      <c r="DN44" s="819">
        <v>0</v>
      </c>
      <c r="DO44" s="819">
        <v>0</v>
      </c>
      <c r="DP44" s="819">
        <v>0</v>
      </c>
      <c r="DQ44" s="819">
        <v>0</v>
      </c>
      <c r="DR44" s="820">
        <f t="shared" si="71"/>
        <v>0</v>
      </c>
      <c r="DS44" s="819">
        <v>0</v>
      </c>
      <c r="DT44" s="819">
        <v>0</v>
      </c>
      <c r="DU44" s="819">
        <v>0</v>
      </c>
      <c r="DV44" s="819">
        <v>0</v>
      </c>
      <c r="DW44" s="820">
        <f t="shared" si="72"/>
        <v>0</v>
      </c>
      <c r="DX44" s="819">
        <v>0</v>
      </c>
      <c r="DY44" s="819">
        <v>0</v>
      </c>
      <c r="DZ44" s="819">
        <v>0</v>
      </c>
      <c r="EA44" s="819">
        <v>0</v>
      </c>
      <c r="EB44" s="820">
        <f t="shared" si="73"/>
        <v>0</v>
      </c>
      <c r="EE44" s="812"/>
      <c r="EF44" s="812"/>
      <c r="EG44" s="812"/>
      <c r="EH44" s="812"/>
      <c r="EI44" s="812"/>
      <c r="EJ44" s="812"/>
      <c r="EK44" s="812"/>
      <c r="EL44" s="812"/>
      <c r="EM44" s="812"/>
      <c r="EN44" s="812"/>
      <c r="EO44" s="812"/>
      <c r="EP44" s="812"/>
      <c r="EQ44" s="812"/>
      <c r="ER44" s="812"/>
      <c r="FC44"/>
      <c r="FD44"/>
      <c r="FE44"/>
      <c r="FF44"/>
      <c r="FG44"/>
      <c r="FH44"/>
      <c r="FI44" s="821"/>
      <c r="FJ44" s="822"/>
      <c r="FK44" s="822"/>
      <c r="FL44" s="822"/>
      <c r="FM44" s="822"/>
      <c r="FN44" s="822"/>
      <c r="FO44" s="822"/>
      <c r="FP44" s="822"/>
      <c r="FQ44" s="822"/>
      <c r="FR44" s="822"/>
      <c r="FS44" s="822"/>
      <c r="FT44" s="822"/>
      <c r="FU44" s="822"/>
      <c r="FV44" s="822"/>
      <c r="FW44" s="822"/>
      <c r="FX44" s="822"/>
      <c r="FY44" s="822"/>
      <c r="FZ44" s="822"/>
      <c r="GA44" s="822"/>
      <c r="GB44" s="822"/>
      <c r="GC44" s="822"/>
      <c r="GD44" s="822"/>
      <c r="GE44" s="822"/>
      <c r="GF44" s="822"/>
      <c r="GG44" s="822"/>
      <c r="GH44" s="822"/>
      <c r="GI44" s="822"/>
      <c r="GJ44" s="822"/>
      <c r="GK44" s="822"/>
      <c r="GL44" s="822"/>
      <c r="GM44" s="822"/>
      <c r="GN44" s="822"/>
      <c r="GO44" s="822"/>
      <c r="GP44" s="822"/>
      <c r="GQ44" s="822"/>
      <c r="GR44" s="822"/>
      <c r="GS44" s="822"/>
      <c r="GT44" s="822"/>
      <c r="GU44" s="822"/>
      <c r="GV44" s="822"/>
      <c r="GW44" s="821"/>
      <c r="GX44" s="821"/>
      <c r="GY44" s="821"/>
      <c r="GZ44" s="821"/>
      <c r="HA44" s="821"/>
      <c r="HB44" s="821"/>
      <c r="HC44" s="821"/>
      <c r="HD44" s="821"/>
      <c r="HE44" s="821"/>
      <c r="HF44" s="821"/>
      <c r="HG44" s="821"/>
      <c r="HH44" s="821"/>
      <c r="HI44" s="821"/>
      <c r="HJ44" s="821"/>
      <c r="HK44" s="821"/>
      <c r="HL44" s="821"/>
      <c r="HM44" s="821"/>
      <c r="HN44" s="821"/>
      <c r="HO44" s="821"/>
      <c r="HP44" s="821"/>
      <c r="HQ44" s="821"/>
      <c r="HR44" s="821"/>
      <c r="HS44" s="821"/>
      <c r="HT44" s="821"/>
      <c r="HU44" s="821"/>
      <c r="HV44" s="821"/>
      <c r="HW44" s="821"/>
      <c r="HX44" s="821"/>
      <c r="HY44" s="821"/>
      <c r="HZ44" s="821"/>
      <c r="IA44" s="821"/>
      <c r="IB44" s="821"/>
      <c r="IC44" s="821"/>
      <c r="ID44" s="821"/>
      <c r="IE44" s="821"/>
      <c r="IF44" s="821"/>
      <c r="IG44" s="821"/>
      <c r="IH44" s="821"/>
      <c r="II44" s="821"/>
      <c r="IJ44" s="821"/>
      <c r="IK44" s="821"/>
      <c r="IL44" s="821"/>
      <c r="IM44" s="821"/>
      <c r="IN44" s="821"/>
      <c r="IO44" s="821"/>
      <c r="IP44" s="821"/>
      <c r="IQ44" s="821"/>
      <c r="IR44" s="821"/>
      <c r="IS44" s="821"/>
      <c r="IT44" s="821"/>
      <c r="IU44" s="821"/>
      <c r="IV44" s="821"/>
    </row>
    <row r="45" spans="1:256" s="1" customFormat="1" x14ac:dyDescent="0.2">
      <c r="A45" s="1" t="s">
        <v>445</v>
      </c>
      <c r="B45" s="125">
        <v>0</v>
      </c>
      <c r="C45" s="111">
        <v>0</v>
      </c>
      <c r="D45" s="111">
        <v>0</v>
      </c>
      <c r="E45" s="111">
        <v>0</v>
      </c>
      <c r="F45" s="111">
        <f t="shared" si="51"/>
        <v>0</v>
      </c>
      <c r="G45" s="125">
        <v>0</v>
      </c>
      <c r="H45" s="111">
        <v>0</v>
      </c>
      <c r="I45" s="111">
        <v>0</v>
      </c>
      <c r="J45" s="111">
        <v>0</v>
      </c>
      <c r="K45" s="111">
        <f t="shared" si="52"/>
        <v>0</v>
      </c>
      <c r="L45" s="125">
        <v>0</v>
      </c>
      <c r="M45" s="111">
        <v>0</v>
      </c>
      <c r="N45" s="111">
        <v>0</v>
      </c>
      <c r="O45" s="111">
        <v>0</v>
      </c>
      <c r="P45" s="111">
        <f t="shared" si="53"/>
        <v>0</v>
      </c>
      <c r="Q45" s="125">
        <v>0</v>
      </c>
      <c r="R45" s="111">
        <v>0</v>
      </c>
      <c r="S45" s="111">
        <v>0</v>
      </c>
      <c r="T45" s="111">
        <v>0</v>
      </c>
      <c r="U45" s="111">
        <f t="shared" si="54"/>
        <v>0</v>
      </c>
      <c r="V45" s="125">
        <v>0</v>
      </c>
      <c r="W45" s="111">
        <v>0</v>
      </c>
      <c r="X45" s="111">
        <v>0</v>
      </c>
      <c r="Y45" s="111">
        <v>0</v>
      </c>
      <c r="Z45" s="111">
        <f t="shared" si="55"/>
        <v>0</v>
      </c>
      <c r="AA45" s="125">
        <v>0</v>
      </c>
      <c r="AB45" s="111">
        <v>-1.103</v>
      </c>
      <c r="AC45" s="111">
        <f>-2.998-AB45</f>
        <v>-1.8950000000000002</v>
      </c>
      <c r="AD45" s="111">
        <f>-3.679-AC45-AB45</f>
        <v>-0.68099999999999961</v>
      </c>
      <c r="AE45" s="111">
        <f t="shared" si="56"/>
        <v>-4.7940000000000014</v>
      </c>
      <c r="AF45" s="125">
        <v>-8.4730000000000008</v>
      </c>
      <c r="AG45" s="111">
        <v>-9.0250000000000004</v>
      </c>
      <c r="AH45" s="111">
        <f>-12.13-AG45</f>
        <v>-3.1050000000000004</v>
      </c>
      <c r="AI45" s="111">
        <f>-12.628-AH45-AG45</f>
        <v>-0.49799999999999933</v>
      </c>
      <c r="AJ45" s="111">
        <f t="shared" si="57"/>
        <v>12.628</v>
      </c>
      <c r="AK45" s="125">
        <v>0</v>
      </c>
      <c r="AL45" s="111">
        <v>0.84199999999999997</v>
      </c>
      <c r="AM45" s="111">
        <f>-4.212-AL45</f>
        <v>-5.0539999999999994</v>
      </c>
      <c r="AN45" s="111">
        <f>-5.277-AM45-AL45</f>
        <v>-1.0650000000000008</v>
      </c>
      <c r="AO45" s="111">
        <f t="shared" si="58"/>
        <v>5.2770000000000001</v>
      </c>
      <c r="AP45" s="125">
        <v>0</v>
      </c>
      <c r="AQ45" s="111">
        <v>0</v>
      </c>
      <c r="AR45" s="111">
        <f>-2.897-AQ45</f>
        <v>-2.8969999999999998</v>
      </c>
      <c r="AS45" s="111">
        <f>-8.807-AQ45-AR45</f>
        <v>-5.91</v>
      </c>
      <c r="AT45" s="111">
        <f t="shared" si="59"/>
        <v>8.8070000000000004</v>
      </c>
      <c r="AU45" s="125">
        <v>0</v>
      </c>
      <c r="AV45" s="111">
        <v>0</v>
      </c>
      <c r="AW45" s="111">
        <v>0</v>
      </c>
      <c r="AX45" s="111">
        <v>0</v>
      </c>
      <c r="AY45" s="111">
        <f t="shared" si="60"/>
        <v>0</v>
      </c>
      <c r="AZ45" s="125">
        <v>0</v>
      </c>
      <c r="BA45" s="111">
        <v>0</v>
      </c>
      <c r="BB45" s="111">
        <v>0</v>
      </c>
      <c r="BC45" s="111">
        <v>0</v>
      </c>
      <c r="BD45" s="111">
        <f t="shared" si="61"/>
        <v>0</v>
      </c>
      <c r="BE45" s="125">
        <v>0</v>
      </c>
      <c r="BF45" s="111">
        <v>0</v>
      </c>
      <c r="BG45" s="111">
        <v>0</v>
      </c>
      <c r="BH45" s="111">
        <v>0</v>
      </c>
      <c r="BI45" s="111">
        <f t="shared" si="62"/>
        <v>0</v>
      </c>
      <c r="BJ45" s="125">
        <v>0</v>
      </c>
      <c r="BK45" s="111">
        <v>0</v>
      </c>
      <c r="BL45" s="111">
        <v>0</v>
      </c>
      <c r="BM45" s="111">
        <v>0</v>
      </c>
      <c r="BN45" s="111">
        <f t="shared" si="63"/>
        <v>0</v>
      </c>
      <c r="BO45" s="125">
        <v>0</v>
      </c>
      <c r="BP45" s="111">
        <v>0</v>
      </c>
      <c r="BQ45" s="111">
        <v>0</v>
      </c>
      <c r="BR45" s="111">
        <v>0</v>
      </c>
      <c r="BS45" s="111">
        <f t="shared" si="64"/>
        <v>0</v>
      </c>
      <c r="BT45" s="125">
        <v>0</v>
      </c>
      <c r="BU45" s="111">
        <v>0</v>
      </c>
      <c r="BV45" s="111">
        <v>0</v>
      </c>
      <c r="BW45" s="111">
        <v>0</v>
      </c>
      <c r="BX45" s="111">
        <f t="shared" si="65"/>
        <v>0</v>
      </c>
      <c r="BY45" s="125">
        <v>0</v>
      </c>
      <c r="BZ45" s="111">
        <v>0</v>
      </c>
      <c r="CA45" s="111">
        <v>0</v>
      </c>
      <c r="CB45" s="111">
        <v>0</v>
      </c>
      <c r="CC45" s="111">
        <f t="shared" si="66"/>
        <v>0</v>
      </c>
      <c r="CD45" s="367">
        <v>0</v>
      </c>
      <c r="CE45" s="111">
        <v>0</v>
      </c>
      <c r="CF45" s="111">
        <v>0</v>
      </c>
      <c r="CG45" s="111">
        <v>0</v>
      </c>
      <c r="CH45" s="111">
        <f t="shared" si="67"/>
        <v>0</v>
      </c>
      <c r="CI45" s="367">
        <v>0</v>
      </c>
      <c r="CJ45" s="366">
        <v>0</v>
      </c>
      <c r="CK45" s="366">
        <v>0</v>
      </c>
      <c r="CL45" s="366">
        <v>0</v>
      </c>
      <c r="CM45" s="366">
        <f t="shared" si="68"/>
        <v>0</v>
      </c>
      <c r="CN45" s="367">
        <v>0</v>
      </c>
      <c r="CO45" s="366">
        <v>0</v>
      </c>
      <c r="CP45" s="366">
        <v>0</v>
      </c>
      <c r="CQ45" s="366">
        <v>50.3</v>
      </c>
      <c r="CR45" s="366">
        <f t="shared" si="69"/>
        <v>57.7</v>
      </c>
      <c r="CS45" s="367">
        <v>108</v>
      </c>
      <c r="CT45" s="366">
        <v>0</v>
      </c>
      <c r="CU45" s="366">
        <v>0</v>
      </c>
      <c r="CV45" s="495">
        <v>0</v>
      </c>
      <c r="CW45" s="722">
        <v>0</v>
      </c>
      <c r="CX45" s="723">
        <f t="shared" si="74"/>
        <v>0</v>
      </c>
      <c r="CY45" s="366">
        <v>0</v>
      </c>
      <c r="CZ45" s="366">
        <v>0</v>
      </c>
      <c r="DA45" s="366">
        <v>0</v>
      </c>
      <c r="DB45" s="815">
        <v>0</v>
      </c>
      <c r="DC45" s="367">
        <v>0</v>
      </c>
      <c r="DD45" s="366">
        <v>0</v>
      </c>
      <c r="DE45" s="366">
        <f>0-DD45</f>
        <v>0</v>
      </c>
      <c r="DF45" s="366">
        <v>0</v>
      </c>
      <c r="DG45" s="815">
        <v>0</v>
      </c>
      <c r="DH45" s="367">
        <v>0</v>
      </c>
      <c r="DI45" s="366">
        <v>0</v>
      </c>
      <c r="DJ45" s="366">
        <v>0</v>
      </c>
      <c r="DK45" s="366">
        <v>0</v>
      </c>
      <c r="DL45" s="111">
        <v>0</v>
      </c>
      <c r="DM45" s="125">
        <f>SUM(DI45:DL45)</f>
        <v>0</v>
      </c>
      <c r="DN45" s="143">
        <v>0</v>
      </c>
      <c r="DO45" s="143">
        <v>0</v>
      </c>
      <c r="DP45" s="143">
        <v>0</v>
      </c>
      <c r="DQ45" s="143">
        <v>0</v>
      </c>
      <c r="DR45" s="142">
        <f t="shared" si="71"/>
        <v>0</v>
      </c>
      <c r="DS45" s="143">
        <v>0</v>
      </c>
      <c r="DT45" s="143">
        <v>0</v>
      </c>
      <c r="DU45" s="143">
        <v>0</v>
      </c>
      <c r="DV45" s="143">
        <v>0</v>
      </c>
      <c r="DW45" s="142">
        <f t="shared" si="72"/>
        <v>0</v>
      </c>
      <c r="DX45" s="143">
        <v>0</v>
      </c>
      <c r="DY45" s="143">
        <v>0</v>
      </c>
      <c r="DZ45" s="143">
        <v>0</v>
      </c>
      <c r="EA45" s="143">
        <v>0</v>
      </c>
      <c r="EB45" s="142">
        <f t="shared" si="73"/>
        <v>0</v>
      </c>
      <c r="EE45" s="125"/>
      <c r="EF45" s="125"/>
      <c r="EG45" s="125"/>
      <c r="EH45" s="125"/>
      <c r="EI45" s="125"/>
      <c r="EJ45" s="125"/>
      <c r="EK45" s="125"/>
      <c r="EL45" s="125"/>
      <c r="EM45" s="125"/>
      <c r="EN45" s="125"/>
      <c r="EO45" s="125"/>
      <c r="EP45" s="125"/>
      <c r="EQ45" s="125"/>
      <c r="ER45" s="125"/>
      <c r="FC45"/>
      <c r="FD45"/>
      <c r="FE45"/>
      <c r="FF45"/>
      <c r="FG45"/>
      <c r="FH45"/>
      <c r="FI45" s="396"/>
      <c r="FJ45" s="419"/>
      <c r="FK45" s="419"/>
      <c r="FL45" s="419"/>
      <c r="FM45" s="419"/>
      <c r="FN45" s="419"/>
      <c r="FO45" s="419"/>
      <c r="FP45" s="419"/>
      <c r="FQ45" s="419"/>
      <c r="FR45" s="419"/>
      <c r="FS45" s="419"/>
      <c r="FT45" s="419"/>
      <c r="FU45" s="419"/>
      <c r="FV45" s="419"/>
      <c r="FW45" s="419"/>
      <c r="FX45" s="419"/>
      <c r="FY45" s="419"/>
      <c r="FZ45" s="419"/>
      <c r="GA45" s="419"/>
      <c r="GB45" s="419"/>
      <c r="GC45" s="419"/>
      <c r="GD45" s="419"/>
      <c r="GE45" s="419"/>
      <c r="GF45" s="419"/>
      <c r="GG45" s="419"/>
      <c r="GH45" s="419"/>
      <c r="GI45" s="419"/>
      <c r="GJ45" s="419"/>
      <c r="GK45" s="419"/>
      <c r="GL45" s="419"/>
      <c r="GM45" s="419"/>
      <c r="GN45" s="419"/>
      <c r="GO45" s="419"/>
      <c r="GP45" s="419"/>
      <c r="GQ45" s="419"/>
      <c r="GR45" s="419"/>
      <c r="GS45" s="419"/>
      <c r="GT45" s="419"/>
      <c r="GU45" s="419"/>
      <c r="GV45" s="419"/>
      <c r="GW45" s="418"/>
      <c r="GX45" s="418"/>
      <c r="GY45" s="418"/>
      <c r="GZ45" s="418"/>
      <c r="HA45" s="418"/>
      <c r="HB45" s="418"/>
      <c r="HC45" s="418"/>
      <c r="HD45" s="418"/>
      <c r="HE45" s="418"/>
      <c r="HF45" s="418"/>
      <c r="HG45" s="418"/>
      <c r="HH45" s="418"/>
      <c r="HI45" s="418"/>
      <c r="HJ45" s="418"/>
      <c r="HK45" s="418"/>
      <c r="HL45" s="418"/>
      <c r="HM45" s="418"/>
      <c r="HN45" s="418"/>
      <c r="HO45" s="418"/>
      <c r="HP45" s="418"/>
      <c r="HQ45" s="418"/>
      <c r="HR45" s="418"/>
      <c r="HS45" s="418"/>
      <c r="HT45" s="418"/>
      <c r="HU45" s="418"/>
      <c r="HV45" s="418"/>
      <c r="HW45" s="418"/>
      <c r="HX45" s="418"/>
      <c r="HY45" s="418"/>
      <c r="HZ45" s="418"/>
      <c r="IA45" s="418"/>
      <c r="IB45" s="418"/>
      <c r="IC45" s="418"/>
      <c r="ID45" s="418"/>
      <c r="IE45" s="418"/>
      <c r="IF45" s="418"/>
      <c r="IG45" s="418"/>
      <c r="IH45" s="418"/>
      <c r="II45" s="418"/>
      <c r="IJ45" s="418"/>
      <c r="IK45" s="418"/>
      <c r="IL45" s="418"/>
      <c r="IM45" s="418"/>
      <c r="IN45" s="418"/>
      <c r="IO45" s="418"/>
      <c r="IP45" s="418"/>
      <c r="IQ45" s="418"/>
      <c r="IR45" s="418"/>
      <c r="IS45" s="418"/>
      <c r="IT45" s="418"/>
      <c r="IU45" s="418"/>
      <c r="IV45" s="418"/>
    </row>
    <row r="46" spans="1:256" s="1" customFormat="1" x14ac:dyDescent="0.2">
      <c r="A46" s="1" t="s">
        <v>444</v>
      </c>
      <c r="B46" s="125">
        <v>0</v>
      </c>
      <c r="C46" s="111">
        <v>0</v>
      </c>
      <c r="D46" s="111">
        <v>0</v>
      </c>
      <c r="E46" s="111">
        <v>0</v>
      </c>
      <c r="F46" s="111">
        <f t="shared" si="51"/>
        <v>0</v>
      </c>
      <c r="G46" s="125">
        <v>0</v>
      </c>
      <c r="H46" s="111">
        <v>0</v>
      </c>
      <c r="I46" s="111">
        <v>0</v>
      </c>
      <c r="J46" s="111">
        <v>0</v>
      </c>
      <c r="K46" s="111">
        <f t="shared" si="52"/>
        <v>0</v>
      </c>
      <c r="L46" s="125">
        <v>0</v>
      </c>
      <c r="M46" s="111">
        <v>0</v>
      </c>
      <c r="N46" s="111">
        <v>0</v>
      </c>
      <c r="O46" s="111">
        <v>0</v>
      </c>
      <c r="P46" s="111">
        <f t="shared" si="53"/>
        <v>0</v>
      </c>
      <c r="Q46" s="125">
        <v>0</v>
      </c>
      <c r="R46" s="111">
        <v>0</v>
      </c>
      <c r="S46" s="111">
        <v>0</v>
      </c>
      <c r="T46" s="111">
        <v>0</v>
      </c>
      <c r="U46" s="111">
        <f t="shared" si="54"/>
        <v>0</v>
      </c>
      <c r="V46" s="125">
        <v>0</v>
      </c>
      <c r="W46" s="111">
        <v>0</v>
      </c>
      <c r="X46" s="111">
        <v>0</v>
      </c>
      <c r="Y46" s="111">
        <v>0</v>
      </c>
      <c r="Z46" s="111">
        <f t="shared" si="55"/>
        <v>0</v>
      </c>
      <c r="AA46" s="125">
        <v>0</v>
      </c>
      <c r="AB46" s="111">
        <v>-8.2420000000000009</v>
      </c>
      <c r="AC46" s="111">
        <f>-8.242-AB46</f>
        <v>0</v>
      </c>
      <c r="AD46" s="111">
        <f>-12.889-AC46-AB46</f>
        <v>-4.6469999999999985</v>
      </c>
      <c r="AE46" s="111">
        <f t="shared" si="56"/>
        <v>-0.6330000000000009</v>
      </c>
      <c r="AF46" s="125">
        <v>-13.522</v>
      </c>
      <c r="AG46" s="111">
        <v>0</v>
      </c>
      <c r="AH46" s="111">
        <v>0</v>
      </c>
      <c r="AI46" s="111">
        <v>0</v>
      </c>
      <c r="AJ46" s="111">
        <f t="shared" si="57"/>
        <v>0</v>
      </c>
      <c r="AK46" s="125">
        <v>0</v>
      </c>
      <c r="AL46" s="111">
        <v>0</v>
      </c>
      <c r="AM46" s="111">
        <v>0</v>
      </c>
      <c r="AN46" s="111">
        <v>0</v>
      </c>
      <c r="AO46" s="111">
        <f t="shared" si="58"/>
        <v>0</v>
      </c>
      <c r="AP46" s="125">
        <v>0</v>
      </c>
      <c r="AQ46" s="111">
        <v>0</v>
      </c>
      <c r="AR46" s="111">
        <v>0</v>
      </c>
      <c r="AS46" s="111">
        <v>0</v>
      </c>
      <c r="AT46" s="111">
        <f t="shared" si="59"/>
        <v>-69.927999999999997</v>
      </c>
      <c r="AU46" s="125">
        <v>-69.927999999999997</v>
      </c>
      <c r="AV46" s="111">
        <v>0</v>
      </c>
      <c r="AW46" s="111">
        <v>0</v>
      </c>
      <c r="AX46" s="111">
        <v>0</v>
      </c>
      <c r="AY46" s="111">
        <f t="shared" si="60"/>
        <v>-7.5149999999999997</v>
      </c>
      <c r="AZ46" s="125">
        <v>-7.5149999999999997</v>
      </c>
      <c r="BA46" s="111">
        <v>-11.282</v>
      </c>
      <c r="BB46" s="111">
        <f>-11.282-BA46</f>
        <v>0</v>
      </c>
      <c r="BC46" s="111">
        <f>-18.976-(SUM(BA46:BB46))</f>
        <v>-7.6939999999999991</v>
      </c>
      <c r="BD46" s="111">
        <f t="shared" si="61"/>
        <v>-2.6069999999999993</v>
      </c>
      <c r="BE46" s="125">
        <v>-21.582999999999998</v>
      </c>
      <c r="BF46" s="111">
        <v>0</v>
      </c>
      <c r="BG46" s="111">
        <f>-90.219-BF46</f>
        <v>-90.218999999999994</v>
      </c>
      <c r="BH46" s="111">
        <f>-90.578-BG46-BF46</f>
        <v>-0.35900000000000887</v>
      </c>
      <c r="BI46" s="111">
        <f t="shared" si="62"/>
        <v>-1.1559999999999917</v>
      </c>
      <c r="BJ46" s="125">
        <v>-91.733999999999995</v>
      </c>
      <c r="BK46" s="111">
        <v>-47.304000000000002</v>
      </c>
      <c r="BL46" s="111">
        <f>-47.304-BK46</f>
        <v>0</v>
      </c>
      <c r="BM46" s="111">
        <f>-53.419-BL46-BK46</f>
        <v>-6.1149999999999949</v>
      </c>
      <c r="BN46" s="111">
        <f t="shared" si="63"/>
        <v>0.12599999999999767</v>
      </c>
      <c r="BO46" s="125">
        <v>-53.292999999999999</v>
      </c>
      <c r="BP46" s="111">
        <v>0</v>
      </c>
      <c r="BQ46" s="111">
        <v>0</v>
      </c>
      <c r="BR46" s="111">
        <f>-22.5-BQ46-BP46</f>
        <v>-22.5</v>
      </c>
      <c r="BS46" s="111">
        <f t="shared" si="64"/>
        <v>-51.7</v>
      </c>
      <c r="BT46" s="125">
        <v>-74.2</v>
      </c>
      <c r="BU46" s="111">
        <v>0</v>
      </c>
      <c r="BV46" s="111">
        <v>0</v>
      </c>
      <c r="BW46" s="111">
        <v>42.1</v>
      </c>
      <c r="BX46" s="111">
        <f t="shared" si="65"/>
        <v>0.39999999999999858</v>
      </c>
      <c r="BY46" s="125">
        <v>42.5</v>
      </c>
      <c r="BZ46" s="111">
        <v>-10.6</v>
      </c>
      <c r="CA46" s="111">
        <v>0</v>
      </c>
      <c r="CB46" s="111">
        <v>0</v>
      </c>
      <c r="CC46" s="111">
        <f t="shared" si="66"/>
        <v>-1.4000000000000004</v>
      </c>
      <c r="CD46" s="125">
        <v>-12</v>
      </c>
      <c r="CE46" s="111">
        <v>-0.7</v>
      </c>
      <c r="CF46" s="111">
        <f>-9.6-CE46</f>
        <v>-8.9</v>
      </c>
      <c r="CG46" s="111">
        <f>-8.6-CF46-CE46</f>
        <v>1.0000000000000007</v>
      </c>
      <c r="CH46" s="111">
        <f t="shared" si="67"/>
        <v>70.200000000000017</v>
      </c>
      <c r="CI46" s="125">
        <f>-55.8+117.4</f>
        <v>61.600000000000009</v>
      </c>
      <c r="CJ46" s="111">
        <v>-29.7</v>
      </c>
      <c r="CK46" s="366">
        <f>-29.7-CJ46</f>
        <v>0</v>
      </c>
      <c r="CL46" s="366">
        <f>-29.7-SUM(CJ46:CK46)</f>
        <v>0</v>
      </c>
      <c r="CM46" s="111">
        <f t="shared" si="68"/>
        <v>-94.1</v>
      </c>
      <c r="CN46" s="125">
        <f>-129.1+5.3</f>
        <v>-123.8</v>
      </c>
      <c r="CO46" s="366">
        <v>0</v>
      </c>
      <c r="CP46" s="111">
        <v>-568.79999999999995</v>
      </c>
      <c r="CQ46" s="366">
        <f>-576.9-SUM(CO46:CP46)</f>
        <v>-8.1000000000000227</v>
      </c>
      <c r="CR46" s="366">
        <f t="shared" si="69"/>
        <v>-18.200000000000045</v>
      </c>
      <c r="CS46" s="367">
        <f>-610.4+15.3</f>
        <v>-595.1</v>
      </c>
      <c r="CT46" s="366">
        <v>0</v>
      </c>
      <c r="CU46" s="366">
        <v>0</v>
      </c>
      <c r="CV46" s="495">
        <v>0</v>
      </c>
      <c r="CW46" s="722">
        <v>0</v>
      </c>
      <c r="CX46" s="723">
        <f t="shared" si="74"/>
        <v>0</v>
      </c>
      <c r="CY46" s="366">
        <v>-284.3</v>
      </c>
      <c r="CZ46" s="366">
        <f>-284.3-CY46</f>
        <v>0</v>
      </c>
      <c r="DA46" s="366">
        <f>-284.3-CZ46-CY46</f>
        <v>0</v>
      </c>
      <c r="DB46" s="815">
        <f>DC46-DA46-CZ46-CY46</f>
        <v>0</v>
      </c>
      <c r="DC46" s="367">
        <v>-284.3</v>
      </c>
      <c r="DD46" s="366">
        <v>0</v>
      </c>
      <c r="DE46" s="366">
        <f>0-DD46</f>
        <v>0</v>
      </c>
      <c r="DF46" s="366">
        <f>0-DE46-DD46</f>
        <v>0</v>
      </c>
      <c r="DG46" s="815">
        <v>0</v>
      </c>
      <c r="DH46" s="367">
        <v>0</v>
      </c>
      <c r="DI46" s="366">
        <v>0</v>
      </c>
      <c r="DJ46" s="366">
        <v>0</v>
      </c>
      <c r="DK46" s="366">
        <v>0</v>
      </c>
      <c r="DL46" s="111">
        <v>0</v>
      </c>
      <c r="DM46" s="125">
        <f t="shared" si="70"/>
        <v>0</v>
      </c>
      <c r="DN46" s="143">
        <v>0</v>
      </c>
      <c r="DO46" s="143">
        <v>0</v>
      </c>
      <c r="DP46" s="143">
        <v>0</v>
      </c>
      <c r="DQ46" s="143">
        <v>0</v>
      </c>
      <c r="DR46" s="142">
        <f t="shared" si="71"/>
        <v>0</v>
      </c>
      <c r="DS46" s="143">
        <v>0</v>
      </c>
      <c r="DT46" s="143">
        <v>0</v>
      </c>
      <c r="DU46" s="143">
        <v>0</v>
      </c>
      <c r="DV46" s="143">
        <v>0</v>
      </c>
      <c r="DW46" s="142">
        <f t="shared" si="72"/>
        <v>0</v>
      </c>
      <c r="DX46" s="143">
        <v>0</v>
      </c>
      <c r="DY46" s="143">
        <v>0</v>
      </c>
      <c r="DZ46" s="143">
        <v>0</v>
      </c>
      <c r="EA46" s="143">
        <v>0</v>
      </c>
      <c r="EB46" s="142">
        <f t="shared" si="73"/>
        <v>0</v>
      </c>
      <c r="EE46" s="125"/>
      <c r="EF46" s="125"/>
      <c r="EG46" s="125"/>
      <c r="EH46" s="125"/>
      <c r="EI46" s="125"/>
      <c r="EJ46" s="125"/>
      <c r="EK46" s="125"/>
      <c r="EL46" s="125"/>
      <c r="EM46" s="125"/>
      <c r="EN46" s="125"/>
      <c r="EO46" s="125"/>
      <c r="EP46" s="125"/>
      <c r="EQ46" s="125"/>
      <c r="ER46" s="125"/>
      <c r="FC46"/>
      <c r="FD46"/>
      <c r="FE46"/>
      <c r="FF46"/>
      <c r="FG46"/>
      <c r="FH46"/>
      <c r="FI46" s="396"/>
      <c r="FJ46" s="419"/>
      <c r="FK46" s="419"/>
      <c r="FL46" s="419"/>
      <c r="FM46" s="419"/>
      <c r="FN46" s="419"/>
      <c r="FO46" s="419"/>
      <c r="FP46" s="419"/>
      <c r="FQ46" s="419"/>
      <c r="FR46" s="419"/>
      <c r="FS46" s="419"/>
      <c r="FT46" s="419"/>
      <c r="FU46" s="419"/>
      <c r="FV46" s="419"/>
      <c r="FW46" s="419"/>
      <c r="FX46" s="419"/>
      <c r="FY46" s="419"/>
      <c r="FZ46" s="419"/>
      <c r="GA46" s="419"/>
      <c r="GB46" s="419"/>
      <c r="GC46" s="419"/>
      <c r="GD46" s="419"/>
      <c r="GE46" s="419"/>
      <c r="GF46" s="419"/>
      <c r="GG46" s="419"/>
      <c r="GH46" s="419"/>
      <c r="GI46" s="419"/>
      <c r="GJ46" s="419"/>
      <c r="GK46" s="419"/>
      <c r="GL46" s="419"/>
      <c r="GM46" s="419"/>
      <c r="GN46" s="419"/>
      <c r="GO46" s="419"/>
      <c r="GP46" s="419"/>
      <c r="GQ46" s="419"/>
      <c r="GR46" s="419"/>
      <c r="GS46" s="419"/>
      <c r="GT46" s="419"/>
      <c r="GU46" s="419"/>
      <c r="GV46" s="419"/>
      <c r="GW46" s="418"/>
      <c r="GX46" s="418"/>
      <c r="GY46" s="418"/>
      <c r="GZ46" s="418"/>
      <c r="HA46" s="418"/>
      <c r="HB46" s="418"/>
      <c r="HC46" s="418"/>
      <c r="HD46" s="418"/>
      <c r="HE46" s="418"/>
      <c r="HF46" s="418"/>
      <c r="HG46" s="418"/>
      <c r="HH46" s="418"/>
      <c r="HI46" s="418"/>
      <c r="HJ46" s="418"/>
      <c r="HK46" s="418"/>
      <c r="HL46" s="418"/>
      <c r="HM46" s="418"/>
      <c r="HN46" s="418"/>
      <c r="HO46" s="418"/>
      <c r="HP46" s="418"/>
      <c r="HQ46" s="418"/>
      <c r="HR46" s="418"/>
      <c r="HS46" s="418"/>
      <c r="HT46" s="418"/>
      <c r="HU46" s="418"/>
      <c r="HV46" s="418"/>
      <c r="HW46" s="418"/>
      <c r="HX46" s="418"/>
      <c r="HY46" s="418"/>
      <c r="HZ46" s="418"/>
      <c r="IA46" s="418"/>
      <c r="IB46" s="418"/>
      <c r="IC46" s="418"/>
      <c r="ID46" s="418"/>
      <c r="IE46" s="418"/>
      <c r="IF46" s="418"/>
      <c r="IG46" s="418"/>
      <c r="IH46" s="418"/>
      <c r="II46" s="418"/>
      <c r="IJ46" s="418"/>
      <c r="IK46" s="418"/>
      <c r="IL46" s="418"/>
      <c r="IM46" s="418"/>
      <c r="IN46" s="418"/>
      <c r="IO46" s="418"/>
      <c r="IP46" s="418"/>
      <c r="IQ46" s="418"/>
      <c r="IR46" s="418"/>
      <c r="IS46" s="418"/>
      <c r="IT46" s="418"/>
      <c r="IU46" s="418"/>
      <c r="IV46" s="418"/>
    </row>
    <row r="47" spans="1:256" s="1" customFormat="1" x14ac:dyDescent="0.2">
      <c r="A47" s="1" t="s">
        <v>443</v>
      </c>
      <c r="B47" s="125">
        <v>0</v>
      </c>
      <c r="C47" s="111">
        <v>0</v>
      </c>
      <c r="D47" s="111">
        <v>0</v>
      </c>
      <c r="E47" s="111">
        <v>0</v>
      </c>
      <c r="F47" s="111">
        <f t="shared" si="51"/>
        <v>0</v>
      </c>
      <c r="G47" s="125">
        <v>0</v>
      </c>
      <c r="H47" s="111">
        <v>0</v>
      </c>
      <c r="I47" s="111">
        <v>0</v>
      </c>
      <c r="J47" s="111">
        <v>0</v>
      </c>
      <c r="K47" s="111">
        <f t="shared" si="52"/>
        <v>0</v>
      </c>
      <c r="L47" s="125">
        <v>0</v>
      </c>
      <c r="M47" s="111">
        <v>0</v>
      </c>
      <c r="N47" s="111">
        <v>0</v>
      </c>
      <c r="O47" s="111">
        <v>0</v>
      </c>
      <c r="P47" s="111">
        <f t="shared" si="53"/>
        <v>0</v>
      </c>
      <c r="Q47" s="125">
        <v>0</v>
      </c>
      <c r="R47" s="111">
        <v>0</v>
      </c>
      <c r="S47" s="111">
        <v>0</v>
      </c>
      <c r="T47" s="111">
        <v>0</v>
      </c>
      <c r="U47" s="111">
        <f t="shared" si="54"/>
        <v>0</v>
      </c>
      <c r="V47" s="125">
        <v>0</v>
      </c>
      <c r="W47" s="111">
        <v>0</v>
      </c>
      <c r="X47" s="111">
        <v>0</v>
      </c>
      <c r="Y47" s="111">
        <v>0</v>
      </c>
      <c r="Z47" s="111">
        <f t="shared" si="55"/>
        <v>0</v>
      </c>
      <c r="AA47" s="125">
        <v>0</v>
      </c>
      <c r="AB47" s="111">
        <v>0</v>
      </c>
      <c r="AC47" s="111">
        <v>0</v>
      </c>
      <c r="AD47" s="111">
        <v>0</v>
      </c>
      <c r="AE47" s="111">
        <f t="shared" si="56"/>
        <v>0</v>
      </c>
      <c r="AF47" s="125">
        <v>0</v>
      </c>
      <c r="AG47" s="111">
        <v>0</v>
      </c>
      <c r="AH47" s="111">
        <v>0</v>
      </c>
      <c r="AI47" s="111">
        <v>0</v>
      </c>
      <c r="AJ47" s="111">
        <f t="shared" si="57"/>
        <v>0</v>
      </c>
      <c r="AK47" s="125">
        <v>0</v>
      </c>
      <c r="AL47" s="111">
        <v>14.843</v>
      </c>
      <c r="AM47" s="111">
        <v>0</v>
      </c>
      <c r="AN47" s="111">
        <v>0</v>
      </c>
      <c r="AO47" s="111">
        <f t="shared" si="58"/>
        <v>-14.843</v>
      </c>
      <c r="AP47" s="125">
        <v>0</v>
      </c>
      <c r="AQ47" s="111">
        <v>0</v>
      </c>
      <c r="AR47" s="111">
        <v>0</v>
      </c>
      <c r="AS47" s="111">
        <v>0</v>
      </c>
      <c r="AT47" s="111">
        <f t="shared" si="59"/>
        <v>0</v>
      </c>
      <c r="AU47" s="125">
        <v>0</v>
      </c>
      <c r="AV47" s="111">
        <v>0</v>
      </c>
      <c r="AW47" s="111">
        <v>0</v>
      </c>
      <c r="AX47" s="111">
        <v>0</v>
      </c>
      <c r="AY47" s="111">
        <f t="shared" si="60"/>
        <v>0</v>
      </c>
      <c r="AZ47" s="125">
        <v>0</v>
      </c>
      <c r="BA47" s="111">
        <v>0</v>
      </c>
      <c r="BB47" s="111">
        <v>0</v>
      </c>
      <c r="BC47" s="111">
        <v>0</v>
      </c>
      <c r="BD47" s="111">
        <f t="shared" si="61"/>
        <v>0</v>
      </c>
      <c r="BE47" s="125">
        <v>0</v>
      </c>
      <c r="BF47" s="111">
        <v>0</v>
      </c>
      <c r="BG47" s="111">
        <v>0</v>
      </c>
      <c r="BH47" s="111">
        <v>0</v>
      </c>
      <c r="BI47" s="111">
        <f t="shared" si="62"/>
        <v>0</v>
      </c>
      <c r="BJ47" s="125">
        <v>0</v>
      </c>
      <c r="BK47" s="111">
        <v>0</v>
      </c>
      <c r="BL47" s="111">
        <v>0</v>
      </c>
      <c r="BM47" s="111">
        <v>0</v>
      </c>
      <c r="BN47" s="111">
        <f t="shared" si="63"/>
        <v>0</v>
      </c>
      <c r="BO47" s="125">
        <v>0</v>
      </c>
      <c r="BP47" s="111">
        <v>0</v>
      </c>
      <c r="BQ47" s="111">
        <v>0</v>
      </c>
      <c r="BR47" s="111">
        <v>0</v>
      </c>
      <c r="BS47" s="111">
        <f t="shared" si="64"/>
        <v>0</v>
      </c>
      <c r="BT47" s="125">
        <v>0</v>
      </c>
      <c r="BU47" s="111">
        <v>0</v>
      </c>
      <c r="BV47" s="111">
        <v>0</v>
      </c>
      <c r="BW47" s="111">
        <v>0</v>
      </c>
      <c r="BX47" s="111">
        <f t="shared" si="65"/>
        <v>0</v>
      </c>
      <c r="BY47" s="125">
        <v>0</v>
      </c>
      <c r="BZ47" s="111">
        <v>0</v>
      </c>
      <c r="CA47" s="111">
        <v>0</v>
      </c>
      <c r="CB47" s="111">
        <v>0</v>
      </c>
      <c r="CC47" s="111">
        <f t="shared" si="66"/>
        <v>0</v>
      </c>
      <c r="CD47" s="367">
        <v>0</v>
      </c>
      <c r="CE47" s="366">
        <v>0</v>
      </c>
      <c r="CF47" s="366">
        <v>0</v>
      </c>
      <c r="CG47" s="366">
        <v>0</v>
      </c>
      <c r="CH47" s="366">
        <f t="shared" si="67"/>
        <v>0</v>
      </c>
      <c r="CI47" s="367">
        <v>0</v>
      </c>
      <c r="CJ47" s="366">
        <v>0</v>
      </c>
      <c r="CK47" s="366">
        <v>0</v>
      </c>
      <c r="CL47" s="366">
        <v>0</v>
      </c>
      <c r="CM47" s="366">
        <f t="shared" si="68"/>
        <v>0</v>
      </c>
      <c r="CN47" s="367">
        <v>0</v>
      </c>
      <c r="CO47" s="366">
        <v>0</v>
      </c>
      <c r="CP47" s="366">
        <v>0</v>
      </c>
      <c r="CQ47" s="366">
        <v>0</v>
      </c>
      <c r="CR47" s="366">
        <f t="shared" si="69"/>
        <v>0</v>
      </c>
      <c r="CS47" s="367">
        <v>0</v>
      </c>
      <c r="CT47" s="366">
        <v>0</v>
      </c>
      <c r="CU47" s="366">
        <v>0</v>
      </c>
      <c r="CV47" s="495">
        <v>0</v>
      </c>
      <c r="CW47" s="722">
        <f>CX47-CV47-CU47-CT47</f>
        <v>0</v>
      </c>
      <c r="CX47" s="723">
        <v>0</v>
      </c>
      <c r="CY47" s="366">
        <v>0</v>
      </c>
      <c r="CZ47" s="366">
        <v>0</v>
      </c>
      <c r="DA47" s="366">
        <v>0</v>
      </c>
      <c r="DB47" s="815">
        <f>DC47-DA47-CZ47-CY47</f>
        <v>0</v>
      </c>
      <c r="DC47" s="367">
        <v>0</v>
      </c>
      <c r="DD47" s="366">
        <v>0</v>
      </c>
      <c r="DE47" s="366">
        <f>30.2-DD47</f>
        <v>30.2</v>
      </c>
      <c r="DF47" s="366">
        <f>69.6-DE47-DD47</f>
        <v>39.399999999999991</v>
      </c>
      <c r="DG47" s="815">
        <f>DH47-DF47-DE47-DD47</f>
        <v>3.5527136788005009E-15</v>
      </c>
      <c r="DH47" s="367">
        <v>69.599999999999994</v>
      </c>
      <c r="DI47" s="366">
        <v>0</v>
      </c>
      <c r="DJ47" s="366">
        <v>0</v>
      </c>
      <c r="DK47" s="366">
        <v>0</v>
      </c>
      <c r="DL47" s="111">
        <v>85.4</v>
      </c>
      <c r="DM47" s="125">
        <f t="shared" si="70"/>
        <v>85.4</v>
      </c>
      <c r="DN47" s="143">
        <v>0</v>
      </c>
      <c r="DO47" s="143">
        <v>0</v>
      </c>
      <c r="DP47" s="143">
        <v>0</v>
      </c>
      <c r="DQ47" s="143">
        <v>0</v>
      </c>
      <c r="DR47" s="142">
        <f t="shared" si="71"/>
        <v>0</v>
      </c>
      <c r="DS47" s="143">
        <v>0</v>
      </c>
      <c r="DT47" s="143">
        <v>0</v>
      </c>
      <c r="DU47" s="143">
        <v>0</v>
      </c>
      <c r="DV47" s="143">
        <v>0</v>
      </c>
      <c r="DW47" s="142">
        <f t="shared" si="72"/>
        <v>0</v>
      </c>
      <c r="DX47" s="143">
        <v>0</v>
      </c>
      <c r="DY47" s="143">
        <v>0</v>
      </c>
      <c r="DZ47" s="143">
        <v>0</v>
      </c>
      <c r="EA47" s="143">
        <v>0</v>
      </c>
      <c r="EB47" s="142">
        <f t="shared" si="73"/>
        <v>0</v>
      </c>
      <c r="EE47" s="125"/>
      <c r="EF47" s="125"/>
      <c r="EG47" s="125"/>
      <c r="EH47" s="125"/>
      <c r="EI47" s="125"/>
      <c r="EJ47" s="125"/>
      <c r="EK47" s="125"/>
      <c r="EL47" s="125"/>
      <c r="EM47" s="125"/>
      <c r="EN47" s="125"/>
      <c r="EO47" s="125"/>
      <c r="EP47" s="125"/>
      <c r="EQ47" s="125"/>
      <c r="ER47" s="125"/>
      <c r="FC47"/>
      <c r="FD47"/>
      <c r="FE47"/>
      <c r="FF47"/>
      <c r="FG47"/>
      <c r="FH47"/>
      <c r="FI47" s="396"/>
      <c r="FJ47" s="419"/>
      <c r="FK47" s="419"/>
      <c r="FL47" s="419"/>
      <c r="FM47" s="419"/>
      <c r="FN47" s="419"/>
      <c r="FO47" s="419"/>
      <c r="FP47" s="419"/>
      <c r="FQ47" s="419"/>
      <c r="FR47" s="419"/>
      <c r="FS47" s="419"/>
      <c r="FT47" s="419"/>
      <c r="FU47" s="419"/>
      <c r="FV47" s="419"/>
      <c r="FW47" s="419"/>
      <c r="FX47" s="419"/>
      <c r="FY47" s="419"/>
      <c r="FZ47" s="419"/>
      <c r="GA47" s="419"/>
      <c r="GB47" s="419"/>
      <c r="GC47" s="419"/>
      <c r="GD47" s="419"/>
      <c r="GE47" s="419"/>
      <c r="GF47" s="419"/>
      <c r="GG47" s="419"/>
      <c r="GH47" s="419"/>
      <c r="GI47" s="419"/>
      <c r="GJ47" s="419"/>
      <c r="GK47" s="419"/>
      <c r="GL47" s="419"/>
      <c r="GM47" s="419"/>
      <c r="GN47" s="419"/>
      <c r="GO47" s="419"/>
      <c r="GP47" s="419"/>
      <c r="GQ47" s="419"/>
      <c r="GR47" s="419"/>
      <c r="GS47" s="419"/>
      <c r="GT47" s="419"/>
      <c r="GU47" s="419"/>
      <c r="GV47" s="419"/>
      <c r="GW47" s="418"/>
      <c r="GX47" s="418"/>
      <c r="GY47" s="418"/>
      <c r="GZ47" s="418"/>
      <c r="HA47" s="418"/>
      <c r="HB47" s="418"/>
      <c r="HC47" s="418"/>
      <c r="HD47" s="418"/>
      <c r="HE47" s="418"/>
      <c r="HF47" s="418"/>
      <c r="HG47" s="418"/>
      <c r="HH47" s="418"/>
      <c r="HI47" s="418"/>
      <c r="HJ47" s="418"/>
      <c r="HK47" s="418"/>
      <c r="HL47" s="418"/>
      <c r="HM47" s="418"/>
      <c r="HN47" s="418"/>
      <c r="HO47" s="418"/>
      <c r="HP47" s="418"/>
      <c r="HQ47" s="418"/>
      <c r="HR47" s="418"/>
      <c r="HS47" s="418"/>
      <c r="HT47" s="418"/>
      <c r="HU47" s="418"/>
      <c r="HV47" s="418"/>
      <c r="HW47" s="418"/>
      <c r="HX47" s="418"/>
      <c r="HY47" s="418"/>
      <c r="HZ47" s="418"/>
      <c r="IA47" s="418"/>
      <c r="IB47" s="418"/>
      <c r="IC47" s="418"/>
      <c r="ID47" s="418"/>
      <c r="IE47" s="418"/>
      <c r="IF47" s="418"/>
      <c r="IG47" s="418"/>
      <c r="IH47" s="418"/>
      <c r="II47" s="418"/>
      <c r="IJ47" s="418"/>
      <c r="IK47" s="418"/>
      <c r="IL47" s="418"/>
      <c r="IM47" s="418"/>
      <c r="IN47" s="418"/>
      <c r="IO47" s="418"/>
      <c r="IP47" s="418"/>
      <c r="IQ47" s="418"/>
      <c r="IR47" s="418"/>
      <c r="IS47" s="418"/>
      <c r="IT47" s="418"/>
      <c r="IU47" s="418"/>
      <c r="IV47" s="418"/>
    </row>
    <row r="48" spans="1:256" s="1" customFormat="1" x14ac:dyDescent="0.2">
      <c r="A48" s="1" t="s">
        <v>442</v>
      </c>
      <c r="B48" s="125">
        <v>0</v>
      </c>
      <c r="C48" s="111">
        <v>0</v>
      </c>
      <c r="D48" s="111">
        <v>0</v>
      </c>
      <c r="E48" s="111">
        <v>0</v>
      </c>
      <c r="F48" s="111">
        <f t="shared" si="51"/>
        <v>0</v>
      </c>
      <c r="G48" s="125">
        <v>0</v>
      </c>
      <c r="H48" s="111">
        <v>0</v>
      </c>
      <c r="I48" s="111">
        <v>0</v>
      </c>
      <c r="J48" s="111">
        <v>0</v>
      </c>
      <c r="K48" s="111">
        <f t="shared" si="52"/>
        <v>0</v>
      </c>
      <c r="L48" s="125">
        <v>0</v>
      </c>
      <c r="M48" s="111">
        <v>0</v>
      </c>
      <c r="N48" s="111">
        <v>0</v>
      </c>
      <c r="O48" s="111">
        <v>0</v>
      </c>
      <c r="P48" s="111">
        <f t="shared" si="53"/>
        <v>0</v>
      </c>
      <c r="Q48" s="125">
        <v>0</v>
      </c>
      <c r="R48" s="111">
        <v>0</v>
      </c>
      <c r="S48" s="111">
        <v>0</v>
      </c>
      <c r="T48" s="111">
        <v>0</v>
      </c>
      <c r="U48" s="111">
        <f t="shared" si="54"/>
        <v>0</v>
      </c>
      <c r="V48" s="125">
        <v>0</v>
      </c>
      <c r="W48" s="111">
        <v>0</v>
      </c>
      <c r="X48" s="111">
        <v>0</v>
      </c>
      <c r="Y48" s="111">
        <v>0</v>
      </c>
      <c r="Z48" s="111">
        <f t="shared" si="55"/>
        <v>0</v>
      </c>
      <c r="AA48" s="125">
        <v>0</v>
      </c>
      <c r="AB48" s="111">
        <v>0</v>
      </c>
      <c r="AC48" s="111">
        <f>4.556-AB48</f>
        <v>4.556</v>
      </c>
      <c r="AD48" s="111">
        <f>4.569-AC48-AB48</f>
        <v>1.2999999999999901E-2</v>
      </c>
      <c r="AE48" s="111">
        <f t="shared" si="56"/>
        <v>9.7100000000000009</v>
      </c>
      <c r="AF48" s="125">
        <v>14.279</v>
      </c>
      <c r="AG48" s="111">
        <v>0</v>
      </c>
      <c r="AH48" s="111">
        <f>4.099-AG48</f>
        <v>4.0990000000000002</v>
      </c>
      <c r="AI48" s="111">
        <f>12.011-AH48-AG48</f>
        <v>7.911999999999999</v>
      </c>
      <c r="AJ48" s="111">
        <f t="shared" si="57"/>
        <v>4.8520000000000003</v>
      </c>
      <c r="AK48" s="125">
        <v>16.863</v>
      </c>
      <c r="AL48" s="111">
        <v>0</v>
      </c>
      <c r="AM48" s="111">
        <f>8.158-AL48</f>
        <v>8.1579999999999995</v>
      </c>
      <c r="AN48" s="111">
        <f>12.141-AM48-AL48</f>
        <v>3.9830000000000005</v>
      </c>
      <c r="AO48" s="111">
        <f t="shared" si="58"/>
        <v>10.693</v>
      </c>
      <c r="AP48" s="125">
        <v>22.834</v>
      </c>
      <c r="AQ48" s="111">
        <v>6.976</v>
      </c>
      <c r="AR48" s="111">
        <v>0</v>
      </c>
      <c r="AS48" s="111">
        <v>0</v>
      </c>
      <c r="AT48" s="111">
        <f t="shared" si="59"/>
        <v>21.990000000000002</v>
      </c>
      <c r="AU48" s="125">
        <v>28.966000000000001</v>
      </c>
      <c r="AV48" s="111">
        <v>5.085</v>
      </c>
      <c r="AW48" s="111">
        <f>0-AV48</f>
        <v>-5.085</v>
      </c>
      <c r="AX48" s="111">
        <v>0</v>
      </c>
      <c r="AY48" s="111">
        <f t="shared" si="60"/>
        <v>0</v>
      </c>
      <c r="AZ48" s="125">
        <v>0</v>
      </c>
      <c r="BA48" s="111">
        <v>5.7430000000000003</v>
      </c>
      <c r="BB48" s="111">
        <f>11.287-BA48</f>
        <v>5.5440000000000005</v>
      </c>
      <c r="BC48" s="111">
        <f>0-BB48-BA48</f>
        <v>-11.287000000000001</v>
      </c>
      <c r="BD48" s="111">
        <f t="shared" si="61"/>
        <v>-7.915</v>
      </c>
      <c r="BE48" s="125">
        <v>-7.915</v>
      </c>
      <c r="BF48" s="111">
        <v>0</v>
      </c>
      <c r="BG48" s="111">
        <v>0</v>
      </c>
      <c r="BH48" s="111">
        <v>0</v>
      </c>
      <c r="BI48" s="111">
        <f t="shared" si="62"/>
        <v>0</v>
      </c>
      <c r="BJ48" s="125">
        <v>0</v>
      </c>
      <c r="BK48" s="111">
        <v>0</v>
      </c>
      <c r="BL48" s="111">
        <v>0</v>
      </c>
      <c r="BM48" s="111">
        <v>0</v>
      </c>
      <c r="BN48" s="111">
        <f t="shared" si="63"/>
        <v>0</v>
      </c>
      <c r="BO48" s="125">
        <v>0</v>
      </c>
      <c r="BP48" s="111">
        <v>0</v>
      </c>
      <c r="BQ48" s="111">
        <v>0</v>
      </c>
      <c r="BR48" s="111">
        <v>0</v>
      </c>
      <c r="BS48" s="111">
        <f t="shared" si="64"/>
        <v>0</v>
      </c>
      <c r="BT48" s="125">
        <v>0</v>
      </c>
      <c r="BU48" s="111">
        <v>0</v>
      </c>
      <c r="BV48" s="111">
        <v>0</v>
      </c>
      <c r="BW48" s="111">
        <v>0</v>
      </c>
      <c r="BX48" s="111">
        <f t="shared" si="65"/>
        <v>0</v>
      </c>
      <c r="BY48" s="125">
        <v>0</v>
      </c>
      <c r="BZ48" s="111">
        <v>0</v>
      </c>
      <c r="CA48" s="111">
        <v>0</v>
      </c>
      <c r="CB48" s="111">
        <v>0</v>
      </c>
      <c r="CC48" s="111">
        <f t="shared" si="66"/>
        <v>0</v>
      </c>
      <c r="CD48" s="367">
        <v>0</v>
      </c>
      <c r="CE48" s="366">
        <v>0</v>
      </c>
      <c r="CF48" s="366">
        <v>0</v>
      </c>
      <c r="CG48" s="366">
        <v>0</v>
      </c>
      <c r="CH48" s="366">
        <f t="shared" si="67"/>
        <v>0</v>
      </c>
      <c r="CI48" s="367">
        <v>0</v>
      </c>
      <c r="CJ48" s="366">
        <v>0</v>
      </c>
      <c r="CK48" s="366">
        <v>0</v>
      </c>
      <c r="CL48" s="366">
        <v>0</v>
      </c>
      <c r="CM48" s="366">
        <f t="shared" si="68"/>
        <v>0</v>
      </c>
      <c r="CN48" s="367">
        <v>0</v>
      </c>
      <c r="CO48" s="366">
        <v>0</v>
      </c>
      <c r="CP48" s="366">
        <v>0</v>
      </c>
      <c r="CQ48" s="366">
        <v>0</v>
      </c>
      <c r="CR48" s="366">
        <f t="shared" si="69"/>
        <v>0</v>
      </c>
      <c r="CS48" s="367">
        <v>0</v>
      </c>
      <c r="CT48" s="366">
        <v>0</v>
      </c>
      <c r="CU48" s="366">
        <v>0</v>
      </c>
      <c r="CV48" s="495">
        <v>0</v>
      </c>
      <c r="CW48" s="722">
        <v>0</v>
      </c>
      <c r="CX48" s="723">
        <f t="shared" si="74"/>
        <v>0</v>
      </c>
      <c r="CY48" s="366">
        <v>0</v>
      </c>
      <c r="CZ48" s="366">
        <v>0</v>
      </c>
      <c r="DA48" s="366">
        <v>0</v>
      </c>
      <c r="DB48" s="815">
        <v>0</v>
      </c>
      <c r="DC48" s="367">
        <v>0</v>
      </c>
      <c r="DD48" s="366">
        <v>0</v>
      </c>
      <c r="DE48" s="366">
        <f>0-DD48</f>
        <v>0</v>
      </c>
      <c r="DF48" s="366">
        <v>0</v>
      </c>
      <c r="DG48" s="815">
        <v>0</v>
      </c>
      <c r="DH48" s="367">
        <v>0</v>
      </c>
      <c r="DI48" s="366">
        <v>0</v>
      </c>
      <c r="DJ48" s="366">
        <v>0</v>
      </c>
      <c r="DK48" s="366">
        <v>0</v>
      </c>
      <c r="DL48" s="111">
        <v>0</v>
      </c>
      <c r="DM48" s="125">
        <f t="shared" si="70"/>
        <v>0</v>
      </c>
      <c r="DN48" s="143">
        <v>0</v>
      </c>
      <c r="DO48" s="143">
        <v>0</v>
      </c>
      <c r="DP48" s="143">
        <v>0</v>
      </c>
      <c r="DQ48" s="143">
        <v>0</v>
      </c>
      <c r="DR48" s="142">
        <f t="shared" si="71"/>
        <v>0</v>
      </c>
      <c r="DS48" s="143">
        <v>0</v>
      </c>
      <c r="DT48" s="143">
        <v>0</v>
      </c>
      <c r="DU48" s="143">
        <v>0</v>
      </c>
      <c r="DV48" s="143">
        <v>0</v>
      </c>
      <c r="DW48" s="142">
        <f t="shared" si="72"/>
        <v>0</v>
      </c>
      <c r="DX48" s="143">
        <v>0</v>
      </c>
      <c r="DY48" s="143">
        <v>0</v>
      </c>
      <c r="DZ48" s="143">
        <v>0</v>
      </c>
      <c r="EA48" s="143">
        <v>0</v>
      </c>
      <c r="EB48" s="142">
        <f t="shared" si="73"/>
        <v>0</v>
      </c>
      <c r="EE48" s="125"/>
      <c r="EF48" s="125"/>
      <c r="EG48" s="125"/>
      <c r="EH48" s="125"/>
      <c r="EI48" s="125"/>
      <c r="EJ48" s="125"/>
      <c r="EK48" s="125"/>
      <c r="EL48" s="125"/>
      <c r="EM48" s="125"/>
      <c r="EN48" s="125"/>
      <c r="EO48" s="125"/>
      <c r="EP48" s="125"/>
      <c r="EQ48" s="125"/>
      <c r="ER48" s="125"/>
      <c r="FC48"/>
      <c r="FD48"/>
      <c r="FE48"/>
      <c r="FF48"/>
      <c r="FG48"/>
      <c r="FH48"/>
      <c r="FI48" s="396"/>
      <c r="FJ48" s="419"/>
      <c r="FK48" s="419"/>
      <c r="FL48" s="419"/>
      <c r="FM48" s="419"/>
      <c r="FN48" s="419"/>
      <c r="FO48" s="419"/>
      <c r="FP48" s="419"/>
      <c r="FQ48" s="419"/>
      <c r="FR48" s="419"/>
      <c r="FS48" s="419"/>
      <c r="FT48" s="419"/>
      <c r="FU48" s="419"/>
      <c r="FV48" s="419"/>
      <c r="FW48" s="419"/>
      <c r="FX48" s="419"/>
      <c r="FY48" s="419"/>
      <c r="FZ48" s="419"/>
      <c r="GA48" s="419"/>
      <c r="GB48" s="419"/>
      <c r="GC48" s="419"/>
      <c r="GD48" s="419"/>
      <c r="GE48" s="419"/>
      <c r="GF48" s="419"/>
      <c r="GG48" s="419"/>
      <c r="GH48" s="419"/>
      <c r="GI48" s="419"/>
      <c r="GJ48" s="419"/>
      <c r="GK48" s="419"/>
      <c r="GL48" s="419"/>
      <c r="GM48" s="419"/>
      <c r="GN48" s="419"/>
      <c r="GO48" s="419"/>
      <c r="GP48" s="419"/>
      <c r="GQ48" s="419"/>
      <c r="GR48" s="419"/>
      <c r="GS48" s="419"/>
      <c r="GT48" s="419"/>
      <c r="GU48" s="419"/>
      <c r="GV48" s="419"/>
      <c r="GW48" s="418"/>
      <c r="GX48" s="418"/>
      <c r="GY48" s="418"/>
      <c r="GZ48" s="418"/>
      <c r="HA48" s="418"/>
      <c r="HB48" s="418"/>
      <c r="HC48" s="418"/>
      <c r="HD48" s="418"/>
      <c r="HE48" s="418"/>
      <c r="HF48" s="418"/>
      <c r="HG48" s="418"/>
      <c r="HH48" s="418"/>
      <c r="HI48" s="418"/>
      <c r="HJ48" s="418"/>
      <c r="HK48" s="418"/>
      <c r="HL48" s="418"/>
      <c r="HM48" s="418"/>
      <c r="HN48" s="418"/>
      <c r="HO48" s="418"/>
      <c r="HP48" s="418"/>
      <c r="HQ48" s="418"/>
      <c r="HR48" s="418"/>
      <c r="HS48" s="418"/>
      <c r="HT48" s="418"/>
      <c r="HU48" s="418"/>
      <c r="HV48" s="418"/>
      <c r="HW48" s="418"/>
      <c r="HX48" s="418"/>
      <c r="HY48" s="418"/>
      <c r="HZ48" s="418"/>
      <c r="IA48" s="418"/>
      <c r="IB48" s="418"/>
      <c r="IC48" s="418"/>
      <c r="ID48" s="418"/>
      <c r="IE48" s="418"/>
      <c r="IF48" s="418"/>
      <c r="IG48" s="418"/>
      <c r="IH48" s="418"/>
      <c r="II48" s="418"/>
      <c r="IJ48" s="418"/>
      <c r="IK48" s="418"/>
      <c r="IL48" s="418"/>
      <c r="IM48" s="418"/>
      <c r="IN48" s="418"/>
      <c r="IO48" s="418"/>
      <c r="IP48" s="418"/>
      <c r="IQ48" s="418"/>
      <c r="IR48" s="418"/>
      <c r="IS48" s="418"/>
      <c r="IT48" s="418"/>
      <c r="IU48" s="418"/>
      <c r="IV48" s="418"/>
    </row>
    <row r="49" spans="1:256" s="811" customFormat="1" x14ac:dyDescent="0.2">
      <c r="A49" s="811" t="s">
        <v>441</v>
      </c>
      <c r="B49" s="812">
        <v>0</v>
      </c>
      <c r="C49" s="813">
        <v>0</v>
      </c>
      <c r="D49" s="813">
        <v>0</v>
      </c>
      <c r="E49" s="813">
        <v>0</v>
      </c>
      <c r="F49" s="813">
        <f t="shared" si="51"/>
        <v>0</v>
      </c>
      <c r="G49" s="812">
        <v>0</v>
      </c>
      <c r="H49" s="813">
        <v>0</v>
      </c>
      <c r="I49" s="813">
        <v>0</v>
      </c>
      <c r="J49" s="813">
        <v>0</v>
      </c>
      <c r="K49" s="813">
        <f t="shared" si="52"/>
        <v>0</v>
      </c>
      <c r="L49" s="812">
        <v>0</v>
      </c>
      <c r="M49" s="813">
        <v>0</v>
      </c>
      <c r="N49" s="813">
        <v>0</v>
      </c>
      <c r="O49" s="813">
        <v>0</v>
      </c>
      <c r="P49" s="813">
        <f t="shared" si="53"/>
        <v>0</v>
      </c>
      <c r="Q49" s="812">
        <v>0</v>
      </c>
      <c r="R49" s="813">
        <v>0</v>
      </c>
      <c r="S49" s="813">
        <v>0</v>
      </c>
      <c r="T49" s="813">
        <v>0</v>
      </c>
      <c r="U49" s="813">
        <f t="shared" si="54"/>
        <v>0</v>
      </c>
      <c r="V49" s="812">
        <v>0</v>
      </c>
      <c r="W49" s="813">
        <v>0</v>
      </c>
      <c r="X49" s="813">
        <v>0</v>
      </c>
      <c r="Y49" s="813">
        <v>0</v>
      </c>
      <c r="Z49" s="813">
        <f t="shared" si="55"/>
        <v>0</v>
      </c>
      <c r="AA49" s="812">
        <v>0</v>
      </c>
      <c r="AB49" s="813">
        <v>-10.189</v>
      </c>
      <c r="AC49" s="813">
        <f>-35.189-AB49</f>
        <v>-25</v>
      </c>
      <c r="AD49" s="813">
        <f>-35.457-AB49-AC49</f>
        <v>-0.26800000000000068</v>
      </c>
      <c r="AE49" s="813">
        <f t="shared" si="56"/>
        <v>0</v>
      </c>
      <c r="AF49" s="812">
        <v>-35.457000000000001</v>
      </c>
      <c r="AG49" s="813">
        <v>0</v>
      </c>
      <c r="AH49" s="813">
        <v>0</v>
      </c>
      <c r="AI49" s="813">
        <v>0</v>
      </c>
      <c r="AJ49" s="813">
        <f t="shared" si="57"/>
        <v>-17.423999999999999</v>
      </c>
      <c r="AK49" s="812">
        <v>-17.423999999999999</v>
      </c>
      <c r="AL49" s="813">
        <v>0</v>
      </c>
      <c r="AM49" s="813">
        <v>0</v>
      </c>
      <c r="AN49" s="813">
        <v>0</v>
      </c>
      <c r="AO49" s="813">
        <f t="shared" si="58"/>
        <v>-15.840999999999999</v>
      </c>
      <c r="AP49" s="812">
        <v>-15.840999999999999</v>
      </c>
      <c r="AQ49" s="813">
        <v>-2.2400000000000002</v>
      </c>
      <c r="AR49" s="813">
        <v>0</v>
      </c>
      <c r="AS49" s="813">
        <v>0</v>
      </c>
      <c r="AT49" s="813">
        <f t="shared" si="59"/>
        <v>-45.018999999999998</v>
      </c>
      <c r="AU49" s="812">
        <v>-47.259</v>
      </c>
      <c r="AV49" s="813">
        <v>-4.3949999999999996</v>
      </c>
      <c r="AW49" s="813">
        <f>-7.796-AV49</f>
        <v>-3.4010000000000007</v>
      </c>
      <c r="AX49" s="813">
        <f>-4.366-AW49-AV49</f>
        <v>3.4300000000000006</v>
      </c>
      <c r="AY49" s="813">
        <f t="shared" si="60"/>
        <v>-60.381000000000014</v>
      </c>
      <c r="AZ49" s="812">
        <v>-64.747</v>
      </c>
      <c r="BA49" s="813">
        <v>15.618</v>
      </c>
      <c r="BB49" s="813">
        <f>12.676-BA49</f>
        <v>-2.9420000000000002</v>
      </c>
      <c r="BC49" s="813">
        <f>-4.697-(SUM(BA49:BB49))</f>
        <v>-17.373000000000001</v>
      </c>
      <c r="BD49" s="813">
        <f t="shared" si="61"/>
        <v>4.697000000000001</v>
      </c>
      <c r="BE49" s="812">
        <v>0</v>
      </c>
      <c r="BF49" s="813">
        <v>-4.8929999999999998</v>
      </c>
      <c r="BG49" s="813">
        <f>-19.103-BF49</f>
        <v>-14.21</v>
      </c>
      <c r="BH49" s="813">
        <f>-19.938-BG49-BF49</f>
        <v>-0.83499999999999819</v>
      </c>
      <c r="BI49" s="813">
        <f t="shared" si="62"/>
        <v>-19.260999999999996</v>
      </c>
      <c r="BJ49" s="812">
        <v>-39.198999999999998</v>
      </c>
      <c r="BK49" s="813">
        <v>-15.722</v>
      </c>
      <c r="BL49" s="813">
        <f>-31.143-BK49</f>
        <v>-15.421000000000001</v>
      </c>
      <c r="BM49" s="813">
        <f>-48.363-BL49-BK49</f>
        <v>-17.22</v>
      </c>
      <c r="BN49" s="813">
        <f t="shared" si="63"/>
        <v>-8.1890000000000018</v>
      </c>
      <c r="BO49" s="812">
        <v>-56.552</v>
      </c>
      <c r="BP49" s="813">
        <v>-2.1</v>
      </c>
      <c r="BQ49" s="813">
        <f>-27.3-BP49</f>
        <v>-25.2</v>
      </c>
      <c r="BR49" s="813">
        <f>-32.3-BQ49-BP49</f>
        <v>-4.9999999999999982</v>
      </c>
      <c r="BS49" s="813">
        <f t="shared" si="64"/>
        <v>-19.7</v>
      </c>
      <c r="BT49" s="812">
        <v>-52</v>
      </c>
      <c r="BU49" s="813">
        <v>-5.3</v>
      </c>
      <c r="BV49" s="813">
        <f>-10.7-BU49</f>
        <v>-5.3999999999999995</v>
      </c>
      <c r="BW49" s="813">
        <f>-13.6-BV49-BU49</f>
        <v>-2.8999999999999995</v>
      </c>
      <c r="BX49" s="813">
        <f t="shared" si="65"/>
        <v>8.7999999999999989</v>
      </c>
      <c r="BY49" s="812">
        <v>-4.8</v>
      </c>
      <c r="BZ49" s="813">
        <v>-1.9</v>
      </c>
      <c r="CA49" s="813">
        <f>1.2-BZ49</f>
        <v>3.0999999999999996</v>
      </c>
      <c r="CB49" s="813">
        <f>4.5-2.7-CA49-BZ49</f>
        <v>0.60000000000000009</v>
      </c>
      <c r="CC49" s="813">
        <f t="shared" si="66"/>
        <v>-0.60000000000000009</v>
      </c>
      <c r="CD49" s="812">
        <v>1.2</v>
      </c>
      <c r="CE49" s="813">
        <v>0</v>
      </c>
      <c r="CF49" s="813">
        <v>0</v>
      </c>
      <c r="CG49" s="813">
        <v>0</v>
      </c>
      <c r="CH49" s="813">
        <f t="shared" si="67"/>
        <v>-13.2</v>
      </c>
      <c r="CI49" s="812">
        <v>-13.2</v>
      </c>
      <c r="CJ49" s="813">
        <v>4.8</v>
      </c>
      <c r="CK49" s="813">
        <f>-9.5-CJ49</f>
        <v>-14.3</v>
      </c>
      <c r="CL49" s="813">
        <f>-12.3-SUM(CJ49:CK49)</f>
        <v>-2.8000000000000007</v>
      </c>
      <c r="CM49" s="813">
        <f t="shared" si="68"/>
        <v>-29.5</v>
      </c>
      <c r="CN49" s="812">
        <v>-41.8</v>
      </c>
      <c r="CO49" s="813">
        <v>-5.3</v>
      </c>
      <c r="CP49" s="813">
        <f>-9.3-CO49</f>
        <v>-4.0000000000000009</v>
      </c>
      <c r="CQ49" s="815">
        <f>3-SUM(CO49:CP49)</f>
        <v>12.3</v>
      </c>
      <c r="CR49" s="815">
        <f t="shared" si="69"/>
        <v>-30.2</v>
      </c>
      <c r="CS49" s="814">
        <v>-27.2</v>
      </c>
      <c r="CT49" s="815">
        <v>0</v>
      </c>
      <c r="CU49" s="815">
        <v>0</v>
      </c>
      <c r="CV49" s="816">
        <v>0</v>
      </c>
      <c r="CW49" s="817">
        <v>0</v>
      </c>
      <c r="CX49" s="818">
        <f t="shared" si="74"/>
        <v>0</v>
      </c>
      <c r="CY49" s="815">
        <v>1.8</v>
      </c>
      <c r="CZ49" s="815">
        <f>-17.9-CY49</f>
        <v>-19.7</v>
      </c>
      <c r="DA49" s="815">
        <f>-33.9-CZ49-CY49</f>
        <v>-16</v>
      </c>
      <c r="DB49" s="815">
        <f>DC49-DA49-CZ49-CY49</f>
        <v>42.8</v>
      </c>
      <c r="DC49" s="814">
        <v>8.9</v>
      </c>
      <c r="DD49" s="813">
        <v>30.2</v>
      </c>
      <c r="DE49" s="815">
        <f>12.1-DD49</f>
        <v>-18.100000000000001</v>
      </c>
      <c r="DF49" s="815">
        <f>3.3-DE49-DD49</f>
        <v>-8.7999999999999972</v>
      </c>
      <c r="DG49" s="815">
        <f>DH49-DF49-DE49-DD49</f>
        <v>-3.3000000000000007</v>
      </c>
      <c r="DH49" s="814">
        <v>0</v>
      </c>
      <c r="DI49" s="815">
        <v>0</v>
      </c>
      <c r="DJ49" s="815">
        <v>0</v>
      </c>
      <c r="DK49" s="815">
        <v>0</v>
      </c>
      <c r="DL49" s="813">
        <v>0</v>
      </c>
      <c r="DM49" s="812">
        <f t="shared" si="70"/>
        <v>0</v>
      </c>
      <c r="DN49" s="819">
        <v>0</v>
      </c>
      <c r="DO49" s="819">
        <v>0</v>
      </c>
      <c r="DP49" s="819">
        <v>0</v>
      </c>
      <c r="DQ49" s="819">
        <v>0</v>
      </c>
      <c r="DR49" s="820">
        <f t="shared" si="71"/>
        <v>0</v>
      </c>
      <c r="DS49" s="819">
        <v>0</v>
      </c>
      <c r="DT49" s="819">
        <v>0</v>
      </c>
      <c r="DU49" s="819">
        <v>0</v>
      </c>
      <c r="DV49" s="819">
        <v>0</v>
      </c>
      <c r="DW49" s="820">
        <f t="shared" si="72"/>
        <v>0</v>
      </c>
      <c r="DX49" s="819">
        <v>0</v>
      </c>
      <c r="DY49" s="819">
        <v>0</v>
      </c>
      <c r="DZ49" s="819">
        <v>0</v>
      </c>
      <c r="EA49" s="819">
        <v>0</v>
      </c>
      <c r="EB49" s="820">
        <f t="shared" si="73"/>
        <v>0</v>
      </c>
      <c r="EE49" s="812"/>
      <c r="EF49" s="812"/>
      <c r="EG49" s="812"/>
      <c r="EH49" s="812"/>
      <c r="EI49" s="812"/>
      <c r="EJ49" s="812"/>
      <c r="EK49" s="812"/>
      <c r="EL49" s="812"/>
      <c r="EM49" s="812"/>
      <c r="EN49" s="812"/>
      <c r="EO49" s="812"/>
      <c r="EP49" s="812"/>
      <c r="EQ49" s="812"/>
      <c r="ER49" s="812"/>
      <c r="FC49"/>
      <c r="FD49"/>
      <c r="FE49"/>
      <c r="FF49"/>
      <c r="FG49"/>
      <c r="FH49"/>
      <c r="FI49" s="821"/>
      <c r="FJ49" s="822"/>
      <c r="FK49" s="822"/>
      <c r="FL49" s="822"/>
      <c r="FM49" s="822"/>
      <c r="FN49" s="822"/>
      <c r="FO49" s="822"/>
      <c r="FP49" s="822"/>
      <c r="FQ49" s="822"/>
      <c r="FR49" s="822"/>
      <c r="FS49" s="822"/>
      <c r="FT49" s="822"/>
      <c r="FU49" s="822"/>
      <c r="FV49" s="822"/>
      <c r="FW49" s="822"/>
      <c r="FX49" s="822"/>
      <c r="FY49" s="822"/>
      <c r="FZ49" s="822"/>
      <c r="GA49" s="822"/>
      <c r="GB49" s="822"/>
      <c r="GC49" s="822"/>
      <c r="GD49" s="822"/>
      <c r="GE49" s="822"/>
      <c r="GF49" s="822"/>
      <c r="GG49" s="822"/>
      <c r="GH49" s="822"/>
      <c r="GI49" s="822"/>
      <c r="GJ49" s="822"/>
      <c r="GK49" s="822"/>
      <c r="GL49" s="822"/>
      <c r="GM49" s="822"/>
      <c r="GN49" s="822"/>
      <c r="GO49" s="822"/>
      <c r="GP49" s="822"/>
      <c r="GQ49" s="822"/>
      <c r="GR49" s="822"/>
      <c r="GS49" s="822"/>
      <c r="GT49" s="822"/>
      <c r="GU49" s="822"/>
      <c r="GV49" s="822"/>
      <c r="GW49" s="821"/>
      <c r="GX49" s="821"/>
      <c r="GY49" s="821"/>
      <c r="GZ49" s="821"/>
      <c r="HA49" s="821"/>
      <c r="HB49" s="821"/>
      <c r="HC49" s="821"/>
      <c r="HD49" s="821"/>
      <c r="HE49" s="821"/>
      <c r="HF49" s="821"/>
      <c r="HG49" s="821"/>
      <c r="HH49" s="821"/>
      <c r="HI49" s="821"/>
      <c r="HJ49" s="821"/>
      <c r="HK49" s="821"/>
      <c r="HL49" s="821"/>
      <c r="HM49" s="821"/>
      <c r="HN49" s="821"/>
      <c r="HO49" s="821"/>
      <c r="HP49" s="821"/>
      <c r="HQ49" s="821"/>
      <c r="HR49" s="821"/>
      <c r="HS49" s="821"/>
      <c r="HT49" s="821"/>
      <c r="HU49" s="821"/>
      <c r="HV49" s="821"/>
      <c r="HW49" s="821"/>
      <c r="HX49" s="821"/>
      <c r="HY49" s="821"/>
      <c r="HZ49" s="821"/>
      <c r="IA49" s="821"/>
      <c r="IB49" s="821"/>
      <c r="IC49" s="821"/>
      <c r="ID49" s="821"/>
      <c r="IE49" s="821"/>
      <c r="IF49" s="821"/>
      <c r="IG49" s="821"/>
      <c r="IH49" s="821"/>
      <c r="II49" s="821"/>
      <c r="IJ49" s="821"/>
      <c r="IK49" s="821"/>
      <c r="IL49" s="821"/>
      <c r="IM49" s="821"/>
      <c r="IN49" s="821"/>
      <c r="IO49" s="821"/>
      <c r="IP49" s="821"/>
      <c r="IQ49" s="821"/>
      <c r="IR49" s="821"/>
      <c r="IS49" s="821"/>
      <c r="IT49" s="821"/>
      <c r="IU49" s="821"/>
      <c r="IV49" s="821"/>
    </row>
    <row r="50" spans="1:256" s="16" customFormat="1" x14ac:dyDescent="0.2">
      <c r="A50" s="16" t="s">
        <v>440</v>
      </c>
      <c r="B50" s="151">
        <v>-85.287999999999997</v>
      </c>
      <c r="C50" s="119">
        <v>-25.460999999999999</v>
      </c>
      <c r="D50" s="119">
        <v>-30.571000000000002</v>
      </c>
      <c r="E50" s="119">
        <v>-34.298999999999999</v>
      </c>
      <c r="F50" s="119">
        <v>-39.055</v>
      </c>
      <c r="G50" s="151">
        <v>-129.386</v>
      </c>
      <c r="H50" s="119">
        <v>-38.347000000000001</v>
      </c>
      <c r="I50" s="119">
        <v>-37.459000000000003</v>
      </c>
      <c r="J50" s="119">
        <v>-40.664999999999999</v>
      </c>
      <c r="K50" s="119">
        <v>-45.343000000000004</v>
      </c>
      <c r="L50" s="151">
        <v>-161.81399999999999</v>
      </c>
      <c r="M50" s="119">
        <v>-36.893000000000001</v>
      </c>
      <c r="N50" s="119">
        <f>(-69569-M50)/1000</f>
        <v>-69.532107000000011</v>
      </c>
      <c r="O50" s="119">
        <f>(-112247-N50-M50)/1000</f>
        <v>-112.14057489299999</v>
      </c>
      <c r="P50" s="119">
        <f>(-169667-1004-SUM(M50:O50))/1000</f>
        <v>-170.45243431810701</v>
      </c>
      <c r="Q50" s="151">
        <v>-374.6</v>
      </c>
      <c r="R50" s="119">
        <v>-49.978999999999999</v>
      </c>
      <c r="S50" s="119">
        <f>-93.993-R50</f>
        <v>-44.013999999999996</v>
      </c>
      <c r="T50" s="119">
        <f>-143.904-SUM(R50:S50)</f>
        <v>-49.911000000000001</v>
      </c>
      <c r="U50" s="119">
        <f>-201.855-T50-S50-R50</f>
        <v>-57.950999999999993</v>
      </c>
      <c r="V50" s="151">
        <f>SUM(R50:U50)</f>
        <v>-201.85499999999999</v>
      </c>
      <c r="W50" s="119">
        <v>-51.817</v>
      </c>
      <c r="X50" s="119">
        <f>(-99.277)-W50</f>
        <v>-47.46</v>
      </c>
      <c r="Y50" s="119">
        <f>(-171.491)-X50-W50</f>
        <v>-72.213999999999999</v>
      </c>
      <c r="Z50" s="119">
        <f t="shared" si="55"/>
        <v>-90.289999999999992</v>
      </c>
      <c r="AA50" s="151">
        <v>-261.78100000000001</v>
      </c>
      <c r="AB50" s="119">
        <v>-65.988</v>
      </c>
      <c r="AC50" s="119">
        <f>-148.005-AB50</f>
        <v>-82.016999999999996</v>
      </c>
      <c r="AD50" s="119">
        <f>-225.892-AC50-AB50</f>
        <v>-77.887</v>
      </c>
      <c r="AE50" s="119">
        <f t="shared" si="56"/>
        <v>-90.557999999999993</v>
      </c>
      <c r="AF50" s="151">
        <v>-316.45</v>
      </c>
      <c r="AG50" s="119">
        <v>-78.971999999999994</v>
      </c>
      <c r="AH50" s="119">
        <f>-161.697-AG50</f>
        <v>-82.725000000000009</v>
      </c>
      <c r="AI50" s="119">
        <f>-255.498-AH50-AG50</f>
        <v>-93.800999999999974</v>
      </c>
      <c r="AJ50" s="119">
        <f t="shared" si="57"/>
        <v>-128.71699999999998</v>
      </c>
      <c r="AK50" s="151">
        <v>-384.21499999999997</v>
      </c>
      <c r="AL50" s="119">
        <v>-88.963999999999999</v>
      </c>
      <c r="AM50" s="119">
        <f>-183.607-AL50</f>
        <v>-94.643000000000001</v>
      </c>
      <c r="AN50" s="119">
        <f>-269.117-AM50-AL50</f>
        <v>-85.510000000000019</v>
      </c>
      <c r="AO50" s="119">
        <f t="shared" si="58"/>
        <v>-106.35699999999994</v>
      </c>
      <c r="AP50" s="151">
        <v>-375.47399999999999</v>
      </c>
      <c r="AQ50" s="119">
        <v>-93.751000000000005</v>
      </c>
      <c r="AR50" s="119">
        <f>-182.011-AQ50</f>
        <v>-88.259999999999991</v>
      </c>
      <c r="AS50" s="119">
        <f>-259.179-AQ50-AR50</f>
        <v>-77.167999999999978</v>
      </c>
      <c r="AT50" s="119">
        <f t="shared" si="59"/>
        <v>-98.103000000000037</v>
      </c>
      <c r="AU50" s="151">
        <v>-357.28199999999998</v>
      </c>
      <c r="AV50" s="119">
        <v>-64.83</v>
      </c>
      <c r="AW50" s="119">
        <f>-128.743-AV50</f>
        <v>-63.912999999999997</v>
      </c>
      <c r="AX50" s="119">
        <f>-221.111-AV50-AW50</f>
        <v>-92.368000000000009</v>
      </c>
      <c r="AY50" s="119">
        <f t="shared" si="60"/>
        <v>-191.42599999999999</v>
      </c>
      <c r="AZ50" s="151">
        <v>-412.53699999999998</v>
      </c>
      <c r="BA50" s="119">
        <v>-162.13200000000001</v>
      </c>
      <c r="BB50" s="119">
        <f>-311.69-BA50</f>
        <v>-149.55799999999999</v>
      </c>
      <c r="BC50" s="119">
        <f>-459.962-(SUM(BA50:BB50))</f>
        <v>-148.27199999999999</v>
      </c>
      <c r="BD50" s="119">
        <f t="shared" si="61"/>
        <v>-184.02700000000004</v>
      </c>
      <c r="BE50" s="151">
        <v>-643.98900000000003</v>
      </c>
      <c r="BF50" s="119">
        <v>-147.77799999999999</v>
      </c>
      <c r="BG50" s="119">
        <f>-310.331-BF50</f>
        <v>-162.55300000000003</v>
      </c>
      <c r="BH50" s="119">
        <f>-522.348-BG50-BF50</f>
        <v>-212.01699999999997</v>
      </c>
      <c r="BI50" s="119">
        <f t="shared" si="62"/>
        <v>-248.88200000000009</v>
      </c>
      <c r="BJ50" s="151">
        <v>-771.23</v>
      </c>
      <c r="BK50" s="119">
        <v>-270.54700000000003</v>
      </c>
      <c r="BL50" s="119">
        <f>-507.202-BK50</f>
        <v>-236.65499999999997</v>
      </c>
      <c r="BM50" s="119">
        <f>-772.133-BL50-BK50</f>
        <v>-264.93100000000004</v>
      </c>
      <c r="BN50" s="119">
        <f t="shared" si="63"/>
        <v>-308.21499999999992</v>
      </c>
      <c r="BO50" s="151">
        <v>-1080.348</v>
      </c>
      <c r="BP50" s="119">
        <v>-263.60000000000002</v>
      </c>
      <c r="BQ50" s="119">
        <f>-505.1-BP50</f>
        <v>-241.5</v>
      </c>
      <c r="BR50" s="119">
        <f>-733.9-BQ50-BP50</f>
        <v>-228.79999999999995</v>
      </c>
      <c r="BS50" s="119">
        <f t="shared" si="64"/>
        <v>-250.60000000000002</v>
      </c>
      <c r="BT50" s="151">
        <v>-984.5</v>
      </c>
      <c r="BU50" s="119">
        <v>-172.6</v>
      </c>
      <c r="BV50" s="119">
        <f>-236.9-BU50</f>
        <v>-64.300000000000011</v>
      </c>
      <c r="BW50" s="119">
        <f>-344.2-BV50-BU50</f>
        <v>-107.29999999999998</v>
      </c>
      <c r="BX50" s="119">
        <f t="shared" si="65"/>
        <v>-101.40000000000006</v>
      </c>
      <c r="BY50" s="151">
        <v>-445.6</v>
      </c>
      <c r="BZ50" s="119">
        <v>-99.7</v>
      </c>
      <c r="CA50" s="119">
        <f>-184.5-BZ50</f>
        <v>-84.8</v>
      </c>
      <c r="CB50" s="119">
        <f>-285.6-CA50-BZ50</f>
        <v>-101.10000000000001</v>
      </c>
      <c r="CC50" s="119">
        <f t="shared" si="66"/>
        <v>-155.09999999999997</v>
      </c>
      <c r="CD50" s="151">
        <v>-440.7</v>
      </c>
      <c r="CE50" s="119">
        <v>-128.9</v>
      </c>
      <c r="CF50" s="119">
        <f>-239.1-CE50</f>
        <v>-110.19999999999999</v>
      </c>
      <c r="CG50" s="119">
        <f>-372.4-CF50-CE50</f>
        <v>-133.29999999999998</v>
      </c>
      <c r="CH50" s="119">
        <f t="shared" si="67"/>
        <v>-159.50000000000003</v>
      </c>
      <c r="CI50" s="151">
        <v>-531.9</v>
      </c>
      <c r="CJ50" s="119">
        <v>-153.5</v>
      </c>
      <c r="CK50" s="119">
        <f>-313.8-CJ50</f>
        <v>-160.30000000000001</v>
      </c>
      <c r="CL50" s="119">
        <f>-516.5-SUM(CJ50:CK50)</f>
        <v>-202.7</v>
      </c>
      <c r="CM50" s="119">
        <f t="shared" si="68"/>
        <v>-339.7</v>
      </c>
      <c r="CN50" s="151">
        <v>-856.2</v>
      </c>
      <c r="CO50" s="119">
        <v>-242.3</v>
      </c>
      <c r="CP50" s="119">
        <f>-484.9-CO50</f>
        <v>-242.59999999999997</v>
      </c>
      <c r="CQ50" s="540">
        <f>-782.2-SUM(CO50:CP50)</f>
        <v>-297.30000000000007</v>
      </c>
      <c r="CR50" s="540">
        <f t="shared" si="69"/>
        <v>-369</v>
      </c>
      <c r="CS50" s="148">
        <v>-1151.2</v>
      </c>
      <c r="CT50" s="540">
        <v>-256.10000000000002</v>
      </c>
      <c r="CU50" s="540">
        <f>-503.6-CT50</f>
        <v>-247.5</v>
      </c>
      <c r="CV50" s="119">
        <f>-811.2-CU50-CT50</f>
        <v>-307.60000000000002</v>
      </c>
      <c r="CW50" s="722">
        <f>CX50-CV50-CU50-CT50</f>
        <v>-349.70000000000005</v>
      </c>
      <c r="CX50" s="727">
        <v>-1160.9000000000001</v>
      </c>
      <c r="CY50" s="540">
        <v>-291.8</v>
      </c>
      <c r="CZ50" s="540">
        <f>-606.6-CY50</f>
        <v>-314.8</v>
      </c>
      <c r="DA50" s="540">
        <f>-943.5-CZ50-CY50</f>
        <v>-336.90000000000003</v>
      </c>
      <c r="DB50" s="815">
        <f>DC50-DA50-CZ50-CY50</f>
        <v>-360.2</v>
      </c>
      <c r="DC50" s="148">
        <v>-1303.7</v>
      </c>
      <c r="DD50" s="540">
        <v>-331.8</v>
      </c>
      <c r="DE50" s="540">
        <f>-668.2-DD50</f>
        <v>-336.40000000000003</v>
      </c>
      <c r="DF50" s="540">
        <f>-1029.7-DE50-DD50</f>
        <v>-361.49999999999994</v>
      </c>
      <c r="DG50" s="815">
        <f>DH50-DF50-DE50-DD50</f>
        <v>-410.59999999999985</v>
      </c>
      <c r="DH50" s="148">
        <v>-1440.3</v>
      </c>
      <c r="DI50" s="540">
        <v>-307.39999999999998</v>
      </c>
      <c r="DJ50" s="540">
        <f>-637.9-DI50</f>
        <v>-330.5</v>
      </c>
      <c r="DK50" s="540">
        <f>-1025.3-SUM(DI50:DJ50)</f>
        <v>-387.4</v>
      </c>
      <c r="DL50" s="540">
        <f>-1519.4-SUM(DI50:DK50)</f>
        <v>-494.10000000000014</v>
      </c>
      <c r="DM50" s="986">
        <f t="shared" si="70"/>
        <v>-1519.4</v>
      </c>
      <c r="DN50" s="150">
        <f>-DN99*IS!DN17</f>
        <v>-455.52750000000003</v>
      </c>
      <c r="DO50" s="150">
        <f>-DO99*IS!DO17</f>
        <v>-446.31284650869549</v>
      </c>
      <c r="DP50" s="150">
        <f>-DP99*IS!DP17</f>
        <v>-475.02614293340901</v>
      </c>
      <c r="DQ50" s="150">
        <f>-DQ99*IS!DQ17</f>
        <v>-640.74872737742783</v>
      </c>
      <c r="DR50" s="149">
        <f t="shared" si="71"/>
        <v>-2017.6152168195322</v>
      </c>
      <c r="DS50" s="150">
        <f>-DS99*IS!DS17</f>
        <v>-471.5287887765536</v>
      </c>
      <c r="DT50" s="150">
        <f>-DT99*IS!DT17</f>
        <v>-456.08240170847802</v>
      </c>
      <c r="DU50" s="150">
        <f>-DU99*IS!DU17</f>
        <v>-486.15069537741164</v>
      </c>
      <c r="DV50" s="150">
        <f>-DV99*IS!DV17</f>
        <v>-632.52171085256782</v>
      </c>
      <c r="DW50" s="149">
        <f t="shared" si="72"/>
        <v>-2046.2835967150111</v>
      </c>
      <c r="DX50" s="150">
        <f>-DX99*IS!DX17</f>
        <v>-479.264179047097</v>
      </c>
      <c r="DY50" s="150">
        <f>-DY99*IS!DY17</f>
        <v>-463.93703722547525</v>
      </c>
      <c r="DZ50" s="150">
        <f>-DZ99*IS!DZ17</f>
        <v>-494.18641702393228</v>
      </c>
      <c r="EA50" s="150">
        <f>-EA99*IS!EA17</f>
        <v>-614.87722458525354</v>
      </c>
      <c r="EB50" s="149">
        <f t="shared" si="73"/>
        <v>-2052.264857881758</v>
      </c>
      <c r="EE50" s="148">
        <f>BG50+BH50+BI50+BK50</f>
        <v>-893.99900000000014</v>
      </c>
      <c r="EF50" s="148">
        <f>BL50+BM50+BN50+BP50</f>
        <v>-1073.4009999999998</v>
      </c>
      <c r="EG50" s="148">
        <f>BQ50+BR50+BS50+BU50</f>
        <v>-893.5</v>
      </c>
      <c r="EH50" s="148">
        <f>BV50+BW50+BX50+BZ50</f>
        <v>-372.70000000000005</v>
      </c>
      <c r="EI50" s="148">
        <f>CA50+CB50+CC50+CE50</f>
        <v>-469.9</v>
      </c>
      <c r="EJ50" s="148">
        <f>CF50+CG50+CH50+CJ50</f>
        <v>-556.5</v>
      </c>
      <c r="EK50" s="148">
        <f>CK50+CL50+CM50+CO50</f>
        <v>-945</v>
      </c>
      <c r="EL50" s="148">
        <f>CP50+CQ50+CR50+CT50</f>
        <v>-1165</v>
      </c>
      <c r="EM50" s="148">
        <f>CU50+CV50+CW50+CY50</f>
        <v>-1196.6000000000001</v>
      </c>
      <c r="EN50" s="148">
        <f>CZ50+DA50+DB50+DD50</f>
        <v>-1343.7</v>
      </c>
      <c r="EO50" s="148">
        <f>DE50+DF50+DG50+DI50</f>
        <v>-1415.8999999999996</v>
      </c>
      <c r="EP50" s="148">
        <f>DJ50+DK50+DL50+DN50</f>
        <v>-1667.5275000000001</v>
      </c>
      <c r="EQ50" s="148">
        <f>SUM(DO50:DQ50,DS50)</f>
        <v>-2033.616505596086</v>
      </c>
      <c r="ER50" s="148">
        <f>SUM(DT50:DV50,DX50)</f>
        <v>-2054.0189869855544</v>
      </c>
      <c r="FC50"/>
      <c r="FD50"/>
      <c r="FE50"/>
      <c r="FF50"/>
      <c r="FG50"/>
      <c r="FH50"/>
      <c r="FI50" s="396"/>
      <c r="FJ50" s="419"/>
      <c r="FK50" s="419"/>
      <c r="FL50" s="419"/>
      <c r="FM50" s="419"/>
      <c r="FN50" s="419"/>
      <c r="FO50" s="419"/>
      <c r="FP50" s="419"/>
      <c r="FQ50" s="419"/>
      <c r="FR50" s="419"/>
      <c r="FS50" s="419"/>
      <c r="FT50" s="419"/>
      <c r="FU50" s="419"/>
      <c r="FV50" s="419"/>
      <c r="FW50" s="419"/>
      <c r="FX50" s="419"/>
      <c r="FY50" s="419"/>
      <c r="FZ50" s="419"/>
      <c r="GA50" s="419"/>
      <c r="GB50" s="419"/>
      <c r="GC50" s="419"/>
      <c r="GD50" s="419"/>
      <c r="GE50" s="419"/>
      <c r="GF50" s="419"/>
      <c r="GG50" s="419"/>
      <c r="GH50" s="419"/>
      <c r="GI50" s="419"/>
      <c r="GJ50" s="419"/>
      <c r="GK50" s="419"/>
      <c r="GL50" s="419"/>
      <c r="GM50" s="419"/>
      <c r="GN50" s="419"/>
      <c r="GO50" s="419"/>
      <c r="GP50" s="419"/>
      <c r="GQ50" s="419"/>
      <c r="GR50" s="419"/>
      <c r="GS50" s="419"/>
      <c r="GT50" s="419"/>
      <c r="GU50" s="419"/>
      <c r="GV50" s="419"/>
      <c r="GW50" s="418"/>
      <c r="GX50" s="418"/>
      <c r="GY50" s="418"/>
      <c r="GZ50" s="418"/>
      <c r="HA50" s="418"/>
      <c r="HB50" s="418"/>
      <c r="HC50" s="418"/>
      <c r="HD50" s="418"/>
      <c r="HE50" s="418"/>
      <c r="HF50" s="418"/>
      <c r="HG50" s="418"/>
      <c r="HH50" s="418"/>
      <c r="HI50" s="418"/>
      <c r="HJ50" s="418"/>
      <c r="HK50" s="418"/>
      <c r="HL50" s="418"/>
      <c r="HM50" s="418"/>
      <c r="HN50" s="418"/>
      <c r="HO50" s="418"/>
      <c r="HP50" s="418"/>
      <c r="HQ50" s="418"/>
      <c r="HR50" s="418"/>
      <c r="HS50" s="418"/>
      <c r="HT50" s="418"/>
      <c r="HU50" s="418"/>
      <c r="HV50" s="418"/>
      <c r="HW50" s="418"/>
      <c r="HX50" s="418"/>
      <c r="HY50" s="418"/>
      <c r="HZ50" s="418"/>
      <c r="IA50" s="418"/>
      <c r="IB50" s="418"/>
      <c r="IC50" s="418"/>
      <c r="ID50" s="418"/>
      <c r="IE50" s="418"/>
      <c r="IF50" s="418"/>
      <c r="IG50" s="418"/>
      <c r="IH50" s="418"/>
      <c r="II50" s="418"/>
      <c r="IJ50" s="418"/>
      <c r="IK50" s="418"/>
      <c r="IL50" s="418"/>
      <c r="IM50" s="418"/>
      <c r="IN50" s="418"/>
      <c r="IO50" s="418"/>
      <c r="IP50" s="418"/>
      <c r="IQ50" s="418"/>
      <c r="IR50" s="418"/>
      <c r="IS50" s="418"/>
      <c r="IT50" s="418"/>
      <c r="IU50" s="418"/>
      <c r="IV50" s="418"/>
    </row>
    <row r="51" spans="1:256" s="1" customFormat="1" x14ac:dyDescent="0.2">
      <c r="A51" s="1" t="s">
        <v>439</v>
      </c>
      <c r="B51" s="125">
        <v>57.817999999999998</v>
      </c>
      <c r="C51" s="111">
        <v>0.14399999999999999</v>
      </c>
      <c r="D51" s="111">
        <v>-12.067</v>
      </c>
      <c r="E51" s="111">
        <v>-0.84399999999999997</v>
      </c>
      <c r="F51" s="111">
        <v>0.30099999999999999</v>
      </c>
      <c r="G51" s="125">
        <v>-12.484</v>
      </c>
      <c r="H51" s="111">
        <v>-1.88</v>
      </c>
      <c r="I51" s="111">
        <v>17.597999999999999</v>
      </c>
      <c r="J51" s="111">
        <v>-1.89</v>
      </c>
      <c r="K51" s="111">
        <v>-1.4890000000000001</v>
      </c>
      <c r="L51" s="125">
        <f>-6.04+18.389</f>
        <v>12.349</v>
      </c>
      <c r="M51" s="111">
        <f>(-35-1578-599)/1000</f>
        <v>-2.2120000000000002</v>
      </c>
      <c r="N51" s="111">
        <f>((-11581-3116)-M51-1698)/1000</f>
        <v>-16.392787999999999</v>
      </c>
      <c r="O51" s="111">
        <f>((-24075-3605)-N51-M51-3181)/1000</f>
        <v>-30.842395212</v>
      </c>
      <c r="P51" s="111">
        <f>(-27624-SUM(M51:O51))/1000</f>
        <v>-27.574552816788</v>
      </c>
      <c r="Q51" s="125">
        <v>17.366</v>
      </c>
      <c r="R51" s="111">
        <f>-6.131+1-0.443+3.615</f>
        <v>-1.9589999999999996</v>
      </c>
      <c r="S51" s="111">
        <f>-6.131+1.4-1.415-R51+4.604</f>
        <v>0.41699999999999982</v>
      </c>
      <c r="T51" s="111">
        <f>-10.424+1.547-2.511-SUM(R51:S51)+4.458</f>
        <v>-5.3879999999999981</v>
      </c>
      <c r="U51" s="111">
        <f>-12.418+2.75-T51-S51-R51+1.07</f>
        <v>-1.6680000000000013</v>
      </c>
      <c r="V51" s="125">
        <f>-8.618</f>
        <v>-8.6180000000000003</v>
      </c>
      <c r="W51" s="111">
        <f>-52.998+11-1.963+5-1.018</f>
        <v>-39.978999999999999</v>
      </c>
      <c r="X51" s="111">
        <f>(-46.936)-W51</f>
        <v>-6.9570000000000007</v>
      </c>
      <c r="Y51" s="111">
        <f>-111.447+78.553-16.216-16.301+2.983-6.95-X51-W51</f>
        <v>-22.442</v>
      </c>
      <c r="Z51" s="111">
        <f t="shared" si="55"/>
        <v>-5.1340000000000003</v>
      </c>
      <c r="AA51" s="125">
        <f>-122.8+3.633+85.053-15.662-30.78+8.983+3.927-6.866</f>
        <v>-74.512</v>
      </c>
      <c r="AB51" s="111">
        <v>-3.6819999999999999</v>
      </c>
      <c r="AC51" s="111">
        <f>-3.986-AB51</f>
        <v>-0.30400000000000027</v>
      </c>
      <c r="AD51" s="111">
        <f>-2.878-AC51-AB51</f>
        <v>1.1080000000000001</v>
      </c>
      <c r="AE51" s="111">
        <f t="shared" si="56"/>
        <v>-3.44</v>
      </c>
      <c r="AF51" s="125">
        <v>-6.3179999999999996</v>
      </c>
      <c r="AG51" s="111">
        <v>-0.16400000000000001</v>
      </c>
      <c r="AH51" s="111">
        <f>-2.496-AG51</f>
        <v>-2.3319999999999999</v>
      </c>
      <c r="AI51" s="111">
        <f>5.617-AH51-AG51</f>
        <v>8.1129999999999995</v>
      </c>
      <c r="AJ51" s="111">
        <f t="shared" si="57"/>
        <v>-5.617</v>
      </c>
      <c r="AK51" s="125">
        <v>0</v>
      </c>
      <c r="AL51" s="111">
        <v>-3.6850000000000001</v>
      </c>
      <c r="AM51" s="111">
        <f>-11.69-AL51</f>
        <v>-8.004999999999999</v>
      </c>
      <c r="AN51" s="111">
        <f>-15.879-AM51-AL51</f>
        <v>-4.1890000000000001</v>
      </c>
      <c r="AO51" s="111">
        <f t="shared" si="58"/>
        <v>15.879</v>
      </c>
      <c r="AP51" s="125">
        <v>0</v>
      </c>
      <c r="AQ51" s="111">
        <v>0</v>
      </c>
      <c r="AR51" s="111">
        <v>0</v>
      </c>
      <c r="AS51" s="111">
        <v>0</v>
      </c>
      <c r="AT51" s="111">
        <f t="shared" si="59"/>
        <v>0</v>
      </c>
      <c r="AU51" s="125">
        <v>0</v>
      </c>
      <c r="AV51" s="111">
        <v>0</v>
      </c>
      <c r="AW51" s="111">
        <v>0</v>
      </c>
      <c r="AX51" s="111">
        <v>0</v>
      </c>
      <c r="AY51" s="111">
        <f t="shared" si="60"/>
        <v>0</v>
      </c>
      <c r="AZ51" s="125">
        <v>0</v>
      </c>
      <c r="BA51" s="111">
        <v>0</v>
      </c>
      <c r="BB51" s="111">
        <v>0</v>
      </c>
      <c r="BC51" s="111">
        <v>0</v>
      </c>
      <c r="BD51" s="111">
        <f t="shared" si="61"/>
        <v>0</v>
      </c>
      <c r="BE51" s="125">
        <v>0</v>
      </c>
      <c r="BF51" s="111">
        <v>0</v>
      </c>
      <c r="BG51" s="111">
        <v>0</v>
      </c>
      <c r="BH51" s="111">
        <v>0</v>
      </c>
      <c r="BI51" s="111">
        <f t="shared" si="62"/>
        <v>0</v>
      </c>
      <c r="BJ51" s="125">
        <v>0</v>
      </c>
      <c r="BK51" s="111">
        <v>0</v>
      </c>
      <c r="BL51" s="111">
        <v>0</v>
      </c>
      <c r="BM51" s="111">
        <v>0</v>
      </c>
      <c r="BN51" s="111">
        <f t="shared" si="63"/>
        <v>0</v>
      </c>
      <c r="BO51" s="125">
        <v>0</v>
      </c>
      <c r="BP51" s="111">
        <v>0</v>
      </c>
      <c r="BQ51" s="111">
        <v>0</v>
      </c>
      <c r="BR51" s="111">
        <v>0</v>
      </c>
      <c r="BS51" s="111">
        <f t="shared" si="64"/>
        <v>0</v>
      </c>
      <c r="BT51" s="125">
        <v>0</v>
      </c>
      <c r="BU51" s="111">
        <v>0</v>
      </c>
      <c r="BV51" s="111">
        <v>0</v>
      </c>
      <c r="BW51" s="111">
        <v>0</v>
      </c>
      <c r="BX51" s="111">
        <f t="shared" si="65"/>
        <v>0</v>
      </c>
      <c r="BY51" s="125">
        <v>0</v>
      </c>
      <c r="BZ51" s="111">
        <v>0</v>
      </c>
      <c r="CA51" s="111">
        <v>0</v>
      </c>
      <c r="CB51" s="111">
        <v>0</v>
      </c>
      <c r="CC51" s="111">
        <f t="shared" si="66"/>
        <v>0</v>
      </c>
      <c r="CD51" s="367">
        <v>0</v>
      </c>
      <c r="CE51" s="366">
        <v>0</v>
      </c>
      <c r="CF51" s="366">
        <v>0</v>
      </c>
      <c r="CG51" s="366">
        <v>0</v>
      </c>
      <c r="CH51" s="366">
        <f t="shared" si="67"/>
        <v>0</v>
      </c>
      <c r="CI51" s="367">
        <v>0</v>
      </c>
      <c r="CJ51" s="366">
        <v>0</v>
      </c>
      <c r="CK51" s="366">
        <v>0</v>
      </c>
      <c r="CL51" s="366">
        <v>0</v>
      </c>
      <c r="CM51" s="366">
        <f t="shared" si="68"/>
        <v>0</v>
      </c>
      <c r="CN51" s="367">
        <v>0</v>
      </c>
      <c r="CO51" s="366">
        <v>0</v>
      </c>
      <c r="CP51" s="366">
        <v>0</v>
      </c>
      <c r="CQ51" s="366">
        <v>0</v>
      </c>
      <c r="CR51" s="366">
        <f t="shared" si="69"/>
        <v>0</v>
      </c>
      <c r="CS51" s="367">
        <v>0</v>
      </c>
      <c r="CT51" s="366">
        <v>-19.399999999999999</v>
      </c>
      <c r="CU51" s="366">
        <f>-14.4-CT51</f>
        <v>4.9999999999999982</v>
      </c>
      <c r="CV51" s="495">
        <f>-24.4-CU51-CT51</f>
        <v>-10</v>
      </c>
      <c r="CW51" s="722">
        <f>CX51-CV51-CU51-CT51</f>
        <v>109.20000000000002</v>
      </c>
      <c r="CX51" s="723">
        <f>-19.1+103.9</f>
        <v>84.800000000000011</v>
      </c>
      <c r="CY51" s="366">
        <v>0</v>
      </c>
      <c r="CZ51" s="366">
        <v>0</v>
      </c>
      <c r="DA51" s="366">
        <v>0</v>
      </c>
      <c r="DB51" s="815">
        <f>DC51-DA51-CZ51-CY51</f>
        <v>6.8</v>
      </c>
      <c r="DC51" s="367">
        <v>6.8</v>
      </c>
      <c r="DD51" s="111">
        <v>1</v>
      </c>
      <c r="DE51" s="366">
        <f>0-DD51</f>
        <v>-1</v>
      </c>
      <c r="DF51" s="366">
        <v>0</v>
      </c>
      <c r="DG51" s="815">
        <f>DH51-DF51-DE51-DD51</f>
        <v>24.9</v>
      </c>
      <c r="DH51" s="367">
        <v>24.9</v>
      </c>
      <c r="DI51" s="111">
        <v>61.6</v>
      </c>
      <c r="DJ51" s="111">
        <f>54.1-DI51</f>
        <v>-7.5</v>
      </c>
      <c r="DK51" s="366">
        <f>54.9-SUM(DI51:DJ51)</f>
        <v>0.79999999999999716</v>
      </c>
      <c r="DL51" s="111">
        <f>54.3-SUM(DI51:DK51)</f>
        <v>-0.60000000000000142</v>
      </c>
      <c r="DM51" s="125">
        <f t="shared" si="70"/>
        <v>54.3</v>
      </c>
      <c r="DN51" s="143">
        <v>0</v>
      </c>
      <c r="DO51" s="143">
        <v>0</v>
      </c>
      <c r="DP51" s="143">
        <v>0</v>
      </c>
      <c r="DQ51" s="143">
        <v>0</v>
      </c>
      <c r="DR51" s="142">
        <f t="shared" si="71"/>
        <v>0</v>
      </c>
      <c r="DS51" s="143">
        <v>0</v>
      </c>
      <c r="DT51" s="143">
        <v>0</v>
      </c>
      <c r="DU51" s="143">
        <v>0</v>
      </c>
      <c r="DV51" s="143">
        <v>0</v>
      </c>
      <c r="DW51" s="142">
        <f t="shared" si="72"/>
        <v>0</v>
      </c>
      <c r="DX51" s="143">
        <v>0</v>
      </c>
      <c r="DY51" s="143">
        <v>0</v>
      </c>
      <c r="DZ51" s="143">
        <v>0</v>
      </c>
      <c r="EA51" s="143">
        <v>0</v>
      </c>
      <c r="EB51" s="142">
        <f t="shared" si="73"/>
        <v>0</v>
      </c>
      <c r="EE51" s="125"/>
      <c r="EF51" s="125"/>
      <c r="EG51" s="125"/>
      <c r="EH51" s="125"/>
      <c r="EI51" s="125"/>
      <c r="EJ51" s="125"/>
      <c r="EK51" s="125"/>
      <c r="EL51" s="125"/>
      <c r="EM51" s="125"/>
      <c r="EN51" s="125"/>
      <c r="EO51" s="125"/>
      <c r="EP51" s="125"/>
      <c r="EQ51" s="125"/>
      <c r="ER51" s="125"/>
      <c r="FC51"/>
      <c r="FD51"/>
      <c r="FE51"/>
      <c r="FF51"/>
      <c r="FG51"/>
      <c r="FH51"/>
      <c r="FI51" s="396"/>
      <c r="FJ51" s="419"/>
      <c r="FK51" s="419"/>
      <c r="FL51" s="419"/>
      <c r="FM51" s="419"/>
      <c r="FN51" s="419"/>
      <c r="FO51" s="419"/>
      <c r="FP51" s="419"/>
      <c r="FQ51" s="419"/>
      <c r="FR51" s="419"/>
      <c r="FS51" s="419"/>
      <c r="FT51" s="419"/>
      <c r="FU51" s="419"/>
      <c r="FV51" s="419"/>
      <c r="FW51" s="419"/>
      <c r="FX51" s="419"/>
      <c r="FY51" s="419"/>
      <c r="FZ51" s="419"/>
      <c r="GA51" s="419"/>
      <c r="GB51" s="419"/>
      <c r="GC51" s="419"/>
      <c r="GD51" s="419"/>
      <c r="GE51" s="419"/>
      <c r="GF51" s="419"/>
      <c r="GG51" s="419"/>
      <c r="GH51" s="419"/>
      <c r="GI51" s="419"/>
      <c r="GJ51" s="419"/>
      <c r="GK51" s="419"/>
      <c r="GL51" s="419"/>
      <c r="GM51" s="419"/>
      <c r="GN51" s="419"/>
      <c r="GO51" s="419"/>
      <c r="GP51" s="419"/>
      <c r="GQ51" s="419"/>
      <c r="GR51" s="419"/>
      <c r="GS51" s="419"/>
      <c r="GT51" s="419"/>
      <c r="GU51" s="419"/>
      <c r="GV51" s="419"/>
      <c r="GW51" s="418"/>
      <c r="GX51" s="418"/>
      <c r="GY51" s="418"/>
      <c r="GZ51" s="418"/>
      <c r="HA51" s="418"/>
      <c r="HB51" s="418"/>
      <c r="HC51" s="418"/>
      <c r="HD51" s="418"/>
      <c r="HE51" s="418"/>
      <c r="HF51" s="418"/>
      <c r="HG51" s="418"/>
      <c r="HH51" s="418"/>
      <c r="HI51" s="418"/>
      <c r="HJ51" s="418"/>
      <c r="HK51" s="418"/>
      <c r="HL51" s="418"/>
      <c r="HM51" s="418"/>
      <c r="HN51" s="418"/>
      <c r="HO51" s="418"/>
      <c r="HP51" s="418"/>
      <c r="HQ51" s="418"/>
      <c r="HR51" s="418"/>
      <c r="HS51" s="418"/>
      <c r="HT51" s="418"/>
      <c r="HU51" s="418"/>
      <c r="HV51" s="418"/>
      <c r="HW51" s="418"/>
      <c r="HX51" s="418"/>
      <c r="HY51" s="418"/>
      <c r="HZ51" s="418"/>
      <c r="IA51" s="418"/>
      <c r="IB51" s="418"/>
      <c r="IC51" s="418"/>
      <c r="ID51" s="418"/>
      <c r="IE51" s="418"/>
      <c r="IF51" s="418"/>
      <c r="IG51" s="418"/>
      <c r="IH51" s="418"/>
      <c r="II51" s="418"/>
      <c r="IJ51" s="418"/>
      <c r="IK51" s="418"/>
      <c r="IL51" s="418"/>
      <c r="IM51" s="418"/>
      <c r="IN51" s="418"/>
      <c r="IO51" s="418"/>
      <c r="IP51" s="418"/>
      <c r="IQ51" s="418"/>
      <c r="IR51" s="418"/>
      <c r="IS51" s="418"/>
      <c r="IT51" s="418"/>
      <c r="IU51" s="418"/>
      <c r="IV51" s="418"/>
    </row>
    <row r="52" spans="1:256" s="1" customFormat="1" x14ac:dyDescent="0.2">
      <c r="B52" s="125"/>
      <c r="C52" s="111"/>
      <c r="D52" s="111"/>
      <c r="E52" s="111"/>
      <c r="F52" s="111"/>
      <c r="G52" s="125"/>
      <c r="H52" s="111"/>
      <c r="I52" s="111"/>
      <c r="J52" s="111"/>
      <c r="K52" s="111"/>
      <c r="L52" s="125"/>
      <c r="M52" s="111"/>
      <c r="N52" s="111"/>
      <c r="O52" s="111"/>
      <c r="P52" s="111"/>
      <c r="Q52" s="125"/>
      <c r="R52" s="111"/>
      <c r="S52" s="111"/>
      <c r="T52" s="111"/>
      <c r="U52" s="111"/>
      <c r="V52" s="125"/>
      <c r="W52" s="111"/>
      <c r="X52" s="111"/>
      <c r="Y52" s="111"/>
      <c r="Z52" s="111"/>
      <c r="AA52" s="125"/>
      <c r="AB52" s="111"/>
      <c r="AC52" s="111"/>
      <c r="AD52" s="111"/>
      <c r="AE52" s="111"/>
      <c r="AF52" s="125"/>
      <c r="AG52" s="111"/>
      <c r="AH52" s="111"/>
      <c r="AI52" s="111"/>
      <c r="AJ52" s="111"/>
      <c r="AK52" s="125"/>
      <c r="AL52" s="111"/>
      <c r="AM52" s="111"/>
      <c r="AN52" s="111"/>
      <c r="AO52" s="111"/>
      <c r="AP52" s="125"/>
      <c r="AQ52" s="111"/>
      <c r="AR52" s="111"/>
      <c r="AS52" s="111"/>
      <c r="AT52" s="111"/>
      <c r="AU52" s="125"/>
      <c r="AV52" s="111"/>
      <c r="AW52" s="111"/>
      <c r="AX52" s="111"/>
      <c r="AY52" s="111"/>
      <c r="AZ52" s="125"/>
      <c r="BA52" s="111"/>
      <c r="BB52" s="111"/>
      <c r="BC52" s="111"/>
      <c r="BD52" s="111"/>
      <c r="BE52" s="125"/>
      <c r="BF52" s="111"/>
      <c r="BG52" s="111"/>
      <c r="BH52" s="111"/>
      <c r="BI52" s="111"/>
      <c r="BJ52" s="125"/>
      <c r="BK52" s="111"/>
      <c r="BL52" s="111"/>
      <c r="BM52" s="111"/>
      <c r="BN52" s="111"/>
      <c r="BO52" s="125"/>
      <c r="BP52" s="111"/>
      <c r="BQ52" s="111"/>
      <c r="BR52" s="111"/>
      <c r="BS52" s="111"/>
      <c r="BT52" s="125"/>
      <c r="BU52" s="111"/>
      <c r="BV52" s="111"/>
      <c r="BW52" s="111"/>
      <c r="BX52" s="111"/>
      <c r="BY52" s="125"/>
      <c r="BZ52" s="111"/>
      <c r="CA52" s="111"/>
      <c r="CB52" s="111"/>
      <c r="CC52" s="111"/>
      <c r="CD52" s="125"/>
      <c r="CE52" s="111"/>
      <c r="CF52" s="111"/>
      <c r="CG52" s="111"/>
      <c r="CH52" s="111"/>
      <c r="CI52" s="125"/>
      <c r="CJ52" s="111"/>
      <c r="CK52" s="111"/>
      <c r="CL52" s="111"/>
      <c r="CM52" s="111"/>
      <c r="CN52" s="125"/>
      <c r="CO52" s="111"/>
      <c r="CP52" s="111"/>
      <c r="CQ52" s="111"/>
      <c r="CR52" s="111"/>
      <c r="CS52" s="125"/>
      <c r="CT52" s="111"/>
      <c r="CU52" s="111"/>
      <c r="CV52" s="117"/>
      <c r="CW52" s="659"/>
      <c r="CX52" s="719"/>
      <c r="CY52" s="111"/>
      <c r="CZ52" s="111"/>
      <c r="DA52" s="111"/>
      <c r="DB52" s="813"/>
      <c r="DC52" s="125"/>
      <c r="DD52" s="143"/>
      <c r="DE52" s="111"/>
      <c r="DF52" s="111"/>
      <c r="DG52" s="143"/>
      <c r="DH52" s="142"/>
      <c r="DI52" s="143"/>
      <c r="DJ52" s="111"/>
      <c r="DK52" s="111"/>
      <c r="DL52" s="111"/>
      <c r="DM52" s="125"/>
      <c r="DN52" s="143"/>
      <c r="DO52" s="143"/>
      <c r="DP52" s="143"/>
      <c r="DQ52" s="143"/>
      <c r="DR52" s="142"/>
      <c r="DS52" s="143"/>
      <c r="DT52" s="143"/>
      <c r="DU52" s="143"/>
      <c r="DV52" s="143"/>
      <c r="DW52" s="142"/>
      <c r="DX52" s="143"/>
      <c r="DY52" s="143"/>
      <c r="DZ52" s="143"/>
      <c r="EA52" s="143"/>
      <c r="EB52" s="142"/>
      <c r="EE52" s="125"/>
      <c r="EF52" s="125"/>
      <c r="EG52" s="125"/>
      <c r="EH52" s="125"/>
      <c r="EI52" s="125"/>
      <c r="EJ52" s="125"/>
      <c r="EK52" s="125"/>
      <c r="EL52" s="125"/>
      <c r="EM52" s="125"/>
      <c r="EN52" s="125"/>
      <c r="EO52" s="125"/>
      <c r="EP52" s="125"/>
      <c r="EQ52" s="125"/>
      <c r="ER52" s="125"/>
      <c r="FC52"/>
      <c r="FD52"/>
      <c r="FE52"/>
      <c r="FF52"/>
      <c r="FG52"/>
      <c r="FH52"/>
      <c r="FI52" s="396"/>
      <c r="FJ52" s="418"/>
      <c r="FK52" s="418"/>
      <c r="FL52" s="418"/>
      <c r="FM52" s="418"/>
      <c r="FN52" s="418"/>
      <c r="FO52" s="418"/>
      <c r="FP52" s="418"/>
      <c r="FQ52" s="418"/>
      <c r="FR52" s="418"/>
      <c r="FS52" s="418"/>
      <c r="FT52" s="418"/>
      <c r="FU52" s="418"/>
      <c r="FV52" s="418"/>
      <c r="FW52" s="418"/>
      <c r="FX52" s="418"/>
      <c r="FY52" s="418"/>
      <c r="FZ52" s="418"/>
      <c r="GA52" s="418"/>
      <c r="GB52" s="418"/>
      <c r="GC52" s="418"/>
      <c r="GD52" s="418"/>
      <c r="GE52" s="418"/>
      <c r="GF52" s="418"/>
      <c r="GG52" s="418"/>
      <c r="GH52" s="418"/>
      <c r="GI52" s="418"/>
      <c r="GJ52" s="418"/>
      <c r="GK52" s="418"/>
      <c r="GL52" s="418"/>
      <c r="GM52" s="418"/>
      <c r="GN52" s="418"/>
      <c r="GO52" s="418"/>
      <c r="GP52" s="418"/>
      <c r="GQ52" s="418"/>
      <c r="GR52" s="418"/>
      <c r="GS52" s="418"/>
      <c r="GT52" s="418"/>
      <c r="GU52" s="418"/>
      <c r="GV52" s="418"/>
      <c r="GW52" s="418"/>
      <c r="GX52" s="418"/>
      <c r="GY52" s="418"/>
      <c r="GZ52" s="418"/>
      <c r="HA52" s="418"/>
      <c r="HB52" s="418"/>
      <c r="HC52" s="418"/>
      <c r="HD52" s="418"/>
      <c r="HE52" s="418"/>
      <c r="HF52" s="418"/>
      <c r="HG52" s="418"/>
      <c r="HH52" s="418"/>
      <c r="HI52" s="418"/>
      <c r="HJ52" s="418"/>
      <c r="HK52" s="418"/>
      <c r="HL52" s="418"/>
      <c r="HM52" s="418"/>
      <c r="HN52" s="418"/>
      <c r="HO52" s="418"/>
      <c r="HP52" s="418"/>
      <c r="HQ52" s="418"/>
      <c r="HR52" s="418"/>
      <c r="HS52" s="418"/>
      <c r="HT52" s="418"/>
      <c r="HU52" s="418"/>
      <c r="HV52" s="418"/>
      <c r="HW52" s="418"/>
      <c r="HX52" s="418"/>
      <c r="HY52" s="418"/>
      <c r="HZ52" s="418"/>
      <c r="IA52" s="418"/>
      <c r="IB52" s="418"/>
      <c r="IC52" s="418"/>
      <c r="ID52" s="418"/>
      <c r="IE52" s="418"/>
      <c r="IF52" s="418"/>
      <c r="IG52" s="418"/>
      <c r="IH52" s="418"/>
      <c r="II52" s="418"/>
      <c r="IJ52" s="418"/>
      <c r="IK52" s="418"/>
      <c r="IL52" s="418"/>
      <c r="IM52" s="418"/>
      <c r="IN52" s="418"/>
      <c r="IO52" s="418"/>
      <c r="IP52" s="418"/>
      <c r="IQ52" s="418"/>
      <c r="IR52" s="418"/>
      <c r="IS52" s="418"/>
      <c r="IT52" s="418"/>
      <c r="IU52" s="418"/>
      <c r="IV52" s="418"/>
    </row>
    <row r="53" spans="1:256" s="16" customFormat="1" x14ac:dyDescent="0.2">
      <c r="A53" s="33" t="s">
        <v>438</v>
      </c>
      <c r="B53" s="124">
        <f t="shared" ref="B53:AR53" si="75">SUM(B42:B51)</f>
        <v>-27.47</v>
      </c>
      <c r="C53" s="123">
        <f t="shared" si="75"/>
        <v>-25.317</v>
      </c>
      <c r="D53" s="123">
        <f t="shared" si="75"/>
        <v>-42.638000000000005</v>
      </c>
      <c r="E53" s="123">
        <f t="shared" si="75"/>
        <v>-35.143000000000001</v>
      </c>
      <c r="F53" s="123">
        <f t="shared" si="75"/>
        <v>-38.753999999999998</v>
      </c>
      <c r="G53" s="124">
        <f t="shared" si="75"/>
        <v>-141.87</v>
      </c>
      <c r="H53" s="123">
        <f t="shared" si="75"/>
        <v>-40.227000000000004</v>
      </c>
      <c r="I53" s="123">
        <f t="shared" si="75"/>
        <v>-19.861000000000004</v>
      </c>
      <c r="J53" s="123">
        <f t="shared" si="75"/>
        <v>-42.555</v>
      </c>
      <c r="K53" s="123">
        <f t="shared" si="75"/>
        <v>-46.832000000000001</v>
      </c>
      <c r="L53" s="124">
        <f t="shared" si="75"/>
        <v>-149.465</v>
      </c>
      <c r="M53" s="123">
        <f t="shared" si="75"/>
        <v>-39.105000000000004</v>
      </c>
      <c r="N53" s="123">
        <f t="shared" si="75"/>
        <v>-85.924895000000006</v>
      </c>
      <c r="O53" s="123">
        <f t="shared" si="75"/>
        <v>-142.98297010499999</v>
      </c>
      <c r="P53" s="123">
        <f t="shared" si="75"/>
        <v>-198.02698713489502</v>
      </c>
      <c r="Q53" s="124">
        <f t="shared" si="75"/>
        <v>-357.23400000000004</v>
      </c>
      <c r="R53" s="123">
        <f t="shared" si="75"/>
        <v>-51.938000000000002</v>
      </c>
      <c r="S53" s="123">
        <f t="shared" si="75"/>
        <v>-43.596999999999994</v>
      </c>
      <c r="T53" s="123">
        <f t="shared" si="75"/>
        <v>-55.298999999999999</v>
      </c>
      <c r="U53" s="123">
        <f t="shared" si="75"/>
        <v>-59.618999999999993</v>
      </c>
      <c r="V53" s="124">
        <f t="shared" si="75"/>
        <v>-210.47299999999998</v>
      </c>
      <c r="W53" s="123">
        <f t="shared" si="75"/>
        <v>-91.795999999999992</v>
      </c>
      <c r="X53" s="123">
        <f t="shared" si="75"/>
        <v>-54.417000000000002</v>
      </c>
      <c r="Y53" s="123">
        <f t="shared" si="75"/>
        <v>-94.656000000000006</v>
      </c>
      <c r="Z53" s="123">
        <f t="shared" si="75"/>
        <v>-95.423999999999992</v>
      </c>
      <c r="AA53" s="124">
        <f t="shared" si="75"/>
        <v>-336.29300000000001</v>
      </c>
      <c r="AB53" s="123">
        <f t="shared" si="75"/>
        <v>-92.697000000000003</v>
      </c>
      <c r="AC53" s="123">
        <f t="shared" si="75"/>
        <v>-92.956999999999994</v>
      </c>
      <c r="AD53" s="123">
        <f t="shared" si="75"/>
        <v>-99.073000000000008</v>
      </c>
      <c r="AE53" s="123">
        <f t="shared" si="75"/>
        <v>-91.72699999999999</v>
      </c>
      <c r="AF53" s="124">
        <f t="shared" si="75"/>
        <v>-376.45399999999995</v>
      </c>
      <c r="AG53" s="123">
        <f t="shared" si="75"/>
        <v>-76.176999999999992</v>
      </c>
      <c r="AH53" s="123">
        <f t="shared" si="75"/>
        <v>-85.058999999999997</v>
      </c>
      <c r="AI53" s="123">
        <f t="shared" si="75"/>
        <v>-147.86699999999996</v>
      </c>
      <c r="AJ53" s="123">
        <f t="shared" si="75"/>
        <v>-119.42900000000002</v>
      </c>
      <c r="AK53" s="124">
        <f t="shared" si="75"/>
        <v>-428.53199999999998</v>
      </c>
      <c r="AL53" s="123">
        <f t="shared" si="75"/>
        <v>-49.727999999999994</v>
      </c>
      <c r="AM53" s="123">
        <f t="shared" si="75"/>
        <v>-178.41399999999999</v>
      </c>
      <c r="AN53" s="123">
        <f t="shared" si="75"/>
        <v>-141.68400000000005</v>
      </c>
      <c r="AO53" s="123">
        <f t="shared" si="75"/>
        <v>-115.51399999999994</v>
      </c>
      <c r="AP53" s="124">
        <f t="shared" si="75"/>
        <v>-485.34000000000003</v>
      </c>
      <c r="AQ53" s="123">
        <f t="shared" si="75"/>
        <v>-64.14</v>
      </c>
      <c r="AR53" s="123">
        <f t="shared" si="75"/>
        <v>-141.63799999999998</v>
      </c>
      <c r="AS53" s="123">
        <f>-337.806-AQ53-AR53</f>
        <v>-132.02800000000002</v>
      </c>
      <c r="AT53" s="123">
        <f t="shared" ref="AT53:BY53" si="76">SUM(AT42:AT51)</f>
        <v>-166.18800000000005</v>
      </c>
      <c r="AU53" s="124">
        <f t="shared" si="76"/>
        <v>-499.25799999999998</v>
      </c>
      <c r="AV53" s="123">
        <f t="shared" si="76"/>
        <v>-170.517</v>
      </c>
      <c r="AW53" s="123">
        <f t="shared" si="76"/>
        <v>-159.38800000000003</v>
      </c>
      <c r="AX53" s="123">
        <f t="shared" si="76"/>
        <v>-111.38599999999997</v>
      </c>
      <c r="AY53" s="123">
        <f t="shared" si="76"/>
        <v>-308.221</v>
      </c>
      <c r="AZ53" s="124">
        <f t="shared" si="76"/>
        <v>-749.51200000000006</v>
      </c>
      <c r="BA53" s="123">
        <f t="shared" si="76"/>
        <v>-159.346</v>
      </c>
      <c r="BB53" s="123">
        <f t="shared" si="76"/>
        <v>-163.59399999999997</v>
      </c>
      <c r="BC53" s="123">
        <f t="shared" si="76"/>
        <v>180.32500000000005</v>
      </c>
      <c r="BD53" s="123">
        <f t="shared" si="76"/>
        <v>-78.693000000000112</v>
      </c>
      <c r="BE53" s="124">
        <f t="shared" si="76"/>
        <v>-221.30800000000005</v>
      </c>
      <c r="BF53" s="123">
        <f t="shared" si="76"/>
        <v>-293.43299999999999</v>
      </c>
      <c r="BG53" s="123">
        <f t="shared" si="76"/>
        <v>-201.047</v>
      </c>
      <c r="BH53" s="123">
        <f t="shared" si="76"/>
        <v>-183.08600000000001</v>
      </c>
      <c r="BI53" s="123">
        <f t="shared" si="76"/>
        <v>-163.47400000000005</v>
      </c>
      <c r="BJ53" s="124">
        <f t="shared" si="76"/>
        <v>-841.04</v>
      </c>
      <c r="BK53" s="123">
        <f t="shared" si="76"/>
        <v>-366.77</v>
      </c>
      <c r="BL53" s="123">
        <f t="shared" si="76"/>
        <v>-224.56200000000001</v>
      </c>
      <c r="BM53" s="123">
        <f t="shared" si="76"/>
        <v>-291.44799999999998</v>
      </c>
      <c r="BN53" s="123">
        <f t="shared" si="76"/>
        <v>-319.17099999999994</v>
      </c>
      <c r="BO53" s="124">
        <f t="shared" si="76"/>
        <v>-1201.951</v>
      </c>
      <c r="BP53" s="123">
        <f t="shared" si="76"/>
        <v>-273.8</v>
      </c>
      <c r="BQ53" s="123">
        <f t="shared" si="76"/>
        <v>-223.89999999999998</v>
      </c>
      <c r="BR53" s="123">
        <f t="shared" si="76"/>
        <v>-264.59999999999997</v>
      </c>
      <c r="BS53" s="123">
        <f t="shared" si="76"/>
        <v>-324.3</v>
      </c>
      <c r="BT53" s="124">
        <f t="shared" si="76"/>
        <v>-1086.5999999999999</v>
      </c>
      <c r="BU53" s="123">
        <f t="shared" si="76"/>
        <v>-183.1</v>
      </c>
      <c r="BV53" s="123">
        <f t="shared" si="76"/>
        <v>-71.500000000000014</v>
      </c>
      <c r="BW53" s="123">
        <f t="shared" si="76"/>
        <v>-55.699999999999982</v>
      </c>
      <c r="BX53" s="123">
        <f t="shared" si="76"/>
        <v>-110.80000000000005</v>
      </c>
      <c r="BY53" s="124">
        <f t="shared" si="76"/>
        <v>-421.1</v>
      </c>
      <c r="BZ53" s="123">
        <f t="shared" ref="BZ53:DC53" si="77">SUM(BZ42:BZ51)</f>
        <v>-100</v>
      </c>
      <c r="CA53" s="123">
        <f t="shared" si="77"/>
        <v>-429.79999999999995</v>
      </c>
      <c r="CB53" s="123">
        <f t="shared" si="77"/>
        <v>-160.20000000000005</v>
      </c>
      <c r="CC53" s="123">
        <f t="shared" si="77"/>
        <v>-99.499999999999915</v>
      </c>
      <c r="CD53" s="124">
        <f t="shared" si="77"/>
        <v>-789.5</v>
      </c>
      <c r="CE53" s="123">
        <f t="shared" si="77"/>
        <v>-36.800000000000011</v>
      </c>
      <c r="CF53" s="123">
        <f t="shared" si="77"/>
        <v>-102.3</v>
      </c>
      <c r="CG53" s="123">
        <f t="shared" si="77"/>
        <v>-77.899999999999991</v>
      </c>
      <c r="CH53" s="123">
        <f t="shared" si="77"/>
        <v>-802.49999999999989</v>
      </c>
      <c r="CI53" s="124">
        <f t="shared" si="77"/>
        <v>-1019.5</v>
      </c>
      <c r="CJ53" s="123">
        <f t="shared" si="77"/>
        <v>-19.700000000000045</v>
      </c>
      <c r="CK53" s="123">
        <f t="shared" si="77"/>
        <v>-267.29999999999995</v>
      </c>
      <c r="CL53" s="123">
        <f t="shared" si="77"/>
        <v>-397.19999999999982</v>
      </c>
      <c r="CM53" s="123">
        <f t="shared" si="77"/>
        <v>-289.79999999999995</v>
      </c>
      <c r="CN53" s="124">
        <f t="shared" si="77"/>
        <v>-973.99999999999989</v>
      </c>
      <c r="CO53" s="123">
        <f t="shared" si="77"/>
        <v>28.699999999999932</v>
      </c>
      <c r="CP53" s="123">
        <f t="shared" si="77"/>
        <v>-641.69999999999993</v>
      </c>
      <c r="CQ53" s="203">
        <f t="shared" si="77"/>
        <v>-385.4</v>
      </c>
      <c r="CR53" s="203">
        <f t="shared" si="77"/>
        <v>-412.80000000000007</v>
      </c>
      <c r="CS53" s="120">
        <f t="shared" si="77"/>
        <v>-1411.2</v>
      </c>
      <c r="CT53" s="203">
        <f t="shared" si="77"/>
        <v>-193.3000000000001</v>
      </c>
      <c r="CU53" s="203">
        <f t="shared" si="77"/>
        <v>-355.69999999999993</v>
      </c>
      <c r="CV53" s="123">
        <f t="shared" si="77"/>
        <v>-573.89999999999986</v>
      </c>
      <c r="CW53" s="692">
        <f t="shared" si="77"/>
        <v>305.20000000000005</v>
      </c>
      <c r="CX53" s="728">
        <f t="shared" si="77"/>
        <v>-817.7</v>
      </c>
      <c r="CY53" s="203">
        <f t="shared" si="77"/>
        <v>-522.5</v>
      </c>
      <c r="CZ53" s="203">
        <f t="shared" si="77"/>
        <v>-350.3</v>
      </c>
      <c r="DA53" s="203">
        <f t="shared" si="77"/>
        <v>-419.6</v>
      </c>
      <c r="DB53" s="827">
        <f t="shared" si="77"/>
        <v>-227.89999999999986</v>
      </c>
      <c r="DC53" s="120">
        <f t="shared" si="77"/>
        <v>-1520.3</v>
      </c>
      <c r="DD53" s="906">
        <f>SUM(DD42:DD51)</f>
        <v>-360.1</v>
      </c>
      <c r="DE53" s="906">
        <f t="shared" ref="DE53:DF53" si="78">SUM(DE42:DE51)</f>
        <v>-592.70000000000005</v>
      </c>
      <c r="DF53" s="906">
        <f t="shared" si="78"/>
        <v>-605.29999999999995</v>
      </c>
      <c r="DG53" s="827">
        <f t="shared" ref="DG53:DR53" si="79">SUM(DG42:DG51)</f>
        <v>-664.79999999999984</v>
      </c>
      <c r="DH53" s="120">
        <f t="shared" si="79"/>
        <v>-2222.8999999999996</v>
      </c>
      <c r="DI53" s="906">
        <f>SUM(DI42:DI51)</f>
        <v>-401.49999999999989</v>
      </c>
      <c r="DJ53" s="203">
        <f t="shared" si="79"/>
        <v>-163.80000000000001</v>
      </c>
      <c r="DK53" s="203">
        <f t="shared" si="79"/>
        <v>-104.2</v>
      </c>
      <c r="DL53" s="203">
        <f t="shared" si="79"/>
        <v>-180.5000000000002</v>
      </c>
      <c r="DM53" s="120">
        <f t="shared" si="79"/>
        <v>-850.00000000000011</v>
      </c>
      <c r="DN53" s="137">
        <f t="shared" si="79"/>
        <v>-455.52750000000003</v>
      </c>
      <c r="DO53" s="137">
        <f t="shared" si="79"/>
        <v>-446.31284650869549</v>
      </c>
      <c r="DP53" s="137">
        <f t="shared" si="79"/>
        <v>-475.02614293340901</v>
      </c>
      <c r="DQ53" s="137">
        <f t="shared" si="79"/>
        <v>-640.74872737742783</v>
      </c>
      <c r="DR53" s="136">
        <f t="shared" si="79"/>
        <v>-2017.6152168195322</v>
      </c>
      <c r="DS53" s="137">
        <f t="shared" ref="DS53:EB53" si="80">SUM(DS42:DS51)</f>
        <v>-471.5287887765536</v>
      </c>
      <c r="DT53" s="137">
        <f t="shared" si="80"/>
        <v>-456.08240170847802</v>
      </c>
      <c r="DU53" s="137">
        <f t="shared" si="80"/>
        <v>-486.15069537741164</v>
      </c>
      <c r="DV53" s="137">
        <f t="shared" si="80"/>
        <v>-632.52171085256782</v>
      </c>
      <c r="DW53" s="136">
        <f t="shared" si="80"/>
        <v>-2046.2835967150111</v>
      </c>
      <c r="DX53" s="137">
        <f t="shared" si="80"/>
        <v>-479.264179047097</v>
      </c>
      <c r="DY53" s="137">
        <f t="shared" si="80"/>
        <v>-463.93703722547525</v>
      </c>
      <c r="DZ53" s="137">
        <f t="shared" si="80"/>
        <v>-494.18641702393228</v>
      </c>
      <c r="EA53" s="137">
        <f t="shared" si="80"/>
        <v>-614.87722458525354</v>
      </c>
      <c r="EB53" s="136">
        <f t="shared" si="80"/>
        <v>-2052.264857881758</v>
      </c>
      <c r="EE53" s="120">
        <f>BG53+BH53+BI53+BK53</f>
        <v>-914.37700000000007</v>
      </c>
      <c r="EF53" s="120">
        <f>BL53+BM53+BN53+BP53</f>
        <v>-1108.981</v>
      </c>
      <c r="EG53" s="120">
        <f>BQ53+BR53+BS53+BU53</f>
        <v>-995.9</v>
      </c>
      <c r="EH53" s="120"/>
      <c r="EI53" s="120"/>
      <c r="EJ53" s="120"/>
      <c r="EK53" s="120"/>
      <c r="EL53" s="120"/>
      <c r="EM53" s="120"/>
      <c r="EN53" s="120"/>
      <c r="EO53" s="120"/>
      <c r="EP53" s="120"/>
      <c r="EQ53" s="120"/>
      <c r="ER53" s="120"/>
      <c r="FC53"/>
      <c r="FD53"/>
      <c r="FE53"/>
      <c r="FF53"/>
      <c r="FG53"/>
      <c r="FH53"/>
      <c r="FI53" s="396"/>
      <c r="FJ53" s="418"/>
      <c r="FK53" s="418"/>
      <c r="FL53" s="418"/>
      <c r="FM53" s="418"/>
      <c r="FN53" s="418"/>
      <c r="FO53" s="418"/>
      <c r="FP53" s="418"/>
      <c r="FQ53" s="418"/>
      <c r="FR53" s="418"/>
      <c r="FS53" s="418"/>
      <c r="FT53" s="418"/>
      <c r="FU53" s="418"/>
      <c r="FV53" s="418"/>
      <c r="FW53" s="418"/>
      <c r="FX53" s="418"/>
      <c r="FY53" s="418"/>
      <c r="FZ53" s="418"/>
      <c r="GA53" s="418"/>
      <c r="GB53" s="418"/>
      <c r="GC53" s="418"/>
      <c r="GD53" s="418"/>
      <c r="GE53" s="418"/>
      <c r="GF53" s="418"/>
      <c r="GG53" s="418"/>
      <c r="GH53" s="418"/>
      <c r="GI53" s="418"/>
      <c r="GJ53" s="418"/>
      <c r="GK53" s="418"/>
      <c r="GL53" s="418"/>
      <c r="GM53" s="418"/>
      <c r="GN53" s="418"/>
      <c r="GO53" s="418"/>
      <c r="GP53" s="418"/>
      <c r="GQ53" s="418"/>
      <c r="GR53" s="418"/>
      <c r="GS53" s="418"/>
      <c r="GT53" s="418"/>
      <c r="GU53" s="418"/>
      <c r="GV53" s="418"/>
      <c r="GW53" s="418"/>
      <c r="GX53" s="418"/>
      <c r="GY53" s="418"/>
      <c r="GZ53" s="418"/>
      <c r="HA53" s="418"/>
      <c r="HB53" s="418"/>
      <c r="HC53" s="418"/>
      <c r="HD53" s="418"/>
      <c r="HE53" s="418"/>
      <c r="HF53" s="418"/>
      <c r="HG53" s="418"/>
      <c r="HH53" s="418"/>
      <c r="HI53" s="418"/>
      <c r="HJ53" s="418"/>
      <c r="HK53" s="418"/>
      <c r="HL53" s="418"/>
      <c r="HM53" s="418"/>
      <c r="HN53" s="418"/>
      <c r="HO53" s="418"/>
      <c r="HP53" s="418"/>
      <c r="HQ53" s="418"/>
      <c r="HR53" s="418"/>
      <c r="HS53" s="418"/>
      <c r="HT53" s="418"/>
      <c r="HU53" s="418"/>
      <c r="HV53" s="418"/>
      <c r="HW53" s="418"/>
      <c r="HX53" s="418"/>
      <c r="HY53" s="418"/>
      <c r="HZ53" s="418"/>
      <c r="IA53" s="418"/>
      <c r="IB53" s="418"/>
      <c r="IC53" s="418"/>
      <c r="ID53" s="418"/>
      <c r="IE53" s="418"/>
      <c r="IF53" s="418"/>
      <c r="IG53" s="418"/>
      <c r="IH53" s="418"/>
      <c r="II53" s="418"/>
      <c r="IJ53" s="418"/>
      <c r="IK53" s="418"/>
      <c r="IL53" s="418"/>
      <c r="IM53" s="418"/>
      <c r="IN53" s="418"/>
      <c r="IO53" s="418"/>
      <c r="IP53" s="418"/>
      <c r="IQ53" s="418"/>
      <c r="IR53" s="418"/>
      <c r="IS53" s="418"/>
      <c r="IT53" s="418"/>
      <c r="IU53" s="418"/>
      <c r="IV53" s="418"/>
    </row>
    <row r="54" spans="1:256" s="1" customFormat="1" x14ac:dyDescent="0.2">
      <c r="B54" s="125"/>
      <c r="C54" s="111"/>
      <c r="D54" s="111"/>
      <c r="E54" s="111"/>
      <c r="F54" s="111"/>
      <c r="G54" s="125"/>
      <c r="H54" s="111"/>
      <c r="I54" s="111"/>
      <c r="J54" s="111"/>
      <c r="K54" s="111"/>
      <c r="L54" s="125"/>
      <c r="M54" s="111"/>
      <c r="N54" s="111"/>
      <c r="O54" s="111"/>
      <c r="P54" s="111"/>
      <c r="Q54" s="125"/>
      <c r="R54" s="111"/>
      <c r="S54" s="111"/>
      <c r="T54" s="111"/>
      <c r="U54" s="111"/>
      <c r="V54" s="125"/>
      <c r="W54" s="111"/>
      <c r="X54" s="111"/>
      <c r="Y54" s="111"/>
      <c r="Z54" s="111"/>
      <c r="AA54" s="125"/>
      <c r="AB54" s="111"/>
      <c r="AC54" s="111"/>
      <c r="AD54" s="111"/>
      <c r="AE54" s="111"/>
      <c r="AF54" s="125"/>
      <c r="AG54" s="111"/>
      <c r="AH54" s="111"/>
      <c r="AI54" s="111"/>
      <c r="AJ54" s="111"/>
      <c r="AK54" s="125"/>
      <c r="AL54" s="111"/>
      <c r="AM54" s="111"/>
      <c r="AN54" s="111"/>
      <c r="AO54" s="111"/>
      <c r="AP54" s="125"/>
      <c r="AQ54" s="111"/>
      <c r="AR54" s="111"/>
      <c r="AS54" s="111"/>
      <c r="AT54" s="111"/>
      <c r="AU54" s="125"/>
      <c r="AV54" s="111"/>
      <c r="AW54" s="111"/>
      <c r="AX54" s="111"/>
      <c r="AY54" s="111"/>
      <c r="AZ54" s="125"/>
      <c r="BA54" s="111"/>
      <c r="BB54" s="111"/>
      <c r="BC54" s="111"/>
      <c r="BD54" s="111"/>
      <c r="BE54" s="125"/>
      <c r="BF54" s="111"/>
      <c r="BG54" s="111"/>
      <c r="BH54" s="111"/>
      <c r="BI54" s="111"/>
      <c r="BJ54" s="125"/>
      <c r="BK54" s="111"/>
      <c r="BL54" s="111"/>
      <c r="BM54" s="111"/>
      <c r="BN54" s="111"/>
      <c r="BO54" s="125"/>
      <c r="BP54" s="111"/>
      <c r="BQ54" s="111"/>
      <c r="BR54" s="111"/>
      <c r="BS54" s="111"/>
      <c r="BT54" s="125"/>
      <c r="BU54" s="111"/>
      <c r="BV54" s="111"/>
      <c r="BW54" s="111"/>
      <c r="BX54" s="111"/>
      <c r="BY54" s="125"/>
      <c r="BZ54" s="111"/>
      <c r="CA54" s="111"/>
      <c r="CB54" s="111"/>
      <c r="CC54" s="111"/>
      <c r="CD54" s="125"/>
      <c r="CE54" s="111"/>
      <c r="CF54" s="111"/>
      <c r="CG54" s="111"/>
      <c r="CH54" s="111"/>
      <c r="CI54" s="125"/>
      <c r="CJ54" s="111"/>
      <c r="CK54" s="111"/>
      <c r="CL54" s="111"/>
      <c r="CM54" s="111"/>
      <c r="CN54" s="125"/>
      <c r="CO54" s="111"/>
      <c r="CP54" s="111"/>
      <c r="CQ54" s="111"/>
      <c r="CR54" s="143"/>
      <c r="CS54" s="142"/>
      <c r="CT54" s="143"/>
      <c r="CU54" s="111"/>
      <c r="CV54" s="143"/>
      <c r="CW54" s="659"/>
      <c r="CX54" s="719"/>
      <c r="CY54" s="111"/>
      <c r="CZ54" s="111"/>
      <c r="DA54" s="111"/>
      <c r="DB54" s="813"/>
      <c r="DC54" s="125"/>
      <c r="DD54" s="143"/>
      <c r="DE54" s="143"/>
      <c r="DF54" s="143"/>
      <c r="DG54" s="143"/>
      <c r="DH54" s="142"/>
      <c r="DI54" s="143"/>
      <c r="DJ54" s="143"/>
      <c r="DK54" s="111"/>
      <c r="DL54" s="111"/>
      <c r="DM54" s="125"/>
      <c r="DN54" s="143"/>
      <c r="DO54" s="143"/>
      <c r="DP54" s="143"/>
      <c r="DQ54" s="143"/>
      <c r="DR54" s="142"/>
      <c r="DS54" s="143"/>
      <c r="DT54" s="143"/>
      <c r="DU54" s="143"/>
      <c r="DV54" s="143"/>
      <c r="DW54" s="142"/>
      <c r="DX54" s="143"/>
      <c r="DY54" s="143"/>
      <c r="DZ54" s="143"/>
      <c r="EA54" s="143"/>
      <c r="EB54" s="142"/>
      <c r="EE54" s="125"/>
      <c r="EF54" s="125"/>
      <c r="EG54" s="125"/>
      <c r="EH54" s="125"/>
      <c r="EI54" s="125"/>
      <c r="EJ54" s="125"/>
      <c r="EK54" s="125"/>
      <c r="EL54" s="125"/>
      <c r="EM54" s="125"/>
      <c r="EN54" s="125"/>
      <c r="EO54" s="125"/>
      <c r="EP54" s="125"/>
      <c r="EQ54" s="125"/>
      <c r="ER54" s="125"/>
      <c r="FC54"/>
      <c r="FD54"/>
      <c r="FE54"/>
      <c r="FF54"/>
      <c r="FG54"/>
      <c r="FH54"/>
      <c r="FI54" s="396"/>
      <c r="FJ54" s="418"/>
      <c r="FK54" s="418"/>
      <c r="FL54" s="418"/>
      <c r="FM54" s="418"/>
      <c r="FN54" s="418"/>
      <c r="FO54" s="418"/>
      <c r="FP54" s="418"/>
      <c r="FQ54" s="418"/>
      <c r="FR54" s="418"/>
      <c r="FS54" s="418"/>
      <c r="FT54" s="418"/>
      <c r="FU54" s="418"/>
      <c r="FV54" s="418"/>
      <c r="FW54" s="418"/>
      <c r="FX54" s="418"/>
      <c r="FY54" s="418"/>
      <c r="FZ54" s="418"/>
      <c r="GA54" s="418"/>
      <c r="GB54" s="418"/>
      <c r="GC54" s="418"/>
      <c r="GD54" s="418"/>
      <c r="GE54" s="418"/>
      <c r="GF54" s="418"/>
      <c r="GG54" s="418"/>
      <c r="GH54" s="418"/>
      <c r="GI54" s="418"/>
      <c r="GJ54" s="418"/>
      <c r="GK54" s="418"/>
      <c r="GL54" s="418"/>
      <c r="GM54" s="418"/>
      <c r="GN54" s="418"/>
      <c r="GO54" s="418"/>
      <c r="GP54" s="418"/>
      <c r="GQ54" s="418"/>
      <c r="GR54" s="418"/>
      <c r="GS54" s="418"/>
      <c r="GT54" s="418"/>
      <c r="GU54" s="418"/>
      <c r="GV54" s="418"/>
      <c r="GW54" s="418"/>
      <c r="GX54" s="418"/>
      <c r="GY54" s="418"/>
      <c r="GZ54" s="418"/>
      <c r="HA54" s="418"/>
      <c r="HB54" s="418"/>
      <c r="HC54" s="418"/>
      <c r="HD54" s="418"/>
      <c r="HE54" s="418"/>
      <c r="HF54" s="418"/>
      <c r="HG54" s="418"/>
      <c r="HH54" s="418"/>
      <c r="HI54" s="418"/>
      <c r="HJ54" s="418"/>
      <c r="HK54" s="418"/>
      <c r="HL54" s="418"/>
      <c r="HM54" s="418"/>
      <c r="HN54" s="418"/>
      <c r="HO54" s="418"/>
      <c r="HP54" s="418"/>
      <c r="HQ54" s="418"/>
      <c r="HR54" s="418"/>
      <c r="HS54" s="418"/>
      <c r="HT54" s="418"/>
      <c r="HU54" s="418"/>
      <c r="HV54" s="418"/>
      <c r="HW54" s="418"/>
      <c r="HX54" s="418"/>
      <c r="HY54" s="418"/>
      <c r="HZ54" s="418"/>
      <c r="IA54" s="418"/>
      <c r="IB54" s="418"/>
      <c r="IC54" s="418"/>
      <c r="ID54" s="418"/>
      <c r="IE54" s="418"/>
      <c r="IF54" s="418"/>
      <c r="IG54" s="418"/>
      <c r="IH54" s="418"/>
      <c r="II54" s="418"/>
      <c r="IJ54" s="418"/>
      <c r="IK54" s="418"/>
      <c r="IL54" s="418"/>
      <c r="IM54" s="418"/>
      <c r="IN54" s="418"/>
      <c r="IO54" s="418"/>
      <c r="IP54" s="418"/>
      <c r="IQ54" s="418"/>
      <c r="IR54" s="418"/>
      <c r="IS54" s="418"/>
      <c r="IT54" s="418"/>
      <c r="IU54" s="418"/>
      <c r="IV54" s="418"/>
    </row>
    <row r="55" spans="1:256" s="16" customFormat="1" x14ac:dyDescent="0.2">
      <c r="A55" s="16" t="s">
        <v>437</v>
      </c>
      <c r="B55" s="151"/>
      <c r="C55" s="119"/>
      <c r="D55" s="119"/>
      <c r="E55" s="119"/>
      <c r="F55" s="119"/>
      <c r="G55" s="151"/>
      <c r="H55" s="119"/>
      <c r="I55" s="119"/>
      <c r="J55" s="119"/>
      <c r="K55" s="119"/>
      <c r="L55" s="151"/>
      <c r="M55" s="119"/>
      <c r="N55" s="119"/>
      <c r="O55" s="119"/>
      <c r="P55" s="119"/>
      <c r="Q55" s="151"/>
      <c r="R55" s="119"/>
      <c r="S55" s="119"/>
      <c r="T55" s="119"/>
      <c r="U55" s="119"/>
      <c r="V55" s="151"/>
      <c r="W55" s="119"/>
      <c r="X55" s="119"/>
      <c r="Y55" s="119"/>
      <c r="Z55" s="119"/>
      <c r="AA55" s="151"/>
      <c r="AB55" s="119"/>
      <c r="AC55" s="119"/>
      <c r="AD55" s="119"/>
      <c r="AE55" s="119"/>
      <c r="AF55" s="151"/>
      <c r="AG55" s="119"/>
      <c r="AH55" s="119"/>
      <c r="AI55" s="119"/>
      <c r="AJ55" s="119"/>
      <c r="AK55" s="151"/>
      <c r="AL55" s="119"/>
      <c r="AM55" s="119"/>
      <c r="AN55" s="119"/>
      <c r="AO55" s="119"/>
      <c r="AP55" s="151"/>
      <c r="AQ55" s="119"/>
      <c r="AR55" s="119"/>
      <c r="AS55" s="119"/>
      <c r="AT55" s="119"/>
      <c r="AU55" s="151"/>
      <c r="AV55" s="119"/>
      <c r="AW55" s="119"/>
      <c r="AX55" s="119"/>
      <c r="AY55" s="119"/>
      <c r="AZ55" s="151"/>
      <c r="BA55" s="119"/>
      <c r="BB55" s="119"/>
      <c r="BC55" s="119"/>
      <c r="BD55" s="119"/>
      <c r="BE55" s="151"/>
      <c r="BF55" s="119"/>
      <c r="BG55" s="119"/>
      <c r="BH55" s="119"/>
      <c r="BI55" s="119"/>
      <c r="BJ55" s="151"/>
      <c r="BK55" s="119"/>
      <c r="BL55" s="119"/>
      <c r="BM55" s="119"/>
      <c r="BN55" s="119"/>
      <c r="BO55" s="151"/>
      <c r="BP55" s="119"/>
      <c r="BQ55" s="119"/>
      <c r="BR55" s="119"/>
      <c r="BS55" s="119"/>
      <c r="BT55" s="151"/>
      <c r="BU55" s="119"/>
      <c r="BV55" s="119"/>
      <c r="BW55" s="119"/>
      <c r="BX55" s="119"/>
      <c r="BY55" s="151"/>
      <c r="BZ55" s="119"/>
      <c r="CA55" s="119"/>
      <c r="CB55" s="119"/>
      <c r="CC55" s="119"/>
      <c r="CD55" s="151"/>
      <c r="CE55" s="119"/>
      <c r="CF55" s="119"/>
      <c r="CG55" s="119"/>
      <c r="CH55" s="119"/>
      <c r="CI55" s="151"/>
      <c r="CJ55" s="119"/>
      <c r="CK55" s="119"/>
      <c r="CL55" s="119"/>
      <c r="CM55" s="119"/>
      <c r="CN55" s="151"/>
      <c r="CO55" s="119"/>
      <c r="CP55" s="119"/>
      <c r="CQ55" s="540"/>
      <c r="CR55" s="150"/>
      <c r="CS55" s="149"/>
      <c r="CT55" s="150"/>
      <c r="CU55" s="540"/>
      <c r="CV55" s="150"/>
      <c r="CW55" s="664"/>
      <c r="CX55" s="727"/>
      <c r="CY55" s="540"/>
      <c r="CZ55" s="540"/>
      <c r="DA55" s="540"/>
      <c r="DB55" s="826"/>
      <c r="DC55" s="148"/>
      <c r="DD55" s="150"/>
      <c r="DE55" s="150"/>
      <c r="DF55" s="150"/>
      <c r="DG55" s="150"/>
      <c r="DH55" s="149"/>
      <c r="DI55" s="150"/>
      <c r="DJ55" s="150"/>
      <c r="DK55" s="540"/>
      <c r="DL55" s="540"/>
      <c r="DM55" s="148"/>
      <c r="DN55" s="150"/>
      <c r="DO55" s="150"/>
      <c r="DP55" s="150"/>
      <c r="DQ55" s="150"/>
      <c r="DR55" s="149"/>
      <c r="DS55" s="150"/>
      <c r="DT55" s="150"/>
      <c r="DU55" s="150"/>
      <c r="DV55" s="150"/>
      <c r="DW55" s="149"/>
      <c r="DX55" s="150"/>
      <c r="DY55" s="150"/>
      <c r="DZ55" s="150"/>
      <c r="EA55" s="150"/>
      <c r="EB55" s="149"/>
      <c r="EE55" s="148"/>
      <c r="EF55" s="148"/>
      <c r="EG55" s="148"/>
      <c r="EH55" s="148"/>
      <c r="EI55" s="148"/>
      <c r="EJ55" s="148"/>
      <c r="EK55" s="148"/>
      <c r="EL55" s="148"/>
      <c r="EM55" s="148"/>
      <c r="EN55" s="148"/>
      <c r="EO55" s="148"/>
      <c r="EP55" s="148"/>
      <c r="EQ55" s="148"/>
      <c r="ER55" s="148"/>
      <c r="FC55"/>
      <c r="FD55"/>
      <c r="FE55"/>
      <c r="FF55"/>
      <c r="FG55"/>
      <c r="FH55"/>
      <c r="FI55" s="396"/>
      <c r="FJ55" s="418"/>
      <c r="FK55" s="418"/>
      <c r="FL55" s="418"/>
      <c r="FM55" s="418"/>
      <c r="FN55" s="418"/>
      <c r="FO55" s="418"/>
      <c r="FP55" s="418"/>
      <c r="FQ55" s="418"/>
      <c r="FR55" s="418"/>
      <c r="FS55" s="418"/>
      <c r="FT55" s="418"/>
      <c r="FU55" s="418"/>
      <c r="FV55" s="418"/>
      <c r="FW55" s="418"/>
      <c r="FX55" s="418"/>
      <c r="FY55" s="418"/>
      <c r="FZ55" s="418"/>
      <c r="GA55" s="418"/>
      <c r="GB55" s="418"/>
      <c r="GC55" s="418"/>
      <c r="GD55" s="418"/>
      <c r="GE55" s="418"/>
      <c r="GF55" s="418"/>
      <c r="GG55" s="418"/>
      <c r="GH55" s="418"/>
      <c r="GI55" s="418"/>
      <c r="GJ55" s="418"/>
      <c r="GK55" s="418"/>
      <c r="GL55" s="418"/>
      <c r="GM55" s="418"/>
      <c r="GN55" s="418"/>
      <c r="GO55" s="418"/>
      <c r="GP55" s="418"/>
      <c r="GQ55" s="418"/>
      <c r="GR55" s="418"/>
      <c r="GS55" s="418"/>
      <c r="GT55" s="418"/>
      <c r="GU55" s="418"/>
      <c r="GV55" s="418"/>
      <c r="GW55" s="418"/>
      <c r="GX55" s="418"/>
      <c r="GY55" s="418"/>
      <c r="GZ55" s="418"/>
      <c r="HA55" s="418"/>
      <c r="HB55" s="418"/>
      <c r="HC55" s="418"/>
      <c r="HD55" s="418"/>
      <c r="HE55" s="418"/>
      <c r="HF55" s="418"/>
      <c r="HG55" s="418"/>
      <c r="HH55" s="418"/>
      <c r="HI55" s="418"/>
      <c r="HJ55" s="418"/>
      <c r="HK55" s="418"/>
      <c r="HL55" s="418"/>
      <c r="HM55" s="418"/>
      <c r="HN55" s="418"/>
      <c r="HO55" s="418"/>
      <c r="HP55" s="418"/>
      <c r="HQ55" s="418"/>
      <c r="HR55" s="418"/>
      <c r="HS55" s="418"/>
      <c r="HT55" s="418"/>
      <c r="HU55" s="418"/>
      <c r="HV55" s="418"/>
      <c r="HW55" s="418"/>
      <c r="HX55" s="418"/>
      <c r="HY55" s="418"/>
      <c r="HZ55" s="418"/>
      <c r="IA55" s="418"/>
      <c r="IB55" s="418"/>
      <c r="IC55" s="418"/>
      <c r="ID55" s="418"/>
      <c r="IE55" s="418"/>
      <c r="IF55" s="418"/>
      <c r="IG55" s="418"/>
      <c r="IH55" s="418"/>
      <c r="II55" s="418"/>
      <c r="IJ55" s="418"/>
      <c r="IK55" s="418"/>
      <c r="IL55" s="418"/>
      <c r="IM55" s="418"/>
      <c r="IN55" s="418"/>
      <c r="IO55" s="418"/>
      <c r="IP55" s="418"/>
      <c r="IQ55" s="418"/>
      <c r="IR55" s="418"/>
      <c r="IS55" s="418"/>
      <c r="IT55" s="418"/>
      <c r="IU55" s="418"/>
      <c r="IV55" s="418"/>
    </row>
    <row r="56" spans="1:256" s="1" customFormat="1" x14ac:dyDescent="0.2">
      <c r="A56" s="1" t="s">
        <v>436</v>
      </c>
      <c r="B56" s="125">
        <v>0</v>
      </c>
      <c r="C56" s="111">
        <v>0</v>
      </c>
      <c r="D56" s="111">
        <v>0</v>
      </c>
      <c r="E56" s="111">
        <v>0</v>
      </c>
      <c r="F56" s="111">
        <f>G56-E56-D56-C56</f>
        <v>0</v>
      </c>
      <c r="G56" s="125">
        <v>0</v>
      </c>
      <c r="H56" s="111">
        <v>0</v>
      </c>
      <c r="I56" s="111">
        <v>0</v>
      </c>
      <c r="J56" s="111">
        <v>0</v>
      </c>
      <c r="K56" s="111">
        <f>L56-J56-I56-H56</f>
        <v>0</v>
      </c>
      <c r="L56" s="125">
        <v>0</v>
      </c>
      <c r="M56" s="111">
        <v>0</v>
      </c>
      <c r="N56" s="111">
        <v>0</v>
      </c>
      <c r="O56" s="111">
        <v>0</v>
      </c>
      <c r="P56" s="111">
        <f>Q56-O56-N56-M56</f>
        <v>0</v>
      </c>
      <c r="Q56" s="125">
        <v>0</v>
      </c>
      <c r="R56" s="111">
        <v>0</v>
      </c>
      <c r="S56" s="111">
        <v>0</v>
      </c>
      <c r="T56" s="111">
        <v>0</v>
      </c>
      <c r="U56" s="111">
        <f>V56-T56-S56-R56</f>
        <v>0</v>
      </c>
      <c r="V56" s="125">
        <v>0</v>
      </c>
      <c r="W56" s="111">
        <v>0</v>
      </c>
      <c r="X56" s="111">
        <v>0</v>
      </c>
      <c r="Y56" s="111">
        <v>0</v>
      </c>
      <c r="Z56" s="111">
        <f>AA56-Y56-X56-W56</f>
        <v>0</v>
      </c>
      <c r="AA56" s="125">
        <v>0</v>
      </c>
      <c r="AB56" s="111">
        <v>0</v>
      </c>
      <c r="AC56" s="111">
        <v>0</v>
      </c>
      <c r="AD56" s="111">
        <v>0</v>
      </c>
      <c r="AE56" s="111">
        <f>AF56-AD56-AC56-AB56</f>
        <v>0</v>
      </c>
      <c r="AF56" s="125">
        <v>0</v>
      </c>
      <c r="AG56" s="111">
        <v>0</v>
      </c>
      <c r="AH56" s="111">
        <v>0</v>
      </c>
      <c r="AI56" s="111">
        <v>0</v>
      </c>
      <c r="AJ56" s="111">
        <f>AK56-AI56-AH56-AG56</f>
        <v>0</v>
      </c>
      <c r="AK56" s="125">
        <v>0</v>
      </c>
      <c r="AL56" s="111">
        <v>0</v>
      </c>
      <c r="AM56" s="111">
        <v>0</v>
      </c>
      <c r="AN56" s="111">
        <v>0</v>
      </c>
      <c r="AO56" s="111">
        <f>AP56-AN56-AM56-AL56</f>
        <v>0</v>
      </c>
      <c r="AP56" s="125">
        <v>0</v>
      </c>
      <c r="AQ56" s="111">
        <v>0</v>
      </c>
      <c r="AR56" s="111">
        <v>0</v>
      </c>
      <c r="AS56" s="111">
        <v>0</v>
      </c>
      <c r="AT56" s="111">
        <f>AU56-AS56-AR56-AQ56</f>
        <v>0</v>
      </c>
      <c r="AU56" s="125">
        <v>0</v>
      </c>
      <c r="AV56" s="111">
        <v>0</v>
      </c>
      <c r="AW56" s="111">
        <v>0</v>
      </c>
      <c r="AX56" s="111">
        <v>0</v>
      </c>
      <c r="AY56" s="111">
        <f>AZ56-AX56-AW56-AV56</f>
        <v>0</v>
      </c>
      <c r="AZ56" s="125">
        <v>0</v>
      </c>
      <c r="BA56" s="111">
        <v>0</v>
      </c>
      <c r="BB56" s="111">
        <v>0</v>
      </c>
      <c r="BC56" s="111">
        <v>0</v>
      </c>
      <c r="BD56" s="111">
        <f>BE56-BC56-BB56-BA56</f>
        <v>0</v>
      </c>
      <c r="BE56" s="125">
        <v>0</v>
      </c>
      <c r="BF56" s="111">
        <v>0</v>
      </c>
      <c r="BG56" s="111">
        <v>0</v>
      </c>
      <c r="BH56" s="111">
        <v>0</v>
      </c>
      <c r="BI56" s="111">
        <f t="shared" ref="BI56:BI63" si="81">BJ56-BH56-BG56-BF56</f>
        <v>0</v>
      </c>
      <c r="BJ56" s="125">
        <v>0</v>
      </c>
      <c r="BK56" s="111">
        <v>0</v>
      </c>
      <c r="BL56" s="111">
        <v>0</v>
      </c>
      <c r="BM56" s="111">
        <f>-3795.45-BL56-BK56</f>
        <v>-3795.45</v>
      </c>
      <c r="BN56" s="111">
        <f t="shared" ref="BN56:BN62" si="82">BO56-BM56-BL56-BK56</f>
        <v>-12805.391</v>
      </c>
      <c r="BO56" s="125">
        <v>-16600.841</v>
      </c>
      <c r="BP56" s="111">
        <v>-21910.3</v>
      </c>
      <c r="BQ56" s="111">
        <f>-44798.7-BP56</f>
        <v>-22888.399999999998</v>
      </c>
      <c r="BR56" s="111">
        <f>-55057.4-BQ56-BP56</f>
        <v>-10258.700000000004</v>
      </c>
      <c r="BS56" s="111">
        <f t="shared" ref="BS56:BS66" si="83">BT56-BR56-BQ56-BP56</f>
        <v>-11010.599999999995</v>
      </c>
      <c r="BT56" s="125">
        <v>-66068</v>
      </c>
      <c r="BU56" s="111">
        <v>-16474.3</v>
      </c>
      <c r="BV56" s="111">
        <f>-21335.5-BU56</f>
        <v>-4861.2000000000007</v>
      </c>
      <c r="BW56" s="111">
        <f>-21378.5-BV56-BU56</f>
        <v>-43</v>
      </c>
      <c r="BX56" s="111">
        <f t="shared" ref="BX56:BX66" si="84">BY56-BW56-BV56-BU56</f>
        <v>0</v>
      </c>
      <c r="BY56" s="125">
        <v>-21378.5</v>
      </c>
      <c r="BZ56" s="111">
        <v>0</v>
      </c>
      <c r="CA56" s="111">
        <v>0</v>
      </c>
      <c r="CB56" s="111">
        <v>0</v>
      </c>
      <c r="CC56" s="111">
        <f t="shared" ref="CC56:CC68" si="85">CD56-CB56-CA56-BZ56</f>
        <v>0</v>
      </c>
      <c r="CD56" s="367">
        <v>0</v>
      </c>
      <c r="CE56" s="366">
        <v>0</v>
      </c>
      <c r="CF56" s="366">
        <v>0</v>
      </c>
      <c r="CG56" s="366">
        <v>0</v>
      </c>
      <c r="CH56" s="366">
        <f t="shared" ref="CH56:CH68" si="86">CI56-CG56-CF56-CE56</f>
        <v>0</v>
      </c>
      <c r="CI56" s="367">
        <v>0</v>
      </c>
      <c r="CJ56" s="366">
        <v>0</v>
      </c>
      <c r="CK56" s="366">
        <v>0</v>
      </c>
      <c r="CL56" s="366">
        <v>0</v>
      </c>
      <c r="CM56" s="366">
        <f t="shared" ref="CM56:CM68" si="87">CN56-CL56-CK56-CJ56</f>
        <v>0</v>
      </c>
      <c r="CN56" s="367">
        <v>0</v>
      </c>
      <c r="CO56" s="366">
        <v>0</v>
      </c>
      <c r="CP56" s="366">
        <v>0</v>
      </c>
      <c r="CQ56" s="366">
        <v>0</v>
      </c>
      <c r="CR56" s="366">
        <f t="shared" ref="CR56:CR67" si="88">CS56-SUM(CO56:CQ56)</f>
        <v>0</v>
      </c>
      <c r="CS56" s="367">
        <v>0</v>
      </c>
      <c r="CT56" s="366">
        <v>0</v>
      </c>
      <c r="CU56" s="366">
        <v>0</v>
      </c>
      <c r="CV56" s="495">
        <v>0</v>
      </c>
      <c r="CW56" s="722">
        <f>CV56</f>
        <v>0</v>
      </c>
      <c r="CX56" s="723">
        <v>0</v>
      </c>
      <c r="CY56" s="366">
        <f>CX56</f>
        <v>0</v>
      </c>
      <c r="CZ56" s="366">
        <f>CY56</f>
        <v>0</v>
      </c>
      <c r="DA56" s="366">
        <f>CZ56</f>
        <v>0</v>
      </c>
      <c r="DB56" s="815">
        <f>DA56</f>
        <v>0</v>
      </c>
      <c r="DC56" s="367">
        <f t="shared" ref="DC56:DC63" si="89">SUM(CY56:DB56)</f>
        <v>0</v>
      </c>
      <c r="DD56" s="772">
        <v>0</v>
      </c>
      <c r="DE56" s="366">
        <f>0-DD56</f>
        <v>0</v>
      </c>
      <c r="DF56" s="366">
        <v>0</v>
      </c>
      <c r="DG56" s="815">
        <f>DF56</f>
        <v>0</v>
      </c>
      <c r="DH56" s="367">
        <v>0</v>
      </c>
      <c r="DI56" s="772">
        <v>0</v>
      </c>
      <c r="DJ56" s="772">
        <v>0</v>
      </c>
      <c r="DK56" s="366">
        <f>DJ56</f>
        <v>0</v>
      </c>
      <c r="DL56" s="111">
        <f>DK56</f>
        <v>0</v>
      </c>
      <c r="DM56" s="125">
        <f t="shared" ref="DM56:DM68" si="90">SUM(DI56:DL56)</f>
        <v>0</v>
      </c>
      <c r="DN56" s="143">
        <f>DM56</f>
        <v>0</v>
      </c>
      <c r="DO56" s="143">
        <f>DN56</f>
        <v>0</v>
      </c>
      <c r="DP56" s="143">
        <f>DO56</f>
        <v>0</v>
      </c>
      <c r="DQ56" s="143">
        <f>DP56</f>
        <v>0</v>
      </c>
      <c r="DR56" s="142">
        <f t="shared" ref="DR56:DR68" si="91">SUM(DN56:DQ56)</f>
        <v>0</v>
      </c>
      <c r="DS56" s="143">
        <f>DR56</f>
        <v>0</v>
      </c>
      <c r="DT56" s="143">
        <f>DS56</f>
        <v>0</v>
      </c>
      <c r="DU56" s="143">
        <f>DT56</f>
        <v>0</v>
      </c>
      <c r="DV56" s="143">
        <f>DU56</f>
        <v>0</v>
      </c>
      <c r="DW56" s="142">
        <f t="shared" ref="DW56:DW68" si="92">SUM(DS56:DV56)</f>
        <v>0</v>
      </c>
      <c r="DX56" s="143">
        <f>DW56</f>
        <v>0</v>
      </c>
      <c r="DY56" s="143">
        <f>DX56</f>
        <v>0</v>
      </c>
      <c r="DZ56" s="143">
        <f>DY56</f>
        <v>0</v>
      </c>
      <c r="EA56" s="143">
        <f>DZ56</f>
        <v>0</v>
      </c>
      <c r="EB56" s="142">
        <f t="shared" ref="EB56:EB68" si="93">SUM(DX56:EA56)</f>
        <v>0</v>
      </c>
      <c r="EE56" s="125"/>
      <c r="EF56" s="125"/>
      <c r="EG56" s="125"/>
      <c r="EH56" s="125"/>
      <c r="EI56" s="125"/>
      <c r="EJ56" s="125"/>
      <c r="EK56" s="125"/>
      <c r="EL56" s="125"/>
      <c r="EM56" s="125"/>
      <c r="EN56" s="125"/>
      <c r="EO56" s="125"/>
      <c r="EP56" s="125"/>
      <c r="EQ56" s="125"/>
      <c r="ER56" s="125"/>
      <c r="FC56"/>
      <c r="FD56"/>
      <c r="FE56"/>
      <c r="FF56"/>
      <c r="FG56"/>
      <c r="FH56"/>
      <c r="FI56" s="396"/>
      <c r="FJ56" s="419"/>
      <c r="FK56" s="419"/>
      <c r="FL56" s="419"/>
      <c r="FM56" s="419"/>
      <c r="FN56" s="419"/>
      <c r="FO56" s="419"/>
      <c r="FP56" s="419"/>
      <c r="FQ56" s="419"/>
      <c r="FR56" s="419"/>
      <c r="FS56" s="419"/>
      <c r="FT56" s="419"/>
      <c r="FU56" s="419"/>
      <c r="FV56" s="419"/>
      <c r="FW56" s="419"/>
      <c r="FX56" s="419"/>
      <c r="FY56" s="419"/>
      <c r="FZ56" s="419"/>
      <c r="GA56" s="419"/>
      <c r="GB56" s="419"/>
      <c r="GC56" s="419"/>
      <c r="GD56" s="419"/>
      <c r="GE56" s="419"/>
      <c r="GF56" s="419"/>
      <c r="GG56" s="419"/>
      <c r="GH56" s="419"/>
      <c r="GI56" s="419"/>
      <c r="GJ56" s="419"/>
      <c r="GK56" s="419"/>
      <c r="GL56" s="419"/>
      <c r="GM56" s="419"/>
      <c r="GN56" s="419"/>
      <c r="GO56" s="419"/>
      <c r="GP56" s="419"/>
      <c r="GQ56" s="419"/>
      <c r="GR56" s="419"/>
      <c r="GS56" s="419"/>
      <c r="GT56" s="419"/>
      <c r="GU56" s="419"/>
      <c r="GV56" s="419"/>
      <c r="GW56" s="418"/>
      <c r="GX56" s="418"/>
      <c r="GY56" s="418"/>
      <c r="GZ56" s="418"/>
      <c r="HA56" s="418"/>
      <c r="HB56" s="418"/>
      <c r="HC56" s="418"/>
      <c r="HD56" s="418"/>
      <c r="HE56" s="418"/>
      <c r="HF56" s="418"/>
      <c r="HG56" s="418"/>
      <c r="HH56" s="418"/>
      <c r="HI56" s="418"/>
      <c r="HJ56" s="418"/>
      <c r="HK56" s="418"/>
      <c r="HL56" s="418"/>
      <c r="HM56" s="418"/>
      <c r="HN56" s="418"/>
      <c r="HO56" s="418"/>
      <c r="HP56" s="418"/>
      <c r="HQ56" s="418"/>
      <c r="HR56" s="418"/>
      <c r="HS56" s="418"/>
      <c r="HT56" s="418"/>
      <c r="HU56" s="418"/>
      <c r="HV56" s="418"/>
      <c r="HW56" s="418"/>
      <c r="HX56" s="418"/>
      <c r="HY56" s="418"/>
      <c r="HZ56" s="418"/>
      <c r="IA56" s="418"/>
      <c r="IB56" s="418"/>
      <c r="IC56" s="418"/>
      <c r="ID56" s="418"/>
      <c r="IE56" s="418"/>
      <c r="IF56" s="418"/>
      <c r="IG56" s="418"/>
      <c r="IH56" s="418"/>
      <c r="II56" s="418"/>
      <c r="IJ56" s="418"/>
      <c r="IK56" s="418"/>
      <c r="IL56" s="418"/>
      <c r="IM56" s="418"/>
      <c r="IN56" s="418"/>
      <c r="IO56" s="418"/>
      <c r="IP56" s="418"/>
      <c r="IQ56" s="418"/>
      <c r="IR56" s="418"/>
      <c r="IS56" s="418"/>
      <c r="IT56" s="418"/>
      <c r="IU56" s="418"/>
      <c r="IV56" s="418"/>
    </row>
    <row r="57" spans="1:256" s="1" customFormat="1" x14ac:dyDescent="0.2">
      <c r="A57" s="1" t="s">
        <v>435</v>
      </c>
      <c r="B57" s="125">
        <v>0</v>
      </c>
      <c r="C57" s="111">
        <v>0</v>
      </c>
      <c r="D57" s="111">
        <v>0</v>
      </c>
      <c r="E57" s="111">
        <v>0</v>
      </c>
      <c r="F57" s="111">
        <f>G57-E57-D57-C57</f>
        <v>0</v>
      </c>
      <c r="G57" s="125">
        <v>0</v>
      </c>
      <c r="H57" s="111">
        <v>0</v>
      </c>
      <c r="I57" s="111">
        <v>0</v>
      </c>
      <c r="J57" s="111">
        <v>0</v>
      </c>
      <c r="K57" s="111">
        <f>L57-J57-I57-H57</f>
        <v>0</v>
      </c>
      <c r="L57" s="125">
        <v>0</v>
      </c>
      <c r="M57" s="111">
        <v>0</v>
      </c>
      <c r="N57" s="111">
        <v>0</v>
      </c>
      <c r="O57" s="111">
        <v>0</v>
      </c>
      <c r="P57" s="111">
        <f>Q57-O57-N57-M57</f>
        <v>0</v>
      </c>
      <c r="Q57" s="125">
        <v>0</v>
      </c>
      <c r="R57" s="111">
        <v>0</v>
      </c>
      <c r="S57" s="111">
        <v>0</v>
      </c>
      <c r="T57" s="111">
        <v>0</v>
      </c>
      <c r="U57" s="111">
        <f>V57-T57-S57-R57</f>
        <v>0</v>
      </c>
      <c r="V57" s="125">
        <v>0</v>
      </c>
      <c r="W57" s="111">
        <v>0</v>
      </c>
      <c r="X57" s="111">
        <v>0</v>
      </c>
      <c r="Y57" s="111">
        <v>0</v>
      </c>
      <c r="Z57" s="111">
        <f>AA57-Y57-X57-W57</f>
        <v>0</v>
      </c>
      <c r="AA57" s="125">
        <v>0</v>
      </c>
      <c r="AB57" s="111">
        <v>0</v>
      </c>
      <c r="AC57" s="111">
        <v>0</v>
      </c>
      <c r="AD57" s="111">
        <v>0</v>
      </c>
      <c r="AE57" s="111">
        <f>AF57-AD57-AC57-AB57</f>
        <v>0</v>
      </c>
      <c r="AF57" s="125">
        <v>0</v>
      </c>
      <c r="AG57" s="111">
        <v>0</v>
      </c>
      <c r="AH57" s="111">
        <v>0</v>
      </c>
      <c r="AI57" s="111">
        <v>0</v>
      </c>
      <c r="AJ57" s="111">
        <f>AK57-AI57-AH57-AG57</f>
        <v>0</v>
      </c>
      <c r="AK57" s="125">
        <v>0</v>
      </c>
      <c r="AL57" s="111">
        <v>0</v>
      </c>
      <c r="AM57" s="111">
        <v>0</v>
      </c>
      <c r="AN57" s="111">
        <v>0</v>
      </c>
      <c r="AO57" s="111">
        <f>AP57-AN57-AM57-AL57</f>
        <v>0</v>
      </c>
      <c r="AP57" s="125">
        <v>0</v>
      </c>
      <c r="AQ57" s="111">
        <v>0</v>
      </c>
      <c r="AR57" s="111">
        <v>0</v>
      </c>
      <c r="AS57" s="111">
        <v>0</v>
      </c>
      <c r="AT57" s="111">
        <f>AU57-AS57-AR57-AQ57</f>
        <v>0</v>
      </c>
      <c r="AU57" s="125">
        <v>0</v>
      </c>
      <c r="AV57" s="111">
        <v>0</v>
      </c>
      <c r="AW57" s="111">
        <v>0</v>
      </c>
      <c r="AX57" s="111">
        <v>0</v>
      </c>
      <c r="AY57" s="111">
        <f>AZ57-AX57-AW57-AV57</f>
        <v>0</v>
      </c>
      <c r="AZ57" s="125">
        <v>0</v>
      </c>
      <c r="BA57" s="111">
        <v>0</v>
      </c>
      <c r="BB57" s="111">
        <v>0</v>
      </c>
      <c r="BC57" s="111">
        <v>0</v>
      </c>
      <c r="BD57" s="111">
        <f>BE57-BC57-BB57-BA57</f>
        <v>0</v>
      </c>
      <c r="BE57" s="125">
        <v>0</v>
      </c>
      <c r="BF57" s="111">
        <v>0</v>
      </c>
      <c r="BG57" s="111">
        <v>0</v>
      </c>
      <c r="BH57" s="111">
        <v>0</v>
      </c>
      <c r="BI57" s="111">
        <f t="shared" si="81"/>
        <v>0</v>
      </c>
      <c r="BJ57" s="125">
        <v>0</v>
      </c>
      <c r="BK57" s="111">
        <v>0</v>
      </c>
      <c r="BL57" s="111">
        <v>0</v>
      </c>
      <c r="BM57" s="111">
        <f>4675.422-BL57-BK57</f>
        <v>4675.4219999999996</v>
      </c>
      <c r="BN57" s="111">
        <f t="shared" si="82"/>
        <v>12635.667000000001</v>
      </c>
      <c r="BO57" s="125">
        <v>17311.089</v>
      </c>
      <c r="BP57" s="111">
        <v>21729.5</v>
      </c>
      <c r="BQ57" s="111">
        <f>44789.1-BP57</f>
        <v>23059.599999999999</v>
      </c>
      <c r="BR57" s="111">
        <f>54961.8-BQ57-BP57</f>
        <v>10172.700000000004</v>
      </c>
      <c r="BS57" s="111">
        <f t="shared" si="83"/>
        <v>10809</v>
      </c>
      <c r="BT57" s="125">
        <v>65770.8</v>
      </c>
      <c r="BU57" s="111">
        <v>16201.4</v>
      </c>
      <c r="BV57" s="111">
        <f>20928.4-BU57</f>
        <v>4727.0000000000018</v>
      </c>
      <c r="BW57" s="111">
        <f>20965.4-BV57-BU57</f>
        <v>37</v>
      </c>
      <c r="BX57" s="111">
        <f t="shared" si="84"/>
        <v>0</v>
      </c>
      <c r="BY57" s="125">
        <v>20965.400000000001</v>
      </c>
      <c r="BZ57" s="111">
        <v>0</v>
      </c>
      <c r="CA57" s="111">
        <v>0</v>
      </c>
      <c r="CB57" s="111">
        <v>0</v>
      </c>
      <c r="CC57" s="111">
        <f t="shared" si="85"/>
        <v>0</v>
      </c>
      <c r="CD57" s="367">
        <v>0</v>
      </c>
      <c r="CE57" s="366">
        <v>0</v>
      </c>
      <c r="CF57" s="366">
        <v>0</v>
      </c>
      <c r="CG57" s="366">
        <v>0</v>
      </c>
      <c r="CH57" s="366">
        <f t="shared" si="86"/>
        <v>30.8</v>
      </c>
      <c r="CI57" s="367">
        <v>30.8</v>
      </c>
      <c r="CJ57" s="366">
        <v>0</v>
      </c>
      <c r="CK57" s="366">
        <v>0</v>
      </c>
      <c r="CL57" s="366">
        <v>0</v>
      </c>
      <c r="CM57" s="366">
        <f t="shared" si="87"/>
        <v>0</v>
      </c>
      <c r="CN57" s="367">
        <v>0</v>
      </c>
      <c r="CO57" s="366">
        <v>0</v>
      </c>
      <c r="CP57" s="366">
        <v>0</v>
      </c>
      <c r="CQ57" s="366">
        <v>0</v>
      </c>
      <c r="CR57" s="366">
        <f t="shared" si="88"/>
        <v>0</v>
      </c>
      <c r="CS57" s="367">
        <v>0</v>
      </c>
      <c r="CT57" s="366">
        <v>0</v>
      </c>
      <c r="CU57" s="366">
        <v>0</v>
      </c>
      <c r="CV57" s="495">
        <v>0</v>
      </c>
      <c r="CW57" s="722">
        <f>-CW56</f>
        <v>0</v>
      </c>
      <c r="CX57" s="723">
        <v>0</v>
      </c>
      <c r="CY57" s="366">
        <f>-CY56</f>
        <v>0</v>
      </c>
      <c r="CZ57" s="366">
        <f>-CZ56</f>
        <v>0</v>
      </c>
      <c r="DA57" s="366">
        <f>-DA56</f>
        <v>0</v>
      </c>
      <c r="DB57" s="815">
        <f>-DB56</f>
        <v>0</v>
      </c>
      <c r="DC57" s="367">
        <f t="shared" si="89"/>
        <v>0</v>
      </c>
      <c r="DD57" s="772">
        <v>0</v>
      </c>
      <c r="DE57" s="366">
        <f>149.1-DD57</f>
        <v>149.1</v>
      </c>
      <c r="DF57" s="366">
        <f>0-DE57-DD57</f>
        <v>-149.1</v>
      </c>
      <c r="DG57" s="815">
        <f>-DG56</f>
        <v>0</v>
      </c>
      <c r="DH57" s="367">
        <v>0</v>
      </c>
      <c r="DI57" s="772">
        <v>0</v>
      </c>
      <c r="DJ57" s="772">
        <v>0</v>
      </c>
      <c r="DK57" s="366">
        <f>-DK56</f>
        <v>0</v>
      </c>
      <c r="DL57" s="111">
        <f>-DL56</f>
        <v>0</v>
      </c>
      <c r="DM57" s="125">
        <f t="shared" si="90"/>
        <v>0</v>
      </c>
      <c r="DN57" s="143">
        <f>-DN56</f>
        <v>0</v>
      </c>
      <c r="DO57" s="143">
        <f>-DO56</f>
        <v>0</v>
      </c>
      <c r="DP57" s="143">
        <f>-DP56</f>
        <v>0</v>
      </c>
      <c r="DQ57" s="143">
        <f>-DQ56</f>
        <v>0</v>
      </c>
      <c r="DR57" s="142">
        <f t="shared" si="91"/>
        <v>0</v>
      </c>
      <c r="DS57" s="143">
        <f>-DS56</f>
        <v>0</v>
      </c>
      <c r="DT57" s="143">
        <f>-DT56</f>
        <v>0</v>
      </c>
      <c r="DU57" s="143">
        <f>-DU56</f>
        <v>0</v>
      </c>
      <c r="DV57" s="143">
        <f>-DV56</f>
        <v>0</v>
      </c>
      <c r="DW57" s="142">
        <f t="shared" si="92"/>
        <v>0</v>
      </c>
      <c r="DX57" s="143">
        <f>-DX56</f>
        <v>0</v>
      </c>
      <c r="DY57" s="143">
        <f>-DY56</f>
        <v>0</v>
      </c>
      <c r="DZ57" s="143">
        <f>-DZ56</f>
        <v>0</v>
      </c>
      <c r="EA57" s="143">
        <f>-EA56</f>
        <v>0</v>
      </c>
      <c r="EB57" s="142">
        <f t="shared" si="93"/>
        <v>0</v>
      </c>
      <c r="EE57" s="125"/>
      <c r="EF57" s="125"/>
      <c r="EG57" s="125"/>
      <c r="EH57" s="125"/>
      <c r="EI57" s="125"/>
      <c r="EJ57" s="125"/>
      <c r="EK57" s="125"/>
      <c r="EL57" s="125"/>
      <c r="EM57" s="125"/>
      <c r="EN57" s="125"/>
      <c r="EO57" s="125"/>
      <c r="EP57" s="125"/>
      <c r="EQ57" s="125"/>
      <c r="ER57" s="125"/>
      <c r="FC57"/>
      <c r="FD57"/>
      <c r="FE57"/>
      <c r="FF57"/>
      <c r="FG57"/>
      <c r="FH57"/>
      <c r="FI57" s="396"/>
      <c r="FJ57" s="419"/>
      <c r="FK57" s="419"/>
      <c r="FL57" s="419"/>
      <c r="FM57" s="419"/>
      <c r="FN57" s="419"/>
      <c r="FO57" s="419"/>
      <c r="FP57" s="419"/>
      <c r="FQ57" s="419"/>
      <c r="FR57" s="419"/>
      <c r="FS57" s="419"/>
      <c r="FT57" s="419"/>
      <c r="FU57" s="419"/>
      <c r="FV57" s="419"/>
      <c r="FW57" s="419"/>
      <c r="FX57" s="419"/>
      <c r="FY57" s="419"/>
      <c r="FZ57" s="419"/>
      <c r="GA57" s="419"/>
      <c r="GB57" s="419"/>
      <c r="GC57" s="419"/>
      <c r="GD57" s="419"/>
      <c r="GE57" s="419"/>
      <c r="GF57" s="419"/>
      <c r="GG57" s="419"/>
      <c r="GH57" s="419"/>
      <c r="GI57" s="419"/>
      <c r="GJ57" s="419"/>
      <c r="GK57" s="419"/>
      <c r="GL57" s="419"/>
      <c r="GM57" s="419"/>
      <c r="GN57" s="419"/>
      <c r="GO57" s="419"/>
      <c r="GP57" s="419"/>
      <c r="GQ57" s="419"/>
      <c r="GR57" s="419"/>
      <c r="GS57" s="419"/>
      <c r="GT57" s="419"/>
      <c r="GU57" s="419"/>
      <c r="GV57" s="419"/>
      <c r="GW57" s="418"/>
      <c r="GX57" s="418"/>
      <c r="GY57" s="418"/>
      <c r="GZ57" s="418"/>
      <c r="HA57" s="418"/>
      <c r="HB57" s="418"/>
      <c r="HC57" s="418"/>
      <c r="HD57" s="418"/>
      <c r="HE57" s="418"/>
      <c r="HF57" s="418"/>
      <c r="HG57" s="418"/>
      <c r="HH57" s="418"/>
      <c r="HI57" s="418"/>
      <c r="HJ57" s="418"/>
      <c r="HK57" s="418"/>
      <c r="HL57" s="418"/>
      <c r="HM57" s="418"/>
      <c r="HN57" s="418"/>
      <c r="HO57" s="418"/>
      <c r="HP57" s="418"/>
      <c r="HQ57" s="418"/>
      <c r="HR57" s="418"/>
      <c r="HS57" s="418"/>
      <c r="HT57" s="418"/>
      <c r="HU57" s="418"/>
      <c r="HV57" s="418"/>
      <c r="HW57" s="418"/>
      <c r="HX57" s="418"/>
      <c r="HY57" s="418"/>
      <c r="HZ57" s="418"/>
      <c r="IA57" s="418"/>
      <c r="IB57" s="418"/>
      <c r="IC57" s="418"/>
      <c r="ID57" s="418"/>
      <c r="IE57" s="418"/>
      <c r="IF57" s="418"/>
      <c r="IG57" s="418"/>
      <c r="IH57" s="418"/>
      <c r="II57" s="418"/>
      <c r="IJ57" s="418"/>
      <c r="IK57" s="418"/>
      <c r="IL57" s="418"/>
      <c r="IM57" s="418"/>
      <c r="IN57" s="418"/>
      <c r="IO57" s="418"/>
      <c r="IP57" s="418"/>
      <c r="IQ57" s="418"/>
      <c r="IR57" s="418"/>
      <c r="IS57" s="418"/>
      <c r="IT57" s="418"/>
      <c r="IU57" s="418"/>
      <c r="IV57" s="418"/>
    </row>
    <row r="58" spans="1:256" s="1" customFormat="1" ht="13.5" customHeight="1" x14ac:dyDescent="0.2">
      <c r="A58" s="1" t="s">
        <v>434</v>
      </c>
      <c r="B58" s="125">
        <v>0</v>
      </c>
      <c r="C58" s="111">
        <v>0</v>
      </c>
      <c r="D58" s="111">
        <v>0</v>
      </c>
      <c r="E58" s="111">
        <v>0</v>
      </c>
      <c r="F58" s="111">
        <f>G58-E58-D58-C58</f>
        <v>0</v>
      </c>
      <c r="G58" s="125">
        <v>0</v>
      </c>
      <c r="H58" s="111">
        <v>0</v>
      </c>
      <c r="I58" s="111">
        <v>0</v>
      </c>
      <c r="J58" s="111">
        <v>0</v>
      </c>
      <c r="K58" s="111">
        <f>L58-J58-I58-H58</f>
        <v>0</v>
      </c>
      <c r="L58" s="125">
        <v>0</v>
      </c>
      <c r="M58" s="111">
        <v>0</v>
      </c>
      <c r="N58" s="111">
        <v>0</v>
      </c>
      <c r="O58" s="111">
        <v>0</v>
      </c>
      <c r="P58" s="111">
        <f>Q58-O58-N58-M58</f>
        <v>0</v>
      </c>
      <c r="Q58" s="125">
        <v>0</v>
      </c>
      <c r="R58" s="111">
        <v>0</v>
      </c>
      <c r="S58" s="111">
        <v>0</v>
      </c>
      <c r="T58" s="111">
        <v>0</v>
      </c>
      <c r="U58" s="111">
        <f>V58-T58-S58-R58</f>
        <v>0</v>
      </c>
      <c r="V58" s="125">
        <v>0</v>
      </c>
      <c r="W58" s="111">
        <v>0</v>
      </c>
      <c r="X58" s="111">
        <v>0</v>
      </c>
      <c r="Y58" s="111">
        <v>0</v>
      </c>
      <c r="Z58" s="111">
        <f>AA58-Y58-X58-W58</f>
        <v>0</v>
      </c>
      <c r="AA58" s="125">
        <v>0</v>
      </c>
      <c r="AB58" s="111">
        <v>-17.038</v>
      </c>
      <c r="AC58" s="111">
        <f>-13.748-AB58</f>
        <v>3.2900000000000009</v>
      </c>
      <c r="AD58" s="111">
        <f>-11.331-AB58-AC58</f>
        <v>2.4169999999999998</v>
      </c>
      <c r="AE58" s="111">
        <f>AF58-AD58-AC58-AB58</f>
        <v>3.8519999999999985</v>
      </c>
      <c r="AF58" s="125">
        <v>-7.4790000000000001</v>
      </c>
      <c r="AG58" s="111">
        <v>1.9690000000000001</v>
      </c>
      <c r="AH58" s="111">
        <f>-3.695-AG58</f>
        <v>-5.6639999999999997</v>
      </c>
      <c r="AI58" s="111">
        <f>9.66-AH58-AG58</f>
        <v>13.355</v>
      </c>
      <c r="AJ58" s="111">
        <f>AK58-AI58-AH58-AG58</f>
        <v>-9.66</v>
      </c>
      <c r="AK58" s="125">
        <v>0</v>
      </c>
      <c r="AL58" s="111">
        <v>-3.7450000000000001</v>
      </c>
      <c r="AM58" s="111">
        <f>-13.167-AL58</f>
        <v>-9.4220000000000006</v>
      </c>
      <c r="AN58" s="111">
        <f>-3.023-AM58-AL58</f>
        <v>10.144000000000002</v>
      </c>
      <c r="AO58" s="111">
        <f>AP58-AN58-AM58-AL58</f>
        <v>3.0229999999999988</v>
      </c>
      <c r="AP58" s="125">
        <v>0</v>
      </c>
      <c r="AQ58" s="111">
        <v>0</v>
      </c>
      <c r="AR58" s="111">
        <v>0</v>
      </c>
      <c r="AS58" s="111">
        <v>0</v>
      </c>
      <c r="AT58" s="111">
        <f>AU58-AS58-AR58-AQ58</f>
        <v>0</v>
      </c>
      <c r="AU58" s="125">
        <v>0</v>
      </c>
      <c r="AV58" s="111">
        <v>0</v>
      </c>
      <c r="AW58" s="111">
        <v>0</v>
      </c>
      <c r="AX58" s="111">
        <v>0</v>
      </c>
      <c r="AY58" s="111">
        <f>AZ58-AX58-AW58-AV58</f>
        <v>0</v>
      </c>
      <c r="AZ58" s="125">
        <v>0</v>
      </c>
      <c r="BA58" s="111">
        <v>0</v>
      </c>
      <c r="BB58" s="111">
        <v>0</v>
      </c>
      <c r="BC58" s="111">
        <v>0</v>
      </c>
      <c r="BD58" s="111">
        <f>BE58-BC58-BB58-BA58</f>
        <v>0</v>
      </c>
      <c r="BE58" s="125">
        <v>0</v>
      </c>
      <c r="BF58" s="111">
        <v>0</v>
      </c>
      <c r="BG58" s="111">
        <v>0</v>
      </c>
      <c r="BH58" s="111">
        <v>0</v>
      </c>
      <c r="BI58" s="111">
        <f t="shared" si="81"/>
        <v>0</v>
      </c>
      <c r="BJ58" s="125">
        <v>0</v>
      </c>
      <c r="BK58" s="111">
        <v>0</v>
      </c>
      <c r="BL58" s="111">
        <v>0</v>
      </c>
      <c r="BM58" s="111">
        <v>0</v>
      </c>
      <c r="BN58" s="111">
        <f t="shared" si="82"/>
        <v>0</v>
      </c>
      <c r="BO58" s="125">
        <v>0</v>
      </c>
      <c r="BP58" s="111">
        <v>0</v>
      </c>
      <c r="BQ58" s="111">
        <v>0</v>
      </c>
      <c r="BR58" s="111">
        <v>0</v>
      </c>
      <c r="BS58" s="111">
        <f t="shared" si="83"/>
        <v>0</v>
      </c>
      <c r="BT58" s="125">
        <v>0</v>
      </c>
      <c r="BU58" s="111">
        <v>0</v>
      </c>
      <c r="BV58" s="111">
        <v>0</v>
      </c>
      <c r="BW58" s="111">
        <v>0</v>
      </c>
      <c r="BX58" s="111">
        <f t="shared" si="84"/>
        <v>0</v>
      </c>
      <c r="BY58" s="125">
        <v>0</v>
      </c>
      <c r="BZ58" s="111">
        <v>0</v>
      </c>
      <c r="CA58" s="111">
        <v>0</v>
      </c>
      <c r="CB58" s="111">
        <v>0</v>
      </c>
      <c r="CC58" s="111">
        <f t="shared" si="85"/>
        <v>0</v>
      </c>
      <c r="CD58" s="367">
        <v>0</v>
      </c>
      <c r="CE58" s="366">
        <v>0</v>
      </c>
      <c r="CF58" s="366">
        <v>0</v>
      </c>
      <c r="CG58" s="366">
        <v>0</v>
      </c>
      <c r="CH58" s="366">
        <f t="shared" si="86"/>
        <v>0</v>
      </c>
      <c r="CI58" s="367">
        <v>0</v>
      </c>
      <c r="CJ58" s="366">
        <v>0</v>
      </c>
      <c r="CK58" s="366">
        <v>0</v>
      </c>
      <c r="CL58" s="366">
        <v>0</v>
      </c>
      <c r="CM58" s="366">
        <f t="shared" si="87"/>
        <v>0</v>
      </c>
      <c r="CN58" s="367">
        <v>0</v>
      </c>
      <c r="CO58" s="366">
        <v>0</v>
      </c>
      <c r="CP58" s="366">
        <v>0</v>
      </c>
      <c r="CQ58" s="366">
        <v>0</v>
      </c>
      <c r="CR58" s="366">
        <f t="shared" si="88"/>
        <v>0</v>
      </c>
      <c r="CS58" s="367">
        <v>0</v>
      </c>
      <c r="CT58" s="366">
        <v>0</v>
      </c>
      <c r="CU58" s="366">
        <v>0</v>
      </c>
      <c r="CV58" s="495">
        <v>0</v>
      </c>
      <c r="CW58" s="722">
        <f>CV58</f>
        <v>0</v>
      </c>
      <c r="CX58" s="723">
        <v>0</v>
      </c>
      <c r="CY58" s="366">
        <f>CX58</f>
        <v>0</v>
      </c>
      <c r="CZ58" s="366">
        <f>CY58</f>
        <v>0</v>
      </c>
      <c r="DA58" s="366">
        <f>CZ58</f>
        <v>0</v>
      </c>
      <c r="DB58" s="815">
        <f>DA58</f>
        <v>0</v>
      </c>
      <c r="DC58" s="367">
        <f t="shared" si="89"/>
        <v>0</v>
      </c>
      <c r="DD58" s="772">
        <v>0</v>
      </c>
      <c r="DE58" s="366">
        <f t="shared" ref="DE58:DE59" si="94">0-DD58</f>
        <v>0</v>
      </c>
      <c r="DF58" s="366">
        <v>0</v>
      </c>
      <c r="DG58" s="815">
        <f>DF58</f>
        <v>0</v>
      </c>
      <c r="DH58" s="367">
        <v>0</v>
      </c>
      <c r="DI58" s="772">
        <v>0</v>
      </c>
      <c r="DJ58" s="772">
        <v>0</v>
      </c>
      <c r="DK58" s="366">
        <f>DJ58</f>
        <v>0</v>
      </c>
      <c r="DL58" s="111">
        <f>DK58</f>
        <v>0</v>
      </c>
      <c r="DM58" s="125">
        <f t="shared" si="90"/>
        <v>0</v>
      </c>
      <c r="DN58" s="143">
        <f>DM58</f>
        <v>0</v>
      </c>
      <c r="DO58" s="143">
        <f>DN58</f>
        <v>0</v>
      </c>
      <c r="DP58" s="143">
        <f>DO58</f>
        <v>0</v>
      </c>
      <c r="DQ58" s="143">
        <f>DP58</f>
        <v>0</v>
      </c>
      <c r="DR58" s="142">
        <f t="shared" si="91"/>
        <v>0</v>
      </c>
      <c r="DS58" s="143">
        <f>DR58</f>
        <v>0</v>
      </c>
      <c r="DT58" s="143">
        <f>DS58</f>
        <v>0</v>
      </c>
      <c r="DU58" s="143">
        <f>DT58</f>
        <v>0</v>
      </c>
      <c r="DV58" s="143">
        <f>DU58</f>
        <v>0</v>
      </c>
      <c r="DW58" s="142">
        <f t="shared" si="92"/>
        <v>0</v>
      </c>
      <c r="DX58" s="143">
        <f>DW58</f>
        <v>0</v>
      </c>
      <c r="DY58" s="143">
        <f>DX58</f>
        <v>0</v>
      </c>
      <c r="DZ58" s="143">
        <f>DY58</f>
        <v>0</v>
      </c>
      <c r="EA58" s="143">
        <f>DZ58</f>
        <v>0</v>
      </c>
      <c r="EB58" s="142">
        <f t="shared" si="93"/>
        <v>0</v>
      </c>
      <c r="EE58" s="125"/>
      <c r="EF58" s="125"/>
      <c r="EG58" s="125"/>
      <c r="EH58" s="125"/>
      <c r="EI58" s="125"/>
      <c r="EJ58" s="125"/>
      <c r="EK58" s="125"/>
      <c r="EL58" s="125"/>
      <c r="EM58" s="125"/>
      <c r="EN58" s="125"/>
      <c r="EO58" s="125"/>
      <c r="EP58" s="125"/>
      <c r="EQ58" s="125"/>
      <c r="ER58" s="125"/>
      <c r="FC58"/>
      <c r="FD58"/>
      <c r="FE58"/>
      <c r="FF58"/>
      <c r="FG58"/>
      <c r="FH58"/>
      <c r="FI58" s="396"/>
      <c r="FJ58" s="419"/>
      <c r="FK58" s="419"/>
      <c r="FL58" s="419"/>
      <c r="FM58" s="419"/>
      <c r="FN58" s="419"/>
      <c r="FO58" s="419"/>
      <c r="FP58" s="419"/>
      <c r="FQ58" s="419"/>
      <c r="FR58" s="419"/>
      <c r="FS58" s="419"/>
      <c r="FT58" s="419"/>
      <c r="FU58" s="419"/>
      <c r="FV58" s="419"/>
      <c r="FW58" s="419"/>
      <c r="FX58" s="419"/>
      <c r="FY58" s="419"/>
      <c r="FZ58" s="419"/>
      <c r="GA58" s="419"/>
      <c r="GB58" s="419"/>
      <c r="GC58" s="419"/>
      <c r="GD58" s="419"/>
      <c r="GE58" s="419"/>
      <c r="GF58" s="419"/>
      <c r="GG58" s="419"/>
      <c r="GH58" s="419"/>
      <c r="GI58" s="419"/>
      <c r="GJ58" s="419"/>
      <c r="GK58" s="419"/>
      <c r="GL58" s="419"/>
      <c r="GM58" s="419"/>
      <c r="GN58" s="419"/>
      <c r="GO58" s="419"/>
      <c r="GP58" s="419"/>
      <c r="GQ58" s="419"/>
      <c r="GR58" s="419"/>
      <c r="GS58" s="419"/>
      <c r="GT58" s="419"/>
      <c r="GU58" s="419"/>
      <c r="GV58" s="419"/>
      <c r="GW58" s="418"/>
      <c r="GX58" s="418"/>
      <c r="GY58" s="418"/>
      <c r="GZ58" s="418"/>
      <c r="HA58" s="418"/>
      <c r="HB58" s="418"/>
      <c r="HC58" s="418"/>
      <c r="HD58" s="418"/>
      <c r="HE58" s="418"/>
      <c r="HF58" s="418"/>
      <c r="HG58" s="418"/>
      <c r="HH58" s="418"/>
      <c r="HI58" s="418"/>
      <c r="HJ58" s="418"/>
      <c r="HK58" s="418"/>
      <c r="HL58" s="418"/>
      <c r="HM58" s="418"/>
      <c r="HN58" s="418"/>
      <c r="HO58" s="418"/>
      <c r="HP58" s="418"/>
      <c r="HQ58" s="418"/>
      <c r="HR58" s="418"/>
      <c r="HS58" s="418"/>
      <c r="HT58" s="418"/>
      <c r="HU58" s="418"/>
      <c r="HV58" s="418"/>
      <c r="HW58" s="418"/>
      <c r="HX58" s="418"/>
      <c r="HY58" s="418"/>
      <c r="HZ58" s="418"/>
      <c r="IA58" s="418"/>
      <c r="IB58" s="418"/>
      <c r="IC58" s="418"/>
      <c r="ID58" s="418"/>
      <c r="IE58" s="418"/>
      <c r="IF58" s="418"/>
      <c r="IG58" s="418"/>
      <c r="IH58" s="418"/>
      <c r="II58" s="418"/>
      <c r="IJ58" s="418"/>
      <c r="IK58" s="418"/>
      <c r="IL58" s="418"/>
      <c r="IM58" s="418"/>
      <c r="IN58" s="418"/>
      <c r="IO58" s="418"/>
      <c r="IP58" s="418"/>
      <c r="IQ58" s="418"/>
      <c r="IR58" s="418"/>
      <c r="IS58" s="418"/>
      <c r="IT58" s="418"/>
      <c r="IU58" s="418"/>
      <c r="IV58" s="418"/>
    </row>
    <row r="59" spans="1:256" s="1" customFormat="1" x14ac:dyDescent="0.2">
      <c r="A59" s="1" t="s">
        <v>433</v>
      </c>
      <c r="B59" s="125">
        <v>0</v>
      </c>
      <c r="C59" s="111">
        <v>0</v>
      </c>
      <c r="D59" s="111">
        <v>0</v>
      </c>
      <c r="E59" s="111">
        <v>0</v>
      </c>
      <c r="F59" s="111">
        <f>G59-E59-D59-C59</f>
        <v>0</v>
      </c>
      <c r="G59" s="125">
        <v>0</v>
      </c>
      <c r="H59" s="111">
        <v>0</v>
      </c>
      <c r="I59" s="111">
        <v>0</v>
      </c>
      <c r="J59" s="111">
        <v>0</v>
      </c>
      <c r="K59" s="111">
        <f>L59-J59-I59-H59</f>
        <v>0</v>
      </c>
      <c r="L59" s="125">
        <v>0</v>
      </c>
      <c r="M59" s="111">
        <v>0</v>
      </c>
      <c r="N59" s="111">
        <v>0</v>
      </c>
      <c r="O59" s="111">
        <v>0</v>
      </c>
      <c r="P59" s="111">
        <f>Q59-O59-N59-M59</f>
        <v>0</v>
      </c>
      <c r="Q59" s="125">
        <v>0</v>
      </c>
      <c r="R59" s="111">
        <v>0</v>
      </c>
      <c r="S59" s="111">
        <v>0</v>
      </c>
      <c r="T59" s="111">
        <v>0</v>
      </c>
      <c r="U59" s="111">
        <f>V59-T59-S59-R59</f>
        <v>0</v>
      </c>
      <c r="V59" s="125">
        <v>0</v>
      </c>
      <c r="W59" s="111">
        <v>0</v>
      </c>
      <c r="X59" s="111">
        <v>0</v>
      </c>
      <c r="Y59" s="111">
        <v>0</v>
      </c>
      <c r="Z59" s="111">
        <f>AA59-Y59-X59-W59</f>
        <v>0</v>
      </c>
      <c r="AA59" s="125">
        <v>0</v>
      </c>
      <c r="AB59" s="111">
        <v>0</v>
      </c>
      <c r="AC59" s="111">
        <v>0</v>
      </c>
      <c r="AD59" s="111">
        <v>0</v>
      </c>
      <c r="AE59" s="111">
        <f>AF59-AD59-AC59-AB59</f>
        <v>0</v>
      </c>
      <c r="AF59" s="125">
        <v>0</v>
      </c>
      <c r="AG59" s="111">
        <v>0</v>
      </c>
      <c r="AH59" s="111">
        <v>0</v>
      </c>
      <c r="AI59" s="111">
        <v>0</v>
      </c>
      <c r="AJ59" s="111">
        <f>AK59-AI59-AH59-AG59</f>
        <v>0</v>
      </c>
      <c r="AK59" s="125">
        <v>0</v>
      </c>
      <c r="AL59" s="111">
        <v>0</v>
      </c>
      <c r="AM59" s="111">
        <v>0</v>
      </c>
      <c r="AN59" s="111">
        <v>0</v>
      </c>
      <c r="AO59" s="111">
        <f>AP59-AN59-AM59-AL59</f>
        <v>0</v>
      </c>
      <c r="AP59" s="125">
        <v>0</v>
      </c>
      <c r="AQ59" s="111">
        <v>0</v>
      </c>
      <c r="AR59" s="111">
        <v>0</v>
      </c>
      <c r="AS59" s="111">
        <v>0</v>
      </c>
      <c r="AT59" s="111">
        <f>AU59-AS59-AR59-AQ59</f>
        <v>0</v>
      </c>
      <c r="AU59" s="125">
        <v>0</v>
      </c>
      <c r="AV59" s="111">
        <v>0</v>
      </c>
      <c r="AW59" s="111">
        <v>0</v>
      </c>
      <c r="AX59" s="111">
        <v>0</v>
      </c>
      <c r="AY59" s="111">
        <f>AZ59-AX59-AW59-AV59</f>
        <v>0</v>
      </c>
      <c r="AZ59" s="125">
        <v>0</v>
      </c>
      <c r="BA59" s="111">
        <v>0</v>
      </c>
      <c r="BB59" s="111">
        <v>0</v>
      </c>
      <c r="BC59" s="111">
        <v>0</v>
      </c>
      <c r="BD59" s="111">
        <f>BE59-BC59-BB59-BA59</f>
        <v>277</v>
      </c>
      <c r="BE59" s="125">
        <v>277</v>
      </c>
      <c r="BF59" s="111">
        <v>0</v>
      </c>
      <c r="BG59" s="111">
        <v>0</v>
      </c>
      <c r="BH59" s="111">
        <v>0</v>
      </c>
      <c r="BI59" s="111">
        <f t="shared" si="81"/>
        <v>0</v>
      </c>
      <c r="BJ59" s="125">
        <v>0</v>
      </c>
      <c r="BK59" s="111">
        <v>0</v>
      </c>
      <c r="BL59" s="111">
        <v>0</v>
      </c>
      <c r="BM59" s="111">
        <v>0</v>
      </c>
      <c r="BN59" s="111">
        <f t="shared" si="82"/>
        <v>0</v>
      </c>
      <c r="BO59" s="125">
        <v>0</v>
      </c>
      <c r="BP59" s="111">
        <v>0</v>
      </c>
      <c r="BQ59" s="111">
        <f>1.1-BP59</f>
        <v>1.1000000000000001</v>
      </c>
      <c r="BR59" s="111">
        <f>-0.6+1.1-BQ59-BP59</f>
        <v>-0.6</v>
      </c>
      <c r="BS59" s="111">
        <f t="shared" si="83"/>
        <v>298.90000000000003</v>
      </c>
      <c r="BT59" s="125">
        <f>-228.8+528.2</f>
        <v>299.40000000000003</v>
      </c>
      <c r="BU59" s="111">
        <v>362</v>
      </c>
      <c r="BV59" s="111">
        <f>1033-BU59</f>
        <v>671</v>
      </c>
      <c r="BW59" s="111">
        <f>1313-BV59-BU59</f>
        <v>280</v>
      </c>
      <c r="BX59" s="111">
        <f t="shared" si="84"/>
        <v>25</v>
      </c>
      <c r="BY59" s="125">
        <v>1338</v>
      </c>
      <c r="BZ59" s="111">
        <v>0</v>
      </c>
      <c r="CA59" s="111">
        <v>0</v>
      </c>
      <c r="CB59" s="111">
        <v>0</v>
      </c>
      <c r="CC59" s="111">
        <f t="shared" si="85"/>
        <v>0</v>
      </c>
      <c r="CD59" s="367">
        <v>0</v>
      </c>
      <c r="CE59" s="366">
        <v>0</v>
      </c>
      <c r="CF59" s="366">
        <v>0</v>
      </c>
      <c r="CG59" s="366">
        <v>0</v>
      </c>
      <c r="CH59" s="366">
        <f t="shared" si="86"/>
        <v>0</v>
      </c>
      <c r="CI59" s="367">
        <v>0</v>
      </c>
      <c r="CJ59" s="366">
        <v>0</v>
      </c>
      <c r="CK59" s="366">
        <v>0</v>
      </c>
      <c r="CL59" s="366">
        <v>0</v>
      </c>
      <c r="CM59" s="366">
        <f t="shared" si="87"/>
        <v>0</v>
      </c>
      <c r="CN59" s="367">
        <v>0</v>
      </c>
      <c r="CO59" s="366">
        <v>0</v>
      </c>
      <c r="CP59" s="366">
        <v>0</v>
      </c>
      <c r="CQ59" s="366">
        <v>0</v>
      </c>
      <c r="CR59" s="366">
        <f t="shared" si="88"/>
        <v>0</v>
      </c>
      <c r="CS59" s="367">
        <v>0</v>
      </c>
      <c r="CT59" s="366">
        <v>0</v>
      </c>
      <c r="CU59" s="366">
        <v>0</v>
      </c>
      <c r="CV59" s="495">
        <v>0</v>
      </c>
      <c r="CW59" s="722">
        <v>0</v>
      </c>
      <c r="CX59" s="723">
        <f>SUM(CT59:CW59)</f>
        <v>0</v>
      </c>
      <c r="CY59" s="366">
        <v>0</v>
      </c>
      <c r="CZ59" s="366">
        <v>0</v>
      </c>
      <c r="DA59" s="366">
        <v>0</v>
      </c>
      <c r="DB59" s="815">
        <v>0</v>
      </c>
      <c r="DC59" s="367">
        <f t="shared" si="89"/>
        <v>0</v>
      </c>
      <c r="DD59" s="772">
        <v>0</v>
      </c>
      <c r="DE59" s="366">
        <f t="shared" si="94"/>
        <v>0</v>
      </c>
      <c r="DF59" s="366">
        <v>0</v>
      </c>
      <c r="DG59" s="815">
        <v>0</v>
      </c>
      <c r="DH59" s="367">
        <v>0</v>
      </c>
      <c r="DI59" s="772">
        <v>0</v>
      </c>
      <c r="DJ59" s="772">
        <v>0</v>
      </c>
      <c r="DK59" s="366">
        <v>0</v>
      </c>
      <c r="DL59" s="111">
        <v>0</v>
      </c>
      <c r="DM59" s="125">
        <f t="shared" si="90"/>
        <v>0</v>
      </c>
      <c r="DN59" s="143">
        <v>0</v>
      </c>
      <c r="DO59" s="143">
        <v>0</v>
      </c>
      <c r="DP59" s="143">
        <v>0</v>
      </c>
      <c r="DQ59" s="143">
        <v>0</v>
      </c>
      <c r="DR59" s="142">
        <f t="shared" si="91"/>
        <v>0</v>
      </c>
      <c r="DS59" s="143">
        <v>0</v>
      </c>
      <c r="DT59" s="143">
        <v>0</v>
      </c>
      <c r="DU59" s="143">
        <v>0</v>
      </c>
      <c r="DV59" s="143">
        <v>0</v>
      </c>
      <c r="DW59" s="142">
        <f t="shared" si="92"/>
        <v>0</v>
      </c>
      <c r="DX59" s="143">
        <v>0</v>
      </c>
      <c r="DY59" s="143">
        <v>0</v>
      </c>
      <c r="DZ59" s="143">
        <v>0</v>
      </c>
      <c r="EA59" s="143">
        <v>0</v>
      </c>
      <c r="EB59" s="142">
        <f t="shared" si="93"/>
        <v>0</v>
      </c>
      <c r="EE59" s="125"/>
      <c r="EF59" s="125"/>
      <c r="EG59" s="125"/>
      <c r="EH59" s="125"/>
      <c r="EI59" s="125"/>
      <c r="EJ59" s="125"/>
      <c r="EK59" s="125"/>
      <c r="EL59" s="125"/>
      <c r="EM59" s="125"/>
      <c r="EN59" s="125"/>
      <c r="EO59" s="125"/>
      <c r="EP59" s="125"/>
      <c r="EQ59" s="125"/>
      <c r="ER59" s="125"/>
      <c r="FC59"/>
      <c r="FD59"/>
      <c r="FE59"/>
      <c r="FF59"/>
      <c r="FG59"/>
      <c r="FH59"/>
      <c r="FI59" s="396"/>
      <c r="FJ59" s="419"/>
      <c r="FK59" s="419"/>
      <c r="FL59" s="419"/>
      <c r="FM59" s="419"/>
      <c r="FN59" s="419"/>
      <c r="FO59" s="419"/>
      <c r="FP59" s="419"/>
      <c r="FQ59" s="419"/>
      <c r="FR59" s="419"/>
      <c r="FS59" s="419"/>
      <c r="FT59" s="419"/>
      <c r="FU59" s="419"/>
      <c r="FV59" s="419"/>
      <c r="FW59" s="419"/>
      <c r="FX59" s="419"/>
      <c r="FY59" s="419"/>
      <c r="FZ59" s="419"/>
      <c r="GA59" s="419"/>
      <c r="GB59" s="419"/>
      <c r="GC59" s="419"/>
      <c r="GD59" s="419"/>
      <c r="GE59" s="419"/>
      <c r="GF59" s="419"/>
      <c r="GG59" s="419"/>
      <c r="GH59" s="419"/>
      <c r="GI59" s="419"/>
      <c r="GJ59" s="419"/>
      <c r="GK59" s="419"/>
      <c r="GL59" s="419"/>
      <c r="GM59" s="419"/>
      <c r="GN59" s="419"/>
      <c r="GO59" s="419"/>
      <c r="GP59" s="419"/>
      <c r="GQ59" s="419"/>
      <c r="GR59" s="419"/>
      <c r="GS59" s="419"/>
      <c r="GT59" s="419"/>
      <c r="GU59" s="419"/>
      <c r="GV59" s="419"/>
      <c r="GW59" s="418"/>
      <c r="GX59" s="418"/>
      <c r="GY59" s="418"/>
      <c r="GZ59" s="418"/>
      <c r="HA59" s="418"/>
      <c r="HB59" s="418"/>
      <c r="HC59" s="418"/>
      <c r="HD59" s="418"/>
      <c r="HE59" s="418"/>
      <c r="HF59" s="418"/>
      <c r="HG59" s="418"/>
      <c r="HH59" s="418"/>
      <c r="HI59" s="418"/>
      <c r="HJ59" s="418"/>
      <c r="HK59" s="418"/>
      <c r="HL59" s="418"/>
      <c r="HM59" s="418"/>
      <c r="HN59" s="418"/>
      <c r="HO59" s="418"/>
      <c r="HP59" s="418"/>
      <c r="HQ59" s="418"/>
      <c r="HR59" s="418"/>
      <c r="HS59" s="418"/>
      <c r="HT59" s="418"/>
      <c r="HU59" s="418"/>
      <c r="HV59" s="418"/>
      <c r="HW59" s="418"/>
      <c r="HX59" s="418"/>
      <c r="HY59" s="418"/>
      <c r="HZ59" s="418"/>
      <c r="IA59" s="418"/>
      <c r="IB59" s="418"/>
      <c r="IC59" s="418"/>
      <c r="ID59" s="418"/>
      <c r="IE59" s="418"/>
      <c r="IF59" s="418"/>
      <c r="IG59" s="418"/>
      <c r="IH59" s="418"/>
      <c r="II59" s="418"/>
      <c r="IJ59" s="418"/>
      <c r="IK59" s="418"/>
      <c r="IL59" s="418"/>
      <c r="IM59" s="418"/>
      <c r="IN59" s="418"/>
      <c r="IO59" s="418"/>
      <c r="IP59" s="418"/>
      <c r="IQ59" s="418"/>
      <c r="IR59" s="418"/>
      <c r="IS59" s="418"/>
      <c r="IT59" s="418"/>
      <c r="IU59" s="418"/>
      <c r="IV59" s="418"/>
    </row>
    <row r="60" spans="1:256" s="1" customFormat="1" x14ac:dyDescent="0.2">
      <c r="A60" s="1" t="s">
        <v>432</v>
      </c>
      <c r="B60" s="125">
        <v>0</v>
      </c>
      <c r="C60" s="111">
        <v>19</v>
      </c>
      <c r="D60" s="111">
        <v>-29</v>
      </c>
      <c r="E60" s="111">
        <v>-9</v>
      </c>
      <c r="F60" s="111">
        <v>0</v>
      </c>
      <c r="G60" s="125">
        <v>19</v>
      </c>
      <c r="H60" s="111">
        <v>165.02</v>
      </c>
      <c r="I60" s="111">
        <v>0</v>
      </c>
      <c r="J60" s="111">
        <v>0</v>
      </c>
      <c r="K60" s="111">
        <v>-4.0449999999999999</v>
      </c>
      <c r="L60" s="125">
        <v>160.97</v>
      </c>
      <c r="M60" s="111">
        <v>0</v>
      </c>
      <c r="N60" s="111">
        <v>0</v>
      </c>
      <c r="O60" s="111">
        <v>0</v>
      </c>
      <c r="P60" s="111">
        <v>0</v>
      </c>
      <c r="Q60" s="125"/>
      <c r="R60" s="111"/>
      <c r="S60" s="111"/>
      <c r="T60" s="111"/>
      <c r="U60" s="111"/>
      <c r="V60" s="125"/>
      <c r="W60" s="111">
        <v>0</v>
      </c>
      <c r="X60" s="111">
        <v>0</v>
      </c>
      <c r="Y60" s="111">
        <v>0</v>
      </c>
      <c r="Z60" s="111">
        <v>0</v>
      </c>
      <c r="AA60" s="125">
        <f>SUM(W60:Z60)</f>
        <v>0</v>
      </c>
      <c r="AB60" s="111">
        <v>2.544</v>
      </c>
      <c r="AC60" s="111">
        <f>5.02-AB60</f>
        <v>2.4759999999999995</v>
      </c>
      <c r="AD60" s="111">
        <f>7.47-AB60-AC60</f>
        <v>2.4500000000000006</v>
      </c>
      <c r="AE60" s="111">
        <f>AF60-AD60-AC60-AB60</f>
        <v>2.7879999999999989</v>
      </c>
      <c r="AF60" s="125">
        <v>10.257999999999999</v>
      </c>
      <c r="AG60" s="111">
        <v>2.7730000000000001</v>
      </c>
      <c r="AH60" s="111">
        <f>5.976-AG60</f>
        <v>3.2029999999999998</v>
      </c>
      <c r="AI60" s="111">
        <f>9.244-AH60-AG60</f>
        <v>3.2680000000000002</v>
      </c>
      <c r="AJ60" s="111">
        <f>AK60-AI60-AH60-AG60</f>
        <v>50.394999999999996</v>
      </c>
      <c r="AK60" s="125">
        <v>59.639000000000003</v>
      </c>
      <c r="AL60" s="111">
        <v>3.6440000000000001</v>
      </c>
      <c r="AM60" s="111">
        <f>7.681-AL60</f>
        <v>4.0369999999999999</v>
      </c>
      <c r="AN60" s="111">
        <f>11.743-AM60-AL60</f>
        <v>4.0620000000000003</v>
      </c>
      <c r="AO60" s="111">
        <f>AP60-AN60-AM60-AL60</f>
        <v>95.72399999999999</v>
      </c>
      <c r="AP60" s="125">
        <v>107.467</v>
      </c>
      <c r="AQ60" s="111">
        <v>0</v>
      </c>
      <c r="AR60" s="111">
        <v>0</v>
      </c>
      <c r="AS60" s="111">
        <v>0</v>
      </c>
      <c r="AT60" s="111">
        <f>AU60-AS60-AR60-AQ60</f>
        <v>0</v>
      </c>
      <c r="AU60" s="125">
        <v>0</v>
      </c>
      <c r="AV60" s="111">
        <v>0</v>
      </c>
      <c r="AW60" s="111">
        <v>0</v>
      </c>
      <c r="AX60" s="111">
        <v>0</v>
      </c>
      <c r="AY60" s="111">
        <v>0</v>
      </c>
      <c r="AZ60" s="125">
        <v>137.59</v>
      </c>
      <c r="BA60" s="111">
        <v>91.423000000000002</v>
      </c>
      <c r="BB60" s="111">
        <f>121.534-BA60</f>
        <v>30.111000000000004</v>
      </c>
      <c r="BC60" s="111">
        <f>145.87-(SUM(BA60:BB60))</f>
        <v>24.335999999999999</v>
      </c>
      <c r="BD60" s="111">
        <f>BE60-BC60-BB60-BA60</f>
        <v>17.684999999999988</v>
      </c>
      <c r="BE60" s="125">
        <v>163.55500000000001</v>
      </c>
      <c r="BF60" s="111">
        <v>44.411999999999999</v>
      </c>
      <c r="BG60" s="111">
        <f>91.618-BF60</f>
        <v>47.205999999999996</v>
      </c>
      <c r="BH60" s="111">
        <f>131.824-BG60-BF60</f>
        <v>40.206000000000024</v>
      </c>
      <c r="BI60" s="111">
        <f t="shared" si="81"/>
        <v>27.42499999999999</v>
      </c>
      <c r="BJ60" s="125">
        <v>159.249</v>
      </c>
      <c r="BK60" s="111">
        <v>65.53</v>
      </c>
      <c r="BL60" s="111">
        <f>108.202-BK60</f>
        <v>42.671999999999997</v>
      </c>
      <c r="BM60" s="111">
        <f>136.603-BL60-BK60</f>
        <v>28.40100000000001</v>
      </c>
      <c r="BN60" s="111">
        <f t="shared" si="82"/>
        <v>40.334000000000003</v>
      </c>
      <c r="BO60" s="125">
        <v>176.93700000000001</v>
      </c>
      <c r="BP60" s="111">
        <v>21.6</v>
      </c>
      <c r="BQ60" s="111">
        <f>59.3-BP60</f>
        <v>37.699999999999996</v>
      </c>
      <c r="BR60" s="111">
        <f>88.9-BQ60-BP60</f>
        <v>29.600000000000009</v>
      </c>
      <c r="BS60" s="111">
        <f t="shared" si="83"/>
        <v>23.399999999999991</v>
      </c>
      <c r="BT60" s="125">
        <v>112.3</v>
      </c>
      <c r="BU60" s="111">
        <v>7.6</v>
      </c>
      <c r="BV60" s="111">
        <f>17.1-BU60</f>
        <v>9.5000000000000018</v>
      </c>
      <c r="BW60" s="111">
        <f>26.6-BV60-BU60</f>
        <v>9.5000000000000018</v>
      </c>
      <c r="BX60" s="111">
        <f t="shared" si="84"/>
        <v>30.699999999999996</v>
      </c>
      <c r="BY60" s="125">
        <v>57.3</v>
      </c>
      <c r="BZ60" s="111">
        <v>38.1</v>
      </c>
      <c r="CA60" s="111">
        <f>62.7-BZ60</f>
        <v>24.6</v>
      </c>
      <c r="CB60" s="111">
        <f>90.6-CA60-BZ60</f>
        <v>27.9</v>
      </c>
      <c r="CC60" s="111">
        <f t="shared" si="85"/>
        <v>37.300000000000004</v>
      </c>
      <c r="CD60" s="367">
        <v>127.9</v>
      </c>
      <c r="CE60" s="366">
        <v>62.3</v>
      </c>
      <c r="CF60" s="366">
        <f>126.4-CE60</f>
        <v>64.100000000000009</v>
      </c>
      <c r="CG60" s="366">
        <f>187.4-CF60-CE60</f>
        <v>61</v>
      </c>
      <c r="CH60" s="366">
        <f t="shared" si="86"/>
        <v>48</v>
      </c>
      <c r="CI60" s="367">
        <v>235.4</v>
      </c>
      <c r="CJ60" s="366">
        <v>93.7</v>
      </c>
      <c r="CK60" s="111">
        <f>123.8-CJ60</f>
        <v>30.099999999999994</v>
      </c>
      <c r="CL60" s="111">
        <f>155.2-SUM(CJ60:CK60)</f>
        <v>31.399999999999991</v>
      </c>
      <c r="CM60" s="111">
        <f t="shared" si="87"/>
        <v>81.399999999999991</v>
      </c>
      <c r="CN60" s="125">
        <v>236.6</v>
      </c>
      <c r="CO60" s="111">
        <f>98.3</f>
        <v>98.3</v>
      </c>
      <c r="CP60" s="111">
        <f>141-CO60</f>
        <v>42.7</v>
      </c>
      <c r="CQ60" s="366">
        <f>199.5-SUM(CO60:CP60)</f>
        <v>58.5</v>
      </c>
      <c r="CR60" s="366">
        <f t="shared" si="88"/>
        <v>47.699999999999989</v>
      </c>
      <c r="CS60" s="367">
        <v>247.2</v>
      </c>
      <c r="CT60" s="366">
        <v>61.6</v>
      </c>
      <c r="CU60" s="366">
        <f>89.5-CT60</f>
        <v>27.9</v>
      </c>
      <c r="CV60" s="495">
        <f>117.6-CU60-CT60</f>
        <v>28.099999999999987</v>
      </c>
      <c r="CW60" s="722">
        <f>CX60-CV60-CU60-CT60</f>
        <v>22.099999999999987</v>
      </c>
      <c r="CX60" s="723">
        <v>139.69999999999999</v>
      </c>
      <c r="CY60" s="366">
        <v>64.099999999999994</v>
      </c>
      <c r="CZ60" s="366">
        <f>111.1-CY60</f>
        <v>47</v>
      </c>
      <c r="DA60" s="366">
        <f>146.9-CZ60-CY60</f>
        <v>35.800000000000011</v>
      </c>
      <c r="DB60" s="815">
        <f>DC60-DA60-CZ60-CY60</f>
        <v>44.900000000000006</v>
      </c>
      <c r="DC60" s="367">
        <v>191.8</v>
      </c>
      <c r="DD60" s="111">
        <v>48.4</v>
      </c>
      <c r="DE60" s="366">
        <f>79.6-DD60</f>
        <v>31.199999999999996</v>
      </c>
      <c r="DF60" s="366">
        <f>120.9-DE60-DD60</f>
        <v>41.300000000000018</v>
      </c>
      <c r="DG60" s="815">
        <f>DH60-DF60-DE60-DD60</f>
        <v>39.79999999999999</v>
      </c>
      <c r="DH60" s="367">
        <v>160.69999999999999</v>
      </c>
      <c r="DI60" s="111">
        <v>51.2</v>
      </c>
      <c r="DJ60" s="111">
        <f>97.5-DI60</f>
        <v>46.3</v>
      </c>
      <c r="DK60" s="366">
        <f>131.5-SUM(DI60:DJ60)</f>
        <v>34</v>
      </c>
      <c r="DL60" s="111">
        <f>150.8-SUM(DI60:DK60)</f>
        <v>19.300000000000011</v>
      </c>
      <c r="DM60" s="125">
        <f t="shared" si="90"/>
        <v>150.80000000000001</v>
      </c>
      <c r="DN60" s="143">
        <f>(DN61+DN21+DN22+DN23)</f>
        <v>58</v>
      </c>
      <c r="DO60" s="143">
        <f>(DO61+DO21+DO22+DO23)</f>
        <v>48</v>
      </c>
      <c r="DP60" s="143">
        <f>(DP61+DP21+DP22+DP23)</f>
        <v>43</v>
      </c>
      <c r="DQ60" s="143">
        <f>(DQ61+DQ21+DQ22+DQ23)</f>
        <v>53</v>
      </c>
      <c r="DR60" s="142">
        <f t="shared" si="91"/>
        <v>202</v>
      </c>
      <c r="DS60" s="143">
        <f>(DS61+DS21+DS22+DS23)</f>
        <v>63</v>
      </c>
      <c r="DT60" s="143">
        <f>(DT61+DT21+DT22+DT23)</f>
        <v>53</v>
      </c>
      <c r="DU60" s="143">
        <f>(DU61+DU21+DU22+DU23)</f>
        <v>43</v>
      </c>
      <c r="DV60" s="143">
        <f>(DV61+DV21+DV22+DV23)</f>
        <v>58</v>
      </c>
      <c r="DW60" s="142">
        <f t="shared" si="92"/>
        <v>217</v>
      </c>
      <c r="DX60" s="143">
        <f>(DX61+DX21+DX22+DX23)</f>
        <v>65</v>
      </c>
      <c r="DY60" s="143">
        <f>(DY61+DY21+DY22+DY23)</f>
        <v>55</v>
      </c>
      <c r="DZ60" s="143">
        <f>(DZ61+DZ21+DZ22+DZ23)</f>
        <v>45</v>
      </c>
      <c r="EA60" s="143">
        <f>(EA61+EA21+EA22+EA23)</f>
        <v>61</v>
      </c>
      <c r="EB60" s="142">
        <f t="shared" si="93"/>
        <v>226</v>
      </c>
      <c r="EE60" s="125"/>
      <c r="EF60" s="125"/>
      <c r="EG60" s="125"/>
      <c r="EH60" s="125"/>
      <c r="EI60" s="125"/>
      <c r="EJ60" s="125"/>
      <c r="EK60" s="125"/>
      <c r="EL60" s="125"/>
      <c r="EM60" s="125"/>
      <c r="EN60" s="125"/>
      <c r="EO60" s="125"/>
      <c r="EP60" s="125"/>
      <c r="EQ60" s="125"/>
      <c r="ER60" s="125"/>
      <c r="FC60"/>
      <c r="FD60"/>
      <c r="FE60"/>
      <c r="FF60"/>
      <c r="FG60"/>
      <c r="FH60"/>
      <c r="FI60" s="396"/>
      <c r="FJ60" s="419"/>
      <c r="FK60" s="419"/>
      <c r="FL60" s="419"/>
      <c r="FM60" s="419"/>
      <c r="FN60" s="419"/>
      <c r="FO60" s="419"/>
      <c r="FP60" s="419"/>
      <c r="FQ60" s="419"/>
      <c r="FR60" s="419"/>
      <c r="FS60" s="419"/>
      <c r="FT60" s="419"/>
      <c r="FU60" s="419"/>
      <c r="FV60" s="419"/>
      <c r="FW60" s="419"/>
      <c r="FX60" s="419"/>
      <c r="FY60" s="419"/>
      <c r="FZ60" s="419"/>
      <c r="GA60" s="419"/>
      <c r="GB60" s="419"/>
      <c r="GC60" s="419"/>
      <c r="GD60" s="419"/>
      <c r="GE60" s="419"/>
      <c r="GF60" s="419"/>
      <c r="GG60" s="419"/>
      <c r="GH60" s="419"/>
      <c r="GI60" s="419"/>
      <c r="GJ60" s="419"/>
      <c r="GK60" s="419"/>
      <c r="GL60" s="419"/>
      <c r="GM60" s="419"/>
      <c r="GN60" s="419"/>
      <c r="GO60" s="419"/>
      <c r="GP60" s="419"/>
      <c r="GQ60" s="419"/>
      <c r="GR60" s="419"/>
      <c r="GS60" s="419"/>
      <c r="GT60" s="419"/>
      <c r="GU60" s="419"/>
      <c r="GV60" s="419"/>
      <c r="GW60" s="418"/>
      <c r="GX60" s="418"/>
      <c r="GY60" s="418"/>
      <c r="GZ60" s="418"/>
      <c r="HA60" s="418"/>
      <c r="HB60" s="418"/>
      <c r="HC60" s="418"/>
      <c r="HD60" s="418"/>
      <c r="HE60" s="418"/>
      <c r="HF60" s="418"/>
      <c r="HG60" s="418"/>
      <c r="HH60" s="418"/>
      <c r="HI60" s="418"/>
      <c r="HJ60" s="418"/>
      <c r="HK60" s="418"/>
      <c r="HL60" s="418"/>
      <c r="HM60" s="418"/>
      <c r="HN60" s="418"/>
      <c r="HO60" s="418"/>
      <c r="HP60" s="418"/>
      <c r="HQ60" s="418"/>
      <c r="HR60" s="418"/>
      <c r="HS60" s="418"/>
      <c r="HT60" s="418"/>
      <c r="HU60" s="418"/>
      <c r="HV60" s="418"/>
      <c r="HW60" s="418"/>
      <c r="HX60" s="418"/>
      <c r="HY60" s="418"/>
      <c r="HZ60" s="418"/>
      <c r="IA60" s="418"/>
      <c r="IB60" s="418"/>
      <c r="IC60" s="418"/>
      <c r="ID60" s="418"/>
      <c r="IE60" s="418"/>
      <c r="IF60" s="418"/>
      <c r="IG60" s="418"/>
      <c r="IH60" s="418"/>
      <c r="II60" s="418"/>
      <c r="IJ60" s="418"/>
      <c r="IK60" s="418"/>
      <c r="IL60" s="418"/>
      <c r="IM60" s="418"/>
      <c r="IN60" s="418"/>
      <c r="IO60" s="418"/>
      <c r="IP60" s="418"/>
      <c r="IQ60" s="418"/>
      <c r="IR60" s="418"/>
      <c r="IS60" s="418"/>
      <c r="IT60" s="418"/>
      <c r="IU60" s="418"/>
      <c r="IV60" s="418"/>
    </row>
    <row r="61" spans="1:256" s="1" customFormat="1" x14ac:dyDescent="0.2">
      <c r="A61" s="1" t="s">
        <v>431</v>
      </c>
      <c r="B61" s="125"/>
      <c r="C61" s="111"/>
      <c r="D61" s="111"/>
      <c r="E61" s="111"/>
      <c r="F61" s="111"/>
      <c r="G61" s="125"/>
      <c r="H61" s="111"/>
      <c r="I61" s="111"/>
      <c r="J61" s="111"/>
      <c r="K61" s="111"/>
      <c r="L61" s="125"/>
      <c r="M61" s="111"/>
      <c r="N61" s="111"/>
      <c r="O61" s="111"/>
      <c r="P61" s="111"/>
      <c r="Q61" s="125"/>
      <c r="R61" s="111"/>
      <c r="S61" s="111"/>
      <c r="T61" s="111"/>
      <c r="U61" s="111"/>
      <c r="V61" s="125"/>
      <c r="W61" s="111"/>
      <c r="X61" s="111"/>
      <c r="Y61" s="111"/>
      <c r="Z61" s="111"/>
      <c r="AA61" s="125"/>
      <c r="AB61" s="111"/>
      <c r="AC61" s="111"/>
      <c r="AD61" s="111"/>
      <c r="AE61" s="111"/>
      <c r="AF61" s="125"/>
      <c r="AG61" s="111"/>
      <c r="AH61" s="111"/>
      <c r="AI61" s="111"/>
      <c r="AJ61" s="111"/>
      <c r="AK61" s="125"/>
      <c r="AL61" s="111"/>
      <c r="AM61" s="111"/>
      <c r="AN61" s="111"/>
      <c r="AO61" s="111"/>
      <c r="AP61" s="125"/>
      <c r="AQ61" s="111"/>
      <c r="AR61" s="111"/>
      <c r="AS61" s="111"/>
      <c r="AT61" s="111"/>
      <c r="AU61" s="125"/>
      <c r="AV61" s="111"/>
      <c r="AW61" s="111"/>
      <c r="AX61" s="111"/>
      <c r="AY61" s="111"/>
      <c r="AZ61" s="125"/>
      <c r="BA61" s="111"/>
      <c r="BB61" s="111"/>
      <c r="BC61" s="111"/>
      <c r="BD61" s="111"/>
      <c r="BE61" s="125"/>
      <c r="BF61" s="111">
        <v>23.724</v>
      </c>
      <c r="BG61" s="111">
        <f>54.872-BF61</f>
        <v>31.148</v>
      </c>
      <c r="BH61" s="111">
        <f>93.327-BG61-BF61</f>
        <v>38.454999999999998</v>
      </c>
      <c r="BI61" s="111">
        <f t="shared" si="81"/>
        <v>24.041</v>
      </c>
      <c r="BJ61" s="125">
        <v>117.36799999999999</v>
      </c>
      <c r="BK61" s="111">
        <v>29.617999999999999</v>
      </c>
      <c r="BL61" s="111">
        <f>46.347-BK61</f>
        <v>16.729000000000003</v>
      </c>
      <c r="BM61" s="111">
        <f>52.034-BL61-BK61</f>
        <v>5.6869999999999941</v>
      </c>
      <c r="BN61" s="111">
        <f t="shared" si="82"/>
        <v>41.021000000000015</v>
      </c>
      <c r="BO61" s="125">
        <v>93.055000000000007</v>
      </c>
      <c r="BP61" s="111">
        <v>3</v>
      </c>
      <c r="BQ61" s="111">
        <f>7.7-BP61</f>
        <v>4.7</v>
      </c>
      <c r="BR61" s="111">
        <f>11.8-BQ61-BP61</f>
        <v>4.1000000000000005</v>
      </c>
      <c r="BS61" s="111">
        <f t="shared" si="83"/>
        <v>2.8999999999999977</v>
      </c>
      <c r="BT61" s="125">
        <v>14.7</v>
      </c>
      <c r="BU61" s="111">
        <v>5.6</v>
      </c>
      <c r="BV61" s="111">
        <f>5.9-BU61</f>
        <v>0.30000000000000071</v>
      </c>
      <c r="BW61" s="111">
        <f>6.7-BV61-BU61</f>
        <v>0.79999999999999982</v>
      </c>
      <c r="BX61" s="111">
        <f t="shared" si="84"/>
        <v>9.2000000000000011</v>
      </c>
      <c r="BY61" s="125">
        <v>15.9</v>
      </c>
      <c r="BZ61" s="111">
        <v>8.6</v>
      </c>
      <c r="CA61" s="111">
        <f>13.8-BZ61</f>
        <v>5.2000000000000011</v>
      </c>
      <c r="CB61" s="111">
        <f>20.7-CA61-BZ61</f>
        <v>6.8999999999999986</v>
      </c>
      <c r="CC61" s="111">
        <f t="shared" si="85"/>
        <v>16.199999999999996</v>
      </c>
      <c r="CD61" s="367">
        <v>36.9</v>
      </c>
      <c r="CE61" s="366">
        <v>36.6</v>
      </c>
      <c r="CF61" s="366">
        <f>67.6-CE61</f>
        <v>30.999999999999993</v>
      </c>
      <c r="CG61" s="366">
        <f>87.3-CF61-CE61</f>
        <v>19.700000000000003</v>
      </c>
      <c r="CH61" s="366">
        <f t="shared" si="86"/>
        <v>16.600000000000009</v>
      </c>
      <c r="CI61" s="367">
        <v>103.9</v>
      </c>
      <c r="CJ61" s="366">
        <f>76-53.7</f>
        <v>22.299999999999997</v>
      </c>
      <c r="CK61" s="111">
        <f>135.2-CJ61</f>
        <v>112.89999999999999</v>
      </c>
      <c r="CL61" s="111">
        <f>156.5-SUM(CJ61:CK61)</f>
        <v>21.300000000000011</v>
      </c>
      <c r="CM61" s="111">
        <f t="shared" si="87"/>
        <v>-45.199999999999989</v>
      </c>
      <c r="CN61" s="125">
        <f>169.8-58.5</f>
        <v>111.30000000000001</v>
      </c>
      <c r="CO61" s="111">
        <f>167.5-118.9</f>
        <v>48.599999999999994</v>
      </c>
      <c r="CP61" s="111">
        <f>193.2-CO61</f>
        <v>144.6</v>
      </c>
      <c r="CQ61" s="366">
        <f>229.2-SUM(CO61:CP61)</f>
        <v>36</v>
      </c>
      <c r="CR61" s="366">
        <f t="shared" si="88"/>
        <v>28.900000000000034</v>
      </c>
      <c r="CS61" s="367">
        <v>258.10000000000002</v>
      </c>
      <c r="CT61" s="366">
        <f>72.6-74.4</f>
        <v>-1.8000000000000114</v>
      </c>
      <c r="CU61" s="366">
        <f>87.3-CT61</f>
        <v>89.100000000000009</v>
      </c>
      <c r="CV61" s="495">
        <f>101.6-CU61-CT61</f>
        <v>14.299999999999997</v>
      </c>
      <c r="CW61" s="722">
        <f>CX61-CV61-CU61-CT61</f>
        <v>12.800000000000011</v>
      </c>
      <c r="CX61" s="723">
        <v>114.4</v>
      </c>
      <c r="CY61" s="366">
        <v>53.3</v>
      </c>
      <c r="CZ61" s="366">
        <f>78-CY61</f>
        <v>24.700000000000003</v>
      </c>
      <c r="DA61" s="366">
        <f>97.9-CZ61-CY61</f>
        <v>19.900000000000006</v>
      </c>
      <c r="DB61" s="815">
        <f>DC61-DA61-CZ61-CY61</f>
        <v>34.5</v>
      </c>
      <c r="DC61" s="367">
        <v>132.4</v>
      </c>
      <c r="DD61" s="111">
        <v>67.2</v>
      </c>
      <c r="DE61" s="366">
        <f>89.3-DD61</f>
        <v>22.099999999999994</v>
      </c>
      <c r="DF61" s="366">
        <f>110.9-DE61-DD61</f>
        <v>21.600000000000009</v>
      </c>
      <c r="DG61" s="815">
        <f>DH61-DF61-DE61-DD61</f>
        <v>11.899999999999991</v>
      </c>
      <c r="DH61" s="367">
        <v>122.8</v>
      </c>
      <c r="DI61" s="111">
        <v>34.1</v>
      </c>
      <c r="DJ61" s="111">
        <f>52.7-DI61</f>
        <v>18.600000000000001</v>
      </c>
      <c r="DK61" s="366">
        <f>69.4-SUM(DI61:DJ61)</f>
        <v>16.700000000000003</v>
      </c>
      <c r="DL61" s="111">
        <f>77.5-SUM(DI61:DK61)</f>
        <v>8.0999999999999943</v>
      </c>
      <c r="DM61" s="125">
        <f t="shared" si="90"/>
        <v>77.5</v>
      </c>
      <c r="DN61" s="143">
        <v>0</v>
      </c>
      <c r="DO61" s="143">
        <v>0</v>
      </c>
      <c r="DP61" s="143">
        <v>0</v>
      </c>
      <c r="DQ61" s="143">
        <v>0</v>
      </c>
      <c r="DR61" s="142">
        <f t="shared" si="91"/>
        <v>0</v>
      </c>
      <c r="DS61" s="143">
        <v>0</v>
      </c>
      <c r="DT61" s="143">
        <v>0</v>
      </c>
      <c r="DU61" s="143">
        <v>0</v>
      </c>
      <c r="DV61" s="143">
        <v>0</v>
      </c>
      <c r="DW61" s="142">
        <f t="shared" si="92"/>
        <v>0</v>
      </c>
      <c r="DX61" s="143">
        <v>0</v>
      </c>
      <c r="DY61" s="143">
        <v>0</v>
      </c>
      <c r="DZ61" s="143">
        <v>0</v>
      </c>
      <c r="EA61" s="143">
        <v>0</v>
      </c>
      <c r="EB61" s="142">
        <f t="shared" si="93"/>
        <v>0</v>
      </c>
      <c r="EE61" s="125"/>
      <c r="EF61" s="125"/>
      <c r="EG61" s="125"/>
      <c r="EH61" s="125"/>
      <c r="EI61" s="125"/>
      <c r="EJ61" s="125"/>
      <c r="EK61" s="125"/>
      <c r="EL61" s="125"/>
      <c r="EM61" s="125"/>
      <c r="EN61" s="125"/>
      <c r="EO61" s="125"/>
      <c r="EP61" s="125"/>
      <c r="EQ61" s="125"/>
      <c r="ER61" s="125"/>
      <c r="ES61" s="75"/>
      <c r="ET61" s="75"/>
      <c r="EU61" s="75"/>
      <c r="EV61" s="75"/>
      <c r="EW61" s="75"/>
      <c r="EX61" s="75"/>
      <c r="FC61"/>
      <c r="FD61"/>
      <c r="FE61"/>
      <c r="FF61"/>
      <c r="FG61"/>
      <c r="FH61"/>
      <c r="FI61" s="396"/>
      <c r="FJ61" s="419"/>
      <c r="FK61" s="419"/>
      <c r="FL61" s="419"/>
      <c r="FM61" s="419"/>
      <c r="FN61" s="419"/>
      <c r="FO61" s="419"/>
      <c r="FP61" s="419"/>
      <c r="FQ61" s="419"/>
      <c r="FR61" s="419"/>
      <c r="FS61" s="419"/>
      <c r="FT61" s="419"/>
      <c r="FU61" s="419"/>
      <c r="FV61" s="419"/>
      <c r="FW61" s="419"/>
      <c r="FX61" s="419"/>
      <c r="FY61" s="419"/>
      <c r="FZ61" s="419"/>
      <c r="GA61" s="419"/>
      <c r="GB61" s="419"/>
      <c r="GC61" s="419"/>
      <c r="GD61" s="419"/>
      <c r="GE61" s="419"/>
      <c r="GF61" s="419"/>
      <c r="GG61" s="419"/>
      <c r="GH61" s="419"/>
      <c r="GI61" s="419"/>
      <c r="GJ61" s="419"/>
      <c r="GK61" s="419"/>
      <c r="GL61" s="419"/>
      <c r="GM61" s="419"/>
      <c r="GN61" s="419"/>
      <c r="GO61" s="419"/>
      <c r="GP61" s="419"/>
      <c r="GQ61" s="419"/>
      <c r="GR61" s="419"/>
      <c r="GS61" s="419"/>
      <c r="GT61" s="419"/>
      <c r="GU61" s="419"/>
      <c r="GV61" s="419"/>
      <c r="GW61" s="418"/>
      <c r="GX61" s="418"/>
      <c r="GY61" s="418"/>
      <c r="GZ61" s="418"/>
      <c r="HA61" s="418"/>
      <c r="HB61" s="418"/>
      <c r="HC61" s="418"/>
      <c r="HD61" s="418"/>
      <c r="HE61" s="418"/>
      <c r="HF61" s="418"/>
      <c r="HG61" s="418"/>
      <c r="HH61" s="418"/>
      <c r="HI61" s="418"/>
      <c r="HJ61" s="418"/>
      <c r="HK61" s="418"/>
      <c r="HL61" s="418"/>
      <c r="HM61" s="418"/>
      <c r="HN61" s="418"/>
      <c r="HO61" s="418"/>
      <c r="HP61" s="418"/>
      <c r="HQ61" s="418"/>
      <c r="HR61" s="418"/>
      <c r="HS61" s="418"/>
      <c r="HT61" s="418"/>
      <c r="HU61" s="418"/>
      <c r="HV61" s="418"/>
      <c r="HW61" s="418"/>
      <c r="HX61" s="418"/>
      <c r="HY61" s="418"/>
      <c r="HZ61" s="418"/>
      <c r="IA61" s="418"/>
      <c r="IB61" s="418"/>
      <c r="IC61" s="418"/>
      <c r="ID61" s="418"/>
      <c r="IE61" s="418"/>
      <c r="IF61" s="418"/>
      <c r="IG61" s="418"/>
      <c r="IH61" s="418"/>
      <c r="II61" s="418"/>
      <c r="IJ61" s="418"/>
      <c r="IK61" s="418"/>
      <c r="IL61" s="418"/>
      <c r="IM61" s="418"/>
      <c r="IN61" s="418"/>
      <c r="IO61" s="418"/>
      <c r="IP61" s="418"/>
      <c r="IQ61" s="418"/>
      <c r="IR61" s="418"/>
      <c r="IS61" s="418"/>
      <c r="IT61" s="418"/>
      <c r="IU61" s="418"/>
      <c r="IV61" s="418"/>
    </row>
    <row r="62" spans="1:256" s="1" customFormat="1" x14ac:dyDescent="0.2">
      <c r="A62" s="1" t="s">
        <v>430</v>
      </c>
      <c r="B62" s="125"/>
      <c r="C62" s="111"/>
      <c r="D62" s="111"/>
      <c r="E62" s="111"/>
      <c r="F62" s="111"/>
      <c r="G62" s="125"/>
      <c r="H62" s="111"/>
      <c r="I62" s="111"/>
      <c r="J62" s="111"/>
      <c r="K62" s="111"/>
      <c r="L62" s="125"/>
      <c r="M62" s="111"/>
      <c r="N62" s="111"/>
      <c r="O62" s="111"/>
      <c r="P62" s="111"/>
      <c r="Q62" s="125"/>
      <c r="R62" s="111"/>
      <c r="S62" s="111"/>
      <c r="T62" s="111"/>
      <c r="U62" s="111"/>
      <c r="V62" s="125"/>
      <c r="W62" s="111"/>
      <c r="X62" s="111"/>
      <c r="Y62" s="111"/>
      <c r="Z62" s="111"/>
      <c r="AA62" s="125"/>
      <c r="AB62" s="111"/>
      <c r="AC62" s="111"/>
      <c r="AD62" s="111"/>
      <c r="AE62" s="111"/>
      <c r="AF62" s="125"/>
      <c r="AG62" s="111"/>
      <c r="AH62" s="111"/>
      <c r="AI62" s="111"/>
      <c r="AJ62" s="111"/>
      <c r="AK62" s="125"/>
      <c r="AL62" s="111"/>
      <c r="AM62" s="111"/>
      <c r="AN62" s="111"/>
      <c r="AO62" s="111"/>
      <c r="AP62" s="125"/>
      <c r="AQ62" s="111"/>
      <c r="AR62" s="111"/>
      <c r="AS62" s="111"/>
      <c r="AT62" s="111"/>
      <c r="AU62" s="125"/>
      <c r="AV62" s="111"/>
      <c r="AW62" s="111"/>
      <c r="AX62" s="111"/>
      <c r="AY62" s="111"/>
      <c r="AZ62" s="125"/>
      <c r="BA62" s="111"/>
      <c r="BB62" s="111"/>
      <c r="BC62" s="111"/>
      <c r="BD62" s="111"/>
      <c r="BE62" s="125"/>
      <c r="BF62" s="111">
        <v>-172</v>
      </c>
      <c r="BG62" s="111">
        <f>-182-BF62</f>
        <v>-10</v>
      </c>
      <c r="BH62" s="111">
        <f>-77-BG62-BF62</f>
        <v>105</v>
      </c>
      <c r="BI62" s="111">
        <f t="shared" si="81"/>
        <v>500</v>
      </c>
      <c r="BJ62" s="125">
        <v>423</v>
      </c>
      <c r="BK62" s="111">
        <v>-335</v>
      </c>
      <c r="BL62" s="111">
        <f>147-BK62</f>
        <v>482</v>
      </c>
      <c r="BM62" s="111">
        <f>-1370+670-BL62-BK62</f>
        <v>-847</v>
      </c>
      <c r="BN62" s="111">
        <f t="shared" si="82"/>
        <v>0</v>
      </c>
      <c r="BO62" s="125">
        <f>-1470+770</f>
        <v>-700</v>
      </c>
      <c r="BP62" s="111">
        <v>0</v>
      </c>
      <c r="BQ62" s="111">
        <v>0</v>
      </c>
      <c r="BR62" s="111">
        <v>0</v>
      </c>
      <c r="BS62" s="111">
        <f t="shared" si="83"/>
        <v>0</v>
      </c>
      <c r="BT62" s="125">
        <v>0</v>
      </c>
      <c r="BU62" s="111">
        <v>-512</v>
      </c>
      <c r="BV62" s="111">
        <f>-1113-BU62</f>
        <v>-601</v>
      </c>
      <c r="BW62" s="111">
        <f>-1613-BV62-BU62</f>
        <v>-500</v>
      </c>
      <c r="BX62" s="111">
        <f t="shared" si="84"/>
        <v>-25</v>
      </c>
      <c r="BY62" s="125">
        <v>-1638</v>
      </c>
      <c r="BZ62" s="111">
        <v>0</v>
      </c>
      <c r="CA62" s="111">
        <v>0</v>
      </c>
      <c r="CB62" s="111">
        <v>0</v>
      </c>
      <c r="CC62" s="111">
        <f t="shared" si="85"/>
        <v>0</v>
      </c>
      <c r="CD62" s="392">
        <v>0</v>
      </c>
      <c r="CE62" s="331">
        <v>0</v>
      </c>
      <c r="CF62" s="331">
        <v>0</v>
      </c>
      <c r="CG62" s="331">
        <v>0</v>
      </c>
      <c r="CH62" s="331">
        <f t="shared" si="86"/>
        <v>0</v>
      </c>
      <c r="CI62" s="392">
        <v>0</v>
      </c>
      <c r="CJ62" s="331">
        <v>0</v>
      </c>
      <c r="CK62" s="366">
        <v>0</v>
      </c>
      <c r="CL62" s="366">
        <v>0</v>
      </c>
      <c r="CM62" s="366">
        <f t="shared" si="87"/>
        <v>0</v>
      </c>
      <c r="CN62" s="367">
        <v>0</v>
      </c>
      <c r="CO62" s="366">
        <v>0</v>
      </c>
      <c r="CP62" s="366">
        <v>0</v>
      </c>
      <c r="CQ62" s="366">
        <v>0</v>
      </c>
      <c r="CR62" s="366">
        <f t="shared" si="88"/>
        <v>0</v>
      </c>
      <c r="CS62" s="367">
        <v>0</v>
      </c>
      <c r="CT62" s="366">
        <v>0</v>
      </c>
      <c r="CU62" s="366">
        <v>0</v>
      </c>
      <c r="CV62" s="495">
        <v>0</v>
      </c>
      <c r="CW62" s="722">
        <v>0</v>
      </c>
      <c r="CX62" s="723">
        <v>0</v>
      </c>
      <c r="CY62" s="366">
        <v>0</v>
      </c>
      <c r="CZ62" s="366">
        <v>0</v>
      </c>
      <c r="DA62" s="366">
        <v>0</v>
      </c>
      <c r="DB62" s="815">
        <v>0</v>
      </c>
      <c r="DC62" s="367">
        <f t="shared" si="89"/>
        <v>0</v>
      </c>
      <c r="DD62" s="772">
        <v>0</v>
      </c>
      <c r="DE62" s="366">
        <f>0-DD62</f>
        <v>0</v>
      </c>
      <c r="DF62" s="366">
        <v>0</v>
      </c>
      <c r="DG62" s="815">
        <v>0</v>
      </c>
      <c r="DH62" s="367">
        <v>0</v>
      </c>
      <c r="DI62" s="772">
        <v>0</v>
      </c>
      <c r="DJ62" s="772">
        <v>0</v>
      </c>
      <c r="DK62" s="366">
        <v>0</v>
      </c>
      <c r="DL62" s="111">
        <v>0</v>
      </c>
      <c r="DM62" s="125">
        <f t="shared" si="90"/>
        <v>0</v>
      </c>
      <c r="DN62" s="143">
        <v>0</v>
      </c>
      <c r="DO62" s="143">
        <v>0</v>
      </c>
      <c r="DP62" s="143">
        <v>0</v>
      </c>
      <c r="DQ62" s="143">
        <v>0</v>
      </c>
      <c r="DR62" s="142">
        <f t="shared" si="91"/>
        <v>0</v>
      </c>
      <c r="DS62" s="143">
        <v>0</v>
      </c>
      <c r="DT62" s="143">
        <v>0</v>
      </c>
      <c r="DU62" s="143">
        <v>0</v>
      </c>
      <c r="DV62" s="143">
        <v>0</v>
      </c>
      <c r="DW62" s="142">
        <f t="shared" si="92"/>
        <v>0</v>
      </c>
      <c r="DX62" s="143">
        <v>0</v>
      </c>
      <c r="DY62" s="143">
        <v>0</v>
      </c>
      <c r="DZ62" s="143">
        <v>0</v>
      </c>
      <c r="EA62" s="143">
        <v>0</v>
      </c>
      <c r="EB62" s="142">
        <f t="shared" si="93"/>
        <v>0</v>
      </c>
      <c r="EE62" s="125"/>
      <c r="EF62" s="125"/>
      <c r="EG62" s="125"/>
      <c r="EH62" s="125"/>
      <c r="EI62" s="125"/>
      <c r="EJ62" s="125"/>
      <c r="EK62" s="125"/>
      <c r="EL62" s="125"/>
      <c r="EM62" s="125"/>
      <c r="EN62" s="125"/>
      <c r="EO62" s="125"/>
      <c r="EP62" s="125"/>
      <c r="EQ62" s="125"/>
      <c r="ER62" s="125"/>
      <c r="ES62" s="75"/>
      <c r="ET62" s="75"/>
      <c r="EU62" s="75"/>
      <c r="EV62" s="75"/>
      <c r="EW62" s="75"/>
      <c r="EX62" s="75"/>
      <c r="FC62"/>
      <c r="FD62"/>
      <c r="FE62"/>
      <c r="FF62"/>
      <c r="FG62"/>
      <c r="FH62"/>
      <c r="FI62" s="396"/>
      <c r="FJ62" s="419"/>
      <c r="FK62" s="419"/>
      <c r="FL62" s="419"/>
      <c r="FM62" s="419"/>
      <c r="FN62" s="419"/>
      <c r="FO62" s="419"/>
      <c r="FP62" s="419"/>
      <c r="FQ62" s="419"/>
      <c r="FR62" s="419"/>
      <c r="FS62" s="419"/>
      <c r="FT62" s="419"/>
      <c r="FU62" s="419"/>
      <c r="FV62" s="419"/>
      <c r="FW62" s="419"/>
      <c r="FX62" s="419"/>
      <c r="FY62" s="419"/>
      <c r="FZ62" s="419"/>
      <c r="GA62" s="419"/>
      <c r="GB62" s="419"/>
      <c r="GC62" s="419"/>
      <c r="GD62" s="419"/>
      <c r="GE62" s="419"/>
      <c r="GF62" s="419"/>
      <c r="GG62" s="419"/>
      <c r="GH62" s="419"/>
      <c r="GI62" s="419"/>
      <c r="GJ62" s="419"/>
      <c r="GK62" s="419"/>
      <c r="GL62" s="419"/>
      <c r="GM62" s="419"/>
      <c r="GN62" s="419"/>
      <c r="GO62" s="419"/>
      <c r="GP62" s="419"/>
      <c r="GQ62" s="419"/>
      <c r="GR62" s="419"/>
      <c r="GS62" s="419"/>
      <c r="GT62" s="419"/>
      <c r="GU62" s="419"/>
      <c r="GV62" s="419"/>
      <c r="GW62" s="418"/>
      <c r="GX62" s="418"/>
      <c r="GY62" s="418"/>
      <c r="GZ62" s="418"/>
      <c r="HA62" s="418"/>
      <c r="HB62" s="418"/>
      <c r="HC62" s="418"/>
      <c r="HD62" s="418"/>
      <c r="HE62" s="418"/>
      <c r="HF62" s="418"/>
      <c r="HG62" s="418"/>
      <c r="HH62" s="418"/>
      <c r="HI62" s="418"/>
      <c r="HJ62" s="418"/>
      <c r="HK62" s="418"/>
      <c r="HL62" s="418"/>
      <c r="HM62" s="418"/>
      <c r="HN62" s="418"/>
      <c r="HO62" s="418"/>
      <c r="HP62" s="418"/>
      <c r="HQ62" s="418"/>
      <c r="HR62" s="418"/>
      <c r="HS62" s="418"/>
      <c r="HT62" s="418"/>
      <c r="HU62" s="418"/>
      <c r="HV62" s="418"/>
      <c r="HW62" s="418"/>
      <c r="HX62" s="418"/>
      <c r="HY62" s="418"/>
      <c r="HZ62" s="418"/>
      <c r="IA62" s="418"/>
      <c r="IB62" s="418"/>
      <c r="IC62" s="418"/>
      <c r="ID62" s="418"/>
      <c r="IE62" s="418"/>
      <c r="IF62" s="418"/>
      <c r="IG62" s="418"/>
      <c r="IH62" s="418"/>
      <c r="II62" s="418"/>
      <c r="IJ62" s="418"/>
      <c r="IK62" s="418"/>
      <c r="IL62" s="418"/>
      <c r="IM62" s="418"/>
      <c r="IN62" s="418"/>
      <c r="IO62" s="418"/>
      <c r="IP62" s="418"/>
      <c r="IQ62" s="418"/>
      <c r="IR62" s="418"/>
      <c r="IS62" s="418"/>
      <c r="IT62" s="418"/>
      <c r="IU62" s="418"/>
      <c r="IV62" s="418"/>
    </row>
    <row r="63" spans="1:256" s="1" customFormat="1" x14ac:dyDescent="0.2">
      <c r="A63" s="1" t="s">
        <v>429</v>
      </c>
      <c r="B63" s="125">
        <v>0</v>
      </c>
      <c r="C63" s="111">
        <v>-19</v>
      </c>
      <c r="D63" s="111">
        <v>29</v>
      </c>
      <c r="E63" s="111">
        <v>9</v>
      </c>
      <c r="F63" s="111">
        <v>0</v>
      </c>
      <c r="G63" s="125">
        <v>19</v>
      </c>
      <c r="H63" s="111">
        <v>0</v>
      </c>
      <c r="I63" s="111">
        <v>0</v>
      </c>
      <c r="J63" s="111">
        <v>0</v>
      </c>
      <c r="K63" s="111">
        <v>0</v>
      </c>
      <c r="L63" s="125">
        <v>0</v>
      </c>
      <c r="M63" s="111">
        <v>0</v>
      </c>
      <c r="N63" s="111">
        <v>0</v>
      </c>
      <c r="O63" s="111">
        <v>0</v>
      </c>
      <c r="P63" s="111">
        <f>-1.566-SUM(M63:O63)</f>
        <v>-1.5660000000000001</v>
      </c>
      <c r="Q63" s="125">
        <v>-1.5660000000000001</v>
      </c>
      <c r="R63" s="111"/>
      <c r="S63" s="111"/>
      <c r="T63" s="111"/>
      <c r="U63" s="111"/>
      <c r="V63" s="125"/>
      <c r="W63" s="111">
        <v>0</v>
      </c>
      <c r="X63" s="111">
        <v>0</v>
      </c>
      <c r="Y63" s="111">
        <v>0</v>
      </c>
      <c r="Z63" s="111">
        <v>0</v>
      </c>
      <c r="AA63" s="125">
        <f>SUM(W63:Z63)</f>
        <v>0</v>
      </c>
      <c r="AB63" s="111">
        <v>4.1440000000000001</v>
      </c>
      <c r="AC63" s="111">
        <f>32.853-AB63</f>
        <v>28.709000000000003</v>
      </c>
      <c r="AD63" s="111">
        <f>38.211-AC63-AB63</f>
        <v>5.3579999999999952</v>
      </c>
      <c r="AE63" s="111">
        <f>AF63-AD63-AC63-AB63</f>
        <v>20.252000000000002</v>
      </c>
      <c r="AF63" s="125">
        <v>58.463000000000001</v>
      </c>
      <c r="AG63" s="111">
        <v>15.494</v>
      </c>
      <c r="AH63" s="111">
        <f>36.455-AG63</f>
        <v>20.960999999999999</v>
      </c>
      <c r="AI63" s="111">
        <f>44.154-AH63-AG63</f>
        <v>7.6990000000000052</v>
      </c>
      <c r="AJ63" s="111">
        <f>AK63-AI63-AH63-AG63</f>
        <v>-44.154000000000003</v>
      </c>
      <c r="AK63" s="125">
        <v>0</v>
      </c>
      <c r="AL63" s="111">
        <v>19.007999999999999</v>
      </c>
      <c r="AM63" s="111">
        <f>52.534-AL63</f>
        <v>33.525999999999996</v>
      </c>
      <c r="AN63" s="111">
        <f>88.368-AM63-AL63</f>
        <v>35.834000000000003</v>
      </c>
      <c r="AO63" s="111">
        <f>AP63-AN63-AM63-AL63</f>
        <v>-88.367999999999995</v>
      </c>
      <c r="AP63" s="125">
        <v>0</v>
      </c>
      <c r="AQ63" s="111">
        <v>11.8</v>
      </c>
      <c r="AR63" s="111">
        <f>52.138-AQ63</f>
        <v>40.337999999999994</v>
      </c>
      <c r="AS63" s="111">
        <f>72.298-AR63-AQ63</f>
        <v>20.160000000000007</v>
      </c>
      <c r="AT63" s="111">
        <f>107.2-AS63-AR63-AQ63</f>
        <v>34.902000000000001</v>
      </c>
      <c r="AU63" s="125">
        <v>107.18300000000001</v>
      </c>
      <c r="AV63" s="111">
        <v>30.7</v>
      </c>
      <c r="AW63" s="111">
        <f>73.118-AV63</f>
        <v>42.417999999999992</v>
      </c>
      <c r="AX63" s="111">
        <f>103.345-AV63-AW63</f>
        <v>30.227000000000004</v>
      </c>
      <c r="AY63" s="111">
        <f>AZ63-AX63-AW63-AV63</f>
        <v>-103.345</v>
      </c>
      <c r="AZ63" s="125">
        <v>0</v>
      </c>
      <c r="BA63" s="111"/>
      <c r="BB63" s="111"/>
      <c r="BC63" s="111">
        <v>0</v>
      </c>
      <c r="BD63" s="111">
        <f>BE63-BC63-BB63-BA63</f>
        <v>0</v>
      </c>
      <c r="BE63" s="125">
        <v>0</v>
      </c>
      <c r="BF63" s="111"/>
      <c r="BG63" s="111">
        <v>0</v>
      </c>
      <c r="BH63" s="111">
        <f>BG63</f>
        <v>0</v>
      </c>
      <c r="BI63" s="111">
        <f t="shared" si="81"/>
        <v>0</v>
      </c>
      <c r="BJ63" s="125">
        <v>0</v>
      </c>
      <c r="BK63" s="111">
        <v>0</v>
      </c>
      <c r="BL63" s="111">
        <v>0</v>
      </c>
      <c r="BM63" s="111">
        <v>0</v>
      </c>
      <c r="BN63" s="111">
        <v>0</v>
      </c>
      <c r="BO63" s="125">
        <v>0</v>
      </c>
      <c r="BP63" s="111">
        <v>0</v>
      </c>
      <c r="BQ63" s="111">
        <v>0</v>
      </c>
      <c r="BR63" s="111">
        <v>0</v>
      </c>
      <c r="BS63" s="111">
        <f t="shared" si="83"/>
        <v>0</v>
      </c>
      <c r="BT63" s="125">
        <v>0</v>
      </c>
      <c r="BU63" s="111">
        <v>0</v>
      </c>
      <c r="BV63" s="111">
        <v>0</v>
      </c>
      <c r="BW63" s="111">
        <v>0</v>
      </c>
      <c r="BX63" s="111">
        <f t="shared" si="84"/>
        <v>0</v>
      </c>
      <c r="BY63" s="125">
        <v>0</v>
      </c>
      <c r="BZ63" s="111">
        <v>0</v>
      </c>
      <c r="CA63" s="111">
        <v>0</v>
      </c>
      <c r="CB63" s="111">
        <f>CA63</f>
        <v>0</v>
      </c>
      <c r="CC63" s="111">
        <f t="shared" si="85"/>
        <v>0</v>
      </c>
      <c r="CD63" s="392">
        <v>0</v>
      </c>
      <c r="CE63" s="331">
        <v>0</v>
      </c>
      <c r="CF63" s="331">
        <v>0</v>
      </c>
      <c r="CG63" s="331">
        <v>0</v>
      </c>
      <c r="CH63" s="331">
        <f t="shared" si="86"/>
        <v>0</v>
      </c>
      <c r="CI63" s="392">
        <v>0</v>
      </c>
      <c r="CJ63" s="331">
        <v>0</v>
      </c>
      <c r="CK63" s="366">
        <v>0</v>
      </c>
      <c r="CL63" s="366">
        <v>0</v>
      </c>
      <c r="CM63" s="366">
        <f t="shared" si="87"/>
        <v>0</v>
      </c>
      <c r="CN63" s="367">
        <v>0</v>
      </c>
      <c r="CO63" s="366">
        <v>0</v>
      </c>
      <c r="CP63" s="366">
        <v>0</v>
      </c>
      <c r="CQ63" s="366">
        <v>0</v>
      </c>
      <c r="CR63" s="366">
        <f t="shared" si="88"/>
        <v>0</v>
      </c>
      <c r="CS63" s="367">
        <v>0</v>
      </c>
      <c r="CT63" s="366">
        <v>0</v>
      </c>
      <c r="CU63" s="366">
        <f>CT63</f>
        <v>0</v>
      </c>
      <c r="CV63" s="495">
        <f>CU63</f>
        <v>0</v>
      </c>
      <c r="CW63" s="722">
        <f>CV63</f>
        <v>0</v>
      </c>
      <c r="CX63" s="723">
        <f>SUM(CT63:CW63)</f>
        <v>0</v>
      </c>
      <c r="CY63" s="366">
        <v>0</v>
      </c>
      <c r="CZ63" s="366">
        <v>0</v>
      </c>
      <c r="DA63" s="366">
        <f>CZ63</f>
        <v>0</v>
      </c>
      <c r="DB63" s="815">
        <f>DA63</f>
        <v>0</v>
      </c>
      <c r="DC63" s="367">
        <f t="shared" si="89"/>
        <v>0</v>
      </c>
      <c r="DD63" s="772">
        <v>0</v>
      </c>
      <c r="DE63" s="366">
        <f t="shared" ref="DE63:DE65" si="95">0-DD63</f>
        <v>0</v>
      </c>
      <c r="DF63" s="366">
        <v>0</v>
      </c>
      <c r="DG63" s="815">
        <f>DF63</f>
        <v>0</v>
      </c>
      <c r="DH63" s="367">
        <v>0</v>
      </c>
      <c r="DI63" s="772">
        <v>0</v>
      </c>
      <c r="DJ63" s="772">
        <v>0</v>
      </c>
      <c r="DK63" s="366">
        <f>DJ63</f>
        <v>0</v>
      </c>
      <c r="DL63" s="111">
        <f>DK63</f>
        <v>0</v>
      </c>
      <c r="DM63" s="125">
        <f t="shared" si="90"/>
        <v>0</v>
      </c>
      <c r="DN63" s="143">
        <v>0</v>
      </c>
      <c r="DO63" s="143">
        <f>DN63</f>
        <v>0</v>
      </c>
      <c r="DP63" s="143">
        <f>DO63</f>
        <v>0</v>
      </c>
      <c r="DQ63" s="143">
        <f>DP63</f>
        <v>0</v>
      </c>
      <c r="DR63" s="142">
        <f t="shared" si="91"/>
        <v>0</v>
      </c>
      <c r="DS63" s="143">
        <v>0</v>
      </c>
      <c r="DT63" s="143">
        <f>DS63</f>
        <v>0</v>
      </c>
      <c r="DU63" s="143">
        <f>DT63</f>
        <v>0</v>
      </c>
      <c r="DV63" s="143">
        <f>DU63</f>
        <v>0</v>
      </c>
      <c r="DW63" s="142">
        <f t="shared" si="92"/>
        <v>0</v>
      </c>
      <c r="DX63" s="143">
        <v>0</v>
      </c>
      <c r="DY63" s="143">
        <f>DX63</f>
        <v>0</v>
      </c>
      <c r="DZ63" s="143">
        <f>DY63</f>
        <v>0</v>
      </c>
      <c r="EA63" s="143">
        <f>DZ63</f>
        <v>0</v>
      </c>
      <c r="EB63" s="142">
        <f t="shared" si="93"/>
        <v>0</v>
      </c>
      <c r="EE63" s="125"/>
      <c r="EF63" s="125">
        <f>BL63+BM63+BN63+BP63</f>
        <v>0</v>
      </c>
      <c r="EG63" s="125">
        <f>BQ63+BR63+BS63+BU63</f>
        <v>0</v>
      </c>
      <c r="EH63" s="125"/>
      <c r="EI63" s="125"/>
      <c r="EJ63" s="125"/>
      <c r="EK63" s="125"/>
      <c r="EL63" s="125"/>
      <c r="EM63" s="125"/>
      <c r="EN63" s="125"/>
      <c r="EO63" s="125"/>
      <c r="EP63" s="125"/>
      <c r="EQ63" s="125"/>
      <c r="ER63" s="125"/>
      <c r="ES63" s="75"/>
      <c r="ET63" s="75"/>
      <c r="EU63" s="75"/>
      <c r="EV63" s="75"/>
      <c r="EW63" s="75"/>
      <c r="EX63" s="75"/>
      <c r="FC63"/>
      <c r="FD63"/>
      <c r="FE63"/>
      <c r="FF63"/>
      <c r="FG63"/>
      <c r="FH63"/>
      <c r="FI63" s="396"/>
      <c r="FJ63" s="419"/>
      <c r="FK63" s="419"/>
      <c r="FL63" s="419"/>
      <c r="FM63" s="419"/>
      <c r="FN63" s="419"/>
      <c r="FO63" s="419"/>
      <c r="FP63" s="419"/>
      <c r="FQ63" s="419"/>
      <c r="FR63" s="419"/>
      <c r="FS63" s="419"/>
      <c r="FT63" s="419"/>
      <c r="FU63" s="419"/>
      <c r="FV63" s="419"/>
      <c r="FW63" s="419"/>
      <c r="FX63" s="419"/>
      <c r="FY63" s="419"/>
      <c r="FZ63" s="419"/>
      <c r="GA63" s="419"/>
      <c r="GB63" s="419"/>
      <c r="GC63" s="419"/>
      <c r="GD63" s="419"/>
      <c r="GE63" s="419"/>
      <c r="GF63" s="419"/>
      <c r="GG63" s="419"/>
      <c r="GH63" s="419"/>
      <c r="GI63" s="419"/>
      <c r="GJ63" s="419"/>
      <c r="GK63" s="419"/>
      <c r="GL63" s="419"/>
      <c r="GM63" s="419"/>
      <c r="GN63" s="419"/>
      <c r="GO63" s="419"/>
      <c r="GP63" s="419"/>
      <c r="GQ63" s="419"/>
      <c r="GR63" s="419"/>
      <c r="GS63" s="419"/>
      <c r="GT63" s="419"/>
      <c r="GU63" s="419"/>
      <c r="GV63" s="419"/>
      <c r="GW63" s="418"/>
      <c r="GX63" s="418"/>
      <c r="GY63" s="418"/>
      <c r="GZ63" s="418"/>
      <c r="HA63" s="418"/>
      <c r="HB63" s="418"/>
      <c r="HC63" s="418"/>
      <c r="HD63" s="418"/>
      <c r="HE63" s="418"/>
      <c r="HF63" s="418"/>
      <c r="HG63" s="418"/>
      <c r="HH63" s="418"/>
      <c r="HI63" s="418"/>
      <c r="HJ63" s="418"/>
      <c r="HK63" s="418"/>
      <c r="HL63" s="418"/>
      <c r="HM63" s="418"/>
      <c r="HN63" s="418"/>
      <c r="HO63" s="418"/>
      <c r="HP63" s="418"/>
      <c r="HQ63" s="418"/>
      <c r="HR63" s="418"/>
      <c r="HS63" s="418"/>
      <c r="HT63" s="418"/>
      <c r="HU63" s="418"/>
      <c r="HV63" s="418"/>
      <c r="HW63" s="418"/>
      <c r="HX63" s="418"/>
      <c r="HY63" s="418"/>
      <c r="HZ63" s="418"/>
      <c r="IA63" s="418"/>
      <c r="IB63" s="418"/>
      <c r="IC63" s="418"/>
      <c r="ID63" s="418"/>
      <c r="IE63" s="418"/>
      <c r="IF63" s="418"/>
      <c r="IG63" s="418"/>
      <c r="IH63" s="418"/>
      <c r="II63" s="418"/>
      <c r="IJ63" s="418"/>
      <c r="IK63" s="418"/>
      <c r="IL63" s="418"/>
      <c r="IM63" s="418"/>
      <c r="IN63" s="418"/>
      <c r="IO63" s="418"/>
      <c r="IP63" s="418"/>
      <c r="IQ63" s="418"/>
      <c r="IR63" s="418"/>
      <c r="IS63" s="418"/>
      <c r="IT63" s="418"/>
      <c r="IU63" s="418"/>
      <c r="IV63" s="418"/>
    </row>
    <row r="64" spans="1:256" s="1" customFormat="1" x14ac:dyDescent="0.2">
      <c r="A64" s="1" t="s">
        <v>428</v>
      </c>
      <c r="B64" s="125"/>
      <c r="C64" s="111"/>
      <c r="D64" s="111"/>
      <c r="E64" s="111"/>
      <c r="F64" s="111"/>
      <c r="G64" s="125"/>
      <c r="H64" s="111"/>
      <c r="I64" s="111"/>
      <c r="J64" s="111"/>
      <c r="K64" s="111"/>
      <c r="L64" s="125"/>
      <c r="M64" s="111"/>
      <c r="N64" s="111"/>
      <c r="O64" s="111"/>
      <c r="P64" s="111"/>
      <c r="Q64" s="125"/>
      <c r="R64" s="111"/>
      <c r="S64" s="111"/>
      <c r="T64" s="111"/>
      <c r="U64" s="111"/>
      <c r="V64" s="125"/>
      <c r="W64" s="111"/>
      <c r="X64" s="111"/>
      <c r="Y64" s="111"/>
      <c r="Z64" s="111"/>
      <c r="AA64" s="125"/>
      <c r="AB64" s="111"/>
      <c r="AC64" s="111"/>
      <c r="AD64" s="111"/>
      <c r="AE64" s="111"/>
      <c r="AF64" s="125"/>
      <c r="AG64" s="111"/>
      <c r="AH64" s="111"/>
      <c r="AI64" s="111"/>
      <c r="AJ64" s="111"/>
      <c r="AK64" s="125"/>
      <c r="AL64" s="111"/>
      <c r="AM64" s="111"/>
      <c r="AN64" s="111"/>
      <c r="AO64" s="111"/>
      <c r="AP64" s="125"/>
      <c r="AQ64" s="111"/>
      <c r="AR64" s="111"/>
      <c r="AS64" s="111"/>
      <c r="AT64" s="111"/>
      <c r="AU64" s="125"/>
      <c r="AV64" s="111"/>
      <c r="AW64" s="111"/>
      <c r="AX64" s="111"/>
      <c r="AY64" s="111"/>
      <c r="AZ64" s="125"/>
      <c r="BA64" s="111"/>
      <c r="BB64" s="111"/>
      <c r="BC64" s="111"/>
      <c r="BD64" s="111"/>
      <c r="BE64" s="125"/>
      <c r="BF64" s="111"/>
      <c r="BG64" s="111"/>
      <c r="BH64" s="111"/>
      <c r="BI64" s="111"/>
      <c r="BJ64" s="125"/>
      <c r="BK64" s="111">
        <v>0</v>
      </c>
      <c r="BL64" s="111">
        <v>0</v>
      </c>
      <c r="BM64" s="111">
        <v>0</v>
      </c>
      <c r="BN64" s="111">
        <f>BO64-BM64-BL64-BK64</f>
        <v>548.96</v>
      </c>
      <c r="BO64" s="125">
        <v>548.96</v>
      </c>
      <c r="BP64" s="111">
        <v>0</v>
      </c>
      <c r="BQ64" s="111">
        <v>0</v>
      </c>
      <c r="BR64" s="111">
        <v>0</v>
      </c>
      <c r="BS64" s="111">
        <f t="shared" si="83"/>
        <v>0</v>
      </c>
      <c r="BT64" s="125">
        <v>0</v>
      </c>
      <c r="BU64" s="111">
        <v>0</v>
      </c>
      <c r="BV64" s="111">
        <v>0</v>
      </c>
      <c r="BW64" s="111">
        <v>0</v>
      </c>
      <c r="BX64" s="111">
        <f t="shared" si="84"/>
        <v>0</v>
      </c>
      <c r="BY64" s="125">
        <v>0</v>
      </c>
      <c r="BZ64" s="111">
        <v>0</v>
      </c>
      <c r="CA64" s="111">
        <v>0</v>
      </c>
      <c r="CB64" s="111">
        <v>0</v>
      </c>
      <c r="CC64" s="111">
        <f t="shared" si="85"/>
        <v>0</v>
      </c>
      <c r="CD64" s="392">
        <v>0</v>
      </c>
      <c r="CE64" s="331">
        <v>0</v>
      </c>
      <c r="CF64" s="331">
        <v>0</v>
      </c>
      <c r="CG64" s="331">
        <v>0</v>
      </c>
      <c r="CH64" s="331">
        <f t="shared" si="86"/>
        <v>0</v>
      </c>
      <c r="CI64" s="392">
        <v>0</v>
      </c>
      <c r="CJ64" s="331">
        <v>0</v>
      </c>
      <c r="CK64" s="366">
        <v>0</v>
      </c>
      <c r="CL64" s="366">
        <v>0</v>
      </c>
      <c r="CM64" s="366">
        <f t="shared" si="87"/>
        <v>0</v>
      </c>
      <c r="CN64" s="367">
        <v>0</v>
      </c>
      <c r="CO64" s="366">
        <v>0</v>
      </c>
      <c r="CP64" s="366">
        <v>0</v>
      </c>
      <c r="CQ64" s="366">
        <v>0</v>
      </c>
      <c r="CR64" s="366">
        <f t="shared" si="88"/>
        <v>749.7</v>
      </c>
      <c r="CS64" s="367">
        <v>749.7</v>
      </c>
      <c r="CT64" s="366">
        <v>748.5</v>
      </c>
      <c r="CU64" s="366">
        <f>748.5-CT64</f>
        <v>0</v>
      </c>
      <c r="CV64" s="495">
        <f>748.5-CU64-CT64</f>
        <v>0</v>
      </c>
      <c r="CW64" s="722">
        <f>CX64-CV64-CU64-CT64</f>
        <v>0</v>
      </c>
      <c r="CX64" s="723">
        <v>748.5</v>
      </c>
      <c r="CY64" s="366">
        <v>0</v>
      </c>
      <c r="CZ64" s="366">
        <v>0</v>
      </c>
      <c r="DA64" s="366">
        <f>848.5-CZ64-CY64</f>
        <v>848.5</v>
      </c>
      <c r="DB64" s="815">
        <f>DC64-DA64-CZ64-CY64</f>
        <v>0</v>
      </c>
      <c r="DC64" s="367">
        <v>848.5</v>
      </c>
      <c r="DD64" s="772">
        <v>0</v>
      </c>
      <c r="DE64" s="366">
        <f>499.7-DD64</f>
        <v>499.7</v>
      </c>
      <c r="DF64" s="366">
        <f>1254.5-DE64-DD64</f>
        <v>754.8</v>
      </c>
      <c r="DG64" s="815">
        <f>DH64-DF64-DE64-DD64</f>
        <v>5.6843418860808015E-14</v>
      </c>
      <c r="DH64" s="367">
        <v>1254.5</v>
      </c>
      <c r="DI64" s="772">
        <v>-400</v>
      </c>
      <c r="DJ64" s="366">
        <f>750.2+25-400-DI64</f>
        <v>775.2</v>
      </c>
      <c r="DK64" s="366">
        <f>750.2-400-SUM(DI64:DJ64)</f>
        <v>-25</v>
      </c>
      <c r="DL64" s="111">
        <f>750.2-SUM(DI64:DK64)</f>
        <v>400</v>
      </c>
      <c r="DM64" s="125">
        <f t="shared" si="90"/>
        <v>750.2</v>
      </c>
      <c r="DN64" s="143">
        <v>1500</v>
      </c>
      <c r="DO64" s="143">
        <v>0</v>
      </c>
      <c r="DP64" s="143">
        <v>0</v>
      </c>
      <c r="DQ64" s="143">
        <v>0</v>
      </c>
      <c r="DR64" s="142">
        <f t="shared" si="91"/>
        <v>1500</v>
      </c>
      <c r="DS64" s="143">
        <v>1500</v>
      </c>
      <c r="DT64" s="143">
        <v>0</v>
      </c>
      <c r="DU64" s="143">
        <v>0</v>
      </c>
      <c r="DV64" s="143">
        <v>0</v>
      </c>
      <c r="DW64" s="142">
        <f t="shared" si="92"/>
        <v>1500</v>
      </c>
      <c r="DX64" s="143">
        <v>1000</v>
      </c>
      <c r="DY64" s="143">
        <v>0</v>
      </c>
      <c r="DZ64" s="143">
        <v>0</v>
      </c>
      <c r="EA64" s="143">
        <v>0</v>
      </c>
      <c r="EB64" s="142">
        <f t="shared" si="93"/>
        <v>1000</v>
      </c>
      <c r="EE64" s="125"/>
      <c r="EF64" s="125"/>
      <c r="EG64" s="125"/>
      <c r="EH64" s="125"/>
      <c r="EI64" s="125"/>
      <c r="EJ64" s="125"/>
      <c r="EK64" s="125"/>
      <c r="EL64" s="125"/>
      <c r="EM64" s="125"/>
      <c r="EN64" s="125"/>
      <c r="EO64" s="125"/>
      <c r="EP64" s="125"/>
      <c r="EQ64" s="125"/>
      <c r="ER64" s="125"/>
      <c r="ES64" s="75"/>
      <c r="EW64" s="75"/>
      <c r="EX64" s="75"/>
      <c r="FC64"/>
      <c r="FD64"/>
      <c r="FE64"/>
      <c r="FF64"/>
      <c r="FG64"/>
      <c r="FH64"/>
      <c r="FI64" s="396"/>
      <c r="FJ64" s="419"/>
      <c r="FK64" s="419"/>
      <c r="FL64" s="419"/>
      <c r="FM64" s="419"/>
      <c r="FN64" s="419"/>
      <c r="FO64" s="419"/>
      <c r="FP64" s="419"/>
      <c r="FQ64" s="419"/>
      <c r="FR64" s="419"/>
      <c r="FS64" s="419"/>
      <c r="FT64" s="419"/>
      <c r="FU64" s="419"/>
      <c r="FV64" s="419"/>
      <c r="FW64" s="419"/>
      <c r="FX64" s="419"/>
      <c r="FY64" s="419"/>
      <c r="FZ64" s="419"/>
      <c r="GA64" s="419"/>
      <c r="GB64" s="419"/>
      <c r="GC64" s="419"/>
      <c r="GD64" s="419"/>
      <c r="GE64" s="419"/>
      <c r="GF64" s="419"/>
      <c r="GG64" s="419"/>
      <c r="GH64" s="419"/>
      <c r="GI64" s="419"/>
      <c r="GJ64" s="419"/>
      <c r="GK64" s="419"/>
      <c r="GL64" s="419"/>
      <c r="GM64" s="419"/>
      <c r="GN64" s="419"/>
      <c r="GO64" s="419"/>
      <c r="GP64" s="419"/>
      <c r="GQ64" s="419"/>
      <c r="GR64" s="419"/>
      <c r="GS64" s="419"/>
      <c r="GT64" s="419"/>
      <c r="GU64" s="419"/>
      <c r="GV64" s="419"/>
      <c r="GW64" s="418"/>
      <c r="GX64" s="418"/>
      <c r="GY64" s="418"/>
      <c r="GZ64" s="418"/>
      <c r="HA64" s="418"/>
      <c r="HB64" s="418"/>
      <c r="HC64" s="418"/>
      <c r="HD64" s="418"/>
      <c r="HE64" s="418"/>
      <c r="HF64" s="418"/>
      <c r="HG64" s="418"/>
      <c r="HH64" s="418"/>
      <c r="HI64" s="418"/>
      <c r="HJ64" s="418"/>
      <c r="HK64" s="418"/>
      <c r="HL64" s="418"/>
      <c r="HM64" s="418"/>
      <c r="HN64" s="418"/>
      <c r="HO64" s="418"/>
      <c r="HP64" s="418"/>
      <c r="HQ64" s="418"/>
      <c r="HR64" s="418"/>
      <c r="HS64" s="418"/>
      <c r="HT64" s="418"/>
      <c r="HU64" s="418"/>
      <c r="HV64" s="418"/>
      <c r="HW64" s="418"/>
      <c r="HX64" s="418"/>
      <c r="HY64" s="418"/>
      <c r="HZ64" s="418"/>
      <c r="IA64" s="418"/>
      <c r="IB64" s="418"/>
      <c r="IC64" s="418"/>
      <c r="ID64" s="418"/>
      <c r="IE64" s="418"/>
      <c r="IF64" s="418"/>
      <c r="IG64" s="418"/>
      <c r="IH64" s="418"/>
      <c r="II64" s="418"/>
      <c r="IJ64" s="418"/>
      <c r="IK64" s="418"/>
      <c r="IL64" s="418"/>
      <c r="IM64" s="418"/>
      <c r="IN64" s="418"/>
      <c r="IO64" s="418"/>
      <c r="IP64" s="418"/>
      <c r="IQ64" s="418"/>
      <c r="IR64" s="418"/>
      <c r="IS64" s="418"/>
      <c r="IT64" s="418"/>
      <c r="IU64" s="418"/>
      <c r="IV64" s="418"/>
    </row>
    <row r="65" spans="1:256" s="1" customFormat="1" x14ac:dyDescent="0.2">
      <c r="A65" s="1" t="s">
        <v>78</v>
      </c>
      <c r="B65" s="125">
        <v>6.29</v>
      </c>
      <c r="C65" s="111">
        <v>163.87299999999999</v>
      </c>
      <c r="D65" s="111">
        <v>0</v>
      </c>
      <c r="E65" s="111">
        <v>0</v>
      </c>
      <c r="F65" s="111">
        <v>0</v>
      </c>
      <c r="G65" s="125">
        <v>163.80000000000001</v>
      </c>
      <c r="H65" s="111">
        <v>0.375</v>
      </c>
      <c r="I65" s="111">
        <v>0.39300000000000002</v>
      </c>
      <c r="J65" s="111">
        <v>0.47299999999999998</v>
      </c>
      <c r="K65" s="111">
        <v>15.334</v>
      </c>
      <c r="L65" s="125">
        <v>16.57</v>
      </c>
      <c r="M65" s="111">
        <v>0.68400000000000005</v>
      </c>
      <c r="N65" s="111">
        <f>0.684-M65</f>
        <v>0</v>
      </c>
      <c r="O65" s="111">
        <f>1.425-N65-M65</f>
        <v>0.74099999999999999</v>
      </c>
      <c r="P65" s="111">
        <f>2.313-SUM(M65:O65)</f>
        <v>0.88800000000000012</v>
      </c>
      <c r="Q65" s="125">
        <v>1.69</v>
      </c>
      <c r="R65" s="111">
        <f>0.879+4.912</f>
        <v>5.7910000000000004</v>
      </c>
      <c r="S65" s="111">
        <f>2.02+4.861-R65</f>
        <v>1.0899999999999999</v>
      </c>
      <c r="T65" s="111">
        <f>3.24+4.861-SUM(R65:S65)</f>
        <v>1.2199999999999989</v>
      </c>
      <c r="U65" s="111">
        <f>4.649-T65-S65-R65</f>
        <v>-3.4519999999999991</v>
      </c>
      <c r="V65" s="125">
        <f>SUM(R65:U65)</f>
        <v>4.649</v>
      </c>
      <c r="W65" s="111">
        <f>1.499+10.181</f>
        <v>11.68</v>
      </c>
      <c r="X65" s="111">
        <f>3.329+29.789-W65</f>
        <v>21.438000000000002</v>
      </c>
      <c r="Y65" s="111">
        <f>4.994+32.039-X65-W65</f>
        <v>3.9149999999999991</v>
      </c>
      <c r="Z65" s="111">
        <f>9.386+33.799-Y65-X65-W65</f>
        <v>6.152000000000001</v>
      </c>
      <c r="AA65" s="125">
        <f>SUM(W65:Z65)</f>
        <v>43.185000000000002</v>
      </c>
      <c r="AB65" s="111">
        <v>-0.92300000000000004</v>
      </c>
      <c r="AC65" s="111">
        <f>-1.344-AB65</f>
        <v>-0.42100000000000004</v>
      </c>
      <c r="AD65" s="111">
        <f>-1.66-AC65-AB65</f>
        <v>-0.31599999999999984</v>
      </c>
      <c r="AE65" s="111">
        <f>AF65-AD65-AC65-AB65</f>
        <v>-0.22900000000000009</v>
      </c>
      <c r="AF65" s="125">
        <v>-1.889</v>
      </c>
      <c r="AG65" s="111">
        <v>-0.17299999999999999</v>
      </c>
      <c r="AH65" s="111">
        <f>-0.32-AG65</f>
        <v>-0.14700000000000002</v>
      </c>
      <c r="AI65" s="111">
        <f>-0.513-AH65-AG65</f>
        <v>-0.193</v>
      </c>
      <c r="AJ65" s="111">
        <f>AK65-AI65-AH65-AG65</f>
        <v>-0.17200000000000004</v>
      </c>
      <c r="AK65" s="125">
        <v>-0.68500000000000005</v>
      </c>
      <c r="AL65" s="111">
        <v>-0.17299999999999999</v>
      </c>
      <c r="AM65" s="111">
        <f>-0.347-AL65</f>
        <v>-0.17399999999999999</v>
      </c>
      <c r="AN65" s="111">
        <f>-0.522-AM65-AL65</f>
        <v>-0.17500000000000004</v>
      </c>
      <c r="AO65" s="111">
        <f>AP65-AN65-AM65-AL65</f>
        <v>-0.17499999999999993</v>
      </c>
      <c r="AP65" s="125">
        <v>-0.69699999999999995</v>
      </c>
      <c r="AQ65" s="111">
        <v>-0.17599999999999999</v>
      </c>
      <c r="AR65" s="111">
        <f>-0.35-AQ65</f>
        <v>-0.17399999999999999</v>
      </c>
      <c r="AS65" s="111">
        <f>-0.525-AQ65-AR65</f>
        <v>-0.17500000000000004</v>
      </c>
      <c r="AT65" s="111">
        <f>AU65-AS65-AR65-AQ65</f>
        <v>-0.18499999999999994</v>
      </c>
      <c r="AU65" s="125">
        <v>-0.71</v>
      </c>
      <c r="AV65" s="111">
        <v>-0.18</v>
      </c>
      <c r="AW65" s="111">
        <f>-0.36-AV65</f>
        <v>-0.18</v>
      </c>
      <c r="AX65" s="111">
        <f>-0.54-AW65-AV65</f>
        <v>-0.18000000000000005</v>
      </c>
      <c r="AY65" s="111">
        <f>AZ65-AX65-AW65-AV65</f>
        <v>-0.18199999999999994</v>
      </c>
      <c r="AZ65" s="125">
        <v>-0.72199999999999998</v>
      </c>
      <c r="BA65" s="111">
        <v>-0.183</v>
      </c>
      <c r="BB65" s="111">
        <f>-0.366-BA65</f>
        <v>-0.183</v>
      </c>
      <c r="BC65" s="111">
        <f>-0.55-(SUM(BA65:BB65))</f>
        <v>-0.18400000000000005</v>
      </c>
      <c r="BD65" s="111">
        <f>BE65-BC65-BB65-BA65</f>
        <v>-0.18499999999999994</v>
      </c>
      <c r="BE65" s="125">
        <v>-0.73499999999999999</v>
      </c>
      <c r="BF65" s="111">
        <v>-0.186</v>
      </c>
      <c r="BG65" s="111">
        <f>-0.372-BF65</f>
        <v>-0.186</v>
      </c>
      <c r="BH65" s="111">
        <f>-0.56-BG65-BF65</f>
        <v>-0.18800000000000006</v>
      </c>
      <c r="BI65" s="111">
        <f>BJ65-BH65-BG65-BF65</f>
        <v>-0.33800000000000002</v>
      </c>
      <c r="BJ65" s="125">
        <v>-0.89800000000000002</v>
      </c>
      <c r="BK65" s="111">
        <v>-0.20899999999999999</v>
      </c>
      <c r="BL65" s="111">
        <f>-0.401-BK65</f>
        <v>-0.19200000000000003</v>
      </c>
      <c r="BM65" s="111">
        <f>-0.592-BL65-BK65</f>
        <v>-0.19099999999999992</v>
      </c>
      <c r="BN65" s="111">
        <f>BO65-BM65-BL65-BK65</f>
        <v>-0.19200000000000003</v>
      </c>
      <c r="BO65" s="125">
        <v>-0.78400000000000003</v>
      </c>
      <c r="BP65" s="111">
        <v>-0.2</v>
      </c>
      <c r="BQ65" s="111">
        <f>-0.3-BP65</f>
        <v>-9.9999999999999978E-2</v>
      </c>
      <c r="BR65" s="111">
        <f>-0.5-BQ65-BP65</f>
        <v>-0.2</v>
      </c>
      <c r="BS65" s="111">
        <f t="shared" si="83"/>
        <v>-9.9999999999999978E-2</v>
      </c>
      <c r="BT65" s="125">
        <v>-0.6</v>
      </c>
      <c r="BU65" s="111">
        <v>-0.2</v>
      </c>
      <c r="BV65" s="111">
        <f>-0.3-BU65</f>
        <v>-9.9999999999999978E-2</v>
      </c>
      <c r="BW65" s="111">
        <f>-0.5-BV65-BU65</f>
        <v>-0.2</v>
      </c>
      <c r="BX65" s="111">
        <f t="shared" si="84"/>
        <v>-0.19999999999999996</v>
      </c>
      <c r="BY65" s="125">
        <v>-0.7</v>
      </c>
      <c r="BZ65" s="111">
        <v>-6.5</v>
      </c>
      <c r="CA65" s="111">
        <f>-6.5-BZ65</f>
        <v>0</v>
      </c>
      <c r="CB65" s="111">
        <f>-6.5-CA65-BZ65</f>
        <v>0</v>
      </c>
      <c r="CC65" s="111">
        <f t="shared" si="85"/>
        <v>-9.9999999999999645E-2</v>
      </c>
      <c r="CD65" s="392">
        <v>-6.6</v>
      </c>
      <c r="CE65" s="331">
        <v>0</v>
      </c>
      <c r="CF65" s="331">
        <v>0</v>
      </c>
      <c r="CG65" s="331">
        <v>0</v>
      </c>
      <c r="CH65" s="331">
        <f t="shared" si="86"/>
        <v>-4.3</v>
      </c>
      <c r="CI65" s="392">
        <v>-4.3</v>
      </c>
      <c r="CJ65" s="331">
        <v>0</v>
      </c>
      <c r="CK65" s="366">
        <v>0</v>
      </c>
      <c r="CL65" s="366">
        <v>0</v>
      </c>
      <c r="CM65" s="366">
        <f t="shared" si="87"/>
        <v>0</v>
      </c>
      <c r="CN65" s="367">
        <v>0</v>
      </c>
      <c r="CO65" s="366">
        <v>0</v>
      </c>
      <c r="CP65" s="366">
        <v>-35.200000000000003</v>
      </c>
      <c r="CQ65" s="366">
        <f>-35.2-SUM(CO65:CP65)</f>
        <v>0</v>
      </c>
      <c r="CR65" s="366">
        <f t="shared" si="88"/>
        <v>0</v>
      </c>
      <c r="CS65" s="367">
        <v>-35.200000000000003</v>
      </c>
      <c r="CT65" s="366">
        <f>CR65</f>
        <v>0</v>
      </c>
      <c r="CU65" s="366">
        <f>CT65</f>
        <v>0</v>
      </c>
      <c r="CV65" s="495">
        <v>0</v>
      </c>
      <c r="CW65" s="722">
        <f>CV65</f>
        <v>0</v>
      </c>
      <c r="CX65" s="723">
        <v>0</v>
      </c>
      <c r="CY65" s="366">
        <f>CW65</f>
        <v>0</v>
      </c>
      <c r="CZ65" s="366">
        <v>0</v>
      </c>
      <c r="DA65" s="366">
        <f>CZ65</f>
        <v>0</v>
      </c>
      <c r="DB65" s="815">
        <f>DC65-DA65-CZ65-CY65</f>
        <v>-610.1</v>
      </c>
      <c r="DC65" s="367">
        <v>-610.1</v>
      </c>
      <c r="DD65" s="772">
        <v>0</v>
      </c>
      <c r="DE65" s="366">
        <f t="shared" si="95"/>
        <v>0</v>
      </c>
      <c r="DF65" s="366">
        <f>DE65</f>
        <v>0</v>
      </c>
      <c r="DG65" s="815">
        <f>DH65-DF65-DE65-DD65</f>
        <v>0</v>
      </c>
      <c r="DH65" s="367">
        <v>0</v>
      </c>
      <c r="DI65" s="772">
        <v>0</v>
      </c>
      <c r="DJ65" s="772">
        <v>0</v>
      </c>
      <c r="DK65" s="366">
        <f>DJ65</f>
        <v>0</v>
      </c>
      <c r="DL65" s="111">
        <v>-400</v>
      </c>
      <c r="DM65" s="125">
        <f t="shared" si="90"/>
        <v>-400</v>
      </c>
      <c r="DN65" s="143">
        <v>0</v>
      </c>
      <c r="DO65" s="143">
        <f>DN65</f>
        <v>0</v>
      </c>
      <c r="DP65" s="143">
        <f>DO65</f>
        <v>0</v>
      </c>
      <c r="DQ65" s="143">
        <f>DP65</f>
        <v>0</v>
      </c>
      <c r="DR65" s="142">
        <f t="shared" si="91"/>
        <v>0</v>
      </c>
      <c r="DS65" s="143">
        <f>DQ65</f>
        <v>0</v>
      </c>
      <c r="DT65" s="143">
        <f>DS65</f>
        <v>0</v>
      </c>
      <c r="DU65" s="143">
        <f>DT65</f>
        <v>0</v>
      </c>
      <c r="DV65" s="143">
        <f>DU65</f>
        <v>0</v>
      </c>
      <c r="DW65" s="142">
        <f t="shared" si="92"/>
        <v>0</v>
      </c>
      <c r="DX65" s="143">
        <f>DV65</f>
        <v>0</v>
      </c>
      <c r="DY65" s="143">
        <f>DX65</f>
        <v>0</v>
      </c>
      <c r="DZ65" s="143">
        <f>DY65</f>
        <v>0</v>
      </c>
      <c r="EA65" s="143">
        <f>DZ65</f>
        <v>0</v>
      </c>
      <c r="EB65" s="142">
        <f t="shared" si="93"/>
        <v>0</v>
      </c>
      <c r="EE65" s="125"/>
      <c r="EF65" s="125"/>
      <c r="EG65" s="125"/>
      <c r="EH65" s="125"/>
      <c r="EI65" s="125"/>
      <c r="EJ65" s="125"/>
      <c r="EK65" s="125"/>
      <c r="EL65" s="125"/>
      <c r="EM65" s="125"/>
      <c r="EN65" s="125"/>
      <c r="EO65" s="125"/>
      <c r="EP65" s="125"/>
      <c r="EQ65" s="125"/>
      <c r="ER65" s="125"/>
      <c r="FC65"/>
      <c r="FD65"/>
      <c r="FE65"/>
      <c r="FF65"/>
      <c r="FG65"/>
      <c r="FH65"/>
      <c r="FI65" s="396"/>
      <c r="FJ65" s="419"/>
      <c r="FK65" s="419"/>
      <c r="FL65" s="419"/>
      <c r="FM65" s="419"/>
      <c r="FN65" s="419"/>
      <c r="FO65" s="419"/>
      <c r="FP65" s="419"/>
      <c r="FQ65" s="419"/>
      <c r="FR65" s="419"/>
      <c r="FS65" s="419"/>
      <c r="FT65" s="419"/>
      <c r="FU65" s="419"/>
      <c r="FV65" s="419"/>
      <c r="FW65" s="419"/>
      <c r="FX65" s="419"/>
      <c r="FY65" s="419"/>
      <c r="FZ65" s="419"/>
      <c r="GA65" s="419"/>
      <c r="GB65" s="419"/>
      <c r="GC65" s="419"/>
      <c r="GD65" s="419"/>
      <c r="GE65" s="419"/>
      <c r="GF65" s="419"/>
      <c r="GG65" s="419"/>
      <c r="GH65" s="419"/>
      <c r="GI65" s="419"/>
      <c r="GJ65" s="419"/>
      <c r="GK65" s="419"/>
      <c r="GL65" s="419"/>
      <c r="GM65" s="419"/>
      <c r="GN65" s="419"/>
      <c r="GO65" s="419"/>
      <c r="GP65" s="419"/>
      <c r="GQ65" s="419"/>
      <c r="GR65" s="419"/>
      <c r="GS65" s="419"/>
      <c r="GT65" s="419"/>
      <c r="GU65" s="419"/>
      <c r="GV65" s="419"/>
      <c r="GW65" s="418"/>
      <c r="GX65" s="418"/>
      <c r="GY65" s="418"/>
      <c r="GZ65" s="418"/>
      <c r="HA65" s="418"/>
      <c r="HB65" s="418"/>
      <c r="HC65" s="418"/>
      <c r="HD65" s="418"/>
      <c r="HE65" s="418"/>
      <c r="HF65" s="418"/>
      <c r="HG65" s="418"/>
      <c r="HH65" s="418"/>
      <c r="HI65" s="418"/>
      <c r="HJ65" s="418"/>
      <c r="HK65" s="418"/>
      <c r="HL65" s="418"/>
      <c r="HM65" s="418"/>
      <c r="HN65" s="418"/>
      <c r="HO65" s="418"/>
      <c r="HP65" s="418"/>
      <c r="HQ65" s="418"/>
      <c r="HR65" s="418"/>
      <c r="HS65" s="418"/>
      <c r="HT65" s="418"/>
      <c r="HU65" s="418"/>
      <c r="HV65" s="418"/>
      <c r="HW65" s="418"/>
      <c r="HX65" s="418"/>
      <c r="HY65" s="418"/>
      <c r="HZ65" s="418"/>
      <c r="IA65" s="418"/>
      <c r="IB65" s="418"/>
      <c r="IC65" s="418"/>
      <c r="ID65" s="418"/>
      <c r="IE65" s="418"/>
      <c r="IF65" s="418"/>
      <c r="IG65" s="418"/>
      <c r="IH65" s="418"/>
      <c r="II65" s="418"/>
      <c r="IJ65" s="418"/>
      <c r="IK65" s="418"/>
      <c r="IL65" s="418"/>
      <c r="IM65" s="418"/>
      <c r="IN65" s="418"/>
      <c r="IO65" s="418"/>
      <c r="IP65" s="418"/>
      <c r="IQ65" s="418"/>
      <c r="IR65" s="418"/>
      <c r="IS65" s="418"/>
      <c r="IT65" s="418"/>
      <c r="IU65" s="418"/>
      <c r="IV65" s="418"/>
    </row>
    <row r="66" spans="1:256" s="1" customFormat="1" x14ac:dyDescent="0.2">
      <c r="A66" s="1" t="s">
        <v>237</v>
      </c>
      <c r="B66" s="125"/>
      <c r="C66" s="111"/>
      <c r="D66" s="111"/>
      <c r="E66" s="111"/>
      <c r="F66" s="111"/>
      <c r="G66" s="125"/>
      <c r="H66" s="111"/>
      <c r="I66" s="111"/>
      <c r="J66" s="111"/>
      <c r="K66" s="111"/>
      <c r="L66" s="125"/>
      <c r="M66" s="111"/>
      <c r="N66" s="111"/>
      <c r="O66" s="111"/>
      <c r="P66" s="111"/>
      <c r="Q66" s="125"/>
      <c r="R66" s="111"/>
      <c r="S66" s="111"/>
      <c r="T66" s="111"/>
      <c r="U66" s="111"/>
      <c r="V66" s="125"/>
      <c r="W66" s="111"/>
      <c r="X66" s="111"/>
      <c r="Y66" s="111"/>
      <c r="Z66" s="111"/>
      <c r="AA66" s="125"/>
      <c r="AB66" s="111"/>
      <c r="AC66" s="111"/>
      <c r="AD66" s="111"/>
      <c r="AE66" s="111"/>
      <c r="AF66" s="125"/>
      <c r="AG66" s="111"/>
      <c r="AH66" s="111"/>
      <c r="AI66" s="111"/>
      <c r="AJ66" s="111"/>
      <c r="AK66" s="125"/>
      <c r="AL66" s="111"/>
      <c r="AM66" s="111"/>
      <c r="AN66" s="111"/>
      <c r="AO66" s="111"/>
      <c r="AP66" s="125"/>
      <c r="AQ66" s="111"/>
      <c r="AR66" s="111"/>
      <c r="AS66" s="111"/>
      <c r="AT66" s="111"/>
      <c r="AU66" s="125"/>
      <c r="AV66" s="111"/>
      <c r="AW66" s="111"/>
      <c r="AX66" s="111"/>
      <c r="AY66" s="111"/>
      <c r="AZ66" s="125"/>
      <c r="BA66" s="111"/>
      <c r="BB66" s="111"/>
      <c r="BC66" s="111"/>
      <c r="BD66" s="111"/>
      <c r="BE66" s="125"/>
      <c r="BF66" s="111"/>
      <c r="BG66" s="111"/>
      <c r="BH66" s="111"/>
      <c r="BI66" s="111"/>
      <c r="BJ66" s="125"/>
      <c r="BK66" s="111">
        <v>0</v>
      </c>
      <c r="BL66" s="111">
        <v>0</v>
      </c>
      <c r="BM66" s="111">
        <v>0</v>
      </c>
      <c r="BN66" s="111">
        <v>-3.5049999999999999</v>
      </c>
      <c r="BO66" s="125">
        <v>-3.5049999999999999</v>
      </c>
      <c r="BP66" s="111">
        <f>281.3-281.261</f>
        <v>3.8999999999987267E-2</v>
      </c>
      <c r="BQ66" s="111">
        <f>-0.7+(281.3-281.261)-BP66</f>
        <v>-0.7</v>
      </c>
      <c r="BR66" s="111">
        <f>-1.2+(281.3-281.261)-BQ66-BP66</f>
        <v>-0.5</v>
      </c>
      <c r="BS66" s="111">
        <f t="shared" si="83"/>
        <v>-0.5</v>
      </c>
      <c r="BT66" s="125">
        <f>-1.7+(281.3-281.261)</f>
        <v>-1.6610000000000127</v>
      </c>
      <c r="BU66" s="111">
        <v>-0.5</v>
      </c>
      <c r="BV66" s="111">
        <f>-0.8-BU66</f>
        <v>-0.30000000000000004</v>
      </c>
      <c r="BW66" s="111">
        <f>-1.2-BV66-BU66</f>
        <v>-0.39999999999999991</v>
      </c>
      <c r="BX66" s="111">
        <f t="shared" si="84"/>
        <v>-0.40000000000000013</v>
      </c>
      <c r="BY66" s="125">
        <v>-1.6</v>
      </c>
      <c r="BZ66" s="111">
        <v>-0.4</v>
      </c>
      <c r="CA66" s="111">
        <f>-0.9-BZ66</f>
        <v>-0.5</v>
      </c>
      <c r="CB66" s="111">
        <f>-1.2-CA66-BZ66</f>
        <v>-0.29999999999999993</v>
      </c>
      <c r="CC66" s="111">
        <f t="shared" si="85"/>
        <v>-46.4</v>
      </c>
      <c r="CD66" s="125">
        <f>-1.8-45.8</f>
        <v>-47.599999999999994</v>
      </c>
      <c r="CE66" s="111">
        <v>-0.1</v>
      </c>
      <c r="CF66" s="111">
        <f>-0.5-CE66</f>
        <v>-0.4</v>
      </c>
      <c r="CG66" s="111">
        <f>-0.6-CF66-CE66-27.5</f>
        <v>-27.6</v>
      </c>
      <c r="CH66" s="111">
        <f t="shared" si="86"/>
        <v>-0.29999999999999716</v>
      </c>
      <c r="CI66" s="125">
        <f>-27.5-0.9</f>
        <v>-28.4</v>
      </c>
      <c r="CJ66" s="111">
        <v>-0.1</v>
      </c>
      <c r="CK66" s="366">
        <f>-0.2-CJ66</f>
        <v>-0.1</v>
      </c>
      <c r="CL66" s="366">
        <f>-0.5-SUM(CJ66:CK66)</f>
        <v>-0.3</v>
      </c>
      <c r="CM66" s="366">
        <f t="shared" si="87"/>
        <v>0</v>
      </c>
      <c r="CN66" s="367">
        <v>-0.5</v>
      </c>
      <c r="CO66" s="366">
        <v>0</v>
      </c>
      <c r="CP66" s="366">
        <f>-119.9+4-CO66</f>
        <v>-115.9</v>
      </c>
      <c r="CQ66" s="366">
        <f>-120.6+2.3-SUM(CO66:CP66)</f>
        <v>-2.3999999999999915</v>
      </c>
      <c r="CR66" s="366">
        <f t="shared" si="88"/>
        <v>7.2999999999999972</v>
      </c>
      <c r="CS66" s="367">
        <f>-121.4+10.4</f>
        <v>-111</v>
      </c>
      <c r="CT66" s="366">
        <v>-5</v>
      </c>
      <c r="CU66" s="366">
        <f>-76-9.5-CT66</f>
        <v>-80.5</v>
      </c>
      <c r="CV66" s="495">
        <f>-76.8-3.6-CU66-CT66</f>
        <v>5.1000000000000085</v>
      </c>
      <c r="CW66" s="722">
        <f>CX66-CV66-CU66-CT66</f>
        <v>-3.8000000000000114</v>
      </c>
      <c r="CX66" s="723">
        <f>-77.3-6.9</f>
        <v>-84.2</v>
      </c>
      <c r="CY66" s="366">
        <f>-71.8-1.8-257.6</f>
        <v>-331.20000000000005</v>
      </c>
      <c r="CZ66" s="366">
        <f>-73.2-7.7-257.6-CY66</f>
        <v>-7.2999999999999545</v>
      </c>
      <c r="DA66" s="366">
        <f>-366.3-74.5-8.5-CZ66-CY66</f>
        <v>-110.80000000000001</v>
      </c>
      <c r="DB66" s="815">
        <f>DC66-DA66-CZ66-CY66</f>
        <v>-5.1000000000000227</v>
      </c>
      <c r="DC66" s="367">
        <f>-360.8-75.5-18.1</f>
        <v>-454.40000000000003</v>
      </c>
      <c r="DD66" s="111">
        <f>0+-101.3+-0.2</f>
        <v>-101.5</v>
      </c>
      <c r="DE66" s="366">
        <f>-103.6-0.8-0-DD66</f>
        <v>-2.8999999999999915</v>
      </c>
      <c r="DF66" s="366">
        <f>0-105.3+0.1-DE66-DD66</f>
        <v>-0.80000000000001137</v>
      </c>
      <c r="DG66" s="815">
        <f>DH66-DF66-DE66-DD66</f>
        <v>-9.2000000000000028</v>
      </c>
      <c r="DH66" s="367">
        <f>-106-8.4</f>
        <v>-114.4</v>
      </c>
      <c r="DI66" s="111">
        <f>-68.3+0.1</f>
        <v>-68.2</v>
      </c>
      <c r="DJ66" s="111">
        <f>-70.1+0.7-DI66</f>
        <v>-1.1999999999999886</v>
      </c>
      <c r="DK66" s="366">
        <f>-71.5+1.5-SUM(DI66:DJ66)</f>
        <v>-0.60000000000000853</v>
      </c>
      <c r="DL66" s="111">
        <f>-82.8+-4.4-SUM(DI66:DK66)</f>
        <v>-17.200000000000003</v>
      </c>
      <c r="DM66" s="125">
        <f t="shared" si="90"/>
        <v>-87.2</v>
      </c>
      <c r="DN66" s="143">
        <v>0</v>
      </c>
      <c r="DO66" s="143">
        <v>0</v>
      </c>
      <c r="DP66" s="143">
        <v>0</v>
      </c>
      <c r="DQ66" s="143">
        <v>0</v>
      </c>
      <c r="DR66" s="142">
        <f t="shared" si="91"/>
        <v>0</v>
      </c>
      <c r="DS66" s="143">
        <v>0</v>
      </c>
      <c r="DT66" s="143">
        <v>0</v>
      </c>
      <c r="DU66" s="143">
        <v>0</v>
      </c>
      <c r="DV66" s="143">
        <v>0</v>
      </c>
      <c r="DW66" s="142">
        <f t="shared" si="92"/>
        <v>0</v>
      </c>
      <c r="DX66" s="143">
        <v>0</v>
      </c>
      <c r="DY66" s="143">
        <v>0</v>
      </c>
      <c r="DZ66" s="143">
        <v>0</v>
      </c>
      <c r="EA66" s="143">
        <v>0</v>
      </c>
      <c r="EB66" s="142">
        <f t="shared" si="93"/>
        <v>0</v>
      </c>
      <c r="EE66" s="125"/>
      <c r="EF66" s="125"/>
      <c r="EG66" s="125"/>
      <c r="EH66" s="125"/>
      <c r="EI66" s="125"/>
      <c r="EJ66" s="125"/>
      <c r="EK66" s="125"/>
      <c r="EL66" s="125"/>
      <c r="EM66" s="125"/>
      <c r="EN66" s="125"/>
      <c r="EO66" s="125"/>
      <c r="EP66" s="125"/>
      <c r="EQ66" s="125"/>
      <c r="ER66" s="125"/>
      <c r="FC66"/>
      <c r="FD66"/>
      <c r="FE66"/>
      <c r="FF66"/>
      <c r="FG66"/>
      <c r="FH66"/>
      <c r="FI66" s="396"/>
      <c r="FJ66" s="419"/>
      <c r="FK66" s="419"/>
      <c r="FL66" s="419"/>
      <c r="FM66" s="419"/>
      <c r="FN66" s="419"/>
      <c r="FO66" s="419"/>
      <c r="FP66" s="419"/>
      <c r="FQ66" s="419"/>
      <c r="FR66" s="419"/>
      <c r="FS66" s="419"/>
      <c r="FT66" s="419"/>
      <c r="FU66" s="419"/>
      <c r="FV66" s="419"/>
      <c r="FW66" s="419"/>
      <c r="FX66" s="419"/>
      <c r="FY66" s="419"/>
      <c r="FZ66" s="419"/>
      <c r="GA66" s="419"/>
      <c r="GB66" s="419"/>
      <c r="GC66" s="419"/>
      <c r="GD66" s="419"/>
      <c r="GE66" s="419"/>
      <c r="GF66" s="419"/>
      <c r="GG66" s="419"/>
      <c r="GH66" s="419"/>
      <c r="GI66" s="419"/>
      <c r="GJ66" s="419"/>
      <c r="GK66" s="419"/>
      <c r="GL66" s="419"/>
      <c r="GM66" s="419"/>
      <c r="GN66" s="419"/>
      <c r="GO66" s="419"/>
      <c r="GP66" s="419"/>
      <c r="GQ66" s="419"/>
      <c r="GR66" s="419"/>
      <c r="GS66" s="419"/>
      <c r="GT66" s="419"/>
      <c r="GU66" s="419"/>
      <c r="GV66" s="419"/>
      <c r="GW66" s="418"/>
      <c r="GX66" s="418"/>
      <c r="GY66" s="418"/>
      <c r="GZ66" s="418"/>
      <c r="HA66" s="418"/>
      <c r="HB66" s="418"/>
      <c r="HC66" s="418"/>
      <c r="HD66" s="418"/>
      <c r="HE66" s="418"/>
      <c r="HF66" s="418"/>
      <c r="HG66" s="418"/>
      <c r="HH66" s="418"/>
      <c r="HI66" s="418"/>
      <c r="HJ66" s="418"/>
      <c r="HK66" s="418"/>
      <c r="HL66" s="418"/>
      <c r="HM66" s="418"/>
      <c r="HN66" s="418"/>
      <c r="HO66" s="418"/>
      <c r="HP66" s="418"/>
      <c r="HQ66" s="418"/>
      <c r="HR66" s="418"/>
      <c r="HS66" s="418"/>
      <c r="HT66" s="418"/>
      <c r="HU66" s="418"/>
      <c r="HV66" s="418"/>
      <c r="HW66" s="418"/>
      <c r="HX66" s="418"/>
      <c r="HY66" s="418"/>
      <c r="HZ66" s="418"/>
      <c r="IA66" s="418"/>
      <c r="IB66" s="418"/>
      <c r="IC66" s="418"/>
      <c r="ID66" s="418"/>
      <c r="IE66" s="418"/>
      <c r="IF66" s="418"/>
      <c r="IG66" s="418"/>
      <c r="IH66" s="418"/>
      <c r="II66" s="418"/>
      <c r="IJ66" s="418"/>
      <c r="IK66" s="418"/>
      <c r="IL66" s="418"/>
      <c r="IM66" s="418"/>
      <c r="IN66" s="418"/>
      <c r="IO66" s="418"/>
      <c r="IP66" s="418"/>
      <c r="IQ66" s="418"/>
      <c r="IR66" s="418"/>
      <c r="IS66" s="418"/>
      <c r="IT66" s="418"/>
      <c r="IU66" s="418"/>
      <c r="IV66" s="418"/>
    </row>
    <row r="67" spans="1:256" s="16" customFormat="1" x14ac:dyDescent="0.2">
      <c r="A67" s="16" t="s">
        <v>77</v>
      </c>
      <c r="B67" s="151"/>
      <c r="C67" s="119"/>
      <c r="D67" s="119"/>
      <c r="E67" s="119"/>
      <c r="F67" s="119"/>
      <c r="G67" s="151"/>
      <c r="H67" s="119"/>
      <c r="I67" s="119"/>
      <c r="J67" s="119"/>
      <c r="K67" s="119"/>
      <c r="L67" s="151"/>
      <c r="M67" s="119"/>
      <c r="N67" s="119"/>
      <c r="O67" s="119"/>
      <c r="P67" s="119"/>
      <c r="Q67" s="151"/>
      <c r="R67" s="119"/>
      <c r="S67" s="119"/>
      <c r="T67" s="119"/>
      <c r="U67" s="119"/>
      <c r="V67" s="151"/>
      <c r="W67" s="119"/>
      <c r="X67" s="119"/>
      <c r="Y67" s="119"/>
      <c r="Z67" s="119"/>
      <c r="AA67" s="151"/>
      <c r="AB67" s="119"/>
      <c r="AC67" s="119"/>
      <c r="AD67" s="119"/>
      <c r="AE67" s="119"/>
      <c r="AF67" s="151"/>
      <c r="AG67" s="119"/>
      <c r="AH67" s="119"/>
      <c r="AI67" s="119"/>
      <c r="AJ67" s="119"/>
      <c r="AK67" s="151"/>
      <c r="AL67" s="119"/>
      <c r="AM67" s="119"/>
      <c r="AN67" s="119"/>
      <c r="AO67" s="119"/>
      <c r="AP67" s="151"/>
      <c r="AQ67" s="119"/>
      <c r="AR67" s="119"/>
      <c r="AS67" s="119"/>
      <c r="AT67" s="119"/>
      <c r="AU67" s="151"/>
      <c r="AV67" s="119"/>
      <c r="AW67" s="119"/>
      <c r="AX67" s="119"/>
      <c r="AY67" s="119"/>
      <c r="AZ67" s="151"/>
      <c r="BA67" s="119"/>
      <c r="BB67" s="119"/>
      <c r="BC67" s="119"/>
      <c r="BD67" s="119"/>
      <c r="BE67" s="151"/>
      <c r="BF67" s="119"/>
      <c r="BG67" s="119"/>
      <c r="BH67" s="119"/>
      <c r="BI67" s="119"/>
      <c r="BJ67" s="151"/>
      <c r="BK67" s="119"/>
      <c r="BL67" s="119"/>
      <c r="BM67" s="119"/>
      <c r="BN67" s="119"/>
      <c r="BO67" s="151"/>
      <c r="BP67" s="119"/>
      <c r="BQ67" s="119"/>
      <c r="BR67" s="119"/>
      <c r="BS67" s="119"/>
      <c r="BT67" s="151"/>
      <c r="BU67" s="119"/>
      <c r="BV67" s="119"/>
      <c r="BW67" s="119"/>
      <c r="BX67" s="119"/>
      <c r="BY67" s="151"/>
      <c r="BZ67" s="119"/>
      <c r="CA67" s="119"/>
      <c r="CB67" s="119">
        <f>-74.8-CA67-BZ67</f>
        <v>-74.8</v>
      </c>
      <c r="CC67" s="119">
        <f t="shared" si="85"/>
        <v>-96.2</v>
      </c>
      <c r="CD67" s="151">
        <v>-171</v>
      </c>
      <c r="CE67" s="119">
        <v>-96.9</v>
      </c>
      <c r="CF67" s="119">
        <f>-194.3-CE67</f>
        <v>-97.4</v>
      </c>
      <c r="CG67" s="119">
        <f>-292.1-CF67-CE67</f>
        <v>-97.800000000000011</v>
      </c>
      <c r="CH67" s="119">
        <f t="shared" si="86"/>
        <v>-97.399999999999977</v>
      </c>
      <c r="CI67" s="151">
        <v>-389.5</v>
      </c>
      <c r="CJ67" s="119">
        <v>-126.8</v>
      </c>
      <c r="CK67" s="119">
        <f>-255-CJ67</f>
        <v>-128.19999999999999</v>
      </c>
      <c r="CL67" s="119">
        <f>-384-SUM(CJ67:CK67)</f>
        <v>-129</v>
      </c>
      <c r="CM67" s="119">
        <f t="shared" si="87"/>
        <v>-129</v>
      </c>
      <c r="CN67" s="151">
        <v>-513</v>
      </c>
      <c r="CO67" s="119">
        <v>-156.1</v>
      </c>
      <c r="CP67" s="119">
        <f>-313.5-CO67</f>
        <v>-157.4</v>
      </c>
      <c r="CQ67" s="540">
        <f>-470.9-SUM(CO67:CP67)</f>
        <v>-157.39999999999998</v>
      </c>
      <c r="CR67" s="540">
        <f t="shared" si="88"/>
        <v>-158</v>
      </c>
      <c r="CS67" s="148">
        <v>-628.9</v>
      </c>
      <c r="CT67" s="540">
        <v>-195.9</v>
      </c>
      <c r="CU67" s="540">
        <f>-392.3-CT67</f>
        <v>-196.4</v>
      </c>
      <c r="CV67" s="119">
        <f>-587.8-CU67-CT67</f>
        <v>-195.49999999999997</v>
      </c>
      <c r="CW67" s="722">
        <f>CX67-CV67-CU67-CT67</f>
        <v>-195.30000000000004</v>
      </c>
      <c r="CX67" s="727">
        <v>-783.1</v>
      </c>
      <c r="CY67" s="540">
        <v>-239.5</v>
      </c>
      <c r="CZ67" s="540">
        <f>-479.6-CY67</f>
        <v>-240.10000000000002</v>
      </c>
      <c r="DA67" s="540">
        <f>-719.7-CZ67-CY67</f>
        <v>-240.10000000000002</v>
      </c>
      <c r="DB67" s="815">
        <f>DC67-DA67-CZ67-CY67</f>
        <v>-208.89999999999998</v>
      </c>
      <c r="DC67" s="148">
        <v>-928.6</v>
      </c>
      <c r="DD67" s="540">
        <v>-297</v>
      </c>
      <c r="DE67" s="540">
        <f>-591.8-DD67</f>
        <v>-294.79999999999995</v>
      </c>
      <c r="DF67" s="540">
        <f>-884.8-DE67-DD67</f>
        <v>-293</v>
      </c>
      <c r="DG67" s="815">
        <f>DH67-DF67-DE67-DD67</f>
        <v>-293.20000000000005</v>
      </c>
      <c r="DH67" s="148">
        <v>-1178</v>
      </c>
      <c r="DI67" s="540">
        <v>-364</v>
      </c>
      <c r="DJ67" s="540">
        <f>-727.8-DI67</f>
        <v>-363.79999999999995</v>
      </c>
      <c r="DK67" s="540">
        <f>-1089.8-SUM(DI67:DJ67)</f>
        <v>-362</v>
      </c>
      <c r="DL67" s="540">
        <f>-1450.4-SUM(DI67:DK67)</f>
        <v>-360.60000000000014</v>
      </c>
      <c r="DM67" s="148">
        <f t="shared" si="90"/>
        <v>-1450.4</v>
      </c>
      <c r="DN67" s="150">
        <f>-(DN101*IS!DN54)</f>
        <v>-426.13619857191429</v>
      </c>
      <c r="DO67" s="150">
        <f>-(DO101*IS!DO54)</f>
        <v>-423.77075485334831</v>
      </c>
      <c r="DP67" s="150">
        <f>-(DP101*IS!DP54)</f>
        <v>-420.26416962460343</v>
      </c>
      <c r="DQ67" s="150">
        <f>-(DQ101*IS!DQ54)</f>
        <v>-418.10488390725669</v>
      </c>
      <c r="DR67" s="149">
        <f t="shared" si="91"/>
        <v>-1688.2760069571227</v>
      </c>
      <c r="DS67" s="150">
        <f>-(DS101*IS!DS54)</f>
        <v>-496.93541789429662</v>
      </c>
      <c r="DT67" s="150">
        <f>-(DT101*IS!DT54)</f>
        <v>-495.94333160783913</v>
      </c>
      <c r="DU67" s="150">
        <f>-(DU101*IS!DU54)</f>
        <v>-492.38989905773735</v>
      </c>
      <c r="DV67" s="150">
        <f>-(DV101*IS!DV54)</f>
        <v>-490.40487416832923</v>
      </c>
      <c r="DW67" s="149">
        <f t="shared" si="92"/>
        <v>-1975.6735227282024</v>
      </c>
      <c r="DX67" s="150">
        <f>-(DX101*IS!DX54)</f>
        <v>-583.99883935305809</v>
      </c>
      <c r="DY67" s="150">
        <f>-(DY101*IS!DY54)</f>
        <v>-584.43328832352495</v>
      </c>
      <c r="DZ67" s="150">
        <f>-(DZ101*IS!DZ54)</f>
        <v>-580.56053165080039</v>
      </c>
      <c r="EA67" s="150">
        <f>-(EA101*IS!EA54)</f>
        <v>-577.27564802939605</v>
      </c>
      <c r="EB67" s="149">
        <f t="shared" si="93"/>
        <v>-2326.2683073567796</v>
      </c>
      <c r="EE67" s="148"/>
      <c r="EF67" s="148"/>
      <c r="EG67" s="148"/>
      <c r="EH67" s="148"/>
      <c r="EI67" s="148"/>
      <c r="EJ67" s="148"/>
      <c r="EK67" s="148"/>
      <c r="EL67" s="148"/>
      <c r="EM67" s="148"/>
      <c r="EN67" s="148"/>
      <c r="EO67" s="148"/>
      <c r="EP67" s="148"/>
      <c r="EQ67" s="148"/>
      <c r="ER67" s="148"/>
      <c r="FC67"/>
      <c r="FD67"/>
      <c r="FE67"/>
      <c r="FF67"/>
      <c r="FG67"/>
      <c r="FH67"/>
      <c r="FI67" s="396"/>
      <c r="FJ67" s="419"/>
      <c r="FK67" s="419"/>
      <c r="FL67" s="419"/>
      <c r="FM67" s="419"/>
      <c r="FN67" s="419"/>
      <c r="FO67" s="419"/>
      <c r="FP67" s="419"/>
      <c r="FQ67" s="419"/>
      <c r="FR67" s="419"/>
      <c r="FS67" s="419"/>
      <c r="FT67" s="419"/>
      <c r="FU67" s="419"/>
      <c r="FV67" s="419"/>
      <c r="FW67" s="419"/>
      <c r="FX67" s="419"/>
      <c r="FY67" s="419"/>
      <c r="FZ67" s="419"/>
      <c r="GA67" s="419"/>
      <c r="GB67" s="419"/>
      <c r="GC67" s="419"/>
      <c r="GD67" s="419"/>
      <c r="GE67" s="419"/>
      <c r="GF67" s="419"/>
      <c r="GG67" s="419"/>
      <c r="GH67" s="419"/>
      <c r="GI67" s="419"/>
      <c r="GJ67" s="419"/>
      <c r="GK67" s="419"/>
      <c r="GL67" s="419"/>
      <c r="GM67" s="419"/>
      <c r="GN67" s="419"/>
      <c r="GO67" s="419"/>
      <c r="GP67" s="419"/>
      <c r="GQ67" s="419"/>
      <c r="GR67" s="419"/>
      <c r="GS67" s="419"/>
      <c r="GT67" s="419"/>
      <c r="GU67" s="419"/>
      <c r="GV67" s="419"/>
      <c r="GW67" s="418"/>
      <c r="GX67" s="418"/>
      <c r="GY67" s="418"/>
      <c r="GZ67" s="418"/>
      <c r="HA67" s="418"/>
      <c r="HB67" s="418"/>
      <c r="HC67" s="418"/>
      <c r="HD67" s="418"/>
      <c r="HE67" s="418"/>
      <c r="HF67" s="418"/>
      <c r="HG67" s="418"/>
      <c r="HH67" s="418"/>
      <c r="HI67" s="418"/>
      <c r="HJ67" s="418"/>
      <c r="HK67" s="418"/>
      <c r="HL67" s="418"/>
      <c r="HM67" s="418"/>
      <c r="HN67" s="418"/>
      <c r="HO67" s="418"/>
      <c r="HP67" s="418"/>
      <c r="HQ67" s="418"/>
      <c r="HR67" s="418"/>
      <c r="HS67" s="418"/>
      <c r="HT67" s="418"/>
      <c r="HU67" s="418"/>
      <c r="HV67" s="418"/>
      <c r="HW67" s="418"/>
      <c r="HX67" s="418"/>
      <c r="HY67" s="418"/>
      <c r="HZ67" s="418"/>
      <c r="IA67" s="418"/>
      <c r="IB67" s="418"/>
      <c r="IC67" s="418"/>
      <c r="ID67" s="418"/>
      <c r="IE67" s="418"/>
      <c r="IF67" s="418"/>
      <c r="IG67" s="418"/>
      <c r="IH67" s="418"/>
      <c r="II67" s="418"/>
      <c r="IJ67" s="418"/>
      <c r="IK67" s="418"/>
      <c r="IL67" s="418"/>
      <c r="IM67" s="418"/>
      <c r="IN67" s="418"/>
      <c r="IO67" s="418"/>
      <c r="IP67" s="418"/>
      <c r="IQ67" s="418"/>
      <c r="IR67" s="418"/>
      <c r="IS67" s="418"/>
      <c r="IT67" s="418"/>
      <c r="IU67" s="418"/>
      <c r="IV67" s="418"/>
    </row>
    <row r="68" spans="1:256" s="16" customFormat="1" x14ac:dyDescent="0.2">
      <c r="A68" s="16" t="s">
        <v>76</v>
      </c>
      <c r="B68" s="151">
        <v>4.1360000000000001</v>
      </c>
      <c r="C68" s="119">
        <v>4.548</v>
      </c>
      <c r="D68" s="119">
        <v>-8.0299999999999994</v>
      </c>
      <c r="E68" s="119">
        <v>5.1449999999999996</v>
      </c>
      <c r="F68" s="119">
        <v>11.215</v>
      </c>
      <c r="G68" s="151">
        <v>12.87</v>
      </c>
      <c r="H68" s="119">
        <v>-2.3210000000000002</v>
      </c>
      <c r="I68" s="119">
        <v>-0.46100000000000002</v>
      </c>
      <c r="J68" s="119">
        <v>9.4220000000000006</v>
      </c>
      <c r="K68" s="119">
        <v>-4.4089999999999998</v>
      </c>
      <c r="L68" s="151">
        <v>2.23</v>
      </c>
      <c r="M68" s="119">
        <f>(6823+2868+1912-217)/1000</f>
        <v>11.385999999999999</v>
      </c>
      <c r="N68" s="119">
        <f>((3546+5388+3597+-525)-M68)/1000</f>
        <v>11.994614</v>
      </c>
      <c r="O68" s="119">
        <f>((3633+8989+6009+-915)-N68-M68)/1000</f>
        <v>17.692619386000001</v>
      </c>
      <c r="P68" s="119">
        <f>(9543+13629+9626-3600-SUM(M68:O68)-8387)/1000</f>
        <v>20.769926766613999</v>
      </c>
      <c r="Q68" s="151">
        <v>34.25</v>
      </c>
      <c r="R68" s="119">
        <f>4.631+2.95+1.565-0.545</f>
        <v>8.6010000000000009</v>
      </c>
      <c r="S68" s="119">
        <f>-7.09+8.609+4.408-1.091-R68</f>
        <v>-3.7650000000000006</v>
      </c>
      <c r="T68" s="119">
        <f>-6.604-1.38+13.339+7.539-SUM(R68:S68)</f>
        <v>8.0579999999999998</v>
      </c>
      <c r="U68" s="119">
        <f>4.846+20.755+9.332-1.993-T68-S68-R68</f>
        <v>20.045999999999999</v>
      </c>
      <c r="V68" s="151">
        <f>SUM(R68:U68)</f>
        <v>32.94</v>
      </c>
      <c r="W68" s="119">
        <f>3.216+6.614</f>
        <v>9.83</v>
      </c>
      <c r="X68" s="119">
        <f>16.184-0.114-W68</f>
        <v>6.24</v>
      </c>
      <c r="Y68" s="119">
        <f>(5.939+18.18)-X68-W68</f>
        <v>8.0489999999999977</v>
      </c>
      <c r="Z68" s="119">
        <f>29.912+18.621-1.189-Y68-X68-W68</f>
        <v>23.225000000000001</v>
      </c>
      <c r="AA68" s="151">
        <f>SUM(W68:Z68)</f>
        <v>47.344000000000001</v>
      </c>
      <c r="AB68" s="119">
        <v>0</v>
      </c>
      <c r="AC68" s="119">
        <v>0</v>
      </c>
      <c r="AD68" s="119">
        <v>0</v>
      </c>
      <c r="AE68" s="119">
        <f>AF68-AD68-AC68-AB68</f>
        <v>0</v>
      </c>
      <c r="AF68" s="151">
        <v>0</v>
      </c>
      <c r="AG68" s="119">
        <v>0</v>
      </c>
      <c r="AH68" s="119">
        <v>0</v>
      </c>
      <c r="AI68" s="119">
        <v>0</v>
      </c>
      <c r="AJ68" s="119">
        <f>AK68-AI68-AH68-AG68</f>
        <v>-49.787999999999997</v>
      </c>
      <c r="AK68" s="151">
        <v>-49.787999999999997</v>
      </c>
      <c r="AL68" s="119">
        <v>-1.829</v>
      </c>
      <c r="AM68" s="119">
        <f>-1.829-AL68</f>
        <v>0</v>
      </c>
      <c r="AN68" s="119">
        <f>-1.829-AM68-AL68</f>
        <v>0</v>
      </c>
      <c r="AO68" s="119">
        <f>AP68-AN68-AM68-AL68</f>
        <v>-50.418999999999997</v>
      </c>
      <c r="AP68" s="151">
        <v>-52.247999999999998</v>
      </c>
      <c r="AQ68" s="119">
        <v>-29.936</v>
      </c>
      <c r="AR68" s="119">
        <f>-30.144-AQ68</f>
        <v>-0.20799999999999841</v>
      </c>
      <c r="AS68" s="119">
        <f>-61.242-AQ68-AR68</f>
        <v>-31.097999999999999</v>
      </c>
      <c r="AT68" s="119">
        <f>AU68-AS68-AR68-AQ68</f>
        <v>-14.467999999999996</v>
      </c>
      <c r="AU68" s="151">
        <v>-75.709999999999994</v>
      </c>
      <c r="AV68" s="119">
        <v>0</v>
      </c>
      <c r="AW68" s="119">
        <f>-40.724</f>
        <v>-40.723999999999997</v>
      </c>
      <c r="AX68" s="119">
        <f>-82.204-AW68-AV68</f>
        <v>-41.48</v>
      </c>
      <c r="AY68" s="119">
        <f>AZ68-AX68-AW68-AV68</f>
        <v>-121.20900000000003</v>
      </c>
      <c r="AZ68" s="151">
        <v>-203.41300000000001</v>
      </c>
      <c r="BA68" s="119">
        <v>0</v>
      </c>
      <c r="BB68" s="119">
        <f>-334.749-BA68</f>
        <v>-334.74900000000002</v>
      </c>
      <c r="BC68" s="119">
        <f>-807.021-(SUM(BA68:BB68))</f>
        <v>-472.27199999999993</v>
      </c>
      <c r="BD68" s="119">
        <f>BE68-BC68-BB68-BA68</f>
        <v>-306.62599999999998</v>
      </c>
      <c r="BE68" s="151">
        <v>-1113.6469999999999</v>
      </c>
      <c r="BF68" s="119">
        <v>-134.30099999999999</v>
      </c>
      <c r="BG68" s="119">
        <f>-204.186-BF68</f>
        <v>-69.885000000000019</v>
      </c>
      <c r="BH68" s="119">
        <f>-367.771-BG68-BF68</f>
        <v>-163.58499999999998</v>
      </c>
      <c r="BI68" s="119">
        <f>BJ68-BH68-BG68-BF68</f>
        <v>-486.27400000000006</v>
      </c>
      <c r="BJ68" s="151">
        <v>-854.04499999999996</v>
      </c>
      <c r="BK68" s="119">
        <v>-115.288</v>
      </c>
      <c r="BL68" s="119">
        <f>-563.137-BK68</f>
        <v>-447.84899999999993</v>
      </c>
      <c r="BM68" s="119">
        <f>-670.988-BL68-BK68</f>
        <v>-107.85100000000013</v>
      </c>
      <c r="BN68" s="119">
        <f>BO68-BM68-BL68-BK68</f>
        <v>-325.80999999999995</v>
      </c>
      <c r="BO68" s="151">
        <v>-996.798</v>
      </c>
      <c r="BP68" s="119">
        <v>-311.3</v>
      </c>
      <c r="BQ68" s="119">
        <f>-311.4-BP68</f>
        <v>-9.9999999999965894E-2</v>
      </c>
      <c r="BR68" s="119">
        <f>-311.4-BQ68-BP68</f>
        <v>0</v>
      </c>
      <c r="BS68" s="119">
        <f>BT68-BR68-BQ68-BP68</f>
        <v>0</v>
      </c>
      <c r="BT68" s="151">
        <v>-311.39999999999998</v>
      </c>
      <c r="BU68" s="119">
        <v>0</v>
      </c>
      <c r="BV68" s="119">
        <v>0</v>
      </c>
      <c r="BW68" s="119">
        <v>0</v>
      </c>
      <c r="BX68" s="119">
        <f>BY68-BW68-BV68-BU68</f>
        <v>0</v>
      </c>
      <c r="BY68" s="151">
        <v>0</v>
      </c>
      <c r="BZ68" s="119">
        <v>0</v>
      </c>
      <c r="CA68" s="119">
        <v>0</v>
      </c>
      <c r="CB68" s="119">
        <f>-169.1-CA68-BZ68</f>
        <v>-169.1</v>
      </c>
      <c r="CC68" s="119">
        <f t="shared" si="85"/>
        <v>-116.50000000000003</v>
      </c>
      <c r="CD68" s="151">
        <v>-285.60000000000002</v>
      </c>
      <c r="CE68" s="119">
        <v>-11.8</v>
      </c>
      <c r="CF68" s="119">
        <f>-60.5-CE68</f>
        <v>-48.7</v>
      </c>
      <c r="CG68" s="119">
        <f>-321.9-CF68-CE68</f>
        <v>-261.39999999999998</v>
      </c>
      <c r="CH68" s="119">
        <f t="shared" si="86"/>
        <v>-234</v>
      </c>
      <c r="CI68" s="151">
        <v>-555.9</v>
      </c>
      <c r="CJ68" s="119">
        <v>-15.7</v>
      </c>
      <c r="CK68" s="119">
        <f>-15.7-CJ68</f>
        <v>0</v>
      </c>
      <c r="CL68" s="119">
        <f>-15.7-SUM(CJ68:CK68)</f>
        <v>0</v>
      </c>
      <c r="CM68" s="119">
        <f t="shared" si="87"/>
        <v>-533.4</v>
      </c>
      <c r="CN68" s="151">
        <v>-549.1</v>
      </c>
      <c r="CO68" s="119">
        <v>-424.8</v>
      </c>
      <c r="CP68" s="119">
        <f>-588.1-CO68</f>
        <v>-163.30000000000001</v>
      </c>
      <c r="CQ68" s="540">
        <f>-588.1-SUM(CO68:CP68)</f>
        <v>0</v>
      </c>
      <c r="CR68" s="540">
        <f>CS68-SUM(CO68:CQ68)</f>
        <v>0</v>
      </c>
      <c r="CS68" s="148">
        <v>-588.1</v>
      </c>
      <c r="CT68" s="540">
        <v>-38.5</v>
      </c>
      <c r="CU68" s="540">
        <f>-290.1-CT68</f>
        <v>-251.60000000000002</v>
      </c>
      <c r="CV68" s="119">
        <f>-595.2-CU68-CT68</f>
        <v>-305.10000000000002</v>
      </c>
      <c r="CW68" s="722">
        <f>CX68-CV68-CU68-CT68</f>
        <v>-163.39999999999998</v>
      </c>
      <c r="CX68" s="727">
        <v>-758.6</v>
      </c>
      <c r="CY68" s="540">
        <v>-215</v>
      </c>
      <c r="CZ68" s="540">
        <f>-346.4-CY68</f>
        <v>-131.39999999999998</v>
      </c>
      <c r="DA68" s="540">
        <f>-921.1-CZ68-CY68</f>
        <v>-574.70000000000005</v>
      </c>
      <c r="DB68" s="815">
        <f>DC68-DA68-CZ68-CY68</f>
        <v>-514.99999999999989</v>
      </c>
      <c r="DC68" s="148">
        <v>-1436.1</v>
      </c>
      <c r="DD68" s="540">
        <v>-245.8</v>
      </c>
      <c r="DE68" s="540">
        <f>-1584.5-DD68</f>
        <v>-1338.7</v>
      </c>
      <c r="DF68" s="540">
        <f>-1590.4-DE68-DD68</f>
        <v>-5.9000000000000341</v>
      </c>
      <c r="DG68" s="815">
        <f>DH68-DF68-DE68-DD68</f>
        <v>-405.19999999999976</v>
      </c>
      <c r="DH68" s="148">
        <v>-1995.6</v>
      </c>
      <c r="DI68" s="540">
        <v>-408.1</v>
      </c>
      <c r="DJ68" s="540">
        <f>-1046.1-DI68</f>
        <v>-637.99999999999989</v>
      </c>
      <c r="DK68" s="540">
        <f>-1214.1-SUM(DI68:DJ68)</f>
        <v>-168</v>
      </c>
      <c r="DL68" s="540">
        <f>-2042.5-SUM(DI68:DK68)</f>
        <v>-828.40000000000009</v>
      </c>
      <c r="DM68" s="148">
        <f t="shared" si="90"/>
        <v>-2042.5</v>
      </c>
      <c r="DN68" s="150">
        <v>-1000</v>
      </c>
      <c r="DO68" s="150">
        <v>-750</v>
      </c>
      <c r="DP68" s="150">
        <v>-750</v>
      </c>
      <c r="DQ68" s="150">
        <v>-750</v>
      </c>
      <c r="DR68" s="149">
        <f t="shared" si="91"/>
        <v>-3250</v>
      </c>
      <c r="DS68" s="150">
        <v>-700</v>
      </c>
      <c r="DT68" s="150">
        <v>-700</v>
      </c>
      <c r="DU68" s="150">
        <v>-700</v>
      </c>
      <c r="DV68" s="150">
        <v>-700</v>
      </c>
      <c r="DW68" s="149">
        <f t="shared" si="92"/>
        <v>-2800</v>
      </c>
      <c r="DX68" s="150">
        <v>-500</v>
      </c>
      <c r="DY68" s="150">
        <v>-500</v>
      </c>
      <c r="DZ68" s="150">
        <v>-900</v>
      </c>
      <c r="EA68" s="150">
        <v>-900</v>
      </c>
      <c r="EB68" s="149">
        <f t="shared" si="93"/>
        <v>-2800</v>
      </c>
      <c r="EE68" s="148"/>
      <c r="EF68" s="148"/>
      <c r="EG68" s="148"/>
      <c r="EH68" s="148"/>
      <c r="EI68" s="148"/>
      <c r="EJ68" s="148"/>
      <c r="EK68" s="148"/>
      <c r="EL68" s="148"/>
      <c r="EM68" s="148"/>
      <c r="EN68" s="148"/>
      <c r="EO68" s="148"/>
      <c r="EP68" s="148"/>
      <c r="EQ68" s="148"/>
      <c r="ER68" s="148"/>
      <c r="FC68"/>
      <c r="FD68"/>
      <c r="FE68"/>
      <c r="FF68"/>
      <c r="FG68"/>
      <c r="FH68"/>
      <c r="FI68" s="396"/>
      <c r="FJ68" s="419"/>
      <c r="FK68" s="419"/>
      <c r="FL68" s="419"/>
      <c r="FM68" s="419"/>
      <c r="FN68" s="419"/>
      <c r="FO68" s="419"/>
      <c r="FP68" s="419"/>
      <c r="FQ68" s="419"/>
      <c r="FR68" s="419"/>
      <c r="FS68" s="419"/>
      <c r="FT68" s="419"/>
      <c r="FU68" s="419"/>
      <c r="FV68" s="419"/>
      <c r="FW68" s="419"/>
      <c r="FX68" s="419"/>
      <c r="FY68" s="419"/>
      <c r="FZ68" s="419"/>
      <c r="GA68" s="419"/>
      <c r="GB68" s="419"/>
      <c r="GC68" s="419"/>
      <c r="GD68" s="419"/>
      <c r="GE68" s="419"/>
      <c r="GF68" s="419"/>
      <c r="GG68" s="419"/>
      <c r="GH68" s="419"/>
      <c r="GI68" s="419"/>
      <c r="GJ68" s="419"/>
      <c r="GK68" s="419"/>
      <c r="GL68" s="419"/>
      <c r="GM68" s="419"/>
      <c r="GN68" s="419"/>
      <c r="GO68" s="419"/>
      <c r="GP68" s="419"/>
      <c r="GQ68" s="419"/>
      <c r="GR68" s="419"/>
      <c r="GS68" s="419"/>
      <c r="GT68" s="419"/>
      <c r="GU68" s="419"/>
      <c r="GV68" s="419"/>
      <c r="GW68" s="418"/>
      <c r="GX68" s="418"/>
      <c r="GY68" s="418"/>
      <c r="GZ68" s="418"/>
      <c r="HA68" s="418"/>
      <c r="HB68" s="418"/>
      <c r="HC68" s="418"/>
      <c r="HD68" s="418"/>
      <c r="HE68" s="418"/>
      <c r="HF68" s="418"/>
      <c r="HG68" s="418"/>
      <c r="HH68" s="418"/>
      <c r="HI68" s="418"/>
      <c r="HJ68" s="418"/>
      <c r="HK68" s="418"/>
      <c r="HL68" s="418"/>
      <c r="HM68" s="418"/>
      <c r="HN68" s="418"/>
      <c r="HO68" s="418"/>
      <c r="HP68" s="418"/>
      <c r="HQ68" s="418"/>
      <c r="HR68" s="418"/>
      <c r="HS68" s="418"/>
      <c r="HT68" s="418"/>
      <c r="HU68" s="418"/>
      <c r="HV68" s="418"/>
      <c r="HW68" s="418"/>
      <c r="HX68" s="418"/>
      <c r="HY68" s="418"/>
      <c r="HZ68" s="418"/>
      <c r="IA68" s="418"/>
      <c r="IB68" s="418"/>
      <c r="IC68" s="418"/>
      <c r="ID68" s="418"/>
      <c r="IE68" s="418"/>
      <c r="IF68" s="418"/>
      <c r="IG68" s="418"/>
      <c r="IH68" s="418"/>
      <c r="II68" s="418"/>
      <c r="IJ68" s="418"/>
      <c r="IK68" s="418"/>
      <c r="IL68" s="418"/>
      <c r="IM68" s="418"/>
      <c r="IN68" s="418"/>
      <c r="IO68" s="418"/>
      <c r="IP68" s="418"/>
      <c r="IQ68" s="418"/>
      <c r="IR68" s="418"/>
      <c r="IS68" s="418"/>
      <c r="IT68" s="418"/>
      <c r="IU68" s="418"/>
      <c r="IV68" s="418"/>
    </row>
    <row r="69" spans="1:256" s="1" customFormat="1" x14ac:dyDescent="0.2">
      <c r="B69" s="125"/>
      <c r="C69" s="111"/>
      <c r="D69" s="111"/>
      <c r="E69" s="111"/>
      <c r="F69" s="111"/>
      <c r="G69" s="125"/>
      <c r="H69" s="111"/>
      <c r="I69" s="111"/>
      <c r="J69" s="111"/>
      <c r="K69" s="111"/>
      <c r="L69" s="125"/>
      <c r="M69" s="111"/>
      <c r="N69" s="111"/>
      <c r="O69" s="111"/>
      <c r="P69" s="111"/>
      <c r="Q69" s="125"/>
      <c r="R69" s="111"/>
      <c r="S69" s="111"/>
      <c r="T69" s="111"/>
      <c r="U69" s="111"/>
      <c r="V69" s="125"/>
      <c r="W69" s="111"/>
      <c r="X69" s="111"/>
      <c r="Y69" s="111"/>
      <c r="Z69" s="111"/>
      <c r="AA69" s="125"/>
      <c r="AB69" s="111"/>
      <c r="AC69" s="111"/>
      <c r="AD69" s="111"/>
      <c r="AE69" s="111"/>
      <c r="AF69" s="125"/>
      <c r="AG69" s="111"/>
      <c r="AH69" s="111"/>
      <c r="AI69" s="111"/>
      <c r="AJ69" s="111"/>
      <c r="AK69" s="125"/>
      <c r="AL69" s="111"/>
      <c r="AM69" s="111"/>
      <c r="AN69" s="111"/>
      <c r="AO69" s="111"/>
      <c r="AP69" s="125"/>
      <c r="AQ69" s="111"/>
      <c r="AR69" s="111"/>
      <c r="AS69" s="111"/>
      <c r="AT69" s="111"/>
      <c r="AU69" s="125"/>
      <c r="AV69" s="111"/>
      <c r="AW69" s="111"/>
      <c r="AX69" s="111"/>
      <c r="AY69" s="111"/>
      <c r="AZ69" s="125"/>
      <c r="BA69" s="111"/>
      <c r="BB69" s="111"/>
      <c r="BC69" s="111"/>
      <c r="BD69" s="111"/>
      <c r="BE69" s="125"/>
      <c r="BF69" s="111"/>
      <c r="BG69" s="111"/>
      <c r="BH69" s="111"/>
      <c r="BI69" s="111"/>
      <c r="BJ69" s="125"/>
      <c r="BK69" s="111"/>
      <c r="BL69" s="111"/>
      <c r="BM69" s="111"/>
      <c r="BN69" s="111"/>
      <c r="BO69" s="125"/>
      <c r="BP69" s="111"/>
      <c r="BQ69" s="111"/>
      <c r="BR69" s="111"/>
      <c r="BS69" s="111"/>
      <c r="BT69" s="125"/>
      <c r="BU69" s="111"/>
      <c r="BV69" s="111"/>
      <c r="BW69" s="111"/>
      <c r="BX69" s="111"/>
      <c r="BY69" s="125"/>
      <c r="BZ69" s="111"/>
      <c r="CA69" s="111"/>
      <c r="CB69" s="111"/>
      <c r="CC69" s="111"/>
      <c r="CD69" s="125"/>
      <c r="CE69" s="111"/>
      <c r="CF69" s="111"/>
      <c r="CG69" s="111"/>
      <c r="CH69" s="111"/>
      <c r="CI69" s="125"/>
      <c r="CJ69" s="111"/>
      <c r="CK69" s="111"/>
      <c r="CL69" s="111"/>
      <c r="CM69" s="111"/>
      <c r="CN69" s="125"/>
      <c r="CO69" s="111"/>
      <c r="CP69" s="111"/>
      <c r="CQ69" s="111"/>
      <c r="CR69" s="143"/>
      <c r="CS69" s="142"/>
      <c r="CT69" s="111"/>
      <c r="CU69" s="111"/>
      <c r="CV69" s="117"/>
      <c r="CW69" s="722"/>
      <c r="CX69" s="719"/>
      <c r="CY69" s="111"/>
      <c r="CZ69" s="111"/>
      <c r="DA69" s="111"/>
      <c r="DB69" s="111"/>
      <c r="DC69" s="125"/>
      <c r="DD69" s="143"/>
      <c r="DE69" s="111"/>
      <c r="DF69" s="143"/>
      <c r="DG69" s="143"/>
      <c r="DH69" s="142"/>
      <c r="DI69" s="143"/>
      <c r="DJ69" s="143"/>
      <c r="DK69" s="111"/>
      <c r="DL69" s="111"/>
      <c r="DM69" s="125"/>
      <c r="DN69" s="143"/>
      <c r="DO69" s="143"/>
      <c r="DP69" s="143"/>
      <c r="DQ69" s="143"/>
      <c r="DR69" s="142"/>
      <c r="DS69" s="143"/>
      <c r="DT69" s="143"/>
      <c r="DU69" s="143"/>
      <c r="DV69" s="143"/>
      <c r="DW69" s="142"/>
      <c r="DX69" s="143"/>
      <c r="DY69" s="143"/>
      <c r="DZ69" s="143"/>
      <c r="EA69" s="143"/>
      <c r="EB69" s="142"/>
      <c r="EE69" s="125"/>
      <c r="EF69" s="125"/>
      <c r="EG69" s="125"/>
      <c r="EH69" s="125"/>
      <c r="EI69" s="125"/>
      <c r="EJ69" s="125"/>
      <c r="EK69" s="125"/>
      <c r="EL69" s="125"/>
      <c r="EM69" s="125"/>
      <c r="EN69" s="125"/>
      <c r="EO69" s="125"/>
      <c r="EP69" s="125"/>
      <c r="EQ69" s="125"/>
      <c r="ER69" s="125"/>
      <c r="FC69"/>
      <c r="FD69"/>
      <c r="FE69"/>
      <c r="FF69"/>
      <c r="FG69"/>
      <c r="FH69"/>
      <c r="FI69" s="396"/>
      <c r="FJ69" s="418"/>
      <c r="FK69" s="418"/>
      <c r="FL69" s="418"/>
      <c r="FM69" s="418"/>
      <c r="FN69" s="418"/>
      <c r="FO69" s="418"/>
      <c r="FP69" s="418"/>
      <c r="FQ69" s="418"/>
      <c r="FR69" s="418"/>
      <c r="FS69" s="418"/>
      <c r="FT69" s="418"/>
      <c r="FU69" s="418"/>
      <c r="FV69" s="418"/>
      <c r="FW69" s="418"/>
      <c r="FX69" s="418"/>
      <c r="FY69" s="418"/>
      <c r="FZ69" s="418"/>
      <c r="GA69" s="418"/>
      <c r="GB69" s="418"/>
      <c r="GC69" s="418"/>
      <c r="GD69" s="418"/>
      <c r="GE69" s="418"/>
      <c r="GF69" s="418"/>
      <c r="GG69" s="418"/>
      <c r="GH69" s="418"/>
      <c r="GI69" s="418"/>
      <c r="GJ69" s="418"/>
      <c r="GK69" s="418"/>
      <c r="GL69" s="418"/>
      <c r="GM69" s="418"/>
      <c r="GN69" s="418"/>
      <c r="GO69" s="418"/>
      <c r="GP69" s="418"/>
      <c r="GQ69" s="418"/>
      <c r="GR69" s="418"/>
      <c r="GS69" s="418"/>
      <c r="GT69" s="418"/>
      <c r="GU69" s="418"/>
      <c r="GV69" s="418"/>
      <c r="GW69" s="418"/>
      <c r="GX69" s="418"/>
      <c r="GY69" s="418"/>
      <c r="GZ69" s="418"/>
      <c r="HA69" s="418"/>
      <c r="HB69" s="418"/>
      <c r="HC69" s="418"/>
      <c r="HD69" s="418"/>
      <c r="HE69" s="418"/>
      <c r="HF69" s="418"/>
      <c r="HG69" s="418"/>
      <c r="HH69" s="418"/>
      <c r="HI69" s="418"/>
      <c r="HJ69" s="418"/>
      <c r="HK69" s="418"/>
      <c r="HL69" s="418"/>
      <c r="HM69" s="418"/>
      <c r="HN69" s="418"/>
      <c r="HO69" s="418"/>
      <c r="HP69" s="418"/>
      <c r="HQ69" s="418"/>
      <c r="HR69" s="418"/>
      <c r="HS69" s="418"/>
      <c r="HT69" s="418"/>
      <c r="HU69" s="418"/>
      <c r="HV69" s="418"/>
      <c r="HW69" s="418"/>
      <c r="HX69" s="418"/>
      <c r="HY69" s="418"/>
      <c r="HZ69" s="418"/>
      <c r="IA69" s="418"/>
      <c r="IB69" s="418"/>
      <c r="IC69" s="418"/>
      <c r="ID69" s="418"/>
      <c r="IE69" s="418"/>
      <c r="IF69" s="418"/>
      <c r="IG69" s="418"/>
      <c r="IH69" s="418"/>
      <c r="II69" s="418"/>
      <c r="IJ69" s="418"/>
      <c r="IK69" s="418"/>
      <c r="IL69" s="418"/>
      <c r="IM69" s="418"/>
      <c r="IN69" s="418"/>
      <c r="IO69" s="418"/>
      <c r="IP69" s="418"/>
      <c r="IQ69" s="418"/>
      <c r="IR69" s="418"/>
      <c r="IS69" s="418"/>
      <c r="IT69" s="418"/>
      <c r="IU69" s="418"/>
      <c r="IV69" s="418"/>
    </row>
    <row r="70" spans="1:256" s="16" customFormat="1" x14ac:dyDescent="0.2">
      <c r="A70" s="33" t="s">
        <v>56</v>
      </c>
      <c r="B70" s="124">
        <f t="shared" ref="B70:V70" si="96">SUM(B63:B68)</f>
        <v>10.426</v>
      </c>
      <c r="C70" s="123">
        <f t="shared" si="96"/>
        <v>149.42099999999999</v>
      </c>
      <c r="D70" s="123">
        <f t="shared" si="96"/>
        <v>20.97</v>
      </c>
      <c r="E70" s="123">
        <f t="shared" si="96"/>
        <v>14.145</v>
      </c>
      <c r="F70" s="123">
        <f t="shared" si="96"/>
        <v>11.215</v>
      </c>
      <c r="G70" s="124">
        <f t="shared" si="96"/>
        <v>195.67000000000002</v>
      </c>
      <c r="H70" s="123">
        <f t="shared" si="96"/>
        <v>-1.9460000000000002</v>
      </c>
      <c r="I70" s="123">
        <f t="shared" si="96"/>
        <v>-6.8000000000000005E-2</v>
      </c>
      <c r="J70" s="123">
        <f t="shared" si="96"/>
        <v>9.8950000000000014</v>
      </c>
      <c r="K70" s="123">
        <f t="shared" si="96"/>
        <v>10.925000000000001</v>
      </c>
      <c r="L70" s="124">
        <f t="shared" si="96"/>
        <v>18.8</v>
      </c>
      <c r="M70" s="123">
        <f t="shared" si="96"/>
        <v>12.069999999999999</v>
      </c>
      <c r="N70" s="123">
        <f t="shared" si="96"/>
        <v>11.994614</v>
      </c>
      <c r="O70" s="123">
        <f t="shared" si="96"/>
        <v>18.433619386</v>
      </c>
      <c r="P70" s="123">
        <f t="shared" si="96"/>
        <v>20.091926766613998</v>
      </c>
      <c r="Q70" s="124">
        <f t="shared" si="96"/>
        <v>34.374000000000002</v>
      </c>
      <c r="R70" s="123">
        <f t="shared" si="96"/>
        <v>14.392000000000001</v>
      </c>
      <c r="S70" s="123">
        <f t="shared" si="96"/>
        <v>-2.6750000000000007</v>
      </c>
      <c r="T70" s="123">
        <f t="shared" si="96"/>
        <v>9.2779999999999987</v>
      </c>
      <c r="U70" s="123">
        <f t="shared" si="96"/>
        <v>16.594000000000001</v>
      </c>
      <c r="V70" s="124">
        <f t="shared" si="96"/>
        <v>37.588999999999999</v>
      </c>
      <c r="W70" s="123">
        <f t="shared" ref="W70:AR70" si="97">SUM(W58:W68)</f>
        <v>21.509999999999998</v>
      </c>
      <c r="X70" s="123">
        <f t="shared" si="97"/>
        <v>27.678000000000004</v>
      </c>
      <c r="Y70" s="123">
        <f t="shared" si="97"/>
        <v>11.963999999999997</v>
      </c>
      <c r="Z70" s="123">
        <f t="shared" si="97"/>
        <v>29.377000000000002</v>
      </c>
      <c r="AA70" s="124">
        <f t="shared" si="97"/>
        <v>90.528999999999996</v>
      </c>
      <c r="AB70" s="123">
        <f t="shared" si="97"/>
        <v>-11.273</v>
      </c>
      <c r="AC70" s="123">
        <f t="shared" si="97"/>
        <v>34.054000000000002</v>
      </c>
      <c r="AD70" s="123">
        <f t="shared" si="97"/>
        <v>9.9089999999999954</v>
      </c>
      <c r="AE70" s="123">
        <f t="shared" si="97"/>
        <v>26.663</v>
      </c>
      <c r="AF70" s="124">
        <f t="shared" si="97"/>
        <v>59.352999999999994</v>
      </c>
      <c r="AG70" s="123">
        <f t="shared" si="97"/>
        <v>20.063000000000002</v>
      </c>
      <c r="AH70" s="123">
        <f t="shared" si="97"/>
        <v>18.353000000000002</v>
      </c>
      <c r="AI70" s="123">
        <f t="shared" si="97"/>
        <v>24.129000000000005</v>
      </c>
      <c r="AJ70" s="123">
        <f t="shared" si="97"/>
        <v>-53.378999999999998</v>
      </c>
      <c r="AK70" s="124">
        <f t="shared" si="97"/>
        <v>9.1660000000000039</v>
      </c>
      <c r="AL70" s="123">
        <f t="shared" si="97"/>
        <v>16.905000000000001</v>
      </c>
      <c r="AM70" s="123">
        <f t="shared" si="97"/>
        <v>27.966999999999995</v>
      </c>
      <c r="AN70" s="123">
        <f t="shared" si="97"/>
        <v>49.865000000000009</v>
      </c>
      <c r="AO70" s="123">
        <f t="shared" si="97"/>
        <v>-40.215000000000003</v>
      </c>
      <c r="AP70" s="124">
        <f t="shared" si="97"/>
        <v>54.521999999999998</v>
      </c>
      <c r="AQ70" s="123">
        <f t="shared" si="97"/>
        <v>-18.311999999999998</v>
      </c>
      <c r="AR70" s="123">
        <f t="shared" si="97"/>
        <v>39.955999999999996</v>
      </c>
      <c r="AS70" s="123">
        <f>10.531-AQ70-AR70</f>
        <v>-11.113</v>
      </c>
      <c r="AT70" s="123">
        <f t="shared" ref="AT70:AY70" si="98">SUM(AT58:AT68)</f>
        <v>20.249000000000002</v>
      </c>
      <c r="AU70" s="124">
        <f t="shared" si="98"/>
        <v>30.763000000000019</v>
      </c>
      <c r="AV70" s="123">
        <f t="shared" si="98"/>
        <v>30.52</v>
      </c>
      <c r="AW70" s="123">
        <f t="shared" si="98"/>
        <v>1.5139999999999958</v>
      </c>
      <c r="AX70" s="123">
        <f t="shared" si="98"/>
        <v>-11.432999999999993</v>
      </c>
      <c r="AY70" s="123">
        <f t="shared" si="98"/>
        <v>-224.73600000000005</v>
      </c>
      <c r="AZ70" s="124">
        <f>SUM(AZ60:AZ68)</f>
        <v>-66.545000000000016</v>
      </c>
      <c r="BA70" s="123">
        <f>SUM(BA58:BA68)</f>
        <v>91.24</v>
      </c>
      <c r="BB70" s="123">
        <f>SUM(BB58:BB68)</f>
        <v>-304.82100000000003</v>
      </c>
      <c r="BC70" s="123">
        <f>SUM(BC58:BC68)</f>
        <v>-448.11999999999995</v>
      </c>
      <c r="BD70" s="123">
        <f>SUM(BD58:BD68)</f>
        <v>-12.125999999999976</v>
      </c>
      <c r="BE70" s="124">
        <f>SUM(BE59:BE68)</f>
        <v>-673.827</v>
      </c>
      <c r="BF70" s="123">
        <f>SUM(BF58:BF68)</f>
        <v>-238.351</v>
      </c>
      <c r="BG70" s="123">
        <f>SUM(BG58:BG68)</f>
        <v>-1.7170000000000272</v>
      </c>
      <c r="BH70" s="123">
        <f>SUM(BH58:BH68)</f>
        <v>19.888000000000062</v>
      </c>
      <c r="BI70" s="123">
        <f>SUM(BI58:BI68)</f>
        <v>64.853999999999985</v>
      </c>
      <c r="BJ70" s="124">
        <f>SUM(BJ58:BJ69)</f>
        <v>-155.32600000000002</v>
      </c>
      <c r="BK70" s="123">
        <f>SUM(BK58:BK68)</f>
        <v>-355.34899999999999</v>
      </c>
      <c r="BL70" s="123">
        <f>SUM(BL58:BL68)</f>
        <v>93.360000000000014</v>
      </c>
      <c r="BM70" s="123">
        <f>SUM(BM56:BM69)</f>
        <v>-40.982000000000298</v>
      </c>
      <c r="BN70" s="123">
        <f t="shared" ref="BN70:BZ70" si="99">SUM(BN56:BN68)</f>
        <v>131.08400000000177</v>
      </c>
      <c r="BO70" s="124">
        <f t="shared" si="99"/>
        <v>-171.8870000000004</v>
      </c>
      <c r="BP70" s="123">
        <f t="shared" si="99"/>
        <v>-467.66099999999926</v>
      </c>
      <c r="BQ70" s="123">
        <f t="shared" si="99"/>
        <v>213.80000000000075</v>
      </c>
      <c r="BR70" s="123">
        <f t="shared" si="99"/>
        <v>-53.599999999999987</v>
      </c>
      <c r="BS70" s="123">
        <f t="shared" si="99"/>
        <v>123.00000000000512</v>
      </c>
      <c r="BT70" s="124">
        <f t="shared" si="99"/>
        <v>-184.46099999999706</v>
      </c>
      <c r="BU70" s="123">
        <f t="shared" si="99"/>
        <v>-410.39999999999964</v>
      </c>
      <c r="BV70" s="123">
        <f t="shared" si="99"/>
        <v>-54.799999999998953</v>
      </c>
      <c r="BW70" s="123">
        <f t="shared" si="99"/>
        <v>-216.29999999999998</v>
      </c>
      <c r="BX70" s="123">
        <f t="shared" si="99"/>
        <v>39.29999999999999</v>
      </c>
      <c r="BY70" s="124">
        <f t="shared" si="99"/>
        <v>-642.19999999999868</v>
      </c>
      <c r="BZ70" s="123">
        <f t="shared" si="99"/>
        <v>39.800000000000004</v>
      </c>
      <c r="CA70" s="123">
        <f>SUM(CA56:CA69)</f>
        <v>29.300000000000004</v>
      </c>
      <c r="CB70" s="123">
        <f t="shared" ref="CB70:DG70" si="100">SUM(CB56:CB68)</f>
        <v>-209.39999999999998</v>
      </c>
      <c r="CC70" s="123">
        <f t="shared" si="100"/>
        <v>-205.70000000000005</v>
      </c>
      <c r="CD70" s="124">
        <f t="shared" si="100"/>
        <v>-346</v>
      </c>
      <c r="CE70" s="123">
        <f t="shared" si="100"/>
        <v>-9.899999999999995</v>
      </c>
      <c r="CF70" s="123">
        <f t="shared" si="100"/>
        <v>-51.40000000000002</v>
      </c>
      <c r="CG70" s="123">
        <f t="shared" si="100"/>
        <v>-306.09999999999997</v>
      </c>
      <c r="CH70" s="123">
        <f t="shared" si="100"/>
        <v>-240.59999999999997</v>
      </c>
      <c r="CI70" s="124">
        <f t="shared" si="100"/>
        <v>-608</v>
      </c>
      <c r="CJ70" s="123">
        <f t="shared" si="100"/>
        <v>-26.599999999999991</v>
      </c>
      <c r="CK70" s="123">
        <f t="shared" si="100"/>
        <v>14.700000000000017</v>
      </c>
      <c r="CL70" s="123">
        <f t="shared" si="100"/>
        <v>-76.599999999999994</v>
      </c>
      <c r="CM70" s="123">
        <f t="shared" si="100"/>
        <v>-626.19999999999993</v>
      </c>
      <c r="CN70" s="124">
        <f t="shared" si="100"/>
        <v>-714.7</v>
      </c>
      <c r="CO70" s="123">
        <f t="shared" si="100"/>
        <v>-434</v>
      </c>
      <c r="CP70" s="123">
        <f t="shared" si="100"/>
        <v>-284.5</v>
      </c>
      <c r="CQ70" s="203">
        <f t="shared" si="100"/>
        <v>-65.299999999999969</v>
      </c>
      <c r="CR70" s="203">
        <f t="shared" si="100"/>
        <v>675.6</v>
      </c>
      <c r="CS70" s="120">
        <f t="shared" si="100"/>
        <v>-108.20000000000005</v>
      </c>
      <c r="CT70" s="203">
        <f t="shared" si="100"/>
        <v>568.9</v>
      </c>
      <c r="CU70" s="203">
        <f t="shared" si="100"/>
        <v>-411.5</v>
      </c>
      <c r="CV70" s="123">
        <f t="shared" si="100"/>
        <v>-453.1</v>
      </c>
      <c r="CW70" s="692">
        <f t="shared" si="100"/>
        <v>-327.60000000000002</v>
      </c>
      <c r="CX70" s="728">
        <f t="shared" si="100"/>
        <v>-623.30000000000007</v>
      </c>
      <c r="CY70" s="203">
        <f t="shared" si="100"/>
        <v>-668.30000000000007</v>
      </c>
      <c r="CZ70" s="203">
        <f t="shared" si="100"/>
        <v>-307.09999999999997</v>
      </c>
      <c r="DA70" s="203">
        <f t="shared" si="100"/>
        <v>-21.399999999999977</v>
      </c>
      <c r="DB70" s="203">
        <f t="shared" si="100"/>
        <v>-1259.6999999999998</v>
      </c>
      <c r="DC70" s="120">
        <f t="shared" si="100"/>
        <v>-2256.5</v>
      </c>
      <c r="DD70" s="906">
        <f>SUM(DD56:DD68)</f>
        <v>-528.70000000000005</v>
      </c>
      <c r="DE70" s="906">
        <f t="shared" ref="DE70" si="101">SUM(DE56:DE68)</f>
        <v>-934.30000000000007</v>
      </c>
      <c r="DF70" s="906">
        <f t="shared" si="100"/>
        <v>368.89999999999992</v>
      </c>
      <c r="DG70" s="203">
        <f t="shared" si="100"/>
        <v>-655.89999999999975</v>
      </c>
      <c r="DH70" s="120">
        <f t="shared" ref="DH70:EB70" si="102">SUM(DH56:DH68)</f>
        <v>-1750</v>
      </c>
      <c r="DI70" s="906">
        <f t="shared" si="102"/>
        <v>-1155</v>
      </c>
      <c r="DJ70" s="203">
        <f t="shared" si="102"/>
        <v>-162.89999999999975</v>
      </c>
      <c r="DK70" s="906">
        <f t="shared" si="102"/>
        <v>-504.9</v>
      </c>
      <c r="DL70" s="203">
        <f t="shared" si="102"/>
        <v>-1178.8000000000002</v>
      </c>
      <c r="DM70" s="120">
        <f t="shared" si="102"/>
        <v>-3001.6000000000004</v>
      </c>
      <c r="DN70" s="137">
        <f t="shared" si="102"/>
        <v>131.86380142808571</v>
      </c>
      <c r="DO70" s="137">
        <f t="shared" si="102"/>
        <v>-1125.7707548533483</v>
      </c>
      <c r="DP70" s="137">
        <f t="shared" si="102"/>
        <v>-1127.2641696246035</v>
      </c>
      <c r="DQ70" s="137">
        <f t="shared" si="102"/>
        <v>-1115.1048839072566</v>
      </c>
      <c r="DR70" s="136">
        <f t="shared" si="102"/>
        <v>-3236.2760069571227</v>
      </c>
      <c r="DS70" s="137">
        <f t="shared" si="102"/>
        <v>366.06458210570327</v>
      </c>
      <c r="DT70" s="137">
        <f t="shared" si="102"/>
        <v>-1142.9433316078391</v>
      </c>
      <c r="DU70" s="137">
        <f t="shared" si="102"/>
        <v>-1149.3898990577372</v>
      </c>
      <c r="DV70" s="137">
        <f t="shared" si="102"/>
        <v>-1132.4048741683291</v>
      </c>
      <c r="DW70" s="136">
        <f t="shared" si="102"/>
        <v>-3058.6735227282024</v>
      </c>
      <c r="DX70" s="137">
        <f t="shared" si="102"/>
        <v>-18.998839353058088</v>
      </c>
      <c r="DY70" s="137">
        <f t="shared" si="102"/>
        <v>-1029.4332883235249</v>
      </c>
      <c r="DZ70" s="137">
        <f t="shared" si="102"/>
        <v>-1435.5605316508004</v>
      </c>
      <c r="EA70" s="137">
        <f t="shared" si="102"/>
        <v>-1416.2756480293961</v>
      </c>
      <c r="EB70" s="136">
        <f t="shared" si="102"/>
        <v>-3900.2683073567796</v>
      </c>
      <c r="EE70" s="120">
        <f>BG70+BH70+BI70+BK70</f>
        <v>-272.32399999999996</v>
      </c>
      <c r="EF70" s="120">
        <f>BL70+BM70+BN70+BP70</f>
        <v>-284.1989999999978</v>
      </c>
      <c r="EG70" s="120">
        <f>BQ70+BR70+BS70+BU70</f>
        <v>-127.19999999999379</v>
      </c>
      <c r="EH70" s="120"/>
      <c r="EI70" s="120"/>
      <c r="EJ70" s="120"/>
      <c r="EK70" s="120"/>
      <c r="EL70" s="120"/>
      <c r="EM70" s="120"/>
      <c r="EN70" s="120"/>
      <c r="EO70" s="120"/>
      <c r="EP70" s="120"/>
      <c r="EQ70" s="120"/>
      <c r="ER70" s="120"/>
      <c r="FC70"/>
      <c r="FD70"/>
      <c r="FE70"/>
      <c r="FF70"/>
      <c r="FG70"/>
      <c r="FH70"/>
      <c r="FI70" s="396"/>
      <c r="FJ70" s="418"/>
      <c r="FK70" s="418"/>
      <c r="FL70" s="418"/>
      <c r="FM70" s="418"/>
      <c r="FN70" s="418"/>
      <c r="FO70" s="418"/>
      <c r="FP70" s="418"/>
      <c r="FQ70" s="418"/>
      <c r="FR70" s="418"/>
      <c r="FS70" s="418"/>
      <c r="FT70" s="418"/>
      <c r="FU70" s="418"/>
      <c r="FV70" s="418"/>
      <c r="FW70" s="418"/>
      <c r="FX70" s="418"/>
      <c r="FY70" s="418"/>
      <c r="FZ70" s="418"/>
      <c r="GA70" s="418"/>
      <c r="GB70" s="418"/>
      <c r="GC70" s="418"/>
      <c r="GD70" s="418"/>
      <c r="GE70" s="418"/>
      <c r="GF70" s="418"/>
      <c r="GG70" s="418"/>
      <c r="GH70" s="418"/>
      <c r="GI70" s="418"/>
      <c r="GJ70" s="418"/>
      <c r="GK70" s="418"/>
      <c r="GL70" s="418"/>
      <c r="GM70" s="418"/>
      <c r="GN70" s="418"/>
      <c r="GO70" s="418"/>
      <c r="GP70" s="418"/>
      <c r="GQ70" s="418"/>
      <c r="GR70" s="418"/>
      <c r="GS70" s="418"/>
      <c r="GT70" s="418"/>
      <c r="GU70" s="418"/>
      <c r="GV70" s="418"/>
      <c r="GW70" s="418"/>
      <c r="GX70" s="418"/>
      <c r="GY70" s="418"/>
      <c r="GZ70" s="418"/>
      <c r="HA70" s="418"/>
      <c r="HB70" s="418"/>
      <c r="HC70" s="418"/>
      <c r="HD70" s="418"/>
      <c r="HE70" s="418"/>
      <c r="HF70" s="418"/>
      <c r="HG70" s="418"/>
      <c r="HH70" s="418"/>
      <c r="HI70" s="418"/>
      <c r="HJ70" s="418"/>
      <c r="HK70" s="418"/>
      <c r="HL70" s="418"/>
      <c r="HM70" s="418"/>
      <c r="HN70" s="418"/>
      <c r="HO70" s="418"/>
      <c r="HP70" s="418"/>
      <c r="HQ70" s="418"/>
      <c r="HR70" s="418"/>
      <c r="HS70" s="418"/>
      <c r="HT70" s="418"/>
      <c r="HU70" s="418"/>
      <c r="HV70" s="418"/>
      <c r="HW70" s="418"/>
      <c r="HX70" s="418"/>
      <c r="HY70" s="418"/>
      <c r="HZ70" s="418"/>
      <c r="IA70" s="418"/>
      <c r="IB70" s="418"/>
      <c r="IC70" s="418"/>
      <c r="ID70" s="418"/>
      <c r="IE70" s="418"/>
      <c r="IF70" s="418"/>
      <c r="IG70" s="418"/>
      <c r="IH70" s="418"/>
      <c r="II70" s="418"/>
      <c r="IJ70" s="418"/>
      <c r="IK70" s="418"/>
      <c r="IL70" s="418"/>
      <c r="IM70" s="418"/>
      <c r="IN70" s="418"/>
      <c r="IO70" s="418"/>
      <c r="IP70" s="418"/>
      <c r="IQ70" s="418"/>
      <c r="IR70" s="418"/>
      <c r="IS70" s="418"/>
      <c r="IT70" s="418"/>
      <c r="IU70" s="418"/>
      <c r="IV70" s="418"/>
    </row>
    <row r="71" spans="1:256" s="1" customFormat="1" ht="2.25" customHeight="1" x14ac:dyDescent="0.2">
      <c r="B71" s="125"/>
      <c r="C71" s="111"/>
      <c r="D71" s="111"/>
      <c r="E71" s="111"/>
      <c r="F71" s="111"/>
      <c r="G71" s="125"/>
      <c r="H71" s="111"/>
      <c r="I71" s="111"/>
      <c r="J71" s="111"/>
      <c r="K71" s="111"/>
      <c r="L71" s="125"/>
      <c r="M71" s="111"/>
      <c r="N71" s="111"/>
      <c r="O71" s="111"/>
      <c r="P71" s="111"/>
      <c r="Q71" s="125"/>
      <c r="R71" s="111"/>
      <c r="S71" s="111"/>
      <c r="T71" s="111"/>
      <c r="U71" s="111"/>
      <c r="V71" s="125"/>
      <c r="W71" s="111"/>
      <c r="X71" s="111"/>
      <c r="Y71" s="111"/>
      <c r="Z71" s="111"/>
      <c r="AA71" s="125"/>
      <c r="AB71" s="111"/>
      <c r="AC71" s="111"/>
      <c r="AD71" s="111"/>
      <c r="AE71" s="111"/>
      <c r="AF71" s="125"/>
      <c r="AG71" s="111"/>
      <c r="AH71" s="111"/>
      <c r="AI71" s="111"/>
      <c r="AJ71" s="111"/>
      <c r="AK71" s="125"/>
      <c r="AL71" s="111"/>
      <c r="AM71" s="111"/>
      <c r="AN71" s="111"/>
      <c r="AO71" s="111"/>
      <c r="AP71" s="125"/>
      <c r="AQ71" s="111"/>
      <c r="AR71" s="111"/>
      <c r="AS71" s="111"/>
      <c r="AT71" s="111"/>
      <c r="AU71" s="125"/>
      <c r="AV71" s="111"/>
      <c r="AW71" s="111"/>
      <c r="AX71" s="111"/>
      <c r="AY71" s="111"/>
      <c r="AZ71" s="125"/>
      <c r="BA71" s="111"/>
      <c r="BB71" s="111"/>
      <c r="BC71" s="111"/>
      <c r="BD71" s="111"/>
      <c r="BE71" s="125"/>
      <c r="BF71" s="111"/>
      <c r="BG71" s="111"/>
      <c r="BH71" s="111"/>
      <c r="BI71" s="111"/>
      <c r="BJ71" s="125"/>
      <c r="BK71" s="111"/>
      <c r="BL71" s="111"/>
      <c r="BM71" s="111"/>
      <c r="BN71" s="111"/>
      <c r="BO71" s="125"/>
      <c r="BP71" s="111"/>
      <c r="BQ71" s="111"/>
      <c r="BR71" s="111"/>
      <c r="BS71" s="111"/>
      <c r="BT71" s="125"/>
      <c r="BU71" s="111"/>
      <c r="BV71" s="111"/>
      <c r="BW71" s="111"/>
      <c r="BX71" s="111"/>
      <c r="BY71" s="125"/>
      <c r="BZ71" s="111"/>
      <c r="CA71" s="111"/>
      <c r="CB71" s="111"/>
      <c r="CC71" s="111"/>
      <c r="CD71" s="125"/>
      <c r="CE71" s="111"/>
      <c r="CF71" s="111"/>
      <c r="CG71" s="111"/>
      <c r="CH71" s="111"/>
      <c r="CI71" s="125"/>
      <c r="CJ71" s="111"/>
      <c r="CK71" s="111"/>
      <c r="CL71" s="111"/>
      <c r="CM71" s="111"/>
      <c r="CN71" s="125"/>
      <c r="CO71" s="111"/>
      <c r="CP71" s="111"/>
      <c r="CQ71" s="111"/>
      <c r="CR71" s="111"/>
      <c r="CS71" s="125"/>
      <c r="CT71" s="111"/>
      <c r="CU71" s="111"/>
      <c r="CV71" s="117"/>
      <c r="CW71" s="659"/>
      <c r="CX71" s="719"/>
      <c r="CY71" s="111"/>
      <c r="CZ71" s="111"/>
      <c r="DA71" s="111"/>
      <c r="DB71" s="111"/>
      <c r="DC71" s="125"/>
      <c r="DD71" s="143"/>
      <c r="DE71" s="143"/>
      <c r="DF71" s="143"/>
      <c r="DG71" s="143"/>
      <c r="DH71" s="142"/>
      <c r="DI71" s="143"/>
      <c r="DJ71" s="111"/>
      <c r="DK71" s="111"/>
      <c r="DL71" s="111"/>
      <c r="DM71" s="125"/>
      <c r="DN71" s="143"/>
      <c r="DO71" s="143"/>
      <c r="DP71" s="143"/>
      <c r="DQ71" s="143"/>
      <c r="DR71" s="142"/>
      <c r="DS71" s="143"/>
      <c r="DT71" s="143"/>
      <c r="DU71" s="143"/>
      <c r="DV71" s="143"/>
      <c r="DW71" s="142"/>
      <c r="DX71" s="143"/>
      <c r="DY71" s="143"/>
      <c r="DZ71" s="143"/>
      <c r="EA71" s="143"/>
      <c r="EB71" s="142"/>
      <c r="EE71" s="125"/>
      <c r="EF71" s="125"/>
      <c r="EG71" s="125"/>
      <c r="EH71" s="125"/>
      <c r="EI71" s="125"/>
      <c r="EJ71" s="125"/>
      <c r="EK71" s="125"/>
      <c r="EL71" s="125"/>
      <c r="EM71" s="125"/>
      <c r="EN71" s="125"/>
      <c r="EO71" s="125"/>
      <c r="EP71" s="125"/>
      <c r="EQ71" s="125"/>
      <c r="ER71" s="125"/>
      <c r="FC71"/>
      <c r="FD71"/>
      <c r="FE71"/>
      <c r="FF71"/>
      <c r="FG71"/>
      <c r="FH71"/>
      <c r="FI71" s="396"/>
      <c r="FJ71" s="418"/>
      <c r="FK71" s="418"/>
      <c r="FL71" s="418"/>
      <c r="FM71" s="418"/>
      <c r="FN71" s="418"/>
      <c r="FO71" s="418"/>
      <c r="FP71" s="418"/>
      <c r="FQ71" s="418"/>
      <c r="FR71" s="418"/>
      <c r="FS71" s="418"/>
      <c r="FT71" s="418"/>
      <c r="FU71" s="418"/>
      <c r="FV71" s="418"/>
      <c r="FW71" s="418"/>
      <c r="FX71" s="418"/>
      <c r="FY71" s="418"/>
      <c r="FZ71" s="418"/>
      <c r="GA71" s="418"/>
      <c r="GB71" s="418"/>
      <c r="GC71" s="418"/>
      <c r="GD71" s="418"/>
      <c r="GE71" s="418"/>
      <c r="GF71" s="418"/>
      <c r="GG71" s="418"/>
      <c r="GH71" s="418"/>
      <c r="GI71" s="418"/>
      <c r="GJ71" s="418"/>
      <c r="GK71" s="418"/>
      <c r="GL71" s="418"/>
      <c r="GM71" s="418"/>
      <c r="GN71" s="418"/>
      <c r="GO71" s="418"/>
      <c r="GP71" s="418"/>
      <c r="GQ71" s="418"/>
      <c r="GR71" s="418"/>
      <c r="GS71" s="418"/>
      <c r="GT71" s="418"/>
      <c r="GU71" s="418"/>
      <c r="GV71" s="418"/>
      <c r="GW71" s="418"/>
      <c r="GX71" s="418"/>
      <c r="GY71" s="418"/>
      <c r="GZ71" s="418"/>
      <c r="HA71" s="418"/>
      <c r="HB71" s="418"/>
      <c r="HC71" s="418"/>
      <c r="HD71" s="418"/>
      <c r="HE71" s="418"/>
      <c r="HF71" s="418"/>
      <c r="HG71" s="418"/>
      <c r="HH71" s="418"/>
      <c r="HI71" s="418"/>
      <c r="HJ71" s="418"/>
      <c r="HK71" s="418"/>
      <c r="HL71" s="418"/>
      <c r="HM71" s="418"/>
      <c r="HN71" s="418"/>
      <c r="HO71" s="418"/>
      <c r="HP71" s="418"/>
      <c r="HQ71" s="418"/>
      <c r="HR71" s="418"/>
      <c r="HS71" s="418"/>
      <c r="HT71" s="418"/>
      <c r="HU71" s="418"/>
      <c r="HV71" s="418"/>
      <c r="HW71" s="418"/>
      <c r="HX71" s="418"/>
      <c r="HY71" s="418"/>
      <c r="HZ71" s="418"/>
      <c r="IA71" s="418"/>
      <c r="IB71" s="418"/>
      <c r="IC71" s="418"/>
      <c r="ID71" s="418"/>
      <c r="IE71" s="418"/>
      <c r="IF71" s="418"/>
      <c r="IG71" s="418"/>
      <c r="IH71" s="418"/>
      <c r="II71" s="418"/>
      <c r="IJ71" s="418"/>
      <c r="IK71" s="418"/>
      <c r="IL71" s="418"/>
      <c r="IM71" s="418"/>
      <c r="IN71" s="418"/>
      <c r="IO71" s="418"/>
      <c r="IP71" s="418"/>
      <c r="IQ71" s="418"/>
      <c r="IR71" s="418"/>
      <c r="IS71" s="418"/>
      <c r="IT71" s="418"/>
      <c r="IU71" s="418"/>
      <c r="IV71" s="418"/>
    </row>
    <row r="72" spans="1:256" s="1" customFormat="1" x14ac:dyDescent="0.2">
      <c r="A72" s="1" t="s">
        <v>516</v>
      </c>
      <c r="B72" s="128">
        <v>0</v>
      </c>
      <c r="C72" s="104">
        <v>0</v>
      </c>
      <c r="D72" s="104">
        <v>0</v>
      </c>
      <c r="E72" s="104">
        <v>0</v>
      </c>
      <c r="F72" s="104">
        <f>G72-E72-D72-C72</f>
        <v>0</v>
      </c>
      <c r="G72" s="128">
        <v>0</v>
      </c>
      <c r="H72" s="104">
        <v>0</v>
      </c>
      <c r="I72" s="104">
        <v>0</v>
      </c>
      <c r="J72" s="104">
        <v>0</v>
      </c>
      <c r="K72" s="104">
        <f>L72-J72-I72-H72</f>
        <v>0</v>
      </c>
      <c r="L72" s="128">
        <v>0</v>
      </c>
      <c r="M72" s="104">
        <v>0</v>
      </c>
      <c r="N72" s="104">
        <v>0</v>
      </c>
      <c r="O72" s="104">
        <v>0</v>
      </c>
      <c r="P72" s="104">
        <f>Q72-O72-N72-M72</f>
        <v>0</v>
      </c>
      <c r="Q72" s="128">
        <v>0</v>
      </c>
      <c r="R72" s="104">
        <v>-0.107</v>
      </c>
      <c r="S72" s="104">
        <f>-0.039-R72</f>
        <v>6.8000000000000005E-2</v>
      </c>
      <c r="T72" s="104">
        <f>-0.225-S72-R72</f>
        <v>-0.18600000000000005</v>
      </c>
      <c r="U72" s="104">
        <f>V72-T72-S72-R72</f>
        <v>-87.774999999999991</v>
      </c>
      <c r="V72" s="128">
        <v>-88</v>
      </c>
      <c r="W72" s="104">
        <v>-0.33200000000000002</v>
      </c>
      <c r="X72" s="104">
        <f>1.25-W72</f>
        <v>1.5820000000000001</v>
      </c>
      <c r="Y72" s="104">
        <f>0.486-X72-W72</f>
        <v>-0.76400000000000001</v>
      </c>
      <c r="Z72" s="104">
        <f>AA72-Y72-X72-W72</f>
        <v>-0.54</v>
      </c>
      <c r="AA72" s="128">
        <v>-5.3999999999999999E-2</v>
      </c>
      <c r="AB72" s="104">
        <v>0.16900000000000001</v>
      </c>
      <c r="AC72" s="104">
        <f>-0.024-AB72</f>
        <v>-0.193</v>
      </c>
      <c r="AD72" s="104">
        <f>-0.208-AC72-AB72</f>
        <v>-0.184</v>
      </c>
      <c r="AE72" s="104">
        <f>AF72-AD72-AC72-AB72</f>
        <v>-8.8999999999999996E-2</v>
      </c>
      <c r="AF72" s="128">
        <v>-0.29699999999999999</v>
      </c>
      <c r="AG72" s="104">
        <v>-3.2000000000000001E-2</v>
      </c>
      <c r="AH72" s="104">
        <f>-0.094-AG72</f>
        <v>-6.2E-2</v>
      </c>
      <c r="AI72" s="104">
        <f>-0.085-AH72-AG72</f>
        <v>8.9999999999999941E-3</v>
      </c>
      <c r="AJ72" s="104">
        <f>AK72-AI72-AH72-AG72</f>
        <v>-8.8999999999999996E-2</v>
      </c>
      <c r="AK72" s="128">
        <v>-0.17399999999999999</v>
      </c>
      <c r="AL72" s="104">
        <v>-0.221</v>
      </c>
      <c r="AM72" s="104">
        <f>-0.179-AL72</f>
        <v>4.200000000000001E-2</v>
      </c>
      <c r="AN72" s="104">
        <f>1.282-AM72-AL72</f>
        <v>1.4610000000000001</v>
      </c>
      <c r="AO72" s="104">
        <f>AP72-AN72-AM72-AL72</f>
        <v>0.27799999999999997</v>
      </c>
      <c r="AP72" s="128">
        <v>1.56</v>
      </c>
      <c r="AQ72" s="104">
        <v>0.499</v>
      </c>
      <c r="AR72" s="104">
        <f>1.047-AQ72</f>
        <v>0.54799999999999993</v>
      </c>
      <c r="AS72" s="104">
        <f>3.657-AR72-AQ72</f>
        <v>2.61</v>
      </c>
      <c r="AT72" s="104">
        <f>AU72-AS72-AR72-AQ72</f>
        <v>-0.37799999999999989</v>
      </c>
      <c r="AU72" s="128">
        <v>3.2789999999999999</v>
      </c>
      <c r="AV72" s="104">
        <v>2.75</v>
      </c>
      <c r="AW72" s="104">
        <f>2.753-AV72</f>
        <v>3.0000000000001137E-3</v>
      </c>
      <c r="AX72" s="104">
        <f>2.493-AW72-AV72</f>
        <v>-0.26000000000000023</v>
      </c>
      <c r="AY72" s="104">
        <f>AZ72-AX72-AW72-AV72</f>
        <v>0.61800000000000033</v>
      </c>
      <c r="AZ72" s="128">
        <v>3.1110000000000002</v>
      </c>
      <c r="BA72" s="104">
        <v>4.6100000000000003</v>
      </c>
      <c r="BB72" s="104">
        <f>2.117-BA72</f>
        <v>-2.4930000000000003</v>
      </c>
      <c r="BC72" s="104">
        <f>-0.732-(SUM(BA72:BB72))</f>
        <v>-2.8490000000000002</v>
      </c>
      <c r="BD72" s="104">
        <f>BE72-BC72-BB72-BA72</f>
        <v>1.0149999999999997</v>
      </c>
      <c r="BE72" s="128">
        <v>0.28299999999999997</v>
      </c>
      <c r="BF72" s="104">
        <v>9.2999999999999999E-2</v>
      </c>
      <c r="BG72" s="104">
        <f>1.418-BF72</f>
        <v>1.325</v>
      </c>
      <c r="BH72" s="104">
        <f>3.902-BG72-BF72</f>
        <v>2.484</v>
      </c>
      <c r="BI72" s="104">
        <f>BJ72-BH72-BG72-BF72</f>
        <v>-0.37200000000000011</v>
      </c>
      <c r="BJ72" s="128">
        <v>3.53</v>
      </c>
      <c r="BK72" s="104">
        <v>1.9770000000000001</v>
      </c>
      <c r="BL72" s="104">
        <f>3.075-BK72</f>
        <v>1.0980000000000001</v>
      </c>
      <c r="BM72" s="104">
        <f>6.094-BL72-BK72</f>
        <v>3.0190000000000001</v>
      </c>
      <c r="BN72" s="104">
        <f>BO72-BM72-BL72-BK72</f>
        <v>5.1779999999999999</v>
      </c>
      <c r="BO72" s="128">
        <v>11.272</v>
      </c>
      <c r="BP72" s="104">
        <v>1.9</v>
      </c>
      <c r="BQ72" s="104">
        <f>8.3-BP72</f>
        <v>6.4</v>
      </c>
      <c r="BR72" s="104">
        <f>6.8-BQ72-BP72</f>
        <v>-1.5000000000000004</v>
      </c>
      <c r="BS72" s="104">
        <f>BT72-BR72-BQ72-BP72</f>
        <v>-5.9</v>
      </c>
      <c r="BT72" s="128">
        <v>0.9</v>
      </c>
      <c r="BU72" s="104">
        <v>-13</v>
      </c>
      <c r="BV72" s="104">
        <f>-12.2-BU72</f>
        <v>0.80000000000000071</v>
      </c>
      <c r="BW72" s="104">
        <f>-2.7-BV72-BU72</f>
        <v>9.5</v>
      </c>
      <c r="BX72" s="104">
        <f>BY72-BW72-BV72-BU72</f>
        <v>6.9999999999999991</v>
      </c>
      <c r="BY72" s="128">
        <v>4.3</v>
      </c>
      <c r="BZ72" s="104">
        <v>-2</v>
      </c>
      <c r="CA72" s="104">
        <f>-10.9-BZ72</f>
        <v>-8.9</v>
      </c>
      <c r="CB72" s="104">
        <f>-19.7-CA72-BZ72</f>
        <v>-8.7999999999999989</v>
      </c>
      <c r="CC72" s="104">
        <f>CD72-CB72-CA72-BZ72</f>
        <v>14.5</v>
      </c>
      <c r="CD72" s="128">
        <v>-5.2</v>
      </c>
      <c r="CE72" s="104">
        <v>1.1000000000000001</v>
      </c>
      <c r="CF72" s="104">
        <f>12.1-CE72</f>
        <v>11</v>
      </c>
      <c r="CG72" s="104">
        <f>14.5-CF72-CE72</f>
        <v>2.4</v>
      </c>
      <c r="CH72" s="104">
        <f>CI72-CG72-CF72-CE72</f>
        <v>-15.299999999999999</v>
      </c>
      <c r="CI72" s="128">
        <v>-0.8</v>
      </c>
      <c r="CJ72" s="104">
        <v>1.5</v>
      </c>
      <c r="CK72" s="104">
        <f>7.4-CJ72</f>
        <v>5.9</v>
      </c>
      <c r="CL72" s="104">
        <f>-1-SUM(CJ72:CK72)</f>
        <v>-8.4</v>
      </c>
      <c r="CM72" s="104">
        <f>CN72-CL72-CK72-CJ72</f>
        <v>10.700000000000001</v>
      </c>
      <c r="CN72" s="128">
        <v>9.6999999999999993</v>
      </c>
      <c r="CO72" s="104">
        <v>1.5</v>
      </c>
      <c r="CP72" s="104">
        <f>-6.4-CO72</f>
        <v>-7.9</v>
      </c>
      <c r="CQ72" s="104">
        <f>-13.4-SUM(CO72:CP72)</f>
        <v>-7</v>
      </c>
      <c r="CR72" s="366">
        <f>CS72-SUM(CO72:CQ72)</f>
        <v>11.6</v>
      </c>
      <c r="CS72" s="128">
        <v>-1.8</v>
      </c>
      <c r="CT72" s="104">
        <v>-3.6</v>
      </c>
      <c r="CU72" s="104">
        <f>-10.3-CT72</f>
        <v>-6.7000000000000011</v>
      </c>
      <c r="CV72" s="146">
        <f>-4.3-CU72-CT72</f>
        <v>6.0000000000000018</v>
      </c>
      <c r="CW72" s="658">
        <f>CX72-CV72-CU72-CT72</f>
        <v>-29.799999999999997</v>
      </c>
      <c r="CX72" s="718">
        <v>-34.1</v>
      </c>
      <c r="CY72" s="104">
        <v>-85.8</v>
      </c>
      <c r="CZ72" s="104">
        <f>-110.7-CY72</f>
        <v>-24.900000000000006</v>
      </c>
      <c r="DA72" s="104">
        <f>-117.9-CZ72-CY72</f>
        <v>-7.2000000000000028</v>
      </c>
      <c r="DB72" s="104">
        <f>DC72-DA72-CZ72-CY72</f>
        <v>-32.699999999999974</v>
      </c>
      <c r="DC72" s="128">
        <v>-150.6</v>
      </c>
      <c r="DD72" s="104">
        <v>-13.8</v>
      </c>
      <c r="DE72" s="104">
        <f>-5.4-DD72</f>
        <v>8.4</v>
      </c>
      <c r="DF72" s="104">
        <f>-3-DE72-DD72</f>
        <v>2.4000000000000004</v>
      </c>
      <c r="DG72" s="104">
        <f>DH72-DF72-DE72-DD72</f>
        <v>-0.5</v>
      </c>
      <c r="DH72" s="128">
        <v>-3.5</v>
      </c>
      <c r="DI72" s="104">
        <v>-33.4</v>
      </c>
      <c r="DJ72" s="104">
        <f>-20.7-DI72</f>
        <v>12.7</v>
      </c>
      <c r="DK72" s="104">
        <f>-9.9-SUM(DI72:DJ72)</f>
        <v>10.799999999999999</v>
      </c>
      <c r="DL72" s="104">
        <f>10.8-SUM(DI72:DK72)</f>
        <v>20.700000000000003</v>
      </c>
      <c r="DM72" s="128">
        <f>SUM(DI72:DL72)</f>
        <v>10.800000000000002</v>
      </c>
      <c r="DN72" s="145">
        <v>0</v>
      </c>
      <c r="DO72" s="145">
        <v>0</v>
      </c>
      <c r="DP72" s="145">
        <v>0</v>
      </c>
      <c r="DQ72" s="145">
        <v>0</v>
      </c>
      <c r="DR72" s="144">
        <f>SUM(DN72:DQ72)</f>
        <v>0</v>
      </c>
      <c r="DS72" s="145">
        <v>0</v>
      </c>
      <c r="DT72" s="145">
        <v>0</v>
      </c>
      <c r="DU72" s="145">
        <v>0</v>
      </c>
      <c r="DV72" s="145">
        <v>0</v>
      </c>
      <c r="DW72" s="144">
        <f>SUM(DS72:DV72)</f>
        <v>0</v>
      </c>
      <c r="DX72" s="145">
        <v>0</v>
      </c>
      <c r="DY72" s="145">
        <v>0</v>
      </c>
      <c r="DZ72" s="145">
        <v>0</v>
      </c>
      <c r="EA72" s="145">
        <v>0</v>
      </c>
      <c r="EB72" s="144">
        <f>SUM(DX72:EA72)</f>
        <v>0</v>
      </c>
      <c r="EE72" s="128"/>
      <c r="EF72" s="128"/>
      <c r="EG72" s="128"/>
      <c r="EH72" s="128"/>
      <c r="EI72" s="128"/>
      <c r="EJ72" s="128"/>
      <c r="EK72" s="128"/>
      <c r="EL72" s="128"/>
      <c r="EM72" s="128"/>
      <c r="EN72" s="128"/>
      <c r="EO72" s="128"/>
      <c r="EP72" s="128"/>
      <c r="EQ72" s="128"/>
      <c r="ER72" s="128"/>
      <c r="FC72"/>
      <c r="FD72"/>
      <c r="FE72"/>
      <c r="FF72"/>
      <c r="FG72"/>
      <c r="FH72"/>
      <c r="FI72" s="396"/>
      <c r="FJ72" s="419"/>
      <c r="FK72" s="419"/>
      <c r="FL72" s="419"/>
      <c r="FM72" s="419"/>
      <c r="FN72" s="419"/>
      <c r="FO72" s="419"/>
      <c r="FP72" s="419"/>
      <c r="FQ72" s="419"/>
      <c r="FR72" s="419"/>
      <c r="FS72" s="419"/>
      <c r="FT72" s="419"/>
      <c r="FU72" s="419"/>
      <c r="FV72" s="419"/>
      <c r="FW72" s="419"/>
      <c r="FX72" s="419"/>
      <c r="FY72" s="419"/>
      <c r="FZ72" s="419"/>
      <c r="GA72" s="419"/>
      <c r="GB72" s="419"/>
      <c r="GC72" s="419"/>
      <c r="GD72" s="419"/>
      <c r="GE72" s="419"/>
      <c r="GF72" s="419"/>
      <c r="GG72" s="419"/>
      <c r="GH72" s="419"/>
      <c r="GI72" s="419"/>
      <c r="GJ72" s="419"/>
      <c r="GK72" s="419"/>
      <c r="GL72" s="419"/>
      <c r="GM72" s="419"/>
      <c r="GN72" s="419"/>
      <c r="GO72" s="419"/>
      <c r="GP72" s="419"/>
      <c r="GQ72" s="419"/>
      <c r="GR72" s="419"/>
      <c r="GS72" s="419"/>
      <c r="GT72" s="419"/>
      <c r="GU72" s="419"/>
      <c r="GV72" s="419"/>
      <c r="GW72" s="418"/>
      <c r="GX72" s="418"/>
      <c r="GY72" s="418"/>
      <c r="GZ72" s="418"/>
      <c r="HA72" s="418"/>
      <c r="HB72" s="418"/>
      <c r="HC72" s="418"/>
      <c r="HD72" s="418"/>
      <c r="HE72" s="418"/>
      <c r="HF72" s="418"/>
      <c r="HG72" s="418"/>
      <c r="HH72" s="418"/>
      <c r="HI72" s="418"/>
      <c r="HJ72" s="418"/>
      <c r="HK72" s="418"/>
      <c r="HL72" s="418"/>
      <c r="HM72" s="418"/>
      <c r="HN72" s="418"/>
      <c r="HO72" s="418"/>
      <c r="HP72" s="418"/>
      <c r="HQ72" s="418"/>
      <c r="HR72" s="418"/>
      <c r="HS72" s="418"/>
      <c r="HT72" s="418"/>
      <c r="HU72" s="418"/>
      <c r="HV72" s="418"/>
      <c r="HW72" s="418"/>
      <c r="HX72" s="418"/>
      <c r="HY72" s="418"/>
      <c r="HZ72" s="418"/>
      <c r="IA72" s="418"/>
      <c r="IB72" s="418"/>
      <c r="IC72" s="418"/>
      <c r="ID72" s="418"/>
      <c r="IE72" s="418"/>
      <c r="IF72" s="418"/>
      <c r="IG72" s="418"/>
      <c r="IH72" s="418"/>
      <c r="II72" s="418"/>
      <c r="IJ72" s="418"/>
      <c r="IK72" s="418"/>
      <c r="IL72" s="418"/>
      <c r="IM72" s="418"/>
      <c r="IN72" s="418"/>
      <c r="IO72" s="418"/>
      <c r="IP72" s="418"/>
      <c r="IQ72" s="418"/>
      <c r="IR72" s="418"/>
      <c r="IS72" s="418"/>
      <c r="IT72" s="418"/>
      <c r="IU72" s="418"/>
      <c r="IV72" s="418"/>
    </row>
    <row r="73" spans="1:256" s="1" customFormat="1" ht="1.5" customHeight="1" x14ac:dyDescent="0.2">
      <c r="B73" s="125"/>
      <c r="C73" s="111"/>
      <c r="D73" s="111"/>
      <c r="E73" s="111"/>
      <c r="F73" s="111"/>
      <c r="G73" s="125"/>
      <c r="H73" s="111"/>
      <c r="I73" s="111"/>
      <c r="J73" s="111"/>
      <c r="K73" s="111"/>
      <c r="L73" s="125"/>
      <c r="M73" s="111"/>
      <c r="N73" s="111"/>
      <c r="O73" s="111"/>
      <c r="P73" s="111"/>
      <c r="Q73" s="125"/>
      <c r="R73" s="111"/>
      <c r="S73" s="111"/>
      <c r="T73" s="111"/>
      <c r="U73" s="111"/>
      <c r="V73" s="125"/>
      <c r="W73" s="111"/>
      <c r="X73" s="111"/>
      <c r="Y73" s="111"/>
      <c r="Z73" s="111"/>
      <c r="AA73" s="125"/>
      <c r="AB73" s="111"/>
      <c r="AC73" s="111"/>
      <c r="AD73" s="111"/>
      <c r="AE73" s="111"/>
      <c r="AF73" s="125"/>
      <c r="AG73" s="111"/>
      <c r="AH73" s="111"/>
      <c r="AI73" s="111"/>
      <c r="AJ73" s="111"/>
      <c r="AK73" s="125"/>
      <c r="AL73" s="111"/>
      <c r="AM73" s="111"/>
      <c r="AN73" s="111"/>
      <c r="AO73" s="111"/>
      <c r="AP73" s="125"/>
      <c r="AQ73" s="111"/>
      <c r="AR73" s="111"/>
      <c r="AS73" s="111"/>
      <c r="AT73" s="111"/>
      <c r="AU73" s="125"/>
      <c r="AV73" s="111"/>
      <c r="AW73" s="111"/>
      <c r="AX73" s="111"/>
      <c r="AY73" s="111"/>
      <c r="AZ73" s="125"/>
      <c r="BA73" s="111"/>
      <c r="BB73" s="111"/>
      <c r="BC73" s="111"/>
      <c r="BD73" s="111"/>
      <c r="BE73" s="125"/>
      <c r="BF73" s="111"/>
      <c r="BG73" s="111"/>
      <c r="BH73" s="111"/>
      <c r="BI73" s="111"/>
      <c r="BJ73" s="125"/>
      <c r="BK73" s="111"/>
      <c r="BL73" s="111"/>
      <c r="BM73" s="111"/>
      <c r="BN73" s="111"/>
      <c r="BO73" s="125"/>
      <c r="BP73" s="111"/>
      <c r="BQ73" s="111"/>
      <c r="BR73" s="111"/>
      <c r="BS73" s="111"/>
      <c r="BT73" s="125"/>
      <c r="BU73" s="111"/>
      <c r="BV73" s="111"/>
      <c r="BW73" s="111"/>
      <c r="BX73" s="111"/>
      <c r="BY73" s="125"/>
      <c r="BZ73" s="111"/>
      <c r="CA73" s="111"/>
      <c r="CB73" s="111"/>
      <c r="CC73" s="111"/>
      <c r="CD73" s="125"/>
      <c r="CE73" s="111"/>
      <c r="CF73" s="111"/>
      <c r="CG73" s="111"/>
      <c r="CH73" s="111"/>
      <c r="CI73" s="125"/>
      <c r="CJ73" s="111"/>
      <c r="CK73" s="111"/>
      <c r="CL73" s="111"/>
      <c r="CM73" s="111"/>
      <c r="CN73" s="125"/>
      <c r="CO73" s="111"/>
      <c r="CP73" s="111"/>
      <c r="CQ73" s="111"/>
      <c r="CR73" s="111"/>
      <c r="CS73" s="125"/>
      <c r="CT73" s="111"/>
      <c r="CU73" s="111"/>
      <c r="CV73" s="117"/>
      <c r="CW73" s="659"/>
      <c r="CX73" s="719"/>
      <c r="CY73" s="111"/>
      <c r="CZ73" s="111"/>
      <c r="DA73" s="111"/>
      <c r="DB73" s="111"/>
      <c r="DC73" s="125"/>
      <c r="DD73" s="143"/>
      <c r="DE73" s="111"/>
      <c r="DF73" s="111"/>
      <c r="DG73" s="143"/>
      <c r="DH73" s="125"/>
      <c r="DI73" s="143"/>
      <c r="DJ73" s="111"/>
      <c r="DK73" s="111"/>
      <c r="DL73" s="111"/>
      <c r="DM73" s="125"/>
      <c r="DN73" s="143"/>
      <c r="DO73" s="143"/>
      <c r="DP73" s="143"/>
      <c r="DQ73" s="143"/>
      <c r="DR73" s="142"/>
      <c r="DS73" s="143"/>
      <c r="DT73" s="143"/>
      <c r="DU73" s="143"/>
      <c r="DV73" s="143"/>
      <c r="DW73" s="142"/>
      <c r="DX73" s="143"/>
      <c r="DY73" s="143"/>
      <c r="DZ73" s="143"/>
      <c r="EA73" s="143"/>
      <c r="EB73" s="142"/>
      <c r="EE73" s="125"/>
      <c r="EF73" s="125"/>
      <c r="EG73" s="125"/>
      <c r="EH73" s="125"/>
      <c r="EI73" s="125"/>
      <c r="EJ73" s="125"/>
      <c r="EK73" s="125"/>
      <c r="EL73" s="125"/>
      <c r="EM73" s="125"/>
      <c r="EN73" s="125"/>
      <c r="EO73" s="125"/>
      <c r="EP73" s="125"/>
      <c r="EQ73" s="125"/>
      <c r="ER73" s="125"/>
      <c r="FC73"/>
      <c r="FD73"/>
      <c r="FE73"/>
      <c r="FF73"/>
      <c r="FG73"/>
      <c r="FH73"/>
      <c r="FI73" s="396"/>
      <c r="FJ73" s="418"/>
      <c r="FK73" s="418"/>
      <c r="FL73" s="418"/>
      <c r="FM73" s="418"/>
      <c r="FN73" s="418"/>
      <c r="FO73" s="418"/>
      <c r="FP73" s="418"/>
      <c r="FQ73" s="418"/>
      <c r="FR73" s="418"/>
      <c r="FS73" s="418"/>
      <c r="FT73" s="418"/>
      <c r="FU73" s="418"/>
      <c r="FV73" s="418"/>
      <c r="FW73" s="418"/>
      <c r="FX73" s="418"/>
      <c r="FY73" s="418"/>
      <c r="FZ73" s="418"/>
      <c r="GA73" s="418"/>
      <c r="GB73" s="418"/>
      <c r="GC73" s="418"/>
      <c r="GD73" s="418"/>
      <c r="GE73" s="418"/>
      <c r="GF73" s="418"/>
      <c r="GG73" s="418"/>
      <c r="GH73" s="418"/>
      <c r="GI73" s="418"/>
      <c r="GJ73" s="418"/>
      <c r="GK73" s="418"/>
      <c r="GL73" s="418"/>
      <c r="GM73" s="418"/>
      <c r="GN73" s="418"/>
      <c r="GO73" s="418"/>
      <c r="GP73" s="418"/>
      <c r="GQ73" s="418"/>
      <c r="GR73" s="418"/>
      <c r="GS73" s="418"/>
      <c r="GT73" s="418"/>
      <c r="GU73" s="418"/>
      <c r="GV73" s="418"/>
      <c r="GW73" s="418"/>
      <c r="GX73" s="418"/>
      <c r="GY73" s="418"/>
      <c r="GZ73" s="418"/>
      <c r="HA73" s="418"/>
      <c r="HB73" s="418"/>
      <c r="HC73" s="418"/>
      <c r="HD73" s="418"/>
      <c r="HE73" s="418"/>
      <c r="HF73" s="418"/>
      <c r="HG73" s="418"/>
      <c r="HH73" s="418"/>
      <c r="HI73" s="418"/>
      <c r="HJ73" s="418"/>
      <c r="HK73" s="418"/>
      <c r="HL73" s="418"/>
      <c r="HM73" s="418"/>
      <c r="HN73" s="418"/>
      <c r="HO73" s="418"/>
      <c r="HP73" s="418"/>
      <c r="HQ73" s="418"/>
      <c r="HR73" s="418"/>
      <c r="HS73" s="418"/>
      <c r="HT73" s="418"/>
      <c r="HU73" s="418"/>
      <c r="HV73" s="418"/>
      <c r="HW73" s="418"/>
      <c r="HX73" s="418"/>
      <c r="HY73" s="418"/>
      <c r="HZ73" s="418"/>
      <c r="IA73" s="418"/>
      <c r="IB73" s="418"/>
      <c r="IC73" s="418"/>
      <c r="ID73" s="418"/>
      <c r="IE73" s="418"/>
      <c r="IF73" s="418"/>
      <c r="IG73" s="418"/>
      <c r="IH73" s="418"/>
      <c r="II73" s="418"/>
      <c r="IJ73" s="418"/>
      <c r="IK73" s="418"/>
      <c r="IL73" s="418"/>
      <c r="IM73" s="418"/>
      <c r="IN73" s="418"/>
      <c r="IO73" s="418"/>
      <c r="IP73" s="418"/>
      <c r="IQ73" s="418"/>
      <c r="IR73" s="418"/>
      <c r="IS73" s="418"/>
      <c r="IT73" s="418"/>
      <c r="IU73" s="418"/>
      <c r="IV73" s="418"/>
    </row>
    <row r="74" spans="1:256" s="82" customFormat="1" x14ac:dyDescent="0.2">
      <c r="A74" s="82" t="s">
        <v>515</v>
      </c>
      <c r="B74" s="147">
        <f t="shared" ref="B74:L74" si="103">B39+B53+B70+B72</f>
        <v>-16.695</v>
      </c>
      <c r="C74" s="146">
        <f t="shared" si="103"/>
        <v>136.55699999999999</v>
      </c>
      <c r="D74" s="146">
        <f t="shared" si="103"/>
        <v>-7.904000000000007</v>
      </c>
      <c r="E74" s="146">
        <f t="shared" si="103"/>
        <v>-20.363000000000003</v>
      </c>
      <c r="F74" s="146">
        <f t="shared" si="103"/>
        <v>-42.762</v>
      </c>
      <c r="G74" s="147">
        <f t="shared" si="103"/>
        <v>65.402000000000015</v>
      </c>
      <c r="H74" s="146">
        <f t="shared" si="103"/>
        <v>-7.9740000000000055</v>
      </c>
      <c r="I74" s="146">
        <f t="shared" si="103"/>
        <v>3.5019999999999967</v>
      </c>
      <c r="J74" s="146">
        <f t="shared" si="103"/>
        <v>-3.1549999999999958</v>
      </c>
      <c r="K74" s="146">
        <f t="shared" si="103"/>
        <v>13.636999999999997</v>
      </c>
      <c r="L74" s="147">
        <f t="shared" si="103"/>
        <v>5.8649999999999984</v>
      </c>
      <c r="M74" s="146">
        <f>M39+M53+M70+35</f>
        <v>50.894999999999996</v>
      </c>
      <c r="N74" s="146">
        <f>N39+N53+N70-4-35</f>
        <v>-98.180281000000008</v>
      </c>
      <c r="O74" s="146">
        <f>O39+O53+O70-31+4+49-45</f>
        <v>-127.61435071899999</v>
      </c>
      <c r="P74" s="146">
        <f>P39+P53+P70-21-8-49+45</f>
        <v>-187.55906036828102</v>
      </c>
      <c r="Q74" s="147">
        <f t="shared" ref="Q74:AV74" si="104">Q39+Q53+Q70+Q72</f>
        <v>-222.54900000000006</v>
      </c>
      <c r="R74" s="146">
        <f t="shared" si="104"/>
        <v>18.973000000000006</v>
      </c>
      <c r="S74" s="146">
        <f t="shared" si="104"/>
        <v>-20.195</v>
      </c>
      <c r="T74" s="146">
        <f t="shared" si="104"/>
        <v>-27.385999999999967</v>
      </c>
      <c r="U74" s="146">
        <f t="shared" si="104"/>
        <v>-96.010999999999939</v>
      </c>
      <c r="V74" s="147">
        <f t="shared" si="104"/>
        <v>-95.715999999999923</v>
      </c>
      <c r="W74" s="146">
        <f t="shared" si="104"/>
        <v>26.722000000000023</v>
      </c>
      <c r="X74" s="146">
        <f t="shared" si="104"/>
        <v>-0.91099999999998071</v>
      </c>
      <c r="Y74" s="146">
        <f t="shared" si="104"/>
        <v>-36.528000000000013</v>
      </c>
      <c r="Z74" s="146">
        <f t="shared" si="104"/>
        <v>-24.527000000000022</v>
      </c>
      <c r="AA74" s="147">
        <f t="shared" si="104"/>
        <v>-35.244000000000028</v>
      </c>
      <c r="AB74" s="146">
        <f t="shared" si="104"/>
        <v>10.948999999999998</v>
      </c>
      <c r="AC74" s="146">
        <f t="shared" si="104"/>
        <v>7.8899999999999988</v>
      </c>
      <c r="AD74" s="146">
        <f t="shared" si="104"/>
        <v>-17.822000000000017</v>
      </c>
      <c r="AE74" s="146">
        <f t="shared" si="104"/>
        <v>3.3810000000000024</v>
      </c>
      <c r="AF74" s="147">
        <f t="shared" si="104"/>
        <v>4.3980000000000361</v>
      </c>
      <c r="AG74" s="146">
        <f t="shared" si="104"/>
        <v>106.62100000000001</v>
      </c>
      <c r="AH74" s="146">
        <f t="shared" si="104"/>
        <v>37.741999999999997</v>
      </c>
      <c r="AI74" s="146">
        <f t="shared" si="104"/>
        <v>-51.92499999999994</v>
      </c>
      <c r="AJ74" s="146">
        <f t="shared" si="104"/>
        <v>-55.673000000000023</v>
      </c>
      <c r="AK74" s="147">
        <f t="shared" si="104"/>
        <v>36.765000000000029</v>
      </c>
      <c r="AL74" s="146">
        <f t="shared" si="104"/>
        <v>113.59599999999999</v>
      </c>
      <c r="AM74" s="146">
        <f t="shared" si="104"/>
        <v>-64.950999999999979</v>
      </c>
      <c r="AN74" s="146">
        <f t="shared" si="104"/>
        <v>47.292999999999935</v>
      </c>
      <c r="AO74" s="146">
        <f t="shared" si="104"/>
        <v>-47.510999999999932</v>
      </c>
      <c r="AP74" s="147">
        <f t="shared" si="104"/>
        <v>48.426999999999914</v>
      </c>
      <c r="AQ74" s="146">
        <f t="shared" si="104"/>
        <v>151.79499999999999</v>
      </c>
      <c r="AR74" s="146">
        <f t="shared" si="104"/>
        <v>-18.631999999999973</v>
      </c>
      <c r="AS74" s="146">
        <f t="shared" si="104"/>
        <v>11.693999999999974</v>
      </c>
      <c r="AT74" s="146">
        <f t="shared" si="104"/>
        <v>-48.346000000000025</v>
      </c>
      <c r="AU74" s="147">
        <f t="shared" si="104"/>
        <v>101.23000000000006</v>
      </c>
      <c r="AV74" s="146">
        <f t="shared" si="104"/>
        <v>238.28600000000003</v>
      </c>
      <c r="AW74" s="146">
        <f t="shared" ref="AW74:CB74" si="105">AW39+AW53+AW70+AW72</f>
        <v>-69.112000000000066</v>
      </c>
      <c r="AX74" s="146">
        <f t="shared" si="105"/>
        <v>13.292000000000078</v>
      </c>
      <c r="AY74" s="146">
        <f t="shared" si="105"/>
        <v>-312.79299999999995</v>
      </c>
      <c r="AZ74" s="147">
        <f t="shared" si="105"/>
        <v>45.590999999999731</v>
      </c>
      <c r="BA74" s="146">
        <f t="shared" si="105"/>
        <v>344.41900000000004</v>
      </c>
      <c r="BB74" s="146">
        <f t="shared" si="105"/>
        <v>-312.33</v>
      </c>
      <c r="BC74" s="146">
        <f t="shared" si="105"/>
        <v>-78.206999999999951</v>
      </c>
      <c r="BD74" s="146">
        <f t="shared" si="105"/>
        <v>74.87399999999991</v>
      </c>
      <c r="BE74" s="147">
        <f t="shared" si="105"/>
        <v>28.75599999999973</v>
      </c>
      <c r="BF74" s="146">
        <f t="shared" si="105"/>
        <v>77.626000000000019</v>
      </c>
      <c r="BG74" s="146">
        <f t="shared" si="105"/>
        <v>-48.764000000000067</v>
      </c>
      <c r="BH74" s="146">
        <f t="shared" si="105"/>
        <v>13.068000000000088</v>
      </c>
      <c r="BI74" s="146">
        <f t="shared" si="105"/>
        <v>96.866999999999976</v>
      </c>
      <c r="BJ74" s="147">
        <f t="shared" si="105"/>
        <v>138.79700000000005</v>
      </c>
      <c r="BK74" s="146">
        <f t="shared" si="105"/>
        <v>-41.732999999999869</v>
      </c>
      <c r="BL74" s="146">
        <f t="shared" si="105"/>
        <v>-70.694000000000003</v>
      </c>
      <c r="BM74" s="146">
        <f t="shared" si="105"/>
        <v>-27.390000000000207</v>
      </c>
      <c r="BN74" s="146">
        <f t="shared" si="105"/>
        <v>108.47200000000186</v>
      </c>
      <c r="BO74" s="147">
        <f t="shared" si="105"/>
        <v>-31.345000000000645</v>
      </c>
      <c r="BP74" s="146">
        <f t="shared" si="105"/>
        <v>68.039000000000698</v>
      </c>
      <c r="BQ74" s="146">
        <f t="shared" si="105"/>
        <v>-45.89999999999916</v>
      </c>
      <c r="BR74" s="146">
        <f t="shared" si="105"/>
        <v>-6.399999999999828</v>
      </c>
      <c r="BS74" s="146">
        <f t="shared" si="105"/>
        <v>-27.199999999994951</v>
      </c>
      <c r="BT74" s="147">
        <f t="shared" si="105"/>
        <v>-11.46099999999692</v>
      </c>
      <c r="BU74" s="146">
        <f t="shared" si="105"/>
        <v>87.000000000000455</v>
      </c>
      <c r="BV74" s="146">
        <f t="shared" si="105"/>
        <v>-103.59999999999901</v>
      </c>
      <c r="BW74" s="146">
        <f t="shared" si="105"/>
        <v>38.80000000000004</v>
      </c>
      <c r="BX74" s="146">
        <f t="shared" si="105"/>
        <v>307.79999999999984</v>
      </c>
      <c r="BY74" s="147">
        <f t="shared" si="105"/>
        <v>330.00000000000131</v>
      </c>
      <c r="BZ74" s="146">
        <f t="shared" si="105"/>
        <v>706.5</v>
      </c>
      <c r="CA74" s="146">
        <f t="shared" si="105"/>
        <v>-220.29999999999987</v>
      </c>
      <c r="CB74" s="146">
        <f t="shared" si="105"/>
        <v>39.200000000000003</v>
      </c>
      <c r="CC74" s="146">
        <f t="shared" ref="CC74:DH74" si="106">CC39+CC53+CC70+CC72</f>
        <v>38.80000000000004</v>
      </c>
      <c r="CD74" s="147">
        <f t="shared" si="106"/>
        <v>564.20000000000005</v>
      </c>
      <c r="CE74" s="146">
        <f t="shared" si="106"/>
        <v>628.00000000000023</v>
      </c>
      <c r="CF74" s="146">
        <f t="shared" si="106"/>
        <v>-146.80000000000015</v>
      </c>
      <c r="CG74" s="146">
        <f t="shared" si="106"/>
        <v>75.599999999999994</v>
      </c>
      <c r="CH74" s="146">
        <f t="shared" si="106"/>
        <v>-572.69999999999982</v>
      </c>
      <c r="CI74" s="147">
        <f t="shared" si="106"/>
        <v>-15.900000000000137</v>
      </c>
      <c r="CJ74" s="146">
        <f t="shared" si="106"/>
        <v>421.49999999999994</v>
      </c>
      <c r="CK74" s="146">
        <f t="shared" si="106"/>
        <v>-137.40000000000003</v>
      </c>
      <c r="CL74" s="146">
        <f t="shared" si="106"/>
        <v>69.100000000000364</v>
      </c>
      <c r="CM74" s="146">
        <f t="shared" si="106"/>
        <v>-312.69999999999987</v>
      </c>
      <c r="CN74" s="147">
        <f t="shared" si="106"/>
        <v>40.500000000000298</v>
      </c>
      <c r="CO74" s="146">
        <f t="shared" si="106"/>
        <v>663.5</v>
      </c>
      <c r="CP74" s="146">
        <f t="shared" si="106"/>
        <v>-628.9</v>
      </c>
      <c r="CQ74" s="104">
        <f t="shared" si="106"/>
        <v>207.60000000000002</v>
      </c>
      <c r="CR74" s="104">
        <f t="shared" si="106"/>
        <v>1144.8999999999962</v>
      </c>
      <c r="CS74" s="128">
        <f t="shared" si="106"/>
        <v>1387.0999999999965</v>
      </c>
      <c r="CT74" s="104">
        <f t="shared" si="106"/>
        <v>-1029.9000000000001</v>
      </c>
      <c r="CU74" s="104">
        <f t="shared" si="106"/>
        <v>-355.50000000000017</v>
      </c>
      <c r="CV74" s="146">
        <f t="shared" si="106"/>
        <v>-170.89999999999952</v>
      </c>
      <c r="CW74" s="658">
        <f t="shared" si="106"/>
        <v>689.00000000000239</v>
      </c>
      <c r="CX74" s="718">
        <f t="shared" si="106"/>
        <v>-867.29999999999814</v>
      </c>
      <c r="CY74" s="104">
        <f t="shared" si="106"/>
        <v>148.59999999999974</v>
      </c>
      <c r="CZ74" s="104">
        <f t="shared" si="106"/>
        <v>-106.59999999999994</v>
      </c>
      <c r="DA74" s="104">
        <f t="shared" si="106"/>
        <v>330.10000000000008</v>
      </c>
      <c r="DB74" s="104">
        <f t="shared" si="106"/>
        <v>-550.39999999999952</v>
      </c>
      <c r="DC74" s="128">
        <f t="shared" si="106"/>
        <v>-178.29999999999981</v>
      </c>
      <c r="DD74" s="104">
        <f t="shared" si="106"/>
        <v>733.39999999999964</v>
      </c>
      <c r="DE74" s="104">
        <f t="shared" ref="DE74:DF74" si="107">DE39+DE53+DE70+DE72</f>
        <v>-969.10000000000036</v>
      </c>
      <c r="DF74" s="104">
        <f t="shared" si="107"/>
        <v>847.4</v>
      </c>
      <c r="DG74" s="104">
        <f t="shared" si="106"/>
        <v>-12.999999999999773</v>
      </c>
      <c r="DH74" s="128">
        <f t="shared" si="106"/>
        <v>598.70000000000164</v>
      </c>
      <c r="DI74" s="104">
        <f>DI39+DI53+DI70+DI72</f>
        <v>-94.199999999999733</v>
      </c>
      <c r="DJ74" s="104">
        <f t="shared" ref="DJ74:EB74" si="108">DJ39+DJ53+DJ70+DJ72</f>
        <v>129.2999999999999</v>
      </c>
      <c r="DK74" s="104">
        <f t="shared" si="108"/>
        <v>552.29999999999984</v>
      </c>
      <c r="DL74" s="104">
        <f t="shared" si="108"/>
        <v>-253.9000000000006</v>
      </c>
      <c r="DM74" s="128">
        <f t="shared" si="108"/>
        <v>333.49999999999983</v>
      </c>
      <c r="DN74" s="145">
        <f t="shared" si="108"/>
        <v>2397.0240845416538</v>
      </c>
      <c r="DO74" s="145">
        <f t="shared" si="108"/>
        <v>-794.49721599978056</v>
      </c>
      <c r="DP74" s="145">
        <f t="shared" si="108"/>
        <v>-387.78244386111999</v>
      </c>
      <c r="DQ74" s="145">
        <f t="shared" si="108"/>
        <v>-479.32765311238279</v>
      </c>
      <c r="DR74" s="144">
        <f t="shared" si="108"/>
        <v>735.41677156836931</v>
      </c>
      <c r="DS74" s="145">
        <f t="shared" si="108"/>
        <v>1329.1931067070841</v>
      </c>
      <c r="DT74" s="145">
        <f t="shared" si="108"/>
        <v>-677.79610277735037</v>
      </c>
      <c r="DU74" s="145">
        <f t="shared" si="108"/>
        <v>-290.61499396123804</v>
      </c>
      <c r="DV74" s="145">
        <f t="shared" si="108"/>
        <v>-351.37636886288146</v>
      </c>
      <c r="DW74" s="144">
        <f t="shared" si="108"/>
        <v>9.4056411056144498</v>
      </c>
      <c r="DX74" s="145">
        <f t="shared" si="108"/>
        <v>1059.178523739557</v>
      </c>
      <c r="DY74" s="145">
        <f t="shared" si="108"/>
        <v>-449.06266649746908</v>
      </c>
      <c r="DZ74" s="145">
        <f t="shared" si="108"/>
        <v>-436.3260639843686</v>
      </c>
      <c r="EA74" s="145">
        <f t="shared" si="108"/>
        <v>-464.51004751305368</v>
      </c>
      <c r="EB74" s="144">
        <f t="shared" si="108"/>
        <v>-290.7202542553332</v>
      </c>
      <c r="EE74" s="128"/>
      <c r="EF74" s="128"/>
      <c r="EG74" s="128"/>
      <c r="EH74" s="128"/>
      <c r="EI74" s="128"/>
      <c r="EJ74" s="128"/>
      <c r="EK74" s="128"/>
      <c r="EL74" s="128"/>
      <c r="EM74" s="128"/>
      <c r="EN74" s="128"/>
      <c r="EO74" s="128"/>
      <c r="EP74" s="128"/>
      <c r="EQ74" s="128"/>
      <c r="ER74" s="128"/>
      <c r="FC74"/>
      <c r="FD74"/>
      <c r="FE74"/>
      <c r="FF74"/>
      <c r="FG74"/>
      <c r="FH74"/>
      <c r="FI74" s="396"/>
      <c r="FJ74" s="419"/>
      <c r="FK74" s="419"/>
      <c r="FL74" s="419"/>
      <c r="FM74" s="419"/>
      <c r="FN74" s="419"/>
      <c r="FO74" s="419"/>
      <c r="FP74" s="419"/>
      <c r="FQ74" s="419"/>
      <c r="FR74" s="419"/>
      <c r="FS74" s="419"/>
      <c r="FT74" s="419"/>
      <c r="FU74" s="419"/>
      <c r="FV74" s="419"/>
      <c r="FW74" s="419"/>
      <c r="FX74" s="419"/>
      <c r="FY74" s="419"/>
      <c r="FZ74" s="419"/>
      <c r="GA74" s="419"/>
      <c r="GB74" s="419"/>
      <c r="GC74" s="419"/>
      <c r="GD74" s="419"/>
      <c r="GE74" s="419"/>
      <c r="GF74" s="419"/>
      <c r="GG74" s="419"/>
      <c r="GH74" s="419"/>
      <c r="GI74" s="419"/>
      <c r="GJ74" s="419"/>
      <c r="GK74" s="419"/>
      <c r="GL74" s="419"/>
      <c r="GM74" s="419"/>
      <c r="GN74" s="419"/>
      <c r="GO74" s="419"/>
      <c r="GP74" s="419"/>
      <c r="GQ74" s="419"/>
      <c r="GR74" s="419"/>
      <c r="GS74" s="419"/>
      <c r="GT74" s="419"/>
      <c r="GU74" s="419"/>
      <c r="GV74" s="419"/>
      <c r="GW74" s="418"/>
      <c r="GX74" s="418"/>
      <c r="GY74" s="418"/>
      <c r="GZ74" s="418"/>
      <c r="HA74" s="418"/>
      <c r="HB74" s="418"/>
      <c r="HC74" s="418"/>
      <c r="HD74" s="418"/>
      <c r="HE74" s="418"/>
      <c r="HF74" s="418"/>
      <c r="HG74" s="418"/>
      <c r="HH74" s="418"/>
      <c r="HI74" s="418"/>
      <c r="HJ74" s="418"/>
      <c r="HK74" s="418"/>
      <c r="HL74" s="418"/>
      <c r="HM74" s="418"/>
      <c r="HN74" s="418"/>
      <c r="HO74" s="418"/>
      <c r="HP74" s="418"/>
      <c r="HQ74" s="418"/>
      <c r="HR74" s="418"/>
      <c r="HS74" s="418"/>
      <c r="HT74" s="418"/>
      <c r="HU74" s="418"/>
      <c r="HV74" s="418"/>
      <c r="HW74" s="418"/>
      <c r="HX74" s="418"/>
      <c r="HY74" s="418"/>
      <c r="HZ74" s="418"/>
      <c r="IA74" s="418"/>
      <c r="IB74" s="418"/>
      <c r="IC74" s="418"/>
      <c r="ID74" s="418"/>
      <c r="IE74" s="418"/>
      <c r="IF74" s="418"/>
      <c r="IG74" s="418"/>
      <c r="IH74" s="418"/>
      <c r="II74" s="418"/>
      <c r="IJ74" s="418"/>
      <c r="IK74" s="418"/>
      <c r="IL74" s="418"/>
      <c r="IM74" s="418"/>
      <c r="IN74" s="418"/>
      <c r="IO74" s="418"/>
      <c r="IP74" s="418"/>
      <c r="IQ74" s="418"/>
      <c r="IR74" s="418"/>
      <c r="IS74" s="418"/>
      <c r="IT74" s="418"/>
      <c r="IU74" s="418"/>
      <c r="IV74" s="418"/>
    </row>
    <row r="75" spans="1:256" s="1" customFormat="1" ht="0.75" customHeight="1" x14ac:dyDescent="0.2">
      <c r="B75" s="125"/>
      <c r="C75" s="111"/>
      <c r="D75" s="111"/>
      <c r="E75" s="111"/>
      <c r="F75" s="111"/>
      <c r="G75" s="125"/>
      <c r="H75" s="111"/>
      <c r="I75" s="111"/>
      <c r="J75" s="111"/>
      <c r="K75" s="111"/>
      <c r="L75" s="125"/>
      <c r="M75" s="111"/>
      <c r="N75" s="111"/>
      <c r="O75" s="111"/>
      <c r="P75" s="111"/>
      <c r="Q75" s="125"/>
      <c r="R75" s="111"/>
      <c r="S75" s="111"/>
      <c r="T75" s="111"/>
      <c r="U75" s="111"/>
      <c r="V75" s="125"/>
      <c r="W75" s="111"/>
      <c r="X75" s="111"/>
      <c r="Y75" s="111"/>
      <c r="Z75" s="111"/>
      <c r="AA75" s="125"/>
      <c r="AB75" s="111"/>
      <c r="AC75" s="111"/>
      <c r="AD75" s="111"/>
      <c r="AE75" s="111"/>
      <c r="AF75" s="125"/>
      <c r="AG75" s="111"/>
      <c r="AH75" s="111"/>
      <c r="AI75" s="111"/>
      <c r="AJ75" s="111"/>
      <c r="AK75" s="125"/>
      <c r="AL75" s="111"/>
      <c r="AM75" s="111"/>
      <c r="AN75" s="111"/>
      <c r="AO75" s="111"/>
      <c r="AP75" s="125"/>
      <c r="AQ75" s="111"/>
      <c r="AR75" s="111"/>
      <c r="AS75" s="111"/>
      <c r="AT75" s="111"/>
      <c r="AU75" s="125"/>
      <c r="AV75" s="111"/>
      <c r="AW75" s="111"/>
      <c r="AX75" s="111"/>
      <c r="AY75" s="111"/>
      <c r="AZ75" s="125"/>
      <c r="BA75" s="111"/>
      <c r="BB75" s="111"/>
      <c r="BC75" s="111"/>
      <c r="BD75" s="111"/>
      <c r="BE75" s="125"/>
      <c r="BF75" s="111"/>
      <c r="BG75" s="111"/>
      <c r="BH75" s="111"/>
      <c r="BI75" s="111"/>
      <c r="BJ75" s="125"/>
      <c r="BK75" s="111"/>
      <c r="BL75" s="111"/>
      <c r="BM75" s="111"/>
      <c r="BN75" s="111"/>
      <c r="BO75" s="125"/>
      <c r="BP75" s="111"/>
      <c r="BQ75" s="111"/>
      <c r="BR75" s="111"/>
      <c r="BS75" s="111"/>
      <c r="BT75" s="125"/>
      <c r="BU75" s="111"/>
      <c r="BV75" s="111"/>
      <c r="BW75" s="111"/>
      <c r="BX75" s="111"/>
      <c r="BY75" s="125"/>
      <c r="BZ75" s="111"/>
      <c r="CA75" s="111"/>
      <c r="CB75" s="111"/>
      <c r="CC75" s="111"/>
      <c r="CD75" s="125"/>
      <c r="CE75" s="111"/>
      <c r="CF75" s="111"/>
      <c r="CG75" s="111"/>
      <c r="CH75" s="111"/>
      <c r="CI75" s="125"/>
      <c r="CJ75" s="111"/>
      <c r="CK75" s="111"/>
      <c r="CL75" s="111"/>
      <c r="CM75" s="111"/>
      <c r="CN75" s="125"/>
      <c r="CO75" s="111"/>
      <c r="CP75" s="111"/>
      <c r="CQ75" s="111"/>
      <c r="CR75" s="111"/>
      <c r="CS75" s="125"/>
      <c r="CT75" s="111"/>
      <c r="CU75" s="111"/>
      <c r="CV75" s="117"/>
      <c r="CW75" s="659"/>
      <c r="CX75" s="719"/>
      <c r="CY75" s="111"/>
      <c r="CZ75" s="111"/>
      <c r="DA75" s="111"/>
      <c r="DB75" s="111"/>
      <c r="DC75" s="125"/>
      <c r="DD75" s="143"/>
      <c r="DE75" s="111"/>
      <c r="DF75" s="111"/>
      <c r="DG75" s="111"/>
      <c r="DH75" s="125"/>
      <c r="DI75" s="143"/>
      <c r="DJ75" s="111"/>
      <c r="DK75" s="111"/>
      <c r="DL75" s="111"/>
      <c r="DM75" s="125"/>
      <c r="DN75" s="143"/>
      <c r="DO75" s="143"/>
      <c r="DP75" s="143"/>
      <c r="DQ75" s="143"/>
      <c r="DR75" s="142"/>
      <c r="DS75" s="143"/>
      <c r="DT75" s="143"/>
      <c r="DU75" s="143"/>
      <c r="DV75" s="143"/>
      <c r="DW75" s="142"/>
      <c r="DX75" s="143"/>
      <c r="DY75" s="143"/>
      <c r="DZ75" s="143"/>
      <c r="EA75" s="143"/>
      <c r="EB75" s="142"/>
      <c r="EE75" s="125"/>
      <c r="EF75" s="125"/>
      <c r="EG75" s="125"/>
      <c r="EH75" s="125"/>
      <c r="EI75" s="125"/>
      <c r="EJ75" s="125"/>
      <c r="EK75" s="125"/>
      <c r="EL75" s="125"/>
      <c r="EM75" s="125"/>
      <c r="EN75" s="125"/>
      <c r="EO75" s="125"/>
      <c r="EP75" s="125"/>
      <c r="EQ75" s="125"/>
      <c r="ER75" s="125"/>
      <c r="FC75"/>
      <c r="FD75"/>
      <c r="FE75"/>
      <c r="FF75"/>
      <c r="FG75"/>
      <c r="FH75"/>
      <c r="FI75" s="396"/>
      <c r="FJ75" s="418"/>
      <c r="FK75" s="418"/>
      <c r="FL75" s="418"/>
      <c r="FM75" s="418"/>
      <c r="FN75" s="418"/>
      <c r="FO75" s="418"/>
      <c r="FP75" s="418"/>
      <c r="FQ75" s="418"/>
      <c r="FR75" s="418"/>
      <c r="FS75" s="418"/>
      <c r="FT75" s="418"/>
      <c r="FU75" s="418"/>
      <c r="FV75" s="418"/>
      <c r="FW75" s="418"/>
      <c r="FX75" s="418"/>
      <c r="FY75" s="418"/>
      <c r="FZ75" s="418"/>
      <c r="GA75" s="418"/>
      <c r="GB75" s="418"/>
      <c r="GC75" s="418"/>
      <c r="GD75" s="418"/>
      <c r="GE75" s="418"/>
      <c r="GF75" s="418"/>
      <c r="GG75" s="418"/>
      <c r="GH75" s="418"/>
      <c r="GI75" s="418"/>
      <c r="GJ75" s="418"/>
      <c r="GK75" s="418"/>
      <c r="GL75" s="418"/>
      <c r="GM75" s="418"/>
      <c r="GN75" s="418"/>
      <c r="GO75" s="418"/>
      <c r="GP75" s="418"/>
      <c r="GQ75" s="418"/>
      <c r="GR75" s="418"/>
      <c r="GS75" s="418"/>
      <c r="GT75" s="418"/>
      <c r="GU75" s="418"/>
      <c r="GV75" s="418"/>
      <c r="GW75" s="418"/>
      <c r="GX75" s="418"/>
      <c r="GY75" s="418"/>
      <c r="GZ75" s="418"/>
      <c r="HA75" s="418"/>
      <c r="HB75" s="418"/>
      <c r="HC75" s="418"/>
      <c r="HD75" s="418"/>
      <c r="HE75" s="418"/>
      <c r="HF75" s="418"/>
      <c r="HG75" s="418"/>
      <c r="HH75" s="418"/>
      <c r="HI75" s="418"/>
      <c r="HJ75" s="418"/>
      <c r="HK75" s="418"/>
      <c r="HL75" s="418"/>
      <c r="HM75" s="418"/>
      <c r="HN75" s="418"/>
      <c r="HO75" s="418"/>
      <c r="HP75" s="418"/>
      <c r="HQ75" s="418"/>
      <c r="HR75" s="418"/>
      <c r="HS75" s="418"/>
      <c r="HT75" s="418"/>
      <c r="HU75" s="418"/>
      <c r="HV75" s="418"/>
      <c r="HW75" s="418"/>
      <c r="HX75" s="418"/>
      <c r="HY75" s="418"/>
      <c r="HZ75" s="418"/>
      <c r="IA75" s="418"/>
      <c r="IB75" s="418"/>
      <c r="IC75" s="418"/>
      <c r="ID75" s="418"/>
      <c r="IE75" s="418"/>
      <c r="IF75" s="418"/>
      <c r="IG75" s="418"/>
      <c r="IH75" s="418"/>
      <c r="II75" s="418"/>
      <c r="IJ75" s="418"/>
      <c r="IK75" s="418"/>
      <c r="IL75" s="418"/>
      <c r="IM75" s="418"/>
      <c r="IN75" s="418"/>
      <c r="IO75" s="418"/>
      <c r="IP75" s="418"/>
      <c r="IQ75" s="418"/>
      <c r="IR75" s="418"/>
      <c r="IS75" s="418"/>
      <c r="IT75" s="418"/>
      <c r="IU75" s="418"/>
      <c r="IV75" s="418"/>
    </row>
    <row r="76" spans="1:256" s="82" customFormat="1" x14ac:dyDescent="0.2">
      <c r="A76" s="16" t="s">
        <v>514</v>
      </c>
      <c r="B76" s="131">
        <v>34.496000000000002</v>
      </c>
      <c r="C76" s="117">
        <f>B78</f>
        <v>17.801000000000002</v>
      </c>
      <c r="D76" s="117">
        <f>C78</f>
        <v>154.358</v>
      </c>
      <c r="E76" s="117">
        <f>D78</f>
        <v>146.45400000000001</v>
      </c>
      <c r="F76" s="117">
        <f>E78</f>
        <v>126.09100000000001</v>
      </c>
      <c r="G76" s="131">
        <f>B78</f>
        <v>17.801000000000002</v>
      </c>
      <c r="H76" s="117">
        <f>G78</f>
        <v>83.203000000000017</v>
      </c>
      <c r="I76" s="117">
        <f>H78</f>
        <v>75.229000000000013</v>
      </c>
      <c r="J76" s="117">
        <f>I78</f>
        <v>78.731000000000009</v>
      </c>
      <c r="K76" s="117">
        <f>J78</f>
        <v>75.576000000000008</v>
      </c>
      <c r="L76" s="131">
        <f>G78</f>
        <v>83.203000000000017</v>
      </c>
      <c r="M76" s="117">
        <f>L78</f>
        <v>89.068000000000012</v>
      </c>
      <c r="N76" s="117">
        <f>M78</f>
        <v>139.96300000000002</v>
      </c>
      <c r="O76" s="117">
        <f>N78</f>
        <v>41.782719000000014</v>
      </c>
      <c r="P76" s="117">
        <f>O78</f>
        <v>-85.831631718999972</v>
      </c>
      <c r="Q76" s="131">
        <v>127.16500000000001</v>
      </c>
      <c r="R76" s="117">
        <f>70.126+83.504</f>
        <v>153.63</v>
      </c>
      <c r="S76" s="117">
        <f>R78</f>
        <v>172.60300000000001</v>
      </c>
      <c r="T76" s="117">
        <f>S78</f>
        <v>152.40800000000002</v>
      </c>
      <c r="U76" s="117">
        <f>T78</f>
        <v>125.02200000000005</v>
      </c>
      <c r="V76" s="131">
        <f>R76</f>
        <v>153.63</v>
      </c>
      <c r="W76" s="117">
        <v>101.663</v>
      </c>
      <c r="X76" s="117">
        <f>W78</f>
        <v>128.38500000000002</v>
      </c>
      <c r="Y76" s="117">
        <f>X78</f>
        <v>127.47400000000003</v>
      </c>
      <c r="Z76" s="117">
        <f>Y78</f>
        <v>90.946000000000026</v>
      </c>
      <c r="AA76" s="131">
        <f>W76</f>
        <v>101.663</v>
      </c>
      <c r="AB76" s="117">
        <f>AA78</f>
        <v>66.418999999999969</v>
      </c>
      <c r="AC76" s="117">
        <f>AB78</f>
        <v>77.367999999999967</v>
      </c>
      <c r="AD76" s="117">
        <f>AC78</f>
        <v>85.257999999999967</v>
      </c>
      <c r="AE76" s="117">
        <f>AD78</f>
        <v>67.43599999999995</v>
      </c>
      <c r="AF76" s="131">
        <f>AA78</f>
        <v>66.418999999999969</v>
      </c>
      <c r="AG76" s="117">
        <f>AF78</f>
        <v>70.817000000000007</v>
      </c>
      <c r="AH76" s="117">
        <f>AG78</f>
        <v>177.43800000000002</v>
      </c>
      <c r="AI76" s="117">
        <f>AH78</f>
        <v>215.18</v>
      </c>
      <c r="AJ76" s="117">
        <f>AI78</f>
        <v>163.25500000000005</v>
      </c>
      <c r="AK76" s="131">
        <v>14.484999999999999</v>
      </c>
      <c r="AL76" s="117">
        <f>AK78</f>
        <v>51.250000000000028</v>
      </c>
      <c r="AM76" s="117">
        <f>AL78</f>
        <v>164.846</v>
      </c>
      <c r="AN76" s="117">
        <f>AM78</f>
        <v>99.895000000000024</v>
      </c>
      <c r="AO76" s="117">
        <f>AN78</f>
        <v>147.18799999999996</v>
      </c>
      <c r="AP76" s="131">
        <f>AK78</f>
        <v>51.250000000000028</v>
      </c>
      <c r="AQ76" s="117">
        <f>AP78</f>
        <v>99.676999999999936</v>
      </c>
      <c r="AR76" s="117">
        <f>AQ78</f>
        <v>251.47199999999992</v>
      </c>
      <c r="AS76" s="117">
        <f>AR78</f>
        <v>232.83999999999995</v>
      </c>
      <c r="AT76" s="117">
        <f>AS78</f>
        <v>263.63799999999998</v>
      </c>
      <c r="AU76" s="131">
        <f>AP78</f>
        <v>99.676999999999936</v>
      </c>
      <c r="AV76" s="117">
        <f>AU78</f>
        <v>200.90699999999998</v>
      </c>
      <c r="AW76" s="117">
        <f>AV78</f>
        <v>439.19299999999998</v>
      </c>
      <c r="AX76" s="117">
        <f>AW78</f>
        <v>370.0809999999999</v>
      </c>
      <c r="AY76" s="117">
        <f>AX78</f>
        <v>383.37299999999999</v>
      </c>
      <c r="AZ76" s="131">
        <v>99.462000000000003</v>
      </c>
      <c r="BA76" s="117">
        <v>299.12799999999999</v>
      </c>
      <c r="BB76" s="117">
        <f>BA78-154.075</f>
        <v>489.47200000000004</v>
      </c>
      <c r="BC76" s="117">
        <f>BB78</f>
        <v>177.14200000000005</v>
      </c>
      <c r="BD76" s="117">
        <f>BC78</f>
        <v>98.935000000000102</v>
      </c>
      <c r="BE76" s="131">
        <f>AZ78</f>
        <v>145.05299999999974</v>
      </c>
      <c r="BF76" s="117">
        <f>BE78</f>
        <v>173.80899999999946</v>
      </c>
      <c r="BG76" s="117">
        <f>BF78</f>
        <v>251.43499999999949</v>
      </c>
      <c r="BH76" s="117">
        <f>BG78</f>
        <v>202.67099999999942</v>
      </c>
      <c r="BI76" s="117">
        <f>BH78</f>
        <v>215.73899999999952</v>
      </c>
      <c r="BJ76" s="131">
        <f>BE78</f>
        <v>173.80899999999946</v>
      </c>
      <c r="BK76" s="117">
        <f>BJ78</f>
        <v>312.60599999999954</v>
      </c>
      <c r="BL76" s="117">
        <f>BK78</f>
        <v>270.87299999999965</v>
      </c>
      <c r="BM76" s="117">
        <f>BL78</f>
        <v>200.17899999999963</v>
      </c>
      <c r="BN76" s="117">
        <f>BM78</f>
        <v>172.78899999999942</v>
      </c>
      <c r="BO76" s="131">
        <f>BJ78</f>
        <v>312.60599999999954</v>
      </c>
      <c r="BP76" s="117">
        <f>BO78</f>
        <v>281.26099999999889</v>
      </c>
      <c r="BQ76" s="117">
        <f>BP78</f>
        <v>349.29999999999961</v>
      </c>
      <c r="BR76" s="117">
        <f>BQ78</f>
        <v>303.40000000000043</v>
      </c>
      <c r="BS76" s="117">
        <f>BR78</f>
        <v>297.00000000000063</v>
      </c>
      <c r="BT76" s="131">
        <f>BO78</f>
        <v>281.26099999999889</v>
      </c>
      <c r="BU76" s="117">
        <v>269.8</v>
      </c>
      <c r="BV76" s="117">
        <f>BU78</f>
        <v>356.80000000000047</v>
      </c>
      <c r="BW76" s="117">
        <f>BV78</f>
        <v>253.20000000000147</v>
      </c>
      <c r="BX76" s="117">
        <f>BW78</f>
        <v>292.00000000000148</v>
      </c>
      <c r="BY76" s="131">
        <f>BT78</f>
        <v>269.80000000000194</v>
      </c>
      <c r="BZ76" s="117">
        <f>BY78</f>
        <v>599.80000000000132</v>
      </c>
      <c r="CA76" s="117">
        <f>BZ78</f>
        <v>1306.3000000000013</v>
      </c>
      <c r="CB76" s="117">
        <f>CA78</f>
        <v>1086.0000000000014</v>
      </c>
      <c r="CC76" s="117">
        <f>CB78</f>
        <v>1125.2000000000014</v>
      </c>
      <c r="CD76" s="131">
        <f>BY78</f>
        <v>599.80000000000132</v>
      </c>
      <c r="CE76" s="117">
        <f>CD78</f>
        <v>1164.0000000000014</v>
      </c>
      <c r="CF76" s="117">
        <f>CE78</f>
        <v>1792.0000000000016</v>
      </c>
      <c r="CG76" s="117">
        <f>CF78</f>
        <v>1645.2000000000014</v>
      </c>
      <c r="CH76" s="117">
        <f>CG78</f>
        <v>1720.8000000000013</v>
      </c>
      <c r="CI76" s="131">
        <f>CD78</f>
        <v>1164.0000000000014</v>
      </c>
      <c r="CJ76" s="117">
        <f>CI78</f>
        <v>1148.1000000000013</v>
      </c>
      <c r="CK76" s="117">
        <f>CJ78</f>
        <v>1569.6000000000013</v>
      </c>
      <c r="CL76" s="117">
        <f>CK78</f>
        <v>1432.2000000000012</v>
      </c>
      <c r="CM76" s="117">
        <f>CL78</f>
        <v>1501.3000000000015</v>
      </c>
      <c r="CN76" s="131">
        <f>CI78</f>
        <v>1148.1000000000013</v>
      </c>
      <c r="CO76" s="117">
        <f>CN78</f>
        <v>1188.6000000000015</v>
      </c>
      <c r="CP76" s="117">
        <f>CO78</f>
        <v>1852.1000000000015</v>
      </c>
      <c r="CQ76" s="111">
        <f>CP78</f>
        <v>1223.2000000000016</v>
      </c>
      <c r="CR76" s="111">
        <f>CQ78</f>
        <v>1430.8000000000015</v>
      </c>
      <c r="CS76" s="125">
        <f>CN78</f>
        <v>1188.6000000000015</v>
      </c>
      <c r="CT76" s="111">
        <f>CS78</f>
        <v>2575.699999999998</v>
      </c>
      <c r="CU76" s="111">
        <f>CT78</f>
        <v>1545.7999999999979</v>
      </c>
      <c r="CV76" s="117">
        <f>CU78</f>
        <v>1190.2999999999977</v>
      </c>
      <c r="CW76" s="659">
        <f>CV78</f>
        <v>1019.3999999999982</v>
      </c>
      <c r="CX76" s="719">
        <f>CS78</f>
        <v>2575.699999999998</v>
      </c>
      <c r="CY76" s="111">
        <f>CX78</f>
        <v>1708.3999999999999</v>
      </c>
      <c r="CZ76" s="111">
        <f>CY78</f>
        <v>1856.9999999999995</v>
      </c>
      <c r="DA76" s="111">
        <f>CZ78</f>
        <v>1750.3999999999996</v>
      </c>
      <c r="DB76" s="111">
        <f>DA78</f>
        <v>2080.4999999999995</v>
      </c>
      <c r="DC76" s="125">
        <f>CX78</f>
        <v>1708.3999999999999</v>
      </c>
      <c r="DD76" s="111">
        <f>DC78</f>
        <v>1530.1000000000001</v>
      </c>
      <c r="DE76" s="111">
        <f>DD78</f>
        <v>2263.5</v>
      </c>
      <c r="DF76" s="111">
        <f>DE78</f>
        <v>1294.3999999999996</v>
      </c>
      <c r="DG76" s="111">
        <f>DF78</f>
        <v>2141.7999999999997</v>
      </c>
      <c r="DH76" s="125">
        <f>DC78</f>
        <v>1530.1000000000001</v>
      </c>
      <c r="DI76" s="111">
        <f>DH78</f>
        <v>2128.800000000002</v>
      </c>
      <c r="DJ76" s="111">
        <f>DI78</f>
        <v>2034.6000000000022</v>
      </c>
      <c r="DK76" s="111">
        <f>DJ78</f>
        <v>2163.9000000000019</v>
      </c>
      <c r="DL76" s="111">
        <f>DK78</f>
        <v>2716.2000000000016</v>
      </c>
      <c r="DM76" s="125">
        <f>DH78</f>
        <v>2128.800000000002</v>
      </c>
      <c r="DN76" s="143">
        <f>DM78</f>
        <v>2462.300000000002</v>
      </c>
      <c r="DO76" s="143">
        <f>DN78</f>
        <v>4859.3240845416558</v>
      </c>
      <c r="DP76" s="143">
        <f>DO78</f>
        <v>4064.8268685418752</v>
      </c>
      <c r="DQ76" s="143">
        <f>DP78</f>
        <v>3677.0444246807551</v>
      </c>
      <c r="DR76" s="142">
        <f>DM78</f>
        <v>2462.300000000002</v>
      </c>
      <c r="DS76" s="143">
        <f>DR78</f>
        <v>3197.7167715683713</v>
      </c>
      <c r="DT76" s="143">
        <f>DS78</f>
        <v>4526.9098782754554</v>
      </c>
      <c r="DU76" s="143">
        <f>DT78</f>
        <v>3849.113775498105</v>
      </c>
      <c r="DV76" s="143">
        <f>DU78</f>
        <v>3558.4987815368668</v>
      </c>
      <c r="DW76" s="142">
        <f>DR78</f>
        <v>3197.7167715683713</v>
      </c>
      <c r="DX76" s="143">
        <f>DW78</f>
        <v>3207.1224126739858</v>
      </c>
      <c r="DY76" s="143">
        <f>DX78</f>
        <v>4266.3009364135432</v>
      </c>
      <c r="DZ76" s="143">
        <f>DY78</f>
        <v>3817.2382699160744</v>
      </c>
      <c r="EA76" s="143">
        <f>DZ78</f>
        <v>3380.912205931706</v>
      </c>
      <c r="EB76" s="142">
        <f>DW78</f>
        <v>3207.1224126739858</v>
      </c>
      <c r="EE76" s="125"/>
      <c r="EF76" s="125"/>
      <c r="EG76" s="125"/>
      <c r="EH76" s="125"/>
      <c r="EI76" s="125"/>
      <c r="EJ76" s="125"/>
      <c r="EK76" s="125"/>
      <c r="EL76" s="125"/>
      <c r="EM76" s="125"/>
      <c r="EN76" s="125"/>
      <c r="EO76" s="125"/>
      <c r="EP76" s="125"/>
      <c r="EQ76" s="125"/>
      <c r="ER76" s="125"/>
      <c r="FC76"/>
      <c r="FD76"/>
      <c r="FE76"/>
      <c r="FF76"/>
      <c r="FG76"/>
      <c r="FH76"/>
      <c r="FI76" s="396"/>
      <c r="FJ76" s="419"/>
      <c r="FK76" s="419"/>
      <c r="FL76" s="419"/>
      <c r="FM76" s="419"/>
      <c r="FN76" s="419"/>
      <c r="FO76" s="419"/>
      <c r="FP76" s="419"/>
      <c r="FQ76" s="419"/>
      <c r="FR76" s="419"/>
      <c r="FS76" s="419"/>
      <c r="FT76" s="419"/>
      <c r="FU76" s="419"/>
      <c r="FV76" s="419"/>
      <c r="FW76" s="419"/>
      <c r="FX76" s="419"/>
      <c r="FY76" s="419"/>
      <c r="FZ76" s="419"/>
      <c r="GA76" s="419"/>
      <c r="GB76" s="419"/>
      <c r="GC76" s="419"/>
      <c r="GD76" s="419"/>
      <c r="GE76" s="419"/>
      <c r="GF76" s="419"/>
      <c r="GG76" s="419"/>
      <c r="GH76" s="419"/>
      <c r="GI76" s="419"/>
      <c r="GJ76" s="419"/>
      <c r="GK76" s="419"/>
      <c r="GL76" s="419"/>
      <c r="GM76" s="419"/>
      <c r="GN76" s="419"/>
      <c r="GO76" s="419"/>
      <c r="GP76" s="419"/>
      <c r="GQ76" s="419"/>
      <c r="GR76" s="419"/>
      <c r="GS76" s="419"/>
      <c r="GT76" s="419"/>
      <c r="GU76" s="419"/>
      <c r="GV76" s="419"/>
      <c r="GW76" s="418"/>
      <c r="GX76" s="418"/>
      <c r="GY76" s="418"/>
      <c r="GZ76" s="418"/>
      <c r="HA76" s="418"/>
      <c r="HB76" s="418"/>
      <c r="HC76" s="418"/>
      <c r="HD76" s="418"/>
      <c r="HE76" s="418"/>
      <c r="HF76" s="418"/>
      <c r="HG76" s="418"/>
      <c r="HH76" s="418"/>
      <c r="HI76" s="418"/>
      <c r="HJ76" s="418"/>
      <c r="HK76" s="418"/>
      <c r="HL76" s="418"/>
      <c r="HM76" s="418"/>
      <c r="HN76" s="418"/>
      <c r="HO76" s="418"/>
      <c r="HP76" s="418"/>
      <c r="HQ76" s="418"/>
      <c r="HR76" s="418"/>
      <c r="HS76" s="418"/>
      <c r="HT76" s="418"/>
      <c r="HU76" s="418"/>
      <c r="HV76" s="418"/>
      <c r="HW76" s="418"/>
      <c r="HX76" s="418"/>
      <c r="HY76" s="418"/>
      <c r="HZ76" s="418"/>
      <c r="IA76" s="418"/>
      <c r="IB76" s="418"/>
      <c r="IC76" s="418"/>
      <c r="ID76" s="418"/>
      <c r="IE76" s="418"/>
      <c r="IF76" s="418"/>
      <c r="IG76" s="418"/>
      <c r="IH76" s="418"/>
      <c r="II76" s="418"/>
      <c r="IJ76" s="418"/>
      <c r="IK76" s="418"/>
      <c r="IL76" s="418"/>
      <c r="IM76" s="418"/>
      <c r="IN76" s="418"/>
      <c r="IO76" s="418"/>
      <c r="IP76" s="418"/>
      <c r="IQ76" s="418"/>
      <c r="IR76" s="418"/>
      <c r="IS76" s="418"/>
      <c r="IT76" s="418"/>
      <c r="IU76" s="418"/>
      <c r="IV76" s="418"/>
    </row>
    <row r="77" spans="1:256" s="1" customFormat="1" ht="5.25" customHeight="1" x14ac:dyDescent="0.2">
      <c r="A77" s="2"/>
      <c r="B77" s="138"/>
      <c r="C77" s="141"/>
      <c r="D77" s="141"/>
      <c r="E77" s="141"/>
      <c r="F77" s="141"/>
      <c r="G77" s="138"/>
      <c r="H77" s="141"/>
      <c r="I77" s="141"/>
      <c r="J77" s="141"/>
      <c r="K77" s="141"/>
      <c r="L77" s="138"/>
      <c r="M77" s="141"/>
      <c r="N77" s="141"/>
      <c r="O77" s="141"/>
      <c r="P77" s="141"/>
      <c r="Q77" s="138"/>
      <c r="R77" s="141"/>
      <c r="S77" s="141"/>
      <c r="T77" s="141"/>
      <c r="U77" s="141"/>
      <c r="V77" s="138"/>
      <c r="W77" s="141"/>
      <c r="X77" s="141"/>
      <c r="Y77" s="141"/>
      <c r="Z77" s="141"/>
      <c r="AA77" s="138"/>
      <c r="AB77" s="141"/>
      <c r="AC77" s="141"/>
      <c r="AD77" s="141"/>
      <c r="AE77" s="141"/>
      <c r="AF77" s="138"/>
      <c r="AG77" s="141"/>
      <c r="AH77" s="141"/>
      <c r="AI77" s="141"/>
      <c r="AJ77" s="141"/>
      <c r="AK77" s="138"/>
      <c r="AL77" s="141"/>
      <c r="AM77" s="141"/>
      <c r="AN77" s="141"/>
      <c r="AO77" s="141"/>
      <c r="AP77" s="138"/>
      <c r="AQ77" s="141"/>
      <c r="AR77" s="141"/>
      <c r="AS77" s="141"/>
      <c r="AT77" s="141"/>
      <c r="AU77" s="138"/>
      <c r="AV77" s="141"/>
      <c r="AW77" s="141"/>
      <c r="AX77" s="141"/>
      <c r="AY77" s="141"/>
      <c r="AZ77" s="138"/>
      <c r="BA77" s="141"/>
      <c r="BB77" s="141"/>
      <c r="BC77" s="141"/>
      <c r="BD77" s="141"/>
      <c r="BE77" s="138"/>
      <c r="BF77" s="141"/>
      <c r="BG77" s="141"/>
      <c r="BH77" s="141"/>
      <c r="BI77" s="141"/>
      <c r="BJ77" s="138"/>
      <c r="BK77" s="141"/>
      <c r="BL77" s="141"/>
      <c r="BM77" s="141"/>
      <c r="BN77" s="141"/>
      <c r="BO77" s="138"/>
      <c r="BP77" s="141"/>
      <c r="BQ77" s="141"/>
      <c r="BR77" s="141"/>
      <c r="BS77" s="141"/>
      <c r="BT77" s="138"/>
      <c r="BU77" s="141"/>
      <c r="BV77" s="141"/>
      <c r="BW77" s="141"/>
      <c r="BX77" s="141"/>
      <c r="BY77" s="138"/>
      <c r="BZ77" s="141"/>
      <c r="CA77" s="141"/>
      <c r="CB77" s="141"/>
      <c r="CC77" s="141"/>
      <c r="CD77" s="138"/>
      <c r="CE77" s="141"/>
      <c r="CF77" s="141"/>
      <c r="CG77" s="141"/>
      <c r="CH77" s="141"/>
      <c r="CI77" s="138"/>
      <c r="CJ77" s="141"/>
      <c r="CK77" s="141"/>
      <c r="CL77" s="141"/>
      <c r="CM77" s="141"/>
      <c r="CN77" s="138"/>
      <c r="CO77" s="141"/>
      <c r="CP77" s="141"/>
      <c r="CQ77" s="141"/>
      <c r="CR77" s="141"/>
      <c r="CS77" s="138"/>
      <c r="CT77" s="141"/>
      <c r="CU77" s="141"/>
      <c r="CV77" s="638"/>
      <c r="CW77" s="710"/>
      <c r="CX77" s="730"/>
      <c r="CY77" s="141"/>
      <c r="CZ77" s="141"/>
      <c r="DA77" s="141"/>
      <c r="DB77" s="141"/>
      <c r="DC77" s="138"/>
      <c r="DD77" s="140"/>
      <c r="DE77" s="141"/>
      <c r="DF77" s="141"/>
      <c r="DG77" s="141"/>
      <c r="DH77" s="138"/>
      <c r="DI77" s="140"/>
      <c r="DJ77" s="141"/>
      <c r="DK77" s="141"/>
      <c r="DL77" s="141"/>
      <c r="DM77" s="138"/>
      <c r="DN77" s="140"/>
      <c r="DO77" s="140"/>
      <c r="DP77" s="140"/>
      <c r="DQ77" s="140"/>
      <c r="DR77" s="139"/>
      <c r="DS77" s="140"/>
      <c r="DT77" s="140"/>
      <c r="DU77" s="140"/>
      <c r="DV77" s="140"/>
      <c r="DW77" s="139"/>
      <c r="DX77" s="140"/>
      <c r="DY77" s="140"/>
      <c r="DZ77" s="140"/>
      <c r="EA77" s="140"/>
      <c r="EB77" s="139"/>
      <c r="EE77" s="138"/>
      <c r="EF77" s="138"/>
      <c r="EG77" s="138"/>
      <c r="EH77" s="138"/>
      <c r="EI77" s="138"/>
      <c r="EJ77" s="138"/>
      <c r="EK77" s="138"/>
      <c r="EL77" s="138"/>
      <c r="EM77" s="138"/>
      <c r="EN77" s="138"/>
      <c r="EO77" s="138"/>
      <c r="EP77" s="138"/>
      <c r="EQ77" s="138"/>
      <c r="ER77" s="138"/>
      <c r="FC77"/>
      <c r="FD77"/>
      <c r="FE77"/>
      <c r="FF77"/>
      <c r="FG77"/>
      <c r="FH77"/>
      <c r="FI77" s="396"/>
      <c r="FJ77" s="418"/>
      <c r="FK77" s="418"/>
      <c r="FL77" s="418"/>
      <c r="FM77" s="418"/>
      <c r="FN77" s="418"/>
      <c r="FO77" s="418"/>
      <c r="FP77" s="418"/>
      <c r="FQ77" s="418"/>
      <c r="FR77" s="418"/>
      <c r="FS77" s="418"/>
      <c r="FT77" s="418"/>
      <c r="FU77" s="418"/>
      <c r="FV77" s="418"/>
      <c r="FW77" s="418"/>
      <c r="FX77" s="418"/>
      <c r="FY77" s="418"/>
      <c r="FZ77" s="418"/>
      <c r="GA77" s="418"/>
      <c r="GB77" s="418"/>
      <c r="GC77" s="418"/>
      <c r="GD77" s="418"/>
      <c r="GE77" s="418"/>
      <c r="GF77" s="418"/>
      <c r="GG77" s="418"/>
      <c r="GH77" s="418"/>
      <c r="GI77" s="418"/>
      <c r="GJ77" s="418"/>
      <c r="GK77" s="418"/>
      <c r="GL77" s="418"/>
      <c r="GM77" s="418"/>
      <c r="GN77" s="418"/>
      <c r="GO77" s="418"/>
      <c r="GP77" s="418"/>
      <c r="GQ77" s="418"/>
      <c r="GR77" s="418"/>
      <c r="GS77" s="418"/>
      <c r="GT77" s="418"/>
      <c r="GU77" s="418"/>
      <c r="GV77" s="418"/>
      <c r="GW77" s="418"/>
      <c r="GX77" s="418"/>
      <c r="GY77" s="418"/>
      <c r="GZ77" s="418"/>
      <c r="HA77" s="418"/>
      <c r="HB77" s="418"/>
      <c r="HC77" s="418"/>
      <c r="HD77" s="418"/>
      <c r="HE77" s="418"/>
      <c r="HF77" s="418"/>
      <c r="HG77" s="418"/>
      <c r="HH77" s="418"/>
      <c r="HI77" s="418"/>
      <c r="HJ77" s="418"/>
      <c r="HK77" s="418"/>
      <c r="HL77" s="418"/>
      <c r="HM77" s="418"/>
      <c r="HN77" s="418"/>
      <c r="HO77" s="418"/>
      <c r="HP77" s="418"/>
      <c r="HQ77" s="418"/>
      <c r="HR77" s="418"/>
      <c r="HS77" s="418"/>
      <c r="HT77" s="418"/>
      <c r="HU77" s="418"/>
      <c r="HV77" s="418"/>
      <c r="HW77" s="418"/>
      <c r="HX77" s="418"/>
      <c r="HY77" s="418"/>
      <c r="HZ77" s="418"/>
      <c r="IA77" s="418"/>
      <c r="IB77" s="418"/>
      <c r="IC77" s="418"/>
      <c r="ID77" s="418"/>
      <c r="IE77" s="418"/>
      <c r="IF77" s="418"/>
      <c r="IG77" s="418"/>
      <c r="IH77" s="418"/>
      <c r="II77" s="418"/>
      <c r="IJ77" s="418"/>
      <c r="IK77" s="418"/>
      <c r="IL77" s="418"/>
      <c r="IM77" s="418"/>
      <c r="IN77" s="418"/>
      <c r="IO77" s="418"/>
      <c r="IP77" s="418"/>
      <c r="IQ77" s="418"/>
      <c r="IR77" s="418"/>
      <c r="IS77" s="418"/>
      <c r="IT77" s="418"/>
      <c r="IU77" s="418"/>
      <c r="IV77" s="418"/>
    </row>
    <row r="78" spans="1:256" s="16" customFormat="1" x14ac:dyDescent="0.2">
      <c r="A78" s="33" t="s">
        <v>513</v>
      </c>
      <c r="B78" s="124">
        <f t="shared" ref="B78:AR78" si="109">B74+B76</f>
        <v>17.801000000000002</v>
      </c>
      <c r="C78" s="123">
        <f t="shared" si="109"/>
        <v>154.358</v>
      </c>
      <c r="D78" s="123">
        <f t="shared" si="109"/>
        <v>146.45400000000001</v>
      </c>
      <c r="E78" s="123">
        <f t="shared" si="109"/>
        <v>126.09100000000001</v>
      </c>
      <c r="F78" s="123">
        <f t="shared" si="109"/>
        <v>83.329000000000008</v>
      </c>
      <c r="G78" s="124">
        <f t="shared" si="109"/>
        <v>83.203000000000017</v>
      </c>
      <c r="H78" s="123">
        <f t="shared" si="109"/>
        <v>75.229000000000013</v>
      </c>
      <c r="I78" s="123">
        <f t="shared" si="109"/>
        <v>78.731000000000009</v>
      </c>
      <c r="J78" s="123">
        <f t="shared" si="109"/>
        <v>75.576000000000008</v>
      </c>
      <c r="K78" s="123">
        <f t="shared" si="109"/>
        <v>89.213000000000008</v>
      </c>
      <c r="L78" s="124">
        <f t="shared" si="109"/>
        <v>89.068000000000012</v>
      </c>
      <c r="M78" s="123">
        <f t="shared" si="109"/>
        <v>139.96300000000002</v>
      </c>
      <c r="N78" s="123">
        <f t="shared" si="109"/>
        <v>41.782719000000014</v>
      </c>
      <c r="O78" s="123">
        <f t="shared" si="109"/>
        <v>-85.831631718999972</v>
      </c>
      <c r="P78" s="123">
        <f t="shared" si="109"/>
        <v>-273.39069208728097</v>
      </c>
      <c r="Q78" s="124">
        <f t="shared" si="109"/>
        <v>-95.384000000000057</v>
      </c>
      <c r="R78" s="123">
        <f t="shared" si="109"/>
        <v>172.60300000000001</v>
      </c>
      <c r="S78" s="123">
        <f t="shared" si="109"/>
        <v>152.40800000000002</v>
      </c>
      <c r="T78" s="123">
        <f t="shared" si="109"/>
        <v>125.02200000000005</v>
      </c>
      <c r="U78" s="123">
        <f t="shared" si="109"/>
        <v>29.011000000000109</v>
      </c>
      <c r="V78" s="124">
        <f t="shared" si="109"/>
        <v>57.914000000000073</v>
      </c>
      <c r="W78" s="123">
        <f t="shared" si="109"/>
        <v>128.38500000000002</v>
      </c>
      <c r="X78" s="123">
        <f t="shared" si="109"/>
        <v>127.47400000000003</v>
      </c>
      <c r="Y78" s="123">
        <f t="shared" si="109"/>
        <v>90.946000000000026</v>
      </c>
      <c r="Z78" s="123">
        <f t="shared" si="109"/>
        <v>66.419000000000011</v>
      </c>
      <c r="AA78" s="124">
        <f t="shared" si="109"/>
        <v>66.418999999999969</v>
      </c>
      <c r="AB78" s="123">
        <f t="shared" si="109"/>
        <v>77.367999999999967</v>
      </c>
      <c r="AC78" s="123">
        <f t="shared" si="109"/>
        <v>85.257999999999967</v>
      </c>
      <c r="AD78" s="123">
        <f t="shared" si="109"/>
        <v>67.43599999999995</v>
      </c>
      <c r="AE78" s="123">
        <f t="shared" si="109"/>
        <v>70.81699999999995</v>
      </c>
      <c r="AF78" s="124">
        <f t="shared" si="109"/>
        <v>70.817000000000007</v>
      </c>
      <c r="AG78" s="123">
        <f t="shared" si="109"/>
        <v>177.43800000000002</v>
      </c>
      <c r="AH78" s="123">
        <f t="shared" si="109"/>
        <v>215.18</v>
      </c>
      <c r="AI78" s="123">
        <f t="shared" si="109"/>
        <v>163.25500000000005</v>
      </c>
      <c r="AJ78" s="123">
        <f t="shared" si="109"/>
        <v>107.58200000000002</v>
      </c>
      <c r="AK78" s="124">
        <f t="shared" si="109"/>
        <v>51.250000000000028</v>
      </c>
      <c r="AL78" s="123">
        <f t="shared" si="109"/>
        <v>164.846</v>
      </c>
      <c r="AM78" s="123">
        <f t="shared" si="109"/>
        <v>99.895000000000024</v>
      </c>
      <c r="AN78" s="123">
        <f t="shared" si="109"/>
        <v>147.18799999999996</v>
      </c>
      <c r="AO78" s="123">
        <f t="shared" si="109"/>
        <v>99.677000000000021</v>
      </c>
      <c r="AP78" s="124">
        <f t="shared" si="109"/>
        <v>99.676999999999936</v>
      </c>
      <c r="AQ78" s="123">
        <f t="shared" si="109"/>
        <v>251.47199999999992</v>
      </c>
      <c r="AR78" s="123">
        <f t="shared" si="109"/>
        <v>232.83999999999995</v>
      </c>
      <c r="AS78" s="123">
        <f>263.638</f>
        <v>263.63799999999998</v>
      </c>
      <c r="AT78" s="123">
        <f t="shared" ref="AT78:BX78" si="110">AT74+AT76</f>
        <v>215.29199999999994</v>
      </c>
      <c r="AU78" s="124">
        <f t="shared" si="110"/>
        <v>200.90699999999998</v>
      </c>
      <c r="AV78" s="123">
        <f t="shared" si="110"/>
        <v>439.19299999999998</v>
      </c>
      <c r="AW78" s="123">
        <f t="shared" si="110"/>
        <v>370.0809999999999</v>
      </c>
      <c r="AX78" s="123">
        <f t="shared" si="110"/>
        <v>383.37299999999999</v>
      </c>
      <c r="AY78" s="123">
        <f t="shared" si="110"/>
        <v>70.580000000000041</v>
      </c>
      <c r="AZ78" s="124">
        <f t="shared" si="110"/>
        <v>145.05299999999974</v>
      </c>
      <c r="BA78" s="123">
        <f t="shared" si="110"/>
        <v>643.54700000000003</v>
      </c>
      <c r="BB78" s="123">
        <f t="shared" si="110"/>
        <v>177.14200000000005</v>
      </c>
      <c r="BC78" s="123">
        <f t="shared" si="110"/>
        <v>98.935000000000102</v>
      </c>
      <c r="BD78" s="123">
        <f t="shared" si="110"/>
        <v>173.80900000000003</v>
      </c>
      <c r="BE78" s="124">
        <f t="shared" si="110"/>
        <v>173.80899999999946</v>
      </c>
      <c r="BF78" s="123">
        <f t="shared" si="110"/>
        <v>251.43499999999949</v>
      </c>
      <c r="BG78" s="123">
        <f t="shared" si="110"/>
        <v>202.67099999999942</v>
      </c>
      <c r="BH78" s="123">
        <f t="shared" si="110"/>
        <v>215.73899999999952</v>
      </c>
      <c r="BI78" s="123">
        <f t="shared" si="110"/>
        <v>312.60599999999948</v>
      </c>
      <c r="BJ78" s="124">
        <f t="shared" si="110"/>
        <v>312.60599999999954</v>
      </c>
      <c r="BK78" s="123">
        <f t="shared" si="110"/>
        <v>270.87299999999965</v>
      </c>
      <c r="BL78" s="123">
        <f t="shared" si="110"/>
        <v>200.17899999999963</v>
      </c>
      <c r="BM78" s="123">
        <f t="shared" si="110"/>
        <v>172.78899999999942</v>
      </c>
      <c r="BN78" s="123">
        <f t="shared" si="110"/>
        <v>281.26100000000127</v>
      </c>
      <c r="BO78" s="124">
        <f t="shared" si="110"/>
        <v>281.26099999999889</v>
      </c>
      <c r="BP78" s="123">
        <f t="shared" si="110"/>
        <v>349.29999999999961</v>
      </c>
      <c r="BQ78" s="123">
        <f t="shared" si="110"/>
        <v>303.40000000000043</v>
      </c>
      <c r="BR78" s="123">
        <f t="shared" si="110"/>
        <v>297.00000000000063</v>
      </c>
      <c r="BS78" s="123">
        <f t="shared" si="110"/>
        <v>269.8000000000057</v>
      </c>
      <c r="BT78" s="124">
        <f t="shared" si="110"/>
        <v>269.80000000000194</v>
      </c>
      <c r="BU78" s="123">
        <f t="shared" si="110"/>
        <v>356.80000000000047</v>
      </c>
      <c r="BV78" s="123">
        <f t="shared" si="110"/>
        <v>253.20000000000147</v>
      </c>
      <c r="BW78" s="123">
        <f t="shared" si="110"/>
        <v>292.00000000000148</v>
      </c>
      <c r="BX78" s="123">
        <f t="shared" si="110"/>
        <v>599.80000000000132</v>
      </c>
      <c r="BY78" s="124">
        <f>BX78</f>
        <v>599.80000000000132</v>
      </c>
      <c r="BZ78" s="123">
        <f t="shared" ref="BZ78:DR78" si="111">BZ74+BZ76</f>
        <v>1306.3000000000013</v>
      </c>
      <c r="CA78" s="123">
        <f t="shared" si="111"/>
        <v>1086.0000000000014</v>
      </c>
      <c r="CB78" s="123">
        <f t="shared" si="111"/>
        <v>1125.2000000000014</v>
      </c>
      <c r="CC78" s="123">
        <f t="shared" si="111"/>
        <v>1164.0000000000014</v>
      </c>
      <c r="CD78" s="124">
        <f t="shared" si="111"/>
        <v>1164.0000000000014</v>
      </c>
      <c r="CE78" s="123">
        <f t="shared" si="111"/>
        <v>1792.0000000000016</v>
      </c>
      <c r="CF78" s="123">
        <f t="shared" si="111"/>
        <v>1645.2000000000014</v>
      </c>
      <c r="CG78" s="123">
        <f t="shared" si="111"/>
        <v>1720.8000000000013</v>
      </c>
      <c r="CH78" s="123">
        <f t="shared" si="111"/>
        <v>1148.1000000000015</v>
      </c>
      <c r="CI78" s="124">
        <f t="shared" si="111"/>
        <v>1148.1000000000013</v>
      </c>
      <c r="CJ78" s="123">
        <f t="shared" si="111"/>
        <v>1569.6000000000013</v>
      </c>
      <c r="CK78" s="123">
        <f t="shared" si="111"/>
        <v>1432.2000000000012</v>
      </c>
      <c r="CL78" s="123">
        <f t="shared" si="111"/>
        <v>1501.3000000000015</v>
      </c>
      <c r="CM78" s="123">
        <f t="shared" si="111"/>
        <v>1188.6000000000017</v>
      </c>
      <c r="CN78" s="124">
        <f t="shared" si="111"/>
        <v>1188.6000000000015</v>
      </c>
      <c r="CO78" s="123">
        <f t="shared" si="111"/>
        <v>1852.1000000000015</v>
      </c>
      <c r="CP78" s="123">
        <f t="shared" si="111"/>
        <v>1223.2000000000016</v>
      </c>
      <c r="CQ78" s="203">
        <f t="shared" si="111"/>
        <v>1430.8000000000015</v>
      </c>
      <c r="CR78" s="203">
        <f t="shared" si="111"/>
        <v>2575.699999999998</v>
      </c>
      <c r="CS78" s="120">
        <f>CS74+CS76</f>
        <v>2575.699999999998</v>
      </c>
      <c r="CT78" s="203">
        <f>CT74+CT76</f>
        <v>1545.7999999999979</v>
      </c>
      <c r="CU78" s="203">
        <f t="shared" si="111"/>
        <v>1190.2999999999977</v>
      </c>
      <c r="CV78" s="123">
        <f t="shared" si="111"/>
        <v>1019.3999999999982</v>
      </c>
      <c r="CW78" s="692">
        <f t="shared" si="111"/>
        <v>1708.4000000000005</v>
      </c>
      <c r="CX78" s="728">
        <f t="shared" si="111"/>
        <v>1708.3999999999999</v>
      </c>
      <c r="CY78" s="203">
        <f t="shared" si="111"/>
        <v>1856.9999999999995</v>
      </c>
      <c r="CZ78" s="203">
        <f t="shared" si="111"/>
        <v>1750.3999999999996</v>
      </c>
      <c r="DA78" s="203">
        <f t="shared" si="111"/>
        <v>2080.4999999999995</v>
      </c>
      <c r="DB78" s="203">
        <f t="shared" si="111"/>
        <v>1530.1</v>
      </c>
      <c r="DC78" s="120">
        <f t="shared" si="111"/>
        <v>1530.1000000000001</v>
      </c>
      <c r="DD78" s="203">
        <f>DD74+DD76</f>
        <v>2263.5</v>
      </c>
      <c r="DE78" s="203">
        <f t="shared" ref="DE78:DF78" si="112">DE74+DE76</f>
        <v>1294.3999999999996</v>
      </c>
      <c r="DF78" s="906">
        <f t="shared" si="112"/>
        <v>2141.7999999999997</v>
      </c>
      <c r="DG78" s="203">
        <f t="shared" si="111"/>
        <v>2128.8000000000002</v>
      </c>
      <c r="DH78" s="120">
        <f t="shared" si="111"/>
        <v>2128.800000000002</v>
      </c>
      <c r="DI78" s="203">
        <f t="shared" si="111"/>
        <v>2034.6000000000022</v>
      </c>
      <c r="DJ78" s="203">
        <f t="shared" si="111"/>
        <v>2163.9000000000019</v>
      </c>
      <c r="DK78" s="203">
        <f t="shared" si="111"/>
        <v>2716.2000000000016</v>
      </c>
      <c r="DL78" s="203">
        <f t="shared" si="111"/>
        <v>2462.3000000000011</v>
      </c>
      <c r="DM78" s="120">
        <f t="shared" si="111"/>
        <v>2462.300000000002</v>
      </c>
      <c r="DN78" s="137">
        <f t="shared" si="111"/>
        <v>4859.3240845416558</v>
      </c>
      <c r="DO78" s="137">
        <f t="shared" si="111"/>
        <v>4064.8268685418752</v>
      </c>
      <c r="DP78" s="137">
        <f t="shared" si="111"/>
        <v>3677.0444246807551</v>
      </c>
      <c r="DQ78" s="137">
        <f t="shared" si="111"/>
        <v>3197.7167715683722</v>
      </c>
      <c r="DR78" s="136">
        <f t="shared" si="111"/>
        <v>3197.7167715683713</v>
      </c>
      <c r="DS78" s="137">
        <f t="shared" ref="DS78:EB78" si="113">DS74+DS76</f>
        <v>4526.9098782754554</v>
      </c>
      <c r="DT78" s="137">
        <f t="shared" si="113"/>
        <v>3849.113775498105</v>
      </c>
      <c r="DU78" s="137">
        <f t="shared" si="113"/>
        <v>3558.4987815368668</v>
      </c>
      <c r="DV78" s="137">
        <f t="shared" si="113"/>
        <v>3207.1224126739853</v>
      </c>
      <c r="DW78" s="136">
        <f t="shared" si="113"/>
        <v>3207.1224126739858</v>
      </c>
      <c r="DX78" s="137">
        <f t="shared" si="113"/>
        <v>4266.3009364135432</v>
      </c>
      <c r="DY78" s="137">
        <f t="shared" si="113"/>
        <v>3817.2382699160744</v>
      </c>
      <c r="DZ78" s="137">
        <f t="shared" si="113"/>
        <v>3380.912205931706</v>
      </c>
      <c r="EA78" s="137">
        <f t="shared" si="113"/>
        <v>2916.4021584186521</v>
      </c>
      <c r="EB78" s="136">
        <f t="shared" si="113"/>
        <v>2916.4021584186526</v>
      </c>
      <c r="EE78" s="120">
        <f>BG78+BH78+BI78+BK78</f>
        <v>1001.8889999999981</v>
      </c>
      <c r="EF78" s="120">
        <f>BL78+BM78+BN78+BP78</f>
        <v>1003.5289999999999</v>
      </c>
      <c r="EG78" s="120">
        <f>BQ78+BR78+BS78+BU78</f>
        <v>1227.000000000007</v>
      </c>
      <c r="EH78" s="120"/>
      <c r="EI78" s="120"/>
      <c r="EJ78" s="120"/>
      <c r="EK78" s="120"/>
      <c r="EL78" s="120"/>
      <c r="EM78" s="120"/>
      <c r="EN78" s="120"/>
      <c r="EO78" s="120"/>
      <c r="EP78" s="120"/>
      <c r="EQ78" s="120"/>
      <c r="ER78" s="120"/>
      <c r="FC78"/>
      <c r="FD78"/>
      <c r="FE78"/>
      <c r="FF78"/>
      <c r="FG78"/>
      <c r="FH78"/>
      <c r="FI78" s="396"/>
      <c r="FJ78" s="419"/>
      <c r="FK78" s="419"/>
      <c r="FL78" s="419"/>
      <c r="FM78" s="419"/>
      <c r="FN78" s="419"/>
      <c r="FO78" s="419"/>
      <c r="FP78" s="419"/>
      <c r="FQ78" s="419"/>
      <c r="FR78" s="419"/>
      <c r="FS78" s="419"/>
      <c r="FT78" s="419"/>
      <c r="FU78" s="419"/>
      <c r="FV78" s="419"/>
      <c r="FW78" s="419"/>
      <c r="FX78" s="419"/>
      <c r="FY78" s="419"/>
      <c r="FZ78" s="419"/>
      <c r="GA78" s="419"/>
      <c r="GB78" s="419"/>
      <c r="GC78" s="419"/>
      <c r="GD78" s="419"/>
      <c r="GE78" s="419"/>
      <c r="GF78" s="419"/>
      <c r="GG78" s="419"/>
      <c r="GH78" s="419"/>
      <c r="GI78" s="419"/>
      <c r="GJ78" s="419"/>
      <c r="GK78" s="419"/>
      <c r="GL78" s="419"/>
      <c r="GM78" s="419"/>
      <c r="GN78" s="419"/>
      <c r="GO78" s="419"/>
      <c r="GP78" s="419"/>
      <c r="GQ78" s="419"/>
      <c r="GR78" s="419"/>
      <c r="GS78" s="419"/>
      <c r="GT78" s="419"/>
      <c r="GU78" s="419"/>
      <c r="GV78" s="419"/>
      <c r="GW78" s="418"/>
      <c r="GX78" s="418"/>
      <c r="GY78" s="418"/>
      <c r="GZ78" s="418"/>
      <c r="HA78" s="418"/>
      <c r="HB78" s="418"/>
      <c r="HC78" s="418"/>
      <c r="HD78" s="418"/>
      <c r="HE78" s="418"/>
      <c r="HF78" s="418"/>
      <c r="HG78" s="418"/>
      <c r="HH78" s="418"/>
      <c r="HI78" s="418"/>
      <c r="HJ78" s="418"/>
      <c r="HK78" s="418"/>
      <c r="HL78" s="418"/>
      <c r="HM78" s="418"/>
      <c r="HN78" s="418"/>
      <c r="HO78" s="418"/>
      <c r="HP78" s="418"/>
      <c r="HQ78" s="418"/>
      <c r="HR78" s="418"/>
      <c r="HS78" s="418"/>
      <c r="HT78" s="418"/>
      <c r="HU78" s="418"/>
      <c r="HV78" s="418"/>
      <c r="HW78" s="418"/>
      <c r="HX78" s="418"/>
      <c r="HY78" s="418"/>
      <c r="HZ78" s="418"/>
      <c r="IA78" s="418"/>
      <c r="IB78" s="418"/>
      <c r="IC78" s="418"/>
      <c r="ID78" s="418"/>
      <c r="IE78" s="418"/>
      <c r="IF78" s="418"/>
      <c r="IG78" s="418"/>
      <c r="IH78" s="418"/>
      <c r="II78" s="418"/>
      <c r="IJ78" s="418"/>
      <c r="IK78" s="418"/>
      <c r="IL78" s="418"/>
      <c r="IM78" s="418"/>
      <c r="IN78" s="418"/>
      <c r="IO78" s="418"/>
      <c r="IP78" s="418"/>
      <c r="IQ78" s="418"/>
      <c r="IR78" s="418"/>
      <c r="IS78" s="418"/>
      <c r="IT78" s="418"/>
      <c r="IU78" s="418"/>
      <c r="IV78" s="418"/>
    </row>
    <row r="79" spans="1:256" s="1" customFormat="1" x14ac:dyDescent="0.2">
      <c r="BA79" s="104">
        <f>BA78-BS!BA9</f>
        <v>-9.9999999997635314E-4</v>
      </c>
      <c r="BB79" s="104">
        <f>BB78-BS!BB9</f>
        <v>0</v>
      </c>
      <c r="BC79" s="104">
        <f>BC78-BS!BC9</f>
        <v>-31.176999999999893</v>
      </c>
      <c r="BD79" s="104">
        <f>BD78-BS!BD9</f>
        <v>0</v>
      </c>
      <c r="BE79" s="104">
        <f>BE78-BS!BE9</f>
        <v>-5.4001247917767614E-13</v>
      </c>
      <c r="BF79" s="104">
        <f>BF78-BS!BF9</f>
        <v>-5.1159076974727213E-13</v>
      </c>
      <c r="BG79" s="104">
        <f>BG78-BS!BG9</f>
        <v>-5.6843418860808015E-13</v>
      </c>
      <c r="BH79" s="104">
        <f>BH78-BS!BH9</f>
        <v>-4.8316906031686813E-13</v>
      </c>
      <c r="BI79" s="104">
        <f>BI78-BS!BI9</f>
        <v>-5.1159076974727213E-13</v>
      </c>
      <c r="BJ79" s="104">
        <f>BJ78-BS!BJ9</f>
        <v>-4.5474735088646412E-13</v>
      </c>
      <c r="BK79" s="104">
        <f>BK78-BS!BK9</f>
        <v>0</v>
      </c>
      <c r="BL79" s="104">
        <f>BL78-BS!BL9</f>
        <v>-3.694822225952521E-13</v>
      </c>
      <c r="BM79" s="104">
        <f>BM78-BS!BM9</f>
        <v>-5.6843418860808015E-13</v>
      </c>
      <c r="BN79" s="104">
        <f>BN78-BS!BN9</f>
        <v>1.2505552149377763E-12</v>
      </c>
      <c r="BO79" s="104">
        <f>BO78-BS!BO9</f>
        <v>-1.1368683772161603E-12</v>
      </c>
      <c r="BP79" s="104">
        <f>BP78-BS!BP9</f>
        <v>0</v>
      </c>
      <c r="BQ79" s="104">
        <f>BQ78-BS!BQ9</f>
        <v>4.5474735088646412E-13</v>
      </c>
      <c r="BR79" s="104">
        <f>BR78-BS!BR9</f>
        <v>6.2527760746888816E-13</v>
      </c>
      <c r="BS79" s="104">
        <f>BS78-BS!BS9</f>
        <v>5.6843418860808015E-12</v>
      </c>
      <c r="BT79" s="104">
        <f>BT78-BS!BT9</f>
        <v>1.9326762412674725E-12</v>
      </c>
      <c r="BU79" s="104">
        <f>BU78-BS!BU9</f>
        <v>4.5474735088646412E-13</v>
      </c>
      <c r="BV79" s="104">
        <f>BV78-BS!BV9</f>
        <v>1.4779288903810084E-12</v>
      </c>
      <c r="BW79" s="104">
        <f>BW78-BS!BW9</f>
        <v>1.4779288903810084E-12</v>
      </c>
      <c r="BX79" s="104">
        <f>BX78-BS!BX9</f>
        <v>1.3642420526593924E-12</v>
      </c>
      <c r="BY79" s="104">
        <f>BY78-BS!BY9</f>
        <v>1.3642420526593924E-12</v>
      </c>
      <c r="BZ79" s="104">
        <f>BZ78-BS!BZ9</f>
        <v>0</v>
      </c>
      <c r="CA79" s="104">
        <f>CA78-BS!CA9</f>
        <v>0</v>
      </c>
      <c r="CB79" s="104">
        <f>CB78-BS!CB9</f>
        <v>0</v>
      </c>
      <c r="CC79" s="104">
        <f>CC78-BS!CC9</f>
        <v>0</v>
      </c>
      <c r="CD79" s="104">
        <f>CD78-BS!CD9</f>
        <v>0</v>
      </c>
      <c r="CE79" s="104">
        <f>CE78-BS!CE9</f>
        <v>0</v>
      </c>
      <c r="CF79" s="104">
        <f>CF78-BS!CF9</f>
        <v>0</v>
      </c>
      <c r="CG79" s="104">
        <f>CG78-BS!CG9</f>
        <v>0</v>
      </c>
      <c r="CH79" s="104">
        <f>CH78-BS!CH9</f>
        <v>0</v>
      </c>
      <c r="CI79" s="104">
        <f>CI78-BS!CI9</f>
        <v>0</v>
      </c>
      <c r="CJ79" s="104">
        <f>CJ78-BS!CJ9</f>
        <v>0</v>
      </c>
      <c r="CK79" s="104">
        <f>CK78-BS!CK9</f>
        <v>0</v>
      </c>
      <c r="CL79" s="104">
        <f>CL78-BS!CL9</f>
        <v>0</v>
      </c>
      <c r="CM79" s="104">
        <f>CM78-BS!CM9</f>
        <v>1.8189894035458565E-12</v>
      </c>
      <c r="CN79" s="104">
        <f>CN78-BS!CN9</f>
        <v>0</v>
      </c>
      <c r="CO79" s="104">
        <f>CO78-BS!CO9</f>
        <v>0</v>
      </c>
      <c r="CP79" s="104">
        <f>CP78-BS!CP9</f>
        <v>0</v>
      </c>
      <c r="CQ79" s="104">
        <f>CQ78-BS!CQ9</f>
        <v>0</v>
      </c>
      <c r="CR79" s="104">
        <f>CR78-BS!CR9</f>
        <v>0</v>
      </c>
      <c r="CS79" s="104">
        <f>CS78-BS!CS9</f>
        <v>0</v>
      </c>
      <c r="CT79" s="104">
        <f>CT78-BS!CT9</f>
        <v>-2.0463630789890885E-12</v>
      </c>
      <c r="CU79" s="104">
        <f>CU78-BS!CU9</f>
        <v>-2.2737367544323206E-12</v>
      </c>
      <c r="CV79" s="146">
        <f>CV78-BS!CV9</f>
        <v>-1.8189894035458565E-12</v>
      </c>
      <c r="CW79" s="658">
        <f>CW78-BS!CW9</f>
        <v>0</v>
      </c>
      <c r="CX79" s="658">
        <f>CX78-BS!CX9</f>
        <v>0</v>
      </c>
      <c r="CY79" s="104">
        <f>CY78-BS!CY9</f>
        <v>0</v>
      </c>
      <c r="CZ79" s="104">
        <f>CZ78-BS!CZ9</f>
        <v>0</v>
      </c>
      <c r="DA79" s="104">
        <f>DA78-BS!DA9</f>
        <v>0</v>
      </c>
      <c r="DB79" s="104">
        <f>DB78-BS!DB9</f>
        <v>0</v>
      </c>
      <c r="DC79" s="104">
        <f>DC78-BS!DC9</f>
        <v>0</v>
      </c>
      <c r="DD79" s="104">
        <f>DD78-BS!DD9</f>
        <v>0</v>
      </c>
      <c r="DE79" s="104">
        <f>DE78-BS!DE9</f>
        <v>0</v>
      </c>
      <c r="DF79" s="104">
        <f>DF78-BS!DF9</f>
        <v>0</v>
      </c>
      <c r="DG79" s="104">
        <f>DG78-BS!DG9</f>
        <v>0</v>
      </c>
      <c r="DH79" s="104">
        <f>DH78-BS!DH9</f>
        <v>0</v>
      </c>
      <c r="DI79" s="104">
        <f>DI78-BS!DI9</f>
        <v>2.2737367544323206E-12</v>
      </c>
      <c r="DJ79" s="104">
        <f>DJ78-BS!DJ9</f>
        <v>0</v>
      </c>
      <c r="DK79" s="104">
        <f>DK78-BS!DK9</f>
        <v>0</v>
      </c>
      <c r="DL79" s="104">
        <f>DL78-BS!DL9</f>
        <v>0</v>
      </c>
      <c r="DM79" s="104">
        <f>DM78-BS!DM9</f>
        <v>0</v>
      </c>
      <c r="DN79" s="104">
        <f>DN78-BS!DN9</f>
        <v>0</v>
      </c>
      <c r="DO79" s="104">
        <f>DO78-BS!DO9</f>
        <v>0</v>
      </c>
      <c r="DP79" s="104">
        <f>DP78-BS!DP9</f>
        <v>0</v>
      </c>
      <c r="DQ79" s="104">
        <f>DQ78-BS!DQ9</f>
        <v>0</v>
      </c>
      <c r="DR79" s="104">
        <f>DR78-BS!DR9</f>
        <v>0</v>
      </c>
      <c r="DS79" s="104">
        <f>DS78-BS!DS9</f>
        <v>0</v>
      </c>
      <c r="DT79" s="104">
        <f>DT78-BS!DT9</f>
        <v>0</v>
      </c>
      <c r="DU79" s="104">
        <f>DU78-BS!DU9</f>
        <v>0</v>
      </c>
      <c r="DV79" s="104">
        <f>DV78-BS!DV9</f>
        <v>0</v>
      </c>
      <c r="DW79" s="104">
        <f>DW78-BS!DW9</f>
        <v>0</v>
      </c>
      <c r="DX79" s="104">
        <f>DX78-BS!DX9</f>
        <v>0</v>
      </c>
      <c r="DY79" s="104">
        <f>DY78-BS!DY9</f>
        <v>0</v>
      </c>
      <c r="DZ79" s="104">
        <f>DZ78-BS!DZ9</f>
        <v>0</v>
      </c>
      <c r="EA79" s="104">
        <f>EA78-BS!EA9</f>
        <v>0</v>
      </c>
      <c r="EB79" s="104">
        <f>EB78-BS!EB9</f>
        <v>0</v>
      </c>
      <c r="FC79"/>
      <c r="FD79"/>
      <c r="FE79"/>
      <c r="FF79"/>
      <c r="FG79"/>
      <c r="FH79"/>
      <c r="FI79" s="396"/>
      <c r="FJ79" s="418"/>
      <c r="FK79" s="418"/>
      <c r="FL79" s="418"/>
      <c r="FM79" s="418"/>
      <c r="FN79" s="418"/>
      <c r="FO79" s="418"/>
      <c r="FP79" s="418"/>
      <c r="FQ79" s="418"/>
      <c r="FR79" s="418"/>
      <c r="FS79" s="418"/>
      <c r="FT79" s="418"/>
      <c r="FU79" s="418"/>
      <c r="FV79" s="418"/>
      <c r="FW79" s="418"/>
      <c r="FX79" s="418"/>
      <c r="FY79" s="418"/>
      <c r="FZ79" s="418"/>
      <c r="GA79" s="418"/>
      <c r="GB79" s="418"/>
      <c r="GC79" s="418"/>
      <c r="GD79" s="418"/>
      <c r="GE79" s="418"/>
      <c r="GF79" s="418"/>
      <c r="GG79" s="418"/>
      <c r="GH79" s="418"/>
      <c r="GI79" s="418"/>
      <c r="GJ79" s="418"/>
      <c r="GK79" s="418"/>
      <c r="GL79" s="418"/>
      <c r="GM79" s="418"/>
      <c r="GN79" s="418"/>
      <c r="GO79" s="418"/>
      <c r="GP79" s="418"/>
      <c r="GQ79" s="418"/>
      <c r="GR79" s="418"/>
      <c r="GS79" s="418"/>
      <c r="GT79" s="418"/>
      <c r="GU79" s="418"/>
      <c r="GV79" s="418"/>
      <c r="GW79" s="418"/>
      <c r="GX79" s="418"/>
      <c r="GY79" s="418"/>
      <c r="GZ79" s="418"/>
      <c r="HA79" s="418"/>
      <c r="HB79" s="418"/>
      <c r="HC79" s="418"/>
      <c r="HD79" s="418"/>
      <c r="HE79" s="418"/>
      <c r="HF79" s="418"/>
      <c r="HG79" s="418"/>
      <c r="HH79" s="418"/>
      <c r="HI79" s="418"/>
      <c r="HJ79" s="418"/>
      <c r="HK79" s="418"/>
      <c r="HL79" s="418"/>
      <c r="HM79" s="418"/>
      <c r="HN79" s="418"/>
      <c r="HO79" s="418"/>
      <c r="HP79" s="418"/>
      <c r="HQ79" s="418"/>
      <c r="HR79" s="418"/>
      <c r="HS79" s="418"/>
      <c r="HT79" s="418"/>
      <c r="HU79" s="418"/>
      <c r="HV79" s="418"/>
      <c r="HW79" s="418"/>
      <c r="HX79" s="418"/>
      <c r="HY79" s="418"/>
      <c r="HZ79" s="418"/>
      <c r="IA79" s="418"/>
      <c r="IB79" s="418"/>
      <c r="IC79" s="418"/>
      <c r="ID79" s="418"/>
      <c r="IE79" s="418"/>
      <c r="IF79" s="418"/>
      <c r="IG79" s="418"/>
      <c r="IH79" s="418"/>
      <c r="II79" s="418"/>
      <c r="IJ79" s="418"/>
      <c r="IK79" s="418"/>
      <c r="IL79" s="418"/>
      <c r="IM79" s="418"/>
      <c r="IN79" s="418"/>
      <c r="IO79" s="418"/>
      <c r="IP79" s="418"/>
      <c r="IQ79" s="418"/>
      <c r="IR79" s="418"/>
      <c r="IS79" s="418"/>
      <c r="IT79" s="418"/>
      <c r="IU79" s="418"/>
      <c r="IV79" s="418"/>
    </row>
    <row r="80" spans="1:256" s="16" customFormat="1" x14ac:dyDescent="0.2">
      <c r="A80" s="33" t="s">
        <v>172</v>
      </c>
      <c r="B80" s="133" t="str">
        <f t="shared" ref="B80:AG80" si="114">B7</f>
        <v>FY 1994A</v>
      </c>
      <c r="C80" s="134" t="str">
        <f t="shared" si="114"/>
        <v>Dec-94A</v>
      </c>
      <c r="D80" s="134" t="str">
        <f t="shared" si="114"/>
        <v>Mar-95A</v>
      </c>
      <c r="E80" s="135" t="str">
        <f t="shared" si="114"/>
        <v>Jun-95A</v>
      </c>
      <c r="F80" s="134" t="str">
        <f t="shared" si="114"/>
        <v>Sep-95A</v>
      </c>
      <c r="G80" s="133" t="str">
        <f t="shared" si="114"/>
        <v>FY 1995A</v>
      </c>
      <c r="H80" s="134" t="str">
        <f t="shared" si="114"/>
        <v>Dec-95A</v>
      </c>
      <c r="I80" s="134" t="str">
        <f t="shared" si="114"/>
        <v>Mar-96A</v>
      </c>
      <c r="J80" s="135" t="str">
        <f t="shared" si="114"/>
        <v>Jun-96A</v>
      </c>
      <c r="K80" s="134" t="str">
        <f t="shared" si="114"/>
        <v>Sep-96A</v>
      </c>
      <c r="L80" s="133" t="str">
        <f t="shared" si="114"/>
        <v>FY 1996A</v>
      </c>
      <c r="M80" s="134" t="str">
        <f t="shared" si="114"/>
        <v>Dec-96A</v>
      </c>
      <c r="N80" s="134" t="str">
        <f t="shared" si="114"/>
        <v>Mar-97A</v>
      </c>
      <c r="O80" s="135" t="str">
        <f t="shared" si="114"/>
        <v>Jun-97A</v>
      </c>
      <c r="P80" s="134" t="str">
        <f t="shared" si="114"/>
        <v>Sep-97A</v>
      </c>
      <c r="Q80" s="133" t="str">
        <f t="shared" si="114"/>
        <v>FY 1997A</v>
      </c>
      <c r="R80" s="134" t="str">
        <f t="shared" si="114"/>
        <v>Dec-97A</v>
      </c>
      <c r="S80" s="134" t="str">
        <f t="shared" si="114"/>
        <v>Mar-98A</v>
      </c>
      <c r="T80" s="135" t="str">
        <f t="shared" si="114"/>
        <v>Jun-98A</v>
      </c>
      <c r="U80" s="134" t="str">
        <f t="shared" si="114"/>
        <v>Sep-98A</v>
      </c>
      <c r="V80" s="133" t="str">
        <f t="shared" si="114"/>
        <v>FY 1998A</v>
      </c>
      <c r="W80" s="134" t="str">
        <f t="shared" si="114"/>
        <v>Dec-98A</v>
      </c>
      <c r="X80" s="134" t="str">
        <f t="shared" si="114"/>
        <v>Mar-99A</v>
      </c>
      <c r="Y80" s="135" t="str">
        <f t="shared" si="114"/>
        <v>Jun-99A</v>
      </c>
      <c r="Z80" s="134" t="str">
        <f t="shared" si="114"/>
        <v>Sep-99A</v>
      </c>
      <c r="AA80" s="133" t="str">
        <f t="shared" si="114"/>
        <v>FY 1999A</v>
      </c>
      <c r="AB80" s="134" t="str">
        <f t="shared" si="114"/>
        <v>Dec-99A</v>
      </c>
      <c r="AC80" s="134" t="str">
        <f t="shared" si="114"/>
        <v>Mar-00A</v>
      </c>
      <c r="AD80" s="135" t="str">
        <f t="shared" si="114"/>
        <v>Jun-00A</v>
      </c>
      <c r="AE80" s="134" t="str">
        <f t="shared" si="114"/>
        <v>Sep-00A</v>
      </c>
      <c r="AF80" s="133" t="str">
        <f t="shared" si="114"/>
        <v>FY 2000A</v>
      </c>
      <c r="AG80" s="134" t="str">
        <f t="shared" si="114"/>
        <v>Dec-00A</v>
      </c>
      <c r="AH80" s="134" t="str">
        <f t="shared" ref="AH80:BM80" si="115">AH7</f>
        <v>Mar-01A</v>
      </c>
      <c r="AI80" s="135" t="str">
        <f t="shared" si="115"/>
        <v>Jun-01A</v>
      </c>
      <c r="AJ80" s="134" t="str">
        <f t="shared" si="115"/>
        <v>Sep-01A</v>
      </c>
      <c r="AK80" s="133" t="str">
        <f t="shared" si="115"/>
        <v>FY 2001A</v>
      </c>
      <c r="AL80" s="134" t="str">
        <f t="shared" si="115"/>
        <v>Dec-01A</v>
      </c>
      <c r="AM80" s="134" t="str">
        <f t="shared" si="115"/>
        <v>Mar-02A</v>
      </c>
      <c r="AN80" s="135" t="str">
        <f t="shared" si="115"/>
        <v>Jun-02A</v>
      </c>
      <c r="AO80" s="134" t="str">
        <f t="shared" si="115"/>
        <v>Sep-02A</v>
      </c>
      <c r="AP80" s="133" t="str">
        <f t="shared" si="115"/>
        <v>FY 2002A</v>
      </c>
      <c r="AQ80" s="134" t="str">
        <f t="shared" si="115"/>
        <v>Dec-02A</v>
      </c>
      <c r="AR80" s="134" t="str">
        <f t="shared" si="115"/>
        <v>Mar-03A</v>
      </c>
      <c r="AS80" s="135" t="str">
        <f t="shared" si="115"/>
        <v>Jun-03A</v>
      </c>
      <c r="AT80" s="134" t="str">
        <f t="shared" si="115"/>
        <v>Sep-03A</v>
      </c>
      <c r="AU80" s="133" t="str">
        <f t="shared" si="115"/>
        <v>FY 2003A</v>
      </c>
      <c r="AV80" s="134" t="str">
        <f t="shared" si="115"/>
        <v>Dec-03A</v>
      </c>
      <c r="AW80" s="134" t="str">
        <f t="shared" si="115"/>
        <v>Mar-04A</v>
      </c>
      <c r="AX80" s="135" t="str">
        <f t="shared" si="115"/>
        <v>Jun-04A</v>
      </c>
      <c r="AY80" s="134" t="str">
        <f t="shared" si="115"/>
        <v>Sep-04A</v>
      </c>
      <c r="AZ80" s="133" t="str">
        <f t="shared" si="115"/>
        <v>FY 2004A</v>
      </c>
      <c r="BA80" s="134" t="str">
        <f t="shared" si="115"/>
        <v>Dec-04A</v>
      </c>
      <c r="BB80" s="134" t="str">
        <f t="shared" si="115"/>
        <v>Mar-05A</v>
      </c>
      <c r="BC80" s="135" t="str">
        <f t="shared" si="115"/>
        <v>Jun-05A</v>
      </c>
      <c r="BD80" s="134" t="str">
        <f t="shared" si="115"/>
        <v>Sep-05A</v>
      </c>
      <c r="BE80" s="133" t="str">
        <f t="shared" si="115"/>
        <v>FY 2005A</v>
      </c>
      <c r="BF80" s="134" t="str">
        <f t="shared" si="115"/>
        <v>Dec-05A</v>
      </c>
      <c r="BG80" s="134" t="str">
        <f t="shared" si="115"/>
        <v>Mar-06A</v>
      </c>
      <c r="BH80" s="135" t="str">
        <f t="shared" si="115"/>
        <v>Jun-06A</v>
      </c>
      <c r="BI80" s="134" t="str">
        <f t="shared" si="115"/>
        <v>Sep-06A</v>
      </c>
      <c r="BJ80" s="133" t="str">
        <f t="shared" si="115"/>
        <v>FY 2006A</v>
      </c>
      <c r="BK80" s="134" t="str">
        <f t="shared" si="115"/>
        <v>Dec-06A</v>
      </c>
      <c r="BL80" s="134" t="str">
        <f t="shared" si="115"/>
        <v>Mar-07A</v>
      </c>
      <c r="BM80" s="135" t="str">
        <f t="shared" si="115"/>
        <v>Jun-07A</v>
      </c>
      <c r="BN80" s="134" t="str">
        <f t="shared" ref="BN80:CS80" si="116">BN7</f>
        <v>Sep-07A</v>
      </c>
      <c r="BO80" s="133" t="str">
        <f t="shared" si="116"/>
        <v>FY 2007A</v>
      </c>
      <c r="BP80" s="134" t="str">
        <f t="shared" si="116"/>
        <v>Dec-07A</v>
      </c>
      <c r="BQ80" s="134" t="str">
        <f t="shared" si="116"/>
        <v>Mar-08A</v>
      </c>
      <c r="BR80" s="135" t="str">
        <f t="shared" si="116"/>
        <v>Jun-08A</v>
      </c>
      <c r="BS80" s="134" t="str">
        <f t="shared" si="116"/>
        <v>Sep-08A</v>
      </c>
      <c r="BT80" s="133" t="str">
        <f t="shared" si="116"/>
        <v>FY 2008A</v>
      </c>
      <c r="BU80" s="134" t="str">
        <f t="shared" si="116"/>
        <v>Dec-08A</v>
      </c>
      <c r="BV80" s="134" t="str">
        <f t="shared" si="116"/>
        <v>Mar-09A</v>
      </c>
      <c r="BW80" s="135" t="str">
        <f t="shared" si="116"/>
        <v>Jun-09A</v>
      </c>
      <c r="BX80" s="134" t="str">
        <f t="shared" si="116"/>
        <v>Sep-09A</v>
      </c>
      <c r="BY80" s="133" t="str">
        <f t="shared" si="116"/>
        <v>FY 2009A</v>
      </c>
      <c r="BZ80" s="134" t="str">
        <f t="shared" si="116"/>
        <v>Dec-09A</v>
      </c>
      <c r="CA80" s="134" t="str">
        <f t="shared" si="116"/>
        <v>Mar-10A</v>
      </c>
      <c r="CB80" s="135" t="str">
        <f t="shared" si="116"/>
        <v>Jun-10A</v>
      </c>
      <c r="CC80" s="134" t="str">
        <f t="shared" si="116"/>
        <v>Sep-10A</v>
      </c>
      <c r="CD80" s="133" t="str">
        <f t="shared" si="116"/>
        <v>FY 2010A</v>
      </c>
      <c r="CE80" s="134" t="str">
        <f t="shared" si="116"/>
        <v>Dec-10A</v>
      </c>
      <c r="CF80" s="134" t="str">
        <f t="shared" si="116"/>
        <v>Mar-11A</v>
      </c>
      <c r="CG80" s="135" t="str">
        <f t="shared" si="116"/>
        <v>Jun-11A</v>
      </c>
      <c r="CH80" s="134" t="str">
        <f t="shared" si="116"/>
        <v>Sep-11A</v>
      </c>
      <c r="CI80" s="133" t="str">
        <f t="shared" si="116"/>
        <v>FY 2011A</v>
      </c>
      <c r="CJ80" s="134" t="str">
        <f t="shared" si="116"/>
        <v>Dec-11A</v>
      </c>
      <c r="CK80" s="134" t="str">
        <f t="shared" si="116"/>
        <v>Mar-12A</v>
      </c>
      <c r="CL80" s="135" t="str">
        <f t="shared" si="116"/>
        <v>Jun-12A</v>
      </c>
      <c r="CM80" s="134" t="str">
        <f t="shared" si="116"/>
        <v>Sep-12A</v>
      </c>
      <c r="CN80" s="133" t="str">
        <f t="shared" si="116"/>
        <v>FY 2012A</v>
      </c>
      <c r="CO80" s="134" t="str">
        <f t="shared" si="116"/>
        <v>Dec-12A</v>
      </c>
      <c r="CP80" s="134" t="str">
        <f t="shared" si="116"/>
        <v>Mar-13A</v>
      </c>
      <c r="CQ80" s="447" t="str">
        <f t="shared" si="116"/>
        <v>Jun-13A</v>
      </c>
      <c r="CR80" s="134" t="str">
        <f t="shared" si="116"/>
        <v>Sep-13A</v>
      </c>
      <c r="CS80" s="133" t="str">
        <f t="shared" si="116"/>
        <v>FY 2013A</v>
      </c>
      <c r="CT80" s="475" t="str">
        <f t="shared" ref="CT80:EB80" si="117">CT7</f>
        <v>Dec-13A</v>
      </c>
      <c r="CU80" s="134" t="str">
        <f t="shared" si="117"/>
        <v>Mar-14A</v>
      </c>
      <c r="CV80" s="135" t="str">
        <f t="shared" si="117"/>
        <v>Jun-14A</v>
      </c>
      <c r="CW80" s="715" t="str">
        <f t="shared" si="117"/>
        <v>Sep-14A</v>
      </c>
      <c r="CX80" s="716" t="str">
        <f t="shared" si="117"/>
        <v>FY 2014A</v>
      </c>
      <c r="CY80" s="475" t="str">
        <f t="shared" si="117"/>
        <v>Dec-14A</v>
      </c>
      <c r="CZ80" s="475" t="str">
        <f t="shared" si="117"/>
        <v>Mar-15A</v>
      </c>
      <c r="DA80" s="447" t="str">
        <f t="shared" si="117"/>
        <v>Jun-15A</v>
      </c>
      <c r="DB80" s="475" t="str">
        <f t="shared" si="117"/>
        <v>Sep-15A</v>
      </c>
      <c r="DC80" s="132" t="str">
        <f t="shared" si="117"/>
        <v>FY 2015A</v>
      </c>
      <c r="DD80" s="134" t="str">
        <f t="shared" si="117"/>
        <v>Dec-15A</v>
      </c>
      <c r="DE80" s="134" t="str">
        <f t="shared" si="117"/>
        <v>Mar-16A</v>
      </c>
      <c r="DF80" s="135" t="str">
        <f t="shared" si="117"/>
        <v>Jun-16A</v>
      </c>
      <c r="DG80" s="134" t="str">
        <f t="shared" si="117"/>
        <v>Sep-16A</v>
      </c>
      <c r="DH80" s="133" t="str">
        <f t="shared" si="117"/>
        <v>FY 2016A</v>
      </c>
      <c r="DI80" s="134" t="str">
        <f>DI7</f>
        <v>Dec-16A</v>
      </c>
      <c r="DJ80" s="134" t="str">
        <f t="shared" si="117"/>
        <v>Mar-17A</v>
      </c>
      <c r="DK80" s="447" t="str">
        <f t="shared" si="117"/>
        <v>Jun-17A</v>
      </c>
      <c r="DL80" s="475" t="str">
        <f t="shared" si="117"/>
        <v>Sep-17A</v>
      </c>
      <c r="DM80" s="132" t="str">
        <f t="shared" si="117"/>
        <v>FY 2017A</v>
      </c>
      <c r="DN80" s="134" t="str">
        <f t="shared" si="117"/>
        <v>Dec-17E</v>
      </c>
      <c r="DO80" s="134" t="str">
        <f t="shared" si="117"/>
        <v>Mar-18E</v>
      </c>
      <c r="DP80" s="135" t="str">
        <f t="shared" si="117"/>
        <v>Jun-18E</v>
      </c>
      <c r="DQ80" s="134" t="str">
        <f t="shared" si="117"/>
        <v>Sep-18E</v>
      </c>
      <c r="DR80" s="133" t="str">
        <f t="shared" si="117"/>
        <v>FY 2018E</v>
      </c>
      <c r="DS80" s="134" t="str">
        <f t="shared" si="117"/>
        <v>Dec-18E</v>
      </c>
      <c r="DT80" s="134" t="str">
        <f t="shared" si="117"/>
        <v>Mar-19E</v>
      </c>
      <c r="DU80" s="135" t="str">
        <f t="shared" si="117"/>
        <v>Jun-19E</v>
      </c>
      <c r="DV80" s="134" t="str">
        <f t="shared" si="117"/>
        <v>Sep-19E</v>
      </c>
      <c r="DW80" s="133" t="str">
        <f t="shared" si="117"/>
        <v>FY2019E</v>
      </c>
      <c r="DX80" s="134" t="str">
        <f t="shared" si="117"/>
        <v>Dec-19E</v>
      </c>
      <c r="DY80" s="134" t="str">
        <f t="shared" si="117"/>
        <v>Mar-20E</v>
      </c>
      <c r="DZ80" s="135" t="str">
        <f t="shared" si="117"/>
        <v>Jun-20E</v>
      </c>
      <c r="EA80" s="134" t="str">
        <f t="shared" si="117"/>
        <v>Sep-20E</v>
      </c>
      <c r="EB80" s="133" t="str">
        <f t="shared" si="117"/>
        <v>FY2020E</v>
      </c>
      <c r="EE80" s="132" t="str">
        <f t="shared" ref="EE80:ER80" si="118">EE7</f>
        <v>CY06</v>
      </c>
      <c r="EF80" s="132" t="str">
        <f t="shared" si="118"/>
        <v>CY07</v>
      </c>
      <c r="EG80" s="132" t="str">
        <f t="shared" si="118"/>
        <v>CY08</v>
      </c>
      <c r="EH80" s="132" t="str">
        <f t="shared" si="118"/>
        <v>CY09</v>
      </c>
      <c r="EI80" s="132" t="str">
        <f t="shared" si="118"/>
        <v>CY10</v>
      </c>
      <c r="EJ80" s="132" t="str">
        <f t="shared" si="118"/>
        <v>CY11</v>
      </c>
      <c r="EK80" s="132" t="str">
        <f t="shared" si="118"/>
        <v>CY12</v>
      </c>
      <c r="EL80" s="132" t="str">
        <f t="shared" si="118"/>
        <v>CY13</v>
      </c>
      <c r="EM80" s="132" t="str">
        <f t="shared" si="118"/>
        <v>CY14</v>
      </c>
      <c r="EN80" s="132" t="str">
        <f t="shared" si="118"/>
        <v>CY15</v>
      </c>
      <c r="EO80" s="132" t="str">
        <f t="shared" si="118"/>
        <v>CY16</v>
      </c>
      <c r="EP80" s="132" t="str">
        <f t="shared" si="118"/>
        <v>CY17</v>
      </c>
      <c r="EQ80" s="132" t="str">
        <f t="shared" si="118"/>
        <v>CY18</v>
      </c>
      <c r="ER80" s="132" t="str">
        <f t="shared" si="118"/>
        <v>CY19</v>
      </c>
      <c r="FC80"/>
      <c r="FD80"/>
      <c r="FE80"/>
      <c r="FF80"/>
      <c r="FG80"/>
      <c r="FH80"/>
      <c r="FI80" s="396"/>
      <c r="FJ80" s="419"/>
      <c r="FK80" s="419"/>
      <c r="FL80" s="419"/>
      <c r="FM80" s="419"/>
      <c r="FN80" s="419"/>
      <c r="FO80" s="419"/>
      <c r="FP80" s="419"/>
      <c r="FQ80" s="419"/>
      <c r="FR80" s="419"/>
      <c r="FS80" s="419"/>
      <c r="FT80" s="419"/>
      <c r="FU80" s="419"/>
      <c r="FV80" s="419"/>
      <c r="FW80" s="419"/>
      <c r="FX80" s="419"/>
      <c r="FY80" s="419"/>
      <c r="FZ80" s="419"/>
      <c r="GA80" s="419"/>
      <c r="GB80" s="419"/>
      <c r="GC80" s="419"/>
      <c r="GD80" s="419"/>
      <c r="GE80" s="419"/>
      <c r="GF80" s="419"/>
      <c r="GG80" s="419"/>
      <c r="GH80" s="419"/>
      <c r="GI80" s="419"/>
      <c r="GJ80" s="419"/>
      <c r="GK80" s="419"/>
      <c r="GL80" s="419"/>
      <c r="GM80" s="419"/>
      <c r="GN80" s="419"/>
      <c r="GO80" s="419"/>
      <c r="GP80" s="419"/>
      <c r="GQ80" s="419"/>
      <c r="GR80" s="419"/>
      <c r="GS80" s="419"/>
      <c r="GT80" s="419"/>
      <c r="GU80" s="419"/>
      <c r="GV80" s="419"/>
      <c r="GW80" s="418"/>
      <c r="GX80" s="418"/>
      <c r="GY80" s="418"/>
      <c r="GZ80" s="418"/>
      <c r="HA80" s="418"/>
      <c r="HB80" s="418"/>
      <c r="HC80" s="418"/>
      <c r="HD80" s="418"/>
      <c r="HE80" s="418"/>
      <c r="HF80" s="418"/>
      <c r="HG80" s="418"/>
      <c r="HH80" s="418"/>
      <c r="HI80" s="418"/>
      <c r="HJ80" s="418"/>
      <c r="HK80" s="418"/>
      <c r="HL80" s="418"/>
      <c r="HM80" s="418"/>
      <c r="HN80" s="418"/>
      <c r="HO80" s="418"/>
      <c r="HP80" s="418"/>
      <c r="HQ80" s="418"/>
      <c r="HR80" s="418"/>
      <c r="HS80" s="418"/>
      <c r="HT80" s="418"/>
      <c r="HU80" s="418"/>
      <c r="HV80" s="418"/>
      <c r="HW80" s="418"/>
      <c r="HX80" s="418"/>
      <c r="HY80" s="418"/>
      <c r="HZ80" s="418"/>
      <c r="IA80" s="418"/>
      <c r="IB80" s="418"/>
      <c r="IC80" s="418"/>
      <c r="ID80" s="418"/>
      <c r="IE80" s="418"/>
      <c r="IF80" s="418"/>
      <c r="IG80" s="418"/>
      <c r="IH80" s="418"/>
      <c r="II80" s="418"/>
      <c r="IJ80" s="418"/>
      <c r="IK80" s="418"/>
      <c r="IL80" s="418"/>
      <c r="IM80" s="418"/>
      <c r="IN80" s="418"/>
      <c r="IO80" s="418"/>
      <c r="IP80" s="418"/>
      <c r="IQ80" s="418"/>
      <c r="IR80" s="418"/>
      <c r="IS80" s="418"/>
      <c r="IT80" s="418"/>
      <c r="IU80" s="418"/>
      <c r="IV80" s="418"/>
    </row>
    <row r="81" spans="1:256" s="1" customFormat="1" ht="7.5" customHeight="1" x14ac:dyDescent="0.2">
      <c r="B81" s="125"/>
      <c r="C81" s="111"/>
      <c r="D81" s="111"/>
      <c r="E81" s="111"/>
      <c r="F81" s="111"/>
      <c r="G81" s="125"/>
      <c r="H81" s="111"/>
      <c r="I81" s="111"/>
      <c r="J81" s="111"/>
      <c r="K81" s="111"/>
      <c r="L81" s="125"/>
      <c r="M81" s="111"/>
      <c r="N81" s="111"/>
      <c r="O81" s="111"/>
      <c r="P81" s="111"/>
      <c r="Q81" s="125"/>
      <c r="R81" s="111"/>
      <c r="S81" s="111"/>
      <c r="T81" s="111"/>
      <c r="U81" s="111"/>
      <c r="V81" s="125"/>
      <c r="W81" s="111"/>
      <c r="X81" s="111"/>
      <c r="Y81" s="111"/>
      <c r="Z81" s="111"/>
      <c r="AA81" s="125"/>
      <c r="AB81" s="111"/>
      <c r="AC81" s="111"/>
      <c r="AD81" s="111"/>
      <c r="AE81" s="111"/>
      <c r="AF81" s="125"/>
      <c r="AG81" s="111"/>
      <c r="AH81" s="111"/>
      <c r="AI81" s="111"/>
      <c r="AJ81" s="111"/>
      <c r="AK81" s="125"/>
      <c r="AL81" s="111"/>
      <c r="AM81" s="111"/>
      <c r="AN81" s="111"/>
      <c r="AO81" s="111"/>
      <c r="AP81" s="125"/>
      <c r="AQ81" s="111"/>
      <c r="AR81" s="111"/>
      <c r="AS81" s="111"/>
      <c r="AT81" s="111"/>
      <c r="AU81" s="125"/>
      <c r="AV81" s="111"/>
      <c r="AW81" s="111"/>
      <c r="AX81" s="111"/>
      <c r="AY81" s="111"/>
      <c r="AZ81" s="125"/>
      <c r="BA81" s="111"/>
      <c r="BB81" s="111"/>
      <c r="BC81" s="111"/>
      <c r="BD81" s="111"/>
      <c r="BE81" s="125"/>
      <c r="BF81" s="111"/>
      <c r="BG81" s="111"/>
      <c r="BH81" s="111"/>
      <c r="BI81" s="111"/>
      <c r="BJ81" s="125"/>
      <c r="BK81" s="111"/>
      <c r="BL81" s="111"/>
      <c r="BM81" s="111"/>
      <c r="BN81" s="111"/>
      <c r="BO81" s="125"/>
      <c r="BP81" s="111"/>
      <c r="BQ81" s="111"/>
      <c r="BR81" s="111"/>
      <c r="BS81" s="111"/>
      <c r="BT81" s="125"/>
      <c r="BU81" s="111"/>
      <c r="BV81" s="111"/>
      <c r="BW81" s="111"/>
      <c r="BX81" s="111"/>
      <c r="BY81" s="125"/>
      <c r="BZ81" s="111"/>
      <c r="CA81" s="111"/>
      <c r="CB81" s="111"/>
      <c r="CC81" s="111"/>
      <c r="CD81" s="125"/>
      <c r="CE81" s="111"/>
      <c r="CF81" s="111"/>
      <c r="CG81" s="111"/>
      <c r="CH81" s="111"/>
      <c r="CI81" s="125"/>
      <c r="CJ81" s="111"/>
      <c r="CK81" s="111"/>
      <c r="CL81" s="111"/>
      <c r="CM81" s="111"/>
      <c r="CN81" s="125"/>
      <c r="CO81" s="111"/>
      <c r="CP81" s="111"/>
      <c r="CQ81" s="111"/>
      <c r="CR81" s="117"/>
      <c r="CS81" s="131"/>
      <c r="CT81" s="111"/>
      <c r="CU81" s="117"/>
      <c r="CV81" s="117"/>
      <c r="CW81" s="659"/>
      <c r="CX81" s="719"/>
      <c r="CY81" s="111"/>
      <c r="CZ81" s="111"/>
      <c r="DA81" s="111"/>
      <c r="DB81" s="111"/>
      <c r="DC81" s="125"/>
      <c r="DD81" s="117"/>
      <c r="DE81" s="117"/>
      <c r="DF81" s="117"/>
      <c r="DG81" s="117"/>
      <c r="DH81" s="131"/>
      <c r="DI81" s="117"/>
      <c r="DJ81" s="117"/>
      <c r="DK81" s="111"/>
      <c r="DL81" s="111"/>
      <c r="DM81" s="125"/>
      <c r="DN81" s="117"/>
      <c r="DO81" s="117"/>
      <c r="DP81" s="117"/>
      <c r="DQ81" s="117"/>
      <c r="DR81" s="131"/>
      <c r="DS81" s="117"/>
      <c r="DT81" s="117"/>
      <c r="DU81" s="117"/>
      <c r="DV81" s="117"/>
      <c r="DW81" s="131"/>
      <c r="DX81" s="117"/>
      <c r="DY81" s="117"/>
      <c r="DZ81" s="117"/>
      <c r="EA81" s="117"/>
      <c r="EB81" s="131"/>
      <c r="EE81" s="125"/>
      <c r="EF81" s="125"/>
      <c r="EG81" s="125"/>
      <c r="EH81" s="125"/>
      <c r="EI81" s="125"/>
      <c r="EJ81" s="125"/>
      <c r="EK81" s="125"/>
      <c r="EL81" s="125"/>
      <c r="EM81" s="125"/>
      <c r="EN81" s="125"/>
      <c r="EO81" s="125"/>
      <c r="EP81" s="125"/>
      <c r="EQ81" s="125"/>
      <c r="ER81" s="125"/>
      <c r="FC81"/>
      <c r="FD81"/>
      <c r="FE81"/>
      <c r="FF81"/>
      <c r="FG81"/>
      <c r="FH81"/>
      <c r="FI81" s="396"/>
      <c r="FJ81" s="418"/>
      <c r="FK81" s="418"/>
      <c r="FL81" s="418"/>
      <c r="FM81" s="418"/>
      <c r="FN81" s="418"/>
      <c r="FO81" s="418"/>
      <c r="FP81" s="418"/>
      <c r="FQ81" s="418"/>
      <c r="FR81" s="418"/>
      <c r="FS81" s="418"/>
      <c r="FT81" s="418"/>
      <c r="FU81" s="418"/>
      <c r="FV81" s="418"/>
      <c r="FW81" s="418"/>
      <c r="FX81" s="418"/>
      <c r="FY81" s="418"/>
      <c r="FZ81" s="418"/>
      <c r="GA81" s="418"/>
      <c r="GB81" s="418"/>
      <c r="GC81" s="418"/>
      <c r="GD81" s="418"/>
      <c r="GE81" s="418"/>
      <c r="GF81" s="418"/>
      <c r="GG81" s="418"/>
      <c r="GH81" s="418"/>
      <c r="GI81" s="418"/>
      <c r="GJ81" s="418"/>
      <c r="GK81" s="418"/>
      <c r="GL81" s="418"/>
      <c r="GM81" s="418"/>
      <c r="GN81" s="418"/>
      <c r="GO81" s="418"/>
      <c r="GP81" s="418"/>
      <c r="GQ81" s="418"/>
      <c r="GR81" s="418"/>
      <c r="GS81" s="418"/>
      <c r="GT81" s="418"/>
      <c r="GU81" s="418"/>
      <c r="GV81" s="418"/>
      <c r="GW81" s="418"/>
      <c r="GX81" s="418"/>
      <c r="GY81" s="418"/>
      <c r="GZ81" s="418"/>
      <c r="HA81" s="418"/>
      <c r="HB81" s="418"/>
      <c r="HC81" s="418"/>
      <c r="HD81" s="418"/>
      <c r="HE81" s="418"/>
      <c r="HF81" s="418"/>
      <c r="HG81" s="418"/>
      <c r="HH81" s="418"/>
      <c r="HI81" s="418"/>
      <c r="HJ81" s="418"/>
      <c r="HK81" s="418"/>
      <c r="HL81" s="418"/>
      <c r="HM81" s="418"/>
      <c r="HN81" s="418"/>
      <c r="HO81" s="418"/>
      <c r="HP81" s="418"/>
      <c r="HQ81" s="418"/>
      <c r="HR81" s="418"/>
      <c r="HS81" s="418"/>
      <c r="HT81" s="418"/>
      <c r="HU81" s="418"/>
      <c r="HV81" s="418"/>
      <c r="HW81" s="418"/>
      <c r="HX81" s="418"/>
      <c r="HY81" s="418"/>
      <c r="HZ81" s="418"/>
      <c r="IA81" s="418"/>
      <c r="IB81" s="418"/>
      <c r="IC81" s="418"/>
      <c r="ID81" s="418"/>
      <c r="IE81" s="418"/>
      <c r="IF81" s="418"/>
      <c r="IG81" s="418"/>
      <c r="IH81" s="418"/>
      <c r="II81" s="418"/>
      <c r="IJ81" s="418"/>
      <c r="IK81" s="418"/>
      <c r="IL81" s="418"/>
      <c r="IM81" s="418"/>
      <c r="IN81" s="418"/>
      <c r="IO81" s="418"/>
      <c r="IP81" s="418"/>
      <c r="IQ81" s="418"/>
      <c r="IR81" s="418"/>
      <c r="IS81" s="418"/>
      <c r="IT81" s="418"/>
      <c r="IU81" s="418"/>
      <c r="IV81" s="418"/>
    </row>
    <row r="82" spans="1:256" s="1" customFormat="1" x14ac:dyDescent="0.2">
      <c r="A82" s="1" t="s">
        <v>512</v>
      </c>
      <c r="B82" s="128">
        <f t="shared" ref="B82:AG82" si="119">B39</f>
        <v>0.34899999999999665</v>
      </c>
      <c r="C82" s="104">
        <f t="shared" si="119"/>
        <v>12.453000000000001</v>
      </c>
      <c r="D82" s="104">
        <f t="shared" si="119"/>
        <v>13.763999999999999</v>
      </c>
      <c r="E82" s="104">
        <f t="shared" si="119"/>
        <v>0.63499999999999979</v>
      </c>
      <c r="F82" s="104">
        <f t="shared" si="119"/>
        <v>-15.222999999999999</v>
      </c>
      <c r="G82" s="128">
        <f t="shared" si="119"/>
        <v>11.602000000000004</v>
      </c>
      <c r="H82" s="104">
        <f t="shared" si="119"/>
        <v>34.198999999999998</v>
      </c>
      <c r="I82" s="104">
        <f t="shared" si="119"/>
        <v>23.431000000000001</v>
      </c>
      <c r="J82" s="104">
        <f t="shared" si="119"/>
        <v>29.505000000000003</v>
      </c>
      <c r="K82" s="104">
        <f t="shared" si="119"/>
        <v>49.543999999999997</v>
      </c>
      <c r="L82" s="128">
        <f t="shared" si="119"/>
        <v>136.53</v>
      </c>
      <c r="M82" s="104">
        <f t="shared" si="119"/>
        <v>42.93</v>
      </c>
      <c r="N82" s="104">
        <f t="shared" si="119"/>
        <v>14.749999999999996</v>
      </c>
      <c r="O82" s="104">
        <f t="shared" si="119"/>
        <v>19.934999999999995</v>
      </c>
      <c r="P82" s="104">
        <f t="shared" si="119"/>
        <v>23.376000000000005</v>
      </c>
      <c r="Q82" s="128">
        <f t="shared" si="119"/>
        <v>100.31099999999999</v>
      </c>
      <c r="R82" s="104">
        <f t="shared" si="119"/>
        <v>56.626000000000005</v>
      </c>
      <c r="S82" s="104">
        <f t="shared" si="119"/>
        <v>26.008999999999993</v>
      </c>
      <c r="T82" s="104">
        <f t="shared" si="119"/>
        <v>18.82100000000003</v>
      </c>
      <c r="U82" s="104">
        <f t="shared" si="119"/>
        <v>34.789000000000044</v>
      </c>
      <c r="V82" s="128">
        <f t="shared" si="119"/>
        <v>165.16800000000006</v>
      </c>
      <c r="W82" s="104">
        <f t="shared" si="119"/>
        <v>97.340000000000018</v>
      </c>
      <c r="X82" s="104">
        <f t="shared" si="119"/>
        <v>24.246000000000016</v>
      </c>
      <c r="Y82" s="104">
        <f t="shared" si="119"/>
        <v>46.927999999999997</v>
      </c>
      <c r="Z82" s="104">
        <f t="shared" si="119"/>
        <v>42.059999999999967</v>
      </c>
      <c r="AA82" s="128">
        <f t="shared" si="119"/>
        <v>210.57399999999998</v>
      </c>
      <c r="AB82" s="104">
        <f t="shared" si="119"/>
        <v>114.75</v>
      </c>
      <c r="AC82" s="104">
        <f t="shared" si="119"/>
        <v>66.98599999999999</v>
      </c>
      <c r="AD82" s="104">
        <f t="shared" si="119"/>
        <v>71.525999999999996</v>
      </c>
      <c r="AE82" s="104">
        <f t="shared" si="119"/>
        <v>68.533999999999992</v>
      </c>
      <c r="AF82" s="128">
        <f t="shared" si="119"/>
        <v>321.79599999999999</v>
      </c>
      <c r="AG82" s="104">
        <f t="shared" si="119"/>
        <v>162.767</v>
      </c>
      <c r="AH82" s="104">
        <f t="shared" ref="AH82:BM82" si="120">AH39</f>
        <v>104.50999999999999</v>
      </c>
      <c r="AI82" s="104">
        <f t="shared" si="120"/>
        <v>71.804000000000016</v>
      </c>
      <c r="AJ82" s="104">
        <f t="shared" si="120"/>
        <v>117.22399999999999</v>
      </c>
      <c r="AK82" s="128">
        <f t="shared" si="120"/>
        <v>456.30500000000001</v>
      </c>
      <c r="AL82" s="104">
        <f t="shared" si="120"/>
        <v>146.63999999999999</v>
      </c>
      <c r="AM82" s="104">
        <f t="shared" si="120"/>
        <v>85.454000000000008</v>
      </c>
      <c r="AN82" s="104">
        <f t="shared" si="120"/>
        <v>137.65099999999998</v>
      </c>
      <c r="AO82" s="104">
        <f t="shared" si="120"/>
        <v>107.94000000000001</v>
      </c>
      <c r="AP82" s="128">
        <f t="shared" si="120"/>
        <v>477.68499999999995</v>
      </c>
      <c r="AQ82" s="104">
        <f t="shared" si="120"/>
        <v>233.74799999999999</v>
      </c>
      <c r="AR82" s="104">
        <f t="shared" si="120"/>
        <v>82.50200000000001</v>
      </c>
      <c r="AS82" s="104">
        <f t="shared" si="120"/>
        <v>152.22499999999999</v>
      </c>
      <c r="AT82" s="104">
        <f t="shared" si="120"/>
        <v>97.971000000000018</v>
      </c>
      <c r="AU82" s="128">
        <f t="shared" si="120"/>
        <v>566.44600000000003</v>
      </c>
      <c r="AV82" s="104">
        <f t="shared" si="120"/>
        <v>375.53300000000002</v>
      </c>
      <c r="AW82" s="104">
        <f t="shared" si="120"/>
        <v>88.758999999999972</v>
      </c>
      <c r="AX82" s="104">
        <f t="shared" si="120"/>
        <v>136.37100000000004</v>
      </c>
      <c r="AY82" s="104">
        <f t="shared" si="120"/>
        <v>219.54600000000011</v>
      </c>
      <c r="AZ82" s="128">
        <f t="shared" si="120"/>
        <v>858.53699999999981</v>
      </c>
      <c r="BA82" s="104">
        <f t="shared" si="120"/>
        <v>407.91500000000002</v>
      </c>
      <c r="BB82" s="104">
        <f t="shared" si="120"/>
        <v>158.578</v>
      </c>
      <c r="BC82" s="104">
        <f t="shared" si="120"/>
        <v>192.43699999999995</v>
      </c>
      <c r="BD82" s="104">
        <f t="shared" si="120"/>
        <v>164.678</v>
      </c>
      <c r="BE82" s="128">
        <f t="shared" si="120"/>
        <v>923.60799999999983</v>
      </c>
      <c r="BF82" s="104">
        <f t="shared" si="120"/>
        <v>609.31700000000001</v>
      </c>
      <c r="BG82" s="104">
        <f t="shared" si="120"/>
        <v>152.67499999999995</v>
      </c>
      <c r="BH82" s="104">
        <f t="shared" si="120"/>
        <v>173.78200000000004</v>
      </c>
      <c r="BI82" s="104">
        <f t="shared" si="120"/>
        <v>195.85900000000004</v>
      </c>
      <c r="BJ82" s="128">
        <f t="shared" si="120"/>
        <v>1131.633</v>
      </c>
      <c r="BK82" s="104">
        <f t="shared" si="120"/>
        <v>678.40900000000011</v>
      </c>
      <c r="BL82" s="104">
        <f t="shared" si="120"/>
        <v>59.41</v>
      </c>
      <c r="BM82" s="104">
        <f t="shared" si="120"/>
        <v>302.02100000000007</v>
      </c>
      <c r="BN82" s="104">
        <f t="shared" ref="BN82:CS82" si="121">BN39</f>
        <v>291.38100000000003</v>
      </c>
      <c r="BO82" s="128">
        <f t="shared" si="121"/>
        <v>1331.2209999999998</v>
      </c>
      <c r="BP82" s="104">
        <f t="shared" si="121"/>
        <v>807.59999999999991</v>
      </c>
      <c r="BQ82" s="104">
        <f t="shared" si="121"/>
        <v>-42.199999999999932</v>
      </c>
      <c r="BR82" s="104">
        <f t="shared" si="121"/>
        <v>313.30000000000013</v>
      </c>
      <c r="BS82" s="104">
        <f t="shared" si="121"/>
        <v>179.99999999999994</v>
      </c>
      <c r="BT82" s="128">
        <f t="shared" si="121"/>
        <v>1258.7</v>
      </c>
      <c r="BU82" s="104">
        <f t="shared" si="121"/>
        <v>693.50000000000011</v>
      </c>
      <c r="BV82" s="104">
        <f t="shared" si="121"/>
        <v>21.899999999999949</v>
      </c>
      <c r="BW82" s="104">
        <f t="shared" si="121"/>
        <v>301.3</v>
      </c>
      <c r="BX82" s="104">
        <f t="shared" si="121"/>
        <v>372.2999999999999</v>
      </c>
      <c r="BY82" s="128">
        <f t="shared" si="121"/>
        <v>1389</v>
      </c>
      <c r="BZ82" s="104">
        <f t="shared" si="121"/>
        <v>768.7</v>
      </c>
      <c r="CA82" s="104">
        <f t="shared" si="121"/>
        <v>189.10000000000008</v>
      </c>
      <c r="CB82" s="104">
        <f t="shared" si="121"/>
        <v>417.6</v>
      </c>
      <c r="CC82" s="104">
        <f t="shared" si="121"/>
        <v>329.5</v>
      </c>
      <c r="CD82" s="128">
        <f t="shared" si="121"/>
        <v>1704.9</v>
      </c>
      <c r="CE82" s="104">
        <f t="shared" si="121"/>
        <v>673.60000000000014</v>
      </c>
      <c r="CF82" s="104">
        <f t="shared" si="121"/>
        <v>-4.1000000000001364</v>
      </c>
      <c r="CG82" s="104">
        <f t="shared" si="121"/>
        <v>457.19999999999993</v>
      </c>
      <c r="CH82" s="104">
        <f t="shared" si="121"/>
        <v>485.69999999999993</v>
      </c>
      <c r="CI82" s="128">
        <f t="shared" si="121"/>
        <v>1612.3999999999999</v>
      </c>
      <c r="CJ82" s="104">
        <f t="shared" si="121"/>
        <v>466.29999999999995</v>
      </c>
      <c r="CK82" s="104">
        <f t="shared" si="121"/>
        <v>109.2999999999999</v>
      </c>
      <c r="CL82" s="104">
        <f t="shared" si="121"/>
        <v>551.30000000000018</v>
      </c>
      <c r="CM82" s="104">
        <f t="shared" si="121"/>
        <v>592.6</v>
      </c>
      <c r="CN82" s="128">
        <f t="shared" si="121"/>
        <v>1719.5000000000002</v>
      </c>
      <c r="CO82" s="104">
        <f t="shared" si="121"/>
        <v>1067.3000000000002</v>
      </c>
      <c r="CP82" s="104">
        <f t="shared" si="121"/>
        <v>305.2</v>
      </c>
      <c r="CQ82" s="104">
        <f t="shared" si="121"/>
        <v>665.3</v>
      </c>
      <c r="CR82" s="146">
        <f t="shared" si="121"/>
        <v>870.49999999999636</v>
      </c>
      <c r="CS82" s="147">
        <f t="shared" si="121"/>
        <v>2908.2999999999965</v>
      </c>
      <c r="CT82" s="104">
        <f t="shared" ref="CT82:EB82" si="122">CT39</f>
        <v>-1401.8999999999999</v>
      </c>
      <c r="CU82" s="146">
        <f t="shared" si="122"/>
        <v>418.39999999999975</v>
      </c>
      <c r="CV82" s="146">
        <f t="shared" si="122"/>
        <v>850.10000000000036</v>
      </c>
      <c r="CW82" s="658">
        <f t="shared" si="122"/>
        <v>741.20000000000232</v>
      </c>
      <c r="CX82" s="718">
        <f t="shared" si="122"/>
        <v>607.800000000002</v>
      </c>
      <c r="CY82" s="104">
        <f t="shared" si="122"/>
        <v>1425.1999999999998</v>
      </c>
      <c r="CZ82" s="104">
        <f t="shared" si="122"/>
        <v>575.70000000000005</v>
      </c>
      <c r="DA82" s="104">
        <f t="shared" si="122"/>
        <v>778.30000000000007</v>
      </c>
      <c r="DB82" s="104">
        <f t="shared" si="122"/>
        <v>969.90000000000009</v>
      </c>
      <c r="DC82" s="128">
        <f t="shared" si="122"/>
        <v>3749.1000000000004</v>
      </c>
      <c r="DD82" s="104">
        <f>DD39</f>
        <v>1635.9999999999998</v>
      </c>
      <c r="DE82" s="104">
        <f t="shared" ref="DE82:DH82" si="123">DE39</f>
        <v>549.49999999999977</v>
      </c>
      <c r="DF82" s="104">
        <f t="shared" si="123"/>
        <v>1081.4000000000001</v>
      </c>
      <c r="DG82" s="104">
        <f t="shared" si="123"/>
        <v>1308.1999999999998</v>
      </c>
      <c r="DH82" s="128">
        <f t="shared" si="123"/>
        <v>4575.1000000000013</v>
      </c>
      <c r="DI82" s="104">
        <f>DI39</f>
        <v>1495.7000000000003</v>
      </c>
      <c r="DJ82" s="104">
        <f t="shared" ref="DJ82" si="124">DJ39</f>
        <v>443.29999999999967</v>
      </c>
      <c r="DK82" s="104">
        <f t="shared" si="122"/>
        <v>1150.5999999999999</v>
      </c>
      <c r="DL82" s="104">
        <f t="shared" si="122"/>
        <v>1084.6999999999998</v>
      </c>
      <c r="DM82" s="128">
        <f t="shared" si="122"/>
        <v>4174.3</v>
      </c>
      <c r="DN82" s="130">
        <f t="shared" si="122"/>
        <v>2720.687783113568</v>
      </c>
      <c r="DO82" s="130">
        <f t="shared" si="122"/>
        <v>777.58638536226317</v>
      </c>
      <c r="DP82" s="130">
        <f t="shared" si="122"/>
        <v>1214.5078686968925</v>
      </c>
      <c r="DQ82" s="130">
        <f t="shared" si="122"/>
        <v>1276.5259581723017</v>
      </c>
      <c r="DR82" s="129">
        <f t="shared" si="122"/>
        <v>5989.3079953450242</v>
      </c>
      <c r="DS82" s="130">
        <f t="shared" si="122"/>
        <v>1434.6573133779345</v>
      </c>
      <c r="DT82" s="130">
        <f t="shared" si="122"/>
        <v>921.22963053896672</v>
      </c>
      <c r="DU82" s="130">
        <f t="shared" si="122"/>
        <v>1344.9256004739109</v>
      </c>
      <c r="DV82" s="130">
        <f t="shared" si="122"/>
        <v>1413.5502161580155</v>
      </c>
      <c r="DW82" s="129">
        <f t="shared" si="122"/>
        <v>5114.3627605488282</v>
      </c>
      <c r="DX82" s="130">
        <f t="shared" si="122"/>
        <v>1557.4415421397123</v>
      </c>
      <c r="DY82" s="130">
        <f t="shared" si="122"/>
        <v>1044.3076590515311</v>
      </c>
      <c r="DZ82" s="130">
        <f t="shared" si="122"/>
        <v>1493.4208846903641</v>
      </c>
      <c r="EA82" s="130">
        <f t="shared" si="122"/>
        <v>1566.6428251015959</v>
      </c>
      <c r="EB82" s="129">
        <f t="shared" si="122"/>
        <v>5661.8129109832043</v>
      </c>
      <c r="EE82" s="128">
        <f t="shared" ref="EE82:ER82" si="125">EE39</f>
        <v>1200.7250000000001</v>
      </c>
      <c r="EF82" s="128">
        <f t="shared" si="125"/>
        <v>1460.412</v>
      </c>
      <c r="EG82" s="128">
        <f t="shared" si="125"/>
        <v>1144.6000000000004</v>
      </c>
      <c r="EH82" s="128">
        <f t="shared" si="125"/>
        <v>1464.1999999999998</v>
      </c>
      <c r="EI82" s="128">
        <f t="shared" si="125"/>
        <v>1609.8000000000002</v>
      </c>
      <c r="EJ82" s="128">
        <f t="shared" si="125"/>
        <v>1405.0999999999997</v>
      </c>
      <c r="EK82" s="128">
        <f t="shared" si="125"/>
        <v>2320.5000000000005</v>
      </c>
      <c r="EL82" s="128">
        <f t="shared" si="125"/>
        <v>439.0999999999965</v>
      </c>
      <c r="EM82" s="128">
        <f t="shared" si="125"/>
        <v>3434.9000000000024</v>
      </c>
      <c r="EN82" s="128">
        <f t="shared" si="125"/>
        <v>3959.8999999999996</v>
      </c>
      <c r="EO82" s="128">
        <f t="shared" si="125"/>
        <v>4434.7999999999993</v>
      </c>
      <c r="EP82" s="128">
        <f t="shared" si="125"/>
        <v>5399.2877831135675</v>
      </c>
      <c r="EQ82" s="128">
        <f t="shared" si="125"/>
        <v>4703.2775256093919</v>
      </c>
      <c r="ER82" s="128">
        <f t="shared" si="125"/>
        <v>5237.1469893106059</v>
      </c>
      <c r="FC82"/>
      <c r="FD82"/>
      <c r="FE82"/>
      <c r="FF82"/>
      <c r="FG82"/>
      <c r="FH82"/>
      <c r="FI82" s="396"/>
      <c r="FJ82" s="419"/>
      <c r="FK82" s="419"/>
      <c r="FL82" s="419"/>
      <c r="FM82" s="419"/>
      <c r="FN82" s="419"/>
      <c r="FO82" s="419"/>
      <c r="FP82" s="419"/>
      <c r="FQ82" s="419"/>
      <c r="FR82" s="419"/>
      <c r="FS82" s="419"/>
      <c r="FT82" s="419"/>
      <c r="FU82" s="419"/>
      <c r="FV82" s="419"/>
      <c r="FW82" s="419"/>
      <c r="FX82" s="419"/>
      <c r="FY82" s="419"/>
      <c r="FZ82" s="419"/>
      <c r="GA82" s="419"/>
      <c r="GB82" s="419"/>
      <c r="GC82" s="419"/>
      <c r="GD82" s="419"/>
      <c r="GE82" s="419"/>
      <c r="GF82" s="419"/>
      <c r="GG82" s="419"/>
      <c r="GH82" s="419"/>
      <c r="GI82" s="419"/>
      <c r="GJ82" s="419"/>
      <c r="GK82" s="419"/>
      <c r="GL82" s="419"/>
      <c r="GM82" s="419"/>
      <c r="GN82" s="419"/>
      <c r="GO82" s="419"/>
      <c r="GP82" s="419"/>
      <c r="GQ82" s="419"/>
      <c r="GR82" s="419"/>
      <c r="GS82" s="419"/>
      <c r="GT82" s="419"/>
      <c r="GU82" s="419"/>
      <c r="GV82" s="419"/>
      <c r="GW82" s="418"/>
      <c r="GX82" s="418"/>
      <c r="GY82" s="418"/>
      <c r="GZ82" s="418"/>
      <c r="HA82" s="418"/>
      <c r="HB82" s="418"/>
      <c r="HC82" s="418"/>
      <c r="HD82" s="418"/>
      <c r="HE82" s="418"/>
      <c r="HF82" s="418"/>
      <c r="HG82" s="418"/>
      <c r="HH82" s="418"/>
      <c r="HI82" s="418"/>
      <c r="HJ82" s="418"/>
      <c r="HK82" s="418"/>
      <c r="HL82" s="418"/>
      <c r="HM82" s="418"/>
      <c r="HN82" s="418"/>
      <c r="HO82" s="418"/>
      <c r="HP82" s="418"/>
      <c r="HQ82" s="418"/>
      <c r="HR82" s="418"/>
      <c r="HS82" s="418"/>
      <c r="HT82" s="418"/>
      <c r="HU82" s="418"/>
      <c r="HV82" s="418"/>
      <c r="HW82" s="418"/>
      <c r="HX82" s="418"/>
      <c r="HY82" s="418"/>
      <c r="HZ82" s="418"/>
      <c r="IA82" s="418"/>
      <c r="IB82" s="418"/>
      <c r="IC82" s="418"/>
      <c r="ID82" s="418"/>
      <c r="IE82" s="418"/>
      <c r="IF82" s="418"/>
      <c r="IG82" s="418"/>
      <c r="IH82" s="418"/>
      <c r="II82" s="418"/>
      <c r="IJ82" s="418"/>
      <c r="IK82" s="418"/>
      <c r="IL82" s="418"/>
      <c r="IM82" s="418"/>
      <c r="IN82" s="418"/>
      <c r="IO82" s="418"/>
      <c r="IP82" s="418"/>
      <c r="IQ82" s="418"/>
      <c r="IR82" s="418"/>
      <c r="IS82" s="418"/>
      <c r="IT82" s="418"/>
      <c r="IU82" s="418"/>
      <c r="IV82" s="418"/>
    </row>
    <row r="83" spans="1:256" s="1" customFormat="1" hidden="1" outlineLevel="1" x14ac:dyDescent="0.2">
      <c r="A83" s="1" t="s">
        <v>228</v>
      </c>
      <c r="B83" s="128"/>
      <c r="C83" s="104"/>
      <c r="D83" s="104"/>
      <c r="E83" s="104"/>
      <c r="F83" s="104"/>
      <c r="G83" s="128"/>
      <c r="H83" s="104"/>
      <c r="I83" s="104"/>
      <c r="J83" s="104"/>
      <c r="K83" s="104"/>
      <c r="L83" s="128"/>
      <c r="M83" s="104"/>
      <c r="N83" s="104"/>
      <c r="O83" s="104"/>
      <c r="P83" s="104"/>
      <c r="Q83" s="128"/>
      <c r="R83" s="104"/>
      <c r="S83" s="104"/>
      <c r="T83" s="104"/>
      <c r="U83" s="104"/>
      <c r="V83" s="128"/>
      <c r="W83" s="104"/>
      <c r="X83" s="104"/>
      <c r="Y83" s="104"/>
      <c r="Z83" s="104"/>
      <c r="AA83" s="128"/>
      <c r="AB83" s="104"/>
      <c r="AC83" s="104"/>
      <c r="AD83" s="104"/>
      <c r="AE83" s="104"/>
      <c r="AF83" s="128"/>
      <c r="AG83" s="104"/>
      <c r="AH83" s="104"/>
      <c r="AI83" s="104"/>
      <c r="AJ83" s="104"/>
      <c r="AK83" s="128"/>
      <c r="AL83" s="104"/>
      <c r="AM83" s="104"/>
      <c r="AN83" s="104"/>
      <c r="AO83" s="104"/>
      <c r="AP83" s="128"/>
      <c r="AQ83" s="104"/>
      <c r="AR83" s="104"/>
      <c r="AS83" s="104"/>
      <c r="AT83" s="104"/>
      <c r="AU83" s="128"/>
      <c r="AV83" s="104"/>
      <c r="AW83" s="104"/>
      <c r="AX83" s="104"/>
      <c r="AY83" s="104"/>
      <c r="AZ83" s="128"/>
      <c r="BA83" s="104"/>
      <c r="BB83" s="104"/>
      <c r="BC83" s="104"/>
      <c r="BD83" s="104"/>
      <c r="BE83" s="128"/>
      <c r="BF83" s="104"/>
      <c r="BG83" s="104"/>
      <c r="BH83" s="104"/>
      <c r="BI83" s="104"/>
      <c r="BJ83" s="128"/>
      <c r="BK83" s="104"/>
      <c r="BL83" s="104"/>
      <c r="BM83" s="104"/>
      <c r="BN83" s="104"/>
      <c r="BO83" s="128"/>
      <c r="BP83" s="104"/>
      <c r="BQ83" s="104"/>
      <c r="BR83" s="104"/>
      <c r="BS83" s="104"/>
      <c r="BT83" s="128"/>
      <c r="BU83" s="104"/>
      <c r="BV83" s="104"/>
      <c r="BW83" s="104"/>
      <c r="BX83" s="104"/>
      <c r="BY83" s="128"/>
      <c r="BZ83" s="104"/>
      <c r="CA83" s="104"/>
      <c r="CB83" s="104"/>
      <c r="CC83" s="104"/>
      <c r="CD83" s="128"/>
      <c r="CE83" s="104"/>
      <c r="CF83" s="104"/>
      <c r="CG83" s="104"/>
      <c r="CH83" s="104"/>
      <c r="CI83" s="128"/>
      <c r="CJ83" s="104"/>
      <c r="CK83" s="104"/>
      <c r="CL83" s="104"/>
      <c r="CM83" s="104"/>
      <c r="CN83" s="128"/>
      <c r="CO83" s="104"/>
      <c r="CP83" s="104"/>
      <c r="CQ83" s="104"/>
      <c r="CR83" s="146"/>
      <c r="CS83" s="147"/>
      <c r="CT83" s="104">
        <f>CT82-CT13</f>
        <v>-1401.8999999999999</v>
      </c>
      <c r="CU83" s="146">
        <f>CU82-CU13</f>
        <v>418.39999999999975</v>
      </c>
      <c r="CV83" s="146">
        <f>CV82-CV13</f>
        <v>850.10000000000036</v>
      </c>
      <c r="CW83" s="658">
        <f>CW82-CW13</f>
        <v>741.20000000000232</v>
      </c>
      <c r="CX83" s="718">
        <f>SUM(CT83:CW83)</f>
        <v>607.80000000000257</v>
      </c>
      <c r="CY83" s="104"/>
      <c r="CZ83" s="104"/>
      <c r="DA83" s="104"/>
      <c r="DB83" s="104"/>
      <c r="DC83" s="128"/>
      <c r="DD83" s="104"/>
      <c r="DE83" s="104"/>
      <c r="DF83" s="104"/>
      <c r="DG83" s="104"/>
      <c r="DH83" s="128"/>
      <c r="DI83" s="104"/>
      <c r="DJ83" s="104"/>
      <c r="DK83" s="104"/>
      <c r="DL83" s="104"/>
      <c r="DM83" s="128"/>
      <c r="DN83" s="130"/>
      <c r="DO83" s="130"/>
      <c r="DP83" s="130"/>
      <c r="DQ83" s="130"/>
      <c r="DR83" s="129"/>
      <c r="DS83" s="130"/>
      <c r="DT83" s="130"/>
      <c r="DU83" s="130"/>
      <c r="DV83" s="130"/>
      <c r="DW83" s="129"/>
      <c r="DX83" s="130"/>
      <c r="DY83" s="130"/>
      <c r="DZ83" s="130"/>
      <c r="EA83" s="130"/>
      <c r="EB83" s="129"/>
      <c r="EE83" s="128"/>
      <c r="EF83" s="128"/>
      <c r="EG83" s="128"/>
      <c r="EH83" s="128"/>
      <c r="EI83" s="128"/>
      <c r="EJ83" s="128"/>
      <c r="EK83" s="128"/>
      <c r="EL83" s="128"/>
      <c r="EM83" s="128"/>
      <c r="EN83" s="128"/>
      <c r="EO83" s="128"/>
      <c r="EP83" s="128"/>
      <c r="EQ83" s="128"/>
      <c r="ER83" s="128"/>
      <c r="FC83"/>
      <c r="FD83"/>
      <c r="FE83"/>
      <c r="FF83"/>
      <c r="FG83"/>
      <c r="FH83"/>
      <c r="FI83" s="396"/>
      <c r="FJ83" s="419"/>
      <c r="FK83" s="419"/>
      <c r="FL83" s="419"/>
      <c r="FM83" s="419"/>
      <c r="FN83" s="419"/>
      <c r="FO83" s="419"/>
      <c r="FP83" s="419"/>
      <c r="FQ83" s="419"/>
      <c r="FR83" s="419"/>
      <c r="FS83" s="419"/>
      <c r="FT83" s="419"/>
      <c r="FU83" s="419"/>
      <c r="FV83" s="419"/>
      <c r="FW83" s="419"/>
      <c r="FX83" s="419"/>
      <c r="FY83" s="419"/>
      <c r="FZ83" s="419"/>
      <c r="GA83" s="419"/>
      <c r="GB83" s="419"/>
      <c r="GC83" s="419"/>
      <c r="GD83" s="419"/>
      <c r="GE83" s="419"/>
      <c r="GF83" s="419"/>
      <c r="GG83" s="419"/>
      <c r="GH83" s="419"/>
      <c r="GI83" s="419"/>
      <c r="GJ83" s="419"/>
      <c r="GK83" s="419"/>
      <c r="GL83" s="419"/>
      <c r="GM83" s="419"/>
      <c r="GN83" s="419"/>
      <c r="GO83" s="419"/>
      <c r="GP83" s="419"/>
      <c r="GQ83" s="419"/>
      <c r="GR83" s="419"/>
      <c r="GS83" s="419"/>
      <c r="GT83" s="419"/>
      <c r="GU83" s="419"/>
      <c r="GV83" s="419"/>
      <c r="GW83" s="418"/>
      <c r="GX83" s="418"/>
      <c r="GY83" s="418"/>
      <c r="GZ83" s="418"/>
      <c r="HA83" s="418"/>
      <c r="HB83" s="418"/>
      <c r="HC83" s="418"/>
      <c r="HD83" s="418"/>
      <c r="HE83" s="418"/>
      <c r="HF83" s="418"/>
      <c r="HG83" s="418"/>
      <c r="HH83" s="418"/>
      <c r="HI83" s="418"/>
      <c r="HJ83" s="418"/>
      <c r="HK83" s="418"/>
      <c r="HL83" s="418"/>
      <c r="HM83" s="418"/>
      <c r="HN83" s="418"/>
      <c r="HO83" s="418"/>
      <c r="HP83" s="418"/>
      <c r="HQ83" s="418"/>
      <c r="HR83" s="418"/>
      <c r="HS83" s="418"/>
      <c r="HT83" s="418"/>
      <c r="HU83" s="418"/>
      <c r="HV83" s="418"/>
      <c r="HW83" s="418"/>
      <c r="HX83" s="418"/>
      <c r="HY83" s="418"/>
      <c r="HZ83" s="418"/>
      <c r="IA83" s="418"/>
      <c r="IB83" s="418"/>
      <c r="IC83" s="418"/>
      <c r="ID83" s="418"/>
      <c r="IE83" s="418"/>
      <c r="IF83" s="418"/>
      <c r="IG83" s="418"/>
      <c r="IH83" s="418"/>
      <c r="II83" s="418"/>
      <c r="IJ83" s="418"/>
      <c r="IK83" s="418"/>
      <c r="IL83" s="418"/>
      <c r="IM83" s="418"/>
      <c r="IN83" s="418"/>
      <c r="IO83" s="418"/>
      <c r="IP83" s="418"/>
      <c r="IQ83" s="418"/>
      <c r="IR83" s="418"/>
      <c r="IS83" s="418"/>
      <c r="IT83" s="418"/>
      <c r="IU83" s="418"/>
      <c r="IV83" s="418"/>
    </row>
    <row r="84" spans="1:256" s="1" customFormat="1" collapsed="1" x14ac:dyDescent="0.2">
      <c r="A84" s="1" t="s">
        <v>511</v>
      </c>
      <c r="B84" s="125">
        <f t="shared" ref="B84:AG84" si="126">B50</f>
        <v>-85.287999999999997</v>
      </c>
      <c r="C84" s="111">
        <f t="shared" si="126"/>
        <v>-25.460999999999999</v>
      </c>
      <c r="D84" s="111">
        <f t="shared" si="126"/>
        <v>-30.571000000000002</v>
      </c>
      <c r="E84" s="111">
        <f t="shared" si="126"/>
        <v>-34.298999999999999</v>
      </c>
      <c r="F84" s="111">
        <f t="shared" si="126"/>
        <v>-39.055</v>
      </c>
      <c r="G84" s="125">
        <f t="shared" si="126"/>
        <v>-129.386</v>
      </c>
      <c r="H84" s="111">
        <f t="shared" si="126"/>
        <v>-38.347000000000001</v>
      </c>
      <c r="I84" s="111">
        <f t="shared" si="126"/>
        <v>-37.459000000000003</v>
      </c>
      <c r="J84" s="111">
        <f t="shared" si="126"/>
        <v>-40.664999999999999</v>
      </c>
      <c r="K84" s="111">
        <f t="shared" si="126"/>
        <v>-45.343000000000004</v>
      </c>
      <c r="L84" s="125">
        <f t="shared" si="126"/>
        <v>-161.81399999999999</v>
      </c>
      <c r="M84" s="111">
        <f t="shared" si="126"/>
        <v>-36.893000000000001</v>
      </c>
      <c r="N84" s="111">
        <f t="shared" si="126"/>
        <v>-69.532107000000011</v>
      </c>
      <c r="O84" s="111">
        <f t="shared" si="126"/>
        <v>-112.14057489299999</v>
      </c>
      <c r="P84" s="111">
        <f t="shared" si="126"/>
        <v>-170.45243431810701</v>
      </c>
      <c r="Q84" s="125">
        <f t="shared" si="126"/>
        <v>-374.6</v>
      </c>
      <c r="R84" s="111">
        <f t="shared" si="126"/>
        <v>-49.978999999999999</v>
      </c>
      <c r="S84" s="111">
        <f t="shared" si="126"/>
        <v>-44.013999999999996</v>
      </c>
      <c r="T84" s="111">
        <f t="shared" si="126"/>
        <v>-49.911000000000001</v>
      </c>
      <c r="U84" s="111">
        <f t="shared" si="126"/>
        <v>-57.950999999999993</v>
      </c>
      <c r="V84" s="125">
        <f t="shared" si="126"/>
        <v>-201.85499999999999</v>
      </c>
      <c r="W84" s="111">
        <f t="shared" si="126"/>
        <v>-51.817</v>
      </c>
      <c r="X84" s="111">
        <f t="shared" si="126"/>
        <v>-47.46</v>
      </c>
      <c r="Y84" s="111">
        <f t="shared" si="126"/>
        <v>-72.213999999999999</v>
      </c>
      <c r="Z84" s="111">
        <f t="shared" si="126"/>
        <v>-90.289999999999992</v>
      </c>
      <c r="AA84" s="125">
        <f t="shared" si="126"/>
        <v>-261.78100000000001</v>
      </c>
      <c r="AB84" s="111">
        <f t="shared" si="126"/>
        <v>-65.988</v>
      </c>
      <c r="AC84" s="111">
        <f t="shared" si="126"/>
        <v>-82.016999999999996</v>
      </c>
      <c r="AD84" s="111">
        <f t="shared" si="126"/>
        <v>-77.887</v>
      </c>
      <c r="AE84" s="111">
        <f t="shared" si="126"/>
        <v>-90.557999999999993</v>
      </c>
      <c r="AF84" s="125">
        <f t="shared" si="126"/>
        <v>-316.45</v>
      </c>
      <c r="AG84" s="111">
        <f t="shared" si="126"/>
        <v>-78.971999999999994</v>
      </c>
      <c r="AH84" s="111">
        <f t="shared" ref="AH84:BM84" si="127">AH50</f>
        <v>-82.725000000000009</v>
      </c>
      <c r="AI84" s="111">
        <f t="shared" si="127"/>
        <v>-93.800999999999974</v>
      </c>
      <c r="AJ84" s="111">
        <f t="shared" si="127"/>
        <v>-128.71699999999998</v>
      </c>
      <c r="AK84" s="125">
        <f t="shared" si="127"/>
        <v>-384.21499999999997</v>
      </c>
      <c r="AL84" s="111">
        <f t="shared" si="127"/>
        <v>-88.963999999999999</v>
      </c>
      <c r="AM84" s="111">
        <f t="shared" si="127"/>
        <v>-94.643000000000001</v>
      </c>
      <c r="AN84" s="111">
        <f t="shared" si="127"/>
        <v>-85.510000000000019</v>
      </c>
      <c r="AO84" s="111">
        <f t="shared" si="127"/>
        <v>-106.35699999999994</v>
      </c>
      <c r="AP84" s="125">
        <f t="shared" si="127"/>
        <v>-375.47399999999999</v>
      </c>
      <c r="AQ84" s="111">
        <f t="shared" si="127"/>
        <v>-93.751000000000005</v>
      </c>
      <c r="AR84" s="111">
        <f t="shared" si="127"/>
        <v>-88.259999999999991</v>
      </c>
      <c r="AS84" s="111">
        <f t="shared" si="127"/>
        <v>-77.167999999999978</v>
      </c>
      <c r="AT84" s="111">
        <f t="shared" si="127"/>
        <v>-98.103000000000037</v>
      </c>
      <c r="AU84" s="125">
        <f t="shared" si="127"/>
        <v>-357.28199999999998</v>
      </c>
      <c r="AV84" s="111">
        <f t="shared" si="127"/>
        <v>-64.83</v>
      </c>
      <c r="AW84" s="111">
        <f t="shared" si="127"/>
        <v>-63.912999999999997</v>
      </c>
      <c r="AX84" s="111">
        <f t="shared" si="127"/>
        <v>-92.368000000000009</v>
      </c>
      <c r="AY84" s="111">
        <f t="shared" si="127"/>
        <v>-191.42599999999999</v>
      </c>
      <c r="AZ84" s="125">
        <f t="shared" si="127"/>
        <v>-412.53699999999998</v>
      </c>
      <c r="BA84" s="111">
        <f t="shared" si="127"/>
        <v>-162.13200000000001</v>
      </c>
      <c r="BB84" s="111">
        <f t="shared" si="127"/>
        <v>-149.55799999999999</v>
      </c>
      <c r="BC84" s="111">
        <f t="shared" si="127"/>
        <v>-148.27199999999999</v>
      </c>
      <c r="BD84" s="111">
        <f t="shared" si="127"/>
        <v>-184.02700000000004</v>
      </c>
      <c r="BE84" s="125">
        <f t="shared" si="127"/>
        <v>-643.98900000000003</v>
      </c>
      <c r="BF84" s="111">
        <f t="shared" si="127"/>
        <v>-147.77799999999999</v>
      </c>
      <c r="BG84" s="111">
        <f t="shared" si="127"/>
        <v>-162.55300000000003</v>
      </c>
      <c r="BH84" s="111">
        <f t="shared" si="127"/>
        <v>-212.01699999999997</v>
      </c>
      <c r="BI84" s="111">
        <f t="shared" si="127"/>
        <v>-248.88200000000009</v>
      </c>
      <c r="BJ84" s="125">
        <f t="shared" si="127"/>
        <v>-771.23</v>
      </c>
      <c r="BK84" s="111">
        <f t="shared" si="127"/>
        <v>-270.54700000000003</v>
      </c>
      <c r="BL84" s="111">
        <f t="shared" si="127"/>
        <v>-236.65499999999997</v>
      </c>
      <c r="BM84" s="111">
        <f t="shared" si="127"/>
        <v>-264.93100000000004</v>
      </c>
      <c r="BN84" s="111">
        <f t="shared" ref="BN84:CS84" si="128">BN50</f>
        <v>-308.21499999999992</v>
      </c>
      <c r="BO84" s="125">
        <f t="shared" si="128"/>
        <v>-1080.348</v>
      </c>
      <c r="BP84" s="111">
        <f t="shared" si="128"/>
        <v>-263.60000000000002</v>
      </c>
      <c r="BQ84" s="111">
        <f t="shared" si="128"/>
        <v>-241.5</v>
      </c>
      <c r="BR84" s="111">
        <f t="shared" si="128"/>
        <v>-228.79999999999995</v>
      </c>
      <c r="BS84" s="111">
        <f t="shared" si="128"/>
        <v>-250.60000000000002</v>
      </c>
      <c r="BT84" s="125">
        <f t="shared" si="128"/>
        <v>-984.5</v>
      </c>
      <c r="BU84" s="111">
        <f t="shared" si="128"/>
        <v>-172.6</v>
      </c>
      <c r="BV84" s="111">
        <f t="shared" si="128"/>
        <v>-64.300000000000011</v>
      </c>
      <c r="BW84" s="111">
        <f t="shared" si="128"/>
        <v>-107.29999999999998</v>
      </c>
      <c r="BX84" s="111">
        <f t="shared" si="128"/>
        <v>-101.40000000000006</v>
      </c>
      <c r="BY84" s="125">
        <f t="shared" si="128"/>
        <v>-445.6</v>
      </c>
      <c r="BZ84" s="111">
        <f t="shared" si="128"/>
        <v>-99.7</v>
      </c>
      <c r="CA84" s="111">
        <f t="shared" si="128"/>
        <v>-84.8</v>
      </c>
      <c r="CB84" s="111">
        <f t="shared" si="128"/>
        <v>-101.10000000000001</v>
      </c>
      <c r="CC84" s="111">
        <f t="shared" si="128"/>
        <v>-155.09999999999997</v>
      </c>
      <c r="CD84" s="125">
        <f t="shared" si="128"/>
        <v>-440.7</v>
      </c>
      <c r="CE84" s="111">
        <f t="shared" si="128"/>
        <v>-128.9</v>
      </c>
      <c r="CF84" s="111">
        <f t="shared" si="128"/>
        <v>-110.19999999999999</v>
      </c>
      <c r="CG84" s="111">
        <f t="shared" si="128"/>
        <v>-133.29999999999998</v>
      </c>
      <c r="CH84" s="111">
        <f t="shared" si="128"/>
        <v>-159.50000000000003</v>
      </c>
      <c r="CI84" s="125">
        <f t="shared" si="128"/>
        <v>-531.9</v>
      </c>
      <c r="CJ84" s="111">
        <f t="shared" si="128"/>
        <v>-153.5</v>
      </c>
      <c r="CK84" s="111">
        <f t="shared" si="128"/>
        <v>-160.30000000000001</v>
      </c>
      <c r="CL84" s="111">
        <f t="shared" si="128"/>
        <v>-202.7</v>
      </c>
      <c r="CM84" s="111">
        <f t="shared" si="128"/>
        <v>-339.7</v>
      </c>
      <c r="CN84" s="125">
        <f t="shared" si="128"/>
        <v>-856.2</v>
      </c>
      <c r="CO84" s="111">
        <f t="shared" si="128"/>
        <v>-242.3</v>
      </c>
      <c r="CP84" s="111">
        <f t="shared" si="128"/>
        <v>-242.59999999999997</v>
      </c>
      <c r="CQ84" s="111">
        <f t="shared" si="128"/>
        <v>-297.30000000000007</v>
      </c>
      <c r="CR84" s="117">
        <f t="shared" si="128"/>
        <v>-369</v>
      </c>
      <c r="CS84" s="131">
        <f t="shared" si="128"/>
        <v>-1151.2</v>
      </c>
      <c r="CT84" s="111">
        <f t="shared" ref="CT84:EB84" si="129">CT50</f>
        <v>-256.10000000000002</v>
      </c>
      <c r="CU84" s="117">
        <f t="shared" si="129"/>
        <v>-247.5</v>
      </c>
      <c r="CV84" s="117">
        <f t="shared" si="129"/>
        <v>-307.60000000000002</v>
      </c>
      <c r="CW84" s="659">
        <f t="shared" si="129"/>
        <v>-349.70000000000005</v>
      </c>
      <c r="CX84" s="719">
        <f t="shared" si="129"/>
        <v>-1160.9000000000001</v>
      </c>
      <c r="CY84" s="111">
        <f t="shared" si="129"/>
        <v>-291.8</v>
      </c>
      <c r="CZ84" s="111">
        <f t="shared" si="129"/>
        <v>-314.8</v>
      </c>
      <c r="DA84" s="111">
        <f t="shared" si="129"/>
        <v>-336.90000000000003</v>
      </c>
      <c r="DB84" s="111">
        <f t="shared" si="129"/>
        <v>-360.2</v>
      </c>
      <c r="DC84" s="125">
        <f t="shared" si="129"/>
        <v>-1303.7</v>
      </c>
      <c r="DD84" s="111">
        <f>DD50</f>
        <v>-331.8</v>
      </c>
      <c r="DE84" s="111">
        <f t="shared" ref="DE84:DH84" si="130">DE50</f>
        <v>-336.40000000000003</v>
      </c>
      <c r="DF84" s="111">
        <f t="shared" si="130"/>
        <v>-361.49999999999994</v>
      </c>
      <c r="DG84" s="111">
        <f t="shared" si="130"/>
        <v>-410.59999999999985</v>
      </c>
      <c r="DH84" s="125">
        <f t="shared" si="130"/>
        <v>-1440.3</v>
      </c>
      <c r="DI84" s="111">
        <f>DI50</f>
        <v>-307.39999999999998</v>
      </c>
      <c r="DJ84" s="111">
        <f t="shared" ref="DJ84" si="131">DJ50</f>
        <v>-330.5</v>
      </c>
      <c r="DK84" s="111">
        <f t="shared" si="129"/>
        <v>-387.4</v>
      </c>
      <c r="DL84" s="111">
        <f t="shared" si="129"/>
        <v>-494.10000000000014</v>
      </c>
      <c r="DM84" s="125">
        <f t="shared" si="129"/>
        <v>-1519.4</v>
      </c>
      <c r="DN84" s="127">
        <f t="shared" si="129"/>
        <v>-455.52750000000003</v>
      </c>
      <c r="DO84" s="127">
        <f t="shared" si="129"/>
        <v>-446.31284650869549</v>
      </c>
      <c r="DP84" s="127">
        <f t="shared" si="129"/>
        <v>-475.02614293340901</v>
      </c>
      <c r="DQ84" s="127">
        <f t="shared" si="129"/>
        <v>-640.74872737742783</v>
      </c>
      <c r="DR84" s="126">
        <f t="shared" si="129"/>
        <v>-2017.6152168195322</v>
      </c>
      <c r="DS84" s="127">
        <f t="shared" si="129"/>
        <v>-471.5287887765536</v>
      </c>
      <c r="DT84" s="127">
        <f t="shared" si="129"/>
        <v>-456.08240170847802</v>
      </c>
      <c r="DU84" s="127">
        <f t="shared" si="129"/>
        <v>-486.15069537741164</v>
      </c>
      <c r="DV84" s="127">
        <f t="shared" si="129"/>
        <v>-632.52171085256782</v>
      </c>
      <c r="DW84" s="126">
        <f t="shared" si="129"/>
        <v>-2046.2835967150111</v>
      </c>
      <c r="DX84" s="127">
        <f t="shared" si="129"/>
        <v>-479.264179047097</v>
      </c>
      <c r="DY84" s="127">
        <f t="shared" si="129"/>
        <v>-463.93703722547525</v>
      </c>
      <c r="DZ84" s="127">
        <f t="shared" si="129"/>
        <v>-494.18641702393228</v>
      </c>
      <c r="EA84" s="127">
        <f t="shared" si="129"/>
        <v>-614.87722458525354</v>
      </c>
      <c r="EB84" s="126">
        <f t="shared" si="129"/>
        <v>-2052.264857881758</v>
      </c>
      <c r="EE84" s="125">
        <f t="shared" ref="EE84:ER84" si="132">EE50</f>
        <v>-893.99900000000014</v>
      </c>
      <c r="EF84" s="125">
        <f t="shared" si="132"/>
        <v>-1073.4009999999998</v>
      </c>
      <c r="EG84" s="125">
        <f t="shared" si="132"/>
        <v>-893.5</v>
      </c>
      <c r="EH84" s="125">
        <f t="shared" si="132"/>
        <v>-372.70000000000005</v>
      </c>
      <c r="EI84" s="125">
        <f t="shared" si="132"/>
        <v>-469.9</v>
      </c>
      <c r="EJ84" s="125">
        <f t="shared" si="132"/>
        <v>-556.5</v>
      </c>
      <c r="EK84" s="125">
        <f t="shared" si="132"/>
        <v>-945</v>
      </c>
      <c r="EL84" s="125">
        <f t="shared" si="132"/>
        <v>-1165</v>
      </c>
      <c r="EM84" s="125">
        <f t="shared" si="132"/>
        <v>-1196.6000000000001</v>
      </c>
      <c r="EN84" s="125">
        <f t="shared" si="132"/>
        <v>-1343.7</v>
      </c>
      <c r="EO84" s="125">
        <f t="shared" si="132"/>
        <v>-1415.8999999999996</v>
      </c>
      <c r="EP84" s="125">
        <f t="shared" si="132"/>
        <v>-1667.5275000000001</v>
      </c>
      <c r="EQ84" s="125">
        <f t="shared" si="132"/>
        <v>-2033.616505596086</v>
      </c>
      <c r="ER84" s="125">
        <f t="shared" si="132"/>
        <v>-2054.0189869855544</v>
      </c>
      <c r="FC84"/>
      <c r="FD84"/>
      <c r="FE84"/>
      <c r="FF84"/>
      <c r="FG84"/>
      <c r="FH84"/>
      <c r="FI84" s="396"/>
      <c r="FJ84" s="419"/>
      <c r="FK84" s="419"/>
      <c r="FL84" s="419"/>
      <c r="FM84" s="419"/>
      <c r="FN84" s="419"/>
      <c r="FO84" s="419"/>
      <c r="FP84" s="419"/>
      <c r="FQ84" s="419"/>
      <c r="FR84" s="419"/>
      <c r="FS84" s="419"/>
      <c r="FT84" s="419"/>
      <c r="FU84" s="419"/>
      <c r="FV84" s="419"/>
      <c r="FW84" s="419"/>
      <c r="FX84" s="419"/>
      <c r="FY84" s="419"/>
      <c r="FZ84" s="419"/>
      <c r="GA84" s="419"/>
      <c r="GB84" s="419"/>
      <c r="GC84" s="419"/>
      <c r="GD84" s="419"/>
      <c r="GE84" s="419"/>
      <c r="GF84" s="419"/>
      <c r="GG84" s="419"/>
      <c r="GH84" s="419"/>
      <c r="GI84" s="419"/>
      <c r="GJ84" s="419"/>
      <c r="GK84" s="419"/>
      <c r="GL84" s="419"/>
      <c r="GM84" s="419"/>
      <c r="GN84" s="419"/>
      <c r="GO84" s="419"/>
      <c r="GP84" s="419"/>
      <c r="GQ84" s="419"/>
      <c r="GR84" s="419"/>
      <c r="GS84" s="419"/>
      <c r="GT84" s="419"/>
      <c r="GU84" s="419"/>
      <c r="GV84" s="419"/>
      <c r="GW84" s="418"/>
      <c r="GX84" s="418"/>
      <c r="GY84" s="418"/>
      <c r="GZ84" s="418"/>
      <c r="HA84" s="418"/>
      <c r="HB84" s="418"/>
      <c r="HC84" s="418"/>
      <c r="HD84" s="418"/>
      <c r="HE84" s="418"/>
      <c r="HF84" s="418"/>
      <c r="HG84" s="418"/>
      <c r="HH84" s="418"/>
      <c r="HI84" s="418"/>
      <c r="HJ84" s="418"/>
      <c r="HK84" s="418"/>
      <c r="HL84" s="418"/>
      <c r="HM84" s="418"/>
      <c r="HN84" s="418"/>
      <c r="HO84" s="418"/>
      <c r="HP84" s="418"/>
      <c r="HQ84" s="418"/>
      <c r="HR84" s="418"/>
      <c r="HS84" s="418"/>
      <c r="HT84" s="418"/>
      <c r="HU84" s="418"/>
      <c r="HV84" s="418"/>
      <c r="HW84" s="418"/>
      <c r="HX84" s="418"/>
      <c r="HY84" s="418"/>
      <c r="HZ84" s="418"/>
      <c r="IA84" s="418"/>
      <c r="IB84" s="418"/>
      <c r="IC84" s="418"/>
      <c r="ID84" s="418"/>
      <c r="IE84" s="418"/>
      <c r="IF84" s="418"/>
      <c r="IG84" s="418"/>
      <c r="IH84" s="418"/>
      <c r="II84" s="418"/>
      <c r="IJ84" s="418"/>
      <c r="IK84" s="418"/>
      <c r="IL84" s="418"/>
      <c r="IM84" s="418"/>
      <c r="IN84" s="418"/>
      <c r="IO84" s="418"/>
      <c r="IP84" s="418"/>
      <c r="IQ84" s="418"/>
      <c r="IR84" s="418"/>
      <c r="IS84" s="418"/>
      <c r="IT84" s="418"/>
      <c r="IU84" s="418"/>
      <c r="IV84" s="418"/>
    </row>
    <row r="85" spans="1:256" s="16" customFormat="1" x14ac:dyDescent="0.2">
      <c r="A85" s="33" t="s">
        <v>172</v>
      </c>
      <c r="B85" s="124">
        <f t="shared" ref="B85:AG85" si="133">B82+B84</f>
        <v>-84.938999999999993</v>
      </c>
      <c r="C85" s="123">
        <f t="shared" si="133"/>
        <v>-13.007999999999997</v>
      </c>
      <c r="D85" s="123">
        <f t="shared" si="133"/>
        <v>-16.807000000000002</v>
      </c>
      <c r="E85" s="123">
        <f t="shared" si="133"/>
        <v>-33.664000000000001</v>
      </c>
      <c r="F85" s="123">
        <f t="shared" si="133"/>
        <v>-54.277999999999999</v>
      </c>
      <c r="G85" s="124">
        <f t="shared" si="133"/>
        <v>-117.78399999999999</v>
      </c>
      <c r="H85" s="123">
        <f t="shared" si="133"/>
        <v>-4.1480000000000032</v>
      </c>
      <c r="I85" s="123">
        <f t="shared" si="133"/>
        <v>-14.028000000000002</v>
      </c>
      <c r="J85" s="123">
        <f t="shared" si="133"/>
        <v>-11.159999999999997</v>
      </c>
      <c r="K85" s="123">
        <f t="shared" si="133"/>
        <v>4.2009999999999934</v>
      </c>
      <c r="L85" s="124">
        <f t="shared" si="133"/>
        <v>-25.283999999999992</v>
      </c>
      <c r="M85" s="123">
        <f t="shared" si="133"/>
        <v>6.036999999999999</v>
      </c>
      <c r="N85" s="123">
        <f t="shared" si="133"/>
        <v>-54.782107000000011</v>
      </c>
      <c r="O85" s="123">
        <f t="shared" si="133"/>
        <v>-92.205574893000005</v>
      </c>
      <c r="P85" s="123">
        <f t="shared" si="133"/>
        <v>-147.076434318107</v>
      </c>
      <c r="Q85" s="124">
        <f t="shared" si="133"/>
        <v>-274.28900000000004</v>
      </c>
      <c r="R85" s="123">
        <f t="shared" si="133"/>
        <v>6.6470000000000056</v>
      </c>
      <c r="S85" s="123">
        <f t="shared" si="133"/>
        <v>-18.005000000000003</v>
      </c>
      <c r="T85" s="123">
        <f t="shared" si="133"/>
        <v>-31.089999999999971</v>
      </c>
      <c r="U85" s="123">
        <f t="shared" si="133"/>
        <v>-23.161999999999949</v>
      </c>
      <c r="V85" s="124">
        <f t="shared" si="133"/>
        <v>-36.686999999999927</v>
      </c>
      <c r="W85" s="123">
        <f t="shared" si="133"/>
        <v>45.523000000000017</v>
      </c>
      <c r="X85" s="123">
        <f t="shared" si="133"/>
        <v>-23.213999999999984</v>
      </c>
      <c r="Y85" s="123">
        <f t="shared" si="133"/>
        <v>-25.286000000000001</v>
      </c>
      <c r="Z85" s="123">
        <f t="shared" si="133"/>
        <v>-48.230000000000025</v>
      </c>
      <c r="AA85" s="124">
        <f t="shared" si="133"/>
        <v>-51.207000000000022</v>
      </c>
      <c r="AB85" s="123">
        <f t="shared" si="133"/>
        <v>48.762</v>
      </c>
      <c r="AC85" s="123">
        <f t="shared" si="133"/>
        <v>-15.031000000000006</v>
      </c>
      <c r="AD85" s="123">
        <f t="shared" si="133"/>
        <v>-6.3610000000000042</v>
      </c>
      <c r="AE85" s="123">
        <f t="shared" si="133"/>
        <v>-22.024000000000001</v>
      </c>
      <c r="AF85" s="124">
        <f t="shared" si="133"/>
        <v>5.3460000000000036</v>
      </c>
      <c r="AG85" s="123">
        <f t="shared" si="133"/>
        <v>83.795000000000002</v>
      </c>
      <c r="AH85" s="123">
        <f t="shared" ref="AH85:BM85" si="134">AH82+AH84</f>
        <v>21.784999999999982</v>
      </c>
      <c r="AI85" s="123">
        <f t="shared" si="134"/>
        <v>-21.996999999999957</v>
      </c>
      <c r="AJ85" s="123">
        <f t="shared" si="134"/>
        <v>-11.492999999999995</v>
      </c>
      <c r="AK85" s="124">
        <f t="shared" si="134"/>
        <v>72.090000000000032</v>
      </c>
      <c r="AL85" s="123">
        <f t="shared" si="134"/>
        <v>57.675999999999988</v>
      </c>
      <c r="AM85" s="123">
        <f t="shared" si="134"/>
        <v>-9.188999999999993</v>
      </c>
      <c r="AN85" s="123">
        <f t="shared" si="134"/>
        <v>52.140999999999963</v>
      </c>
      <c r="AO85" s="123">
        <f t="shared" si="134"/>
        <v>1.5830000000000695</v>
      </c>
      <c r="AP85" s="124">
        <f t="shared" si="134"/>
        <v>102.21099999999996</v>
      </c>
      <c r="AQ85" s="123">
        <f t="shared" si="134"/>
        <v>139.99699999999999</v>
      </c>
      <c r="AR85" s="123">
        <f t="shared" si="134"/>
        <v>-5.7579999999999814</v>
      </c>
      <c r="AS85" s="123">
        <f t="shared" si="134"/>
        <v>75.057000000000016</v>
      </c>
      <c r="AT85" s="123">
        <f t="shared" si="134"/>
        <v>-0.13200000000001921</v>
      </c>
      <c r="AU85" s="124">
        <f t="shared" si="134"/>
        <v>209.16400000000004</v>
      </c>
      <c r="AV85" s="123">
        <f t="shared" si="134"/>
        <v>310.70300000000003</v>
      </c>
      <c r="AW85" s="123">
        <f t="shared" si="134"/>
        <v>24.845999999999975</v>
      </c>
      <c r="AX85" s="123">
        <f t="shared" si="134"/>
        <v>44.003000000000029</v>
      </c>
      <c r="AY85" s="123">
        <f t="shared" si="134"/>
        <v>28.120000000000118</v>
      </c>
      <c r="AZ85" s="124">
        <f t="shared" si="134"/>
        <v>445.99999999999983</v>
      </c>
      <c r="BA85" s="123">
        <f t="shared" si="134"/>
        <v>245.78300000000002</v>
      </c>
      <c r="BB85" s="123">
        <f t="shared" si="134"/>
        <v>9.0200000000000102</v>
      </c>
      <c r="BC85" s="123">
        <f t="shared" si="134"/>
        <v>44.164999999999964</v>
      </c>
      <c r="BD85" s="123">
        <f t="shared" si="134"/>
        <v>-19.349000000000046</v>
      </c>
      <c r="BE85" s="124">
        <f t="shared" si="134"/>
        <v>279.6189999999998</v>
      </c>
      <c r="BF85" s="123">
        <f t="shared" si="134"/>
        <v>461.53899999999999</v>
      </c>
      <c r="BG85" s="123">
        <f t="shared" si="134"/>
        <v>-9.8780000000000712</v>
      </c>
      <c r="BH85" s="123">
        <f t="shared" si="134"/>
        <v>-38.234999999999928</v>
      </c>
      <c r="BI85" s="123">
        <f t="shared" si="134"/>
        <v>-53.023000000000053</v>
      </c>
      <c r="BJ85" s="124">
        <f t="shared" si="134"/>
        <v>360.40300000000002</v>
      </c>
      <c r="BK85" s="123">
        <f t="shared" si="134"/>
        <v>407.86200000000008</v>
      </c>
      <c r="BL85" s="123">
        <f t="shared" si="134"/>
        <v>-177.24499999999998</v>
      </c>
      <c r="BM85" s="123">
        <f t="shared" si="134"/>
        <v>37.090000000000032</v>
      </c>
      <c r="BN85" s="123">
        <f t="shared" ref="BN85:CS85" si="135">BN82+BN84</f>
        <v>-16.833999999999889</v>
      </c>
      <c r="BO85" s="124">
        <f t="shared" si="135"/>
        <v>250.87299999999982</v>
      </c>
      <c r="BP85" s="123">
        <f t="shared" si="135"/>
        <v>543.99999999999989</v>
      </c>
      <c r="BQ85" s="123">
        <f t="shared" si="135"/>
        <v>-283.69999999999993</v>
      </c>
      <c r="BR85" s="123">
        <f t="shared" si="135"/>
        <v>84.500000000000171</v>
      </c>
      <c r="BS85" s="123">
        <f t="shared" si="135"/>
        <v>-70.60000000000008</v>
      </c>
      <c r="BT85" s="124">
        <f t="shared" si="135"/>
        <v>274.20000000000005</v>
      </c>
      <c r="BU85" s="123">
        <f t="shared" si="135"/>
        <v>520.90000000000009</v>
      </c>
      <c r="BV85" s="123">
        <f t="shared" si="135"/>
        <v>-42.400000000000063</v>
      </c>
      <c r="BW85" s="123">
        <f t="shared" si="135"/>
        <v>194.00000000000003</v>
      </c>
      <c r="BX85" s="123">
        <f t="shared" si="135"/>
        <v>270.89999999999986</v>
      </c>
      <c r="BY85" s="124">
        <f t="shared" si="135"/>
        <v>943.4</v>
      </c>
      <c r="BZ85" s="123">
        <f t="shared" si="135"/>
        <v>669</v>
      </c>
      <c r="CA85" s="123">
        <f t="shared" si="135"/>
        <v>104.30000000000008</v>
      </c>
      <c r="CB85" s="123">
        <f t="shared" si="135"/>
        <v>316.5</v>
      </c>
      <c r="CC85" s="123">
        <f t="shared" si="135"/>
        <v>174.40000000000003</v>
      </c>
      <c r="CD85" s="124">
        <f t="shared" si="135"/>
        <v>1264.2</v>
      </c>
      <c r="CE85" s="123">
        <f t="shared" si="135"/>
        <v>544.70000000000016</v>
      </c>
      <c r="CF85" s="123">
        <f t="shared" si="135"/>
        <v>-114.30000000000013</v>
      </c>
      <c r="CG85" s="123">
        <f t="shared" si="135"/>
        <v>323.89999999999998</v>
      </c>
      <c r="CH85" s="123">
        <f t="shared" si="135"/>
        <v>326.19999999999993</v>
      </c>
      <c r="CI85" s="124">
        <f t="shared" si="135"/>
        <v>1080.5</v>
      </c>
      <c r="CJ85" s="123">
        <f t="shared" si="135"/>
        <v>312.79999999999995</v>
      </c>
      <c r="CK85" s="123">
        <f t="shared" si="135"/>
        <v>-51.000000000000114</v>
      </c>
      <c r="CL85" s="123">
        <f t="shared" si="135"/>
        <v>348.60000000000019</v>
      </c>
      <c r="CM85" s="123">
        <f t="shared" si="135"/>
        <v>252.90000000000003</v>
      </c>
      <c r="CN85" s="124">
        <f t="shared" si="135"/>
        <v>863.30000000000018</v>
      </c>
      <c r="CO85" s="123">
        <f t="shared" si="135"/>
        <v>825.00000000000023</v>
      </c>
      <c r="CP85" s="123">
        <f t="shared" si="135"/>
        <v>62.600000000000023</v>
      </c>
      <c r="CQ85" s="203">
        <f t="shared" si="135"/>
        <v>367.99999999999989</v>
      </c>
      <c r="CR85" s="123">
        <f t="shared" si="135"/>
        <v>501.49999999999636</v>
      </c>
      <c r="CS85" s="124">
        <f t="shared" si="135"/>
        <v>1757.0999999999965</v>
      </c>
      <c r="CT85" s="203">
        <f t="shared" ref="CT85:DR85" si="136">CT82+CT84</f>
        <v>-1658</v>
      </c>
      <c r="CU85" s="123">
        <f t="shared" si="136"/>
        <v>170.89999999999975</v>
      </c>
      <c r="CV85" s="123">
        <f t="shared" si="136"/>
        <v>542.50000000000034</v>
      </c>
      <c r="CW85" s="692">
        <f t="shared" si="136"/>
        <v>391.50000000000227</v>
      </c>
      <c r="CX85" s="728">
        <f t="shared" si="136"/>
        <v>-553.09999999999809</v>
      </c>
      <c r="CY85" s="203">
        <f t="shared" si="136"/>
        <v>1133.3999999999999</v>
      </c>
      <c r="CZ85" s="203">
        <f t="shared" si="136"/>
        <v>260.90000000000003</v>
      </c>
      <c r="DA85" s="203">
        <f t="shared" si="136"/>
        <v>441.40000000000003</v>
      </c>
      <c r="DB85" s="203">
        <f t="shared" si="136"/>
        <v>609.70000000000005</v>
      </c>
      <c r="DC85" s="120">
        <f t="shared" si="136"/>
        <v>2445.4000000000005</v>
      </c>
      <c r="DD85" s="203">
        <f>DD82+DD84</f>
        <v>1304.1999999999998</v>
      </c>
      <c r="DE85" s="203">
        <f t="shared" ref="DE85:DH85" si="137">DE82+DE84</f>
        <v>213.09999999999974</v>
      </c>
      <c r="DF85" s="203">
        <f t="shared" si="137"/>
        <v>719.90000000000009</v>
      </c>
      <c r="DG85" s="203">
        <f t="shared" si="137"/>
        <v>897.59999999999991</v>
      </c>
      <c r="DH85" s="120">
        <f t="shared" si="137"/>
        <v>3134.8000000000011</v>
      </c>
      <c r="DI85" s="203">
        <f>DI82+DI84</f>
        <v>1188.3000000000002</v>
      </c>
      <c r="DJ85" s="203">
        <f t="shared" ref="DJ85" si="138">DJ82+DJ84</f>
        <v>112.79999999999967</v>
      </c>
      <c r="DK85" s="203">
        <f t="shared" si="136"/>
        <v>763.19999999999993</v>
      </c>
      <c r="DL85" s="203">
        <f t="shared" si="136"/>
        <v>590.59999999999968</v>
      </c>
      <c r="DM85" s="120">
        <f t="shared" si="136"/>
        <v>2654.9</v>
      </c>
      <c r="DN85" s="122">
        <f t="shared" si="136"/>
        <v>2265.1602831135679</v>
      </c>
      <c r="DO85" s="122">
        <f t="shared" si="136"/>
        <v>331.27353885356769</v>
      </c>
      <c r="DP85" s="122">
        <f t="shared" si="136"/>
        <v>739.4817257634835</v>
      </c>
      <c r="DQ85" s="122">
        <f t="shared" si="136"/>
        <v>635.77723079487384</v>
      </c>
      <c r="DR85" s="121">
        <f t="shared" si="136"/>
        <v>3971.692778525492</v>
      </c>
      <c r="DS85" s="122">
        <f t="shared" ref="DS85:EB85" si="139">DS82+DS84</f>
        <v>963.12852460138095</v>
      </c>
      <c r="DT85" s="122">
        <f t="shared" si="139"/>
        <v>465.1472288304887</v>
      </c>
      <c r="DU85" s="122">
        <f t="shared" si="139"/>
        <v>858.7749050964992</v>
      </c>
      <c r="DV85" s="122">
        <f t="shared" si="139"/>
        <v>781.02850530544765</v>
      </c>
      <c r="DW85" s="121">
        <f t="shared" si="139"/>
        <v>3068.0791638338169</v>
      </c>
      <c r="DX85" s="122">
        <f t="shared" si="139"/>
        <v>1078.1773630926152</v>
      </c>
      <c r="DY85" s="122">
        <f t="shared" si="139"/>
        <v>580.37062182605587</v>
      </c>
      <c r="DZ85" s="122">
        <f t="shared" si="139"/>
        <v>999.23446766643178</v>
      </c>
      <c r="EA85" s="122">
        <f t="shared" si="139"/>
        <v>951.76560051634237</v>
      </c>
      <c r="EB85" s="121">
        <f t="shared" si="139"/>
        <v>3609.5480531014464</v>
      </c>
      <c r="EE85" s="120">
        <f t="shared" ref="EE85:ER85" si="140">EE82+EE84</f>
        <v>306.726</v>
      </c>
      <c r="EF85" s="120">
        <f t="shared" si="140"/>
        <v>387.01100000000019</v>
      </c>
      <c r="EG85" s="120">
        <f t="shared" si="140"/>
        <v>251.10000000000036</v>
      </c>
      <c r="EH85" s="120">
        <f t="shared" si="140"/>
        <v>1091.4999999999998</v>
      </c>
      <c r="EI85" s="120">
        <f t="shared" si="140"/>
        <v>1139.9000000000001</v>
      </c>
      <c r="EJ85" s="120">
        <f t="shared" si="140"/>
        <v>848.59999999999968</v>
      </c>
      <c r="EK85" s="120">
        <f t="shared" si="140"/>
        <v>1375.5000000000005</v>
      </c>
      <c r="EL85" s="120">
        <f t="shared" si="140"/>
        <v>-725.9000000000035</v>
      </c>
      <c r="EM85" s="120">
        <f t="shared" si="140"/>
        <v>2238.300000000002</v>
      </c>
      <c r="EN85" s="120">
        <f t="shared" si="140"/>
        <v>2616.1999999999998</v>
      </c>
      <c r="EO85" s="120">
        <f t="shared" si="140"/>
        <v>3018.8999999999996</v>
      </c>
      <c r="EP85" s="120">
        <f t="shared" si="140"/>
        <v>3731.7602831135673</v>
      </c>
      <c r="EQ85" s="120">
        <f t="shared" si="140"/>
        <v>2669.6610200133059</v>
      </c>
      <c r="ER85" s="120">
        <f t="shared" si="140"/>
        <v>3183.1280023250515</v>
      </c>
      <c r="FC85"/>
      <c r="FD85"/>
      <c r="FE85"/>
      <c r="FF85"/>
      <c r="FG85"/>
      <c r="FH85"/>
      <c r="FI85" s="396"/>
      <c r="FJ85" s="419"/>
      <c r="FK85" s="419"/>
      <c r="FL85" s="419"/>
      <c r="FM85" s="419"/>
      <c r="FN85" s="419"/>
      <c r="FO85" s="419"/>
      <c r="FP85" s="419"/>
      <c r="FQ85" s="419"/>
      <c r="FR85" s="419"/>
      <c r="FS85" s="419"/>
      <c r="FT85" s="419"/>
      <c r="FU85" s="419"/>
      <c r="FV85" s="419"/>
      <c r="FW85" s="419"/>
      <c r="FX85" s="419"/>
      <c r="FY85" s="419"/>
      <c r="FZ85" s="419"/>
      <c r="GA85" s="419"/>
      <c r="GB85" s="419"/>
      <c r="GC85" s="419"/>
      <c r="GD85" s="419"/>
      <c r="GE85" s="419"/>
      <c r="GF85" s="419"/>
      <c r="GG85" s="419"/>
      <c r="GH85" s="419"/>
      <c r="GI85" s="419"/>
      <c r="GJ85" s="419"/>
      <c r="GK85" s="419"/>
      <c r="GL85" s="419"/>
      <c r="GM85" s="419"/>
      <c r="GN85" s="419"/>
      <c r="GO85" s="419"/>
      <c r="GP85" s="419"/>
      <c r="GQ85" s="419"/>
      <c r="GR85" s="419"/>
      <c r="GS85" s="419"/>
      <c r="GT85" s="419"/>
      <c r="GU85" s="419"/>
      <c r="GV85" s="419"/>
      <c r="GW85" s="418"/>
      <c r="GX85" s="418"/>
      <c r="GY85" s="418"/>
      <c r="GZ85" s="418"/>
      <c r="HA85" s="418"/>
      <c r="HB85" s="418"/>
      <c r="HC85" s="418"/>
      <c r="HD85" s="418"/>
      <c r="HE85" s="418"/>
      <c r="HF85" s="418"/>
      <c r="HG85" s="418"/>
      <c r="HH85" s="418"/>
      <c r="HI85" s="418"/>
      <c r="HJ85" s="418"/>
      <c r="HK85" s="418"/>
      <c r="HL85" s="418"/>
      <c r="HM85" s="418"/>
      <c r="HN85" s="418"/>
      <c r="HO85" s="418"/>
      <c r="HP85" s="418"/>
      <c r="HQ85" s="418"/>
      <c r="HR85" s="418"/>
      <c r="HS85" s="418"/>
      <c r="HT85" s="418"/>
      <c r="HU85" s="418"/>
      <c r="HV85" s="418"/>
      <c r="HW85" s="418"/>
      <c r="HX85" s="418"/>
      <c r="HY85" s="418"/>
      <c r="HZ85" s="418"/>
      <c r="IA85" s="418"/>
      <c r="IB85" s="418"/>
      <c r="IC85" s="418"/>
      <c r="ID85" s="418"/>
      <c r="IE85" s="418"/>
      <c r="IF85" s="418"/>
      <c r="IG85" s="418"/>
      <c r="IH85" s="418"/>
      <c r="II85" s="418"/>
      <c r="IJ85" s="418"/>
      <c r="IK85" s="418"/>
      <c r="IL85" s="418"/>
      <c r="IM85" s="418"/>
      <c r="IN85" s="418"/>
      <c r="IO85" s="418"/>
      <c r="IP85" s="418"/>
      <c r="IQ85" s="418"/>
      <c r="IR85" s="418"/>
      <c r="IS85" s="418"/>
      <c r="IT85" s="418"/>
      <c r="IU85" s="418"/>
      <c r="IV85" s="418"/>
    </row>
    <row r="86" spans="1:256" s="1" customFormat="1" x14ac:dyDescent="0.2">
      <c r="A86" s="1" t="s">
        <v>171</v>
      </c>
      <c r="B86" s="125"/>
      <c r="C86" s="111"/>
      <c r="D86" s="111"/>
      <c r="E86" s="111"/>
      <c r="F86" s="111"/>
      <c r="G86" s="125"/>
      <c r="H86" s="111"/>
      <c r="I86" s="111"/>
      <c r="J86" s="111"/>
      <c r="K86" s="111"/>
      <c r="L86" s="125"/>
      <c r="M86" s="111"/>
      <c r="N86" s="111"/>
      <c r="O86" s="111"/>
      <c r="P86" s="111"/>
      <c r="Q86" s="125"/>
      <c r="R86" s="111"/>
      <c r="S86" s="111"/>
      <c r="T86" s="111"/>
      <c r="U86" s="111"/>
      <c r="V86" s="125"/>
      <c r="W86" s="111"/>
      <c r="X86" s="111"/>
      <c r="Y86" s="111"/>
      <c r="Z86" s="111"/>
      <c r="AA86" s="125"/>
      <c r="AB86" s="111"/>
      <c r="AC86" s="111"/>
      <c r="AD86" s="111"/>
      <c r="AE86" s="111"/>
      <c r="AF86" s="125"/>
      <c r="AG86" s="111"/>
      <c r="AH86" s="111"/>
      <c r="AI86" s="111"/>
      <c r="AJ86" s="111"/>
      <c r="AK86" s="125"/>
      <c r="AL86" s="111"/>
      <c r="AM86" s="111"/>
      <c r="AN86" s="111"/>
      <c r="AO86" s="111"/>
      <c r="AP86" s="125"/>
      <c r="AQ86" s="111"/>
      <c r="AR86" s="111"/>
      <c r="AS86" s="111"/>
      <c r="AT86" s="111"/>
      <c r="AU86" s="125"/>
      <c r="AV86" s="111"/>
      <c r="AW86" s="111"/>
      <c r="AX86" s="111"/>
      <c r="AY86" s="111"/>
      <c r="AZ86" s="125"/>
      <c r="BA86" s="111"/>
      <c r="BB86" s="111"/>
      <c r="BC86" s="111"/>
      <c r="BD86" s="111"/>
      <c r="BE86" s="125"/>
      <c r="BF86" s="111">
        <f>BF46</f>
        <v>0</v>
      </c>
      <c r="BG86" s="111">
        <f>BG46</f>
        <v>-90.218999999999994</v>
      </c>
      <c r="BH86" s="111">
        <f>BH46</f>
        <v>-0.35900000000000887</v>
      </c>
      <c r="BI86" s="111">
        <f>BI46</f>
        <v>-1.1559999999999917</v>
      </c>
      <c r="BJ86" s="125">
        <f>BJ46</f>
        <v>-91.733999999999995</v>
      </c>
      <c r="BK86" s="111"/>
      <c r="BL86" s="111"/>
      <c r="BM86" s="111"/>
      <c r="BN86" s="111"/>
      <c r="BO86" s="125"/>
      <c r="BP86" s="111"/>
      <c r="BQ86" s="111"/>
      <c r="BR86" s="111"/>
      <c r="BS86" s="111"/>
      <c r="BT86" s="125"/>
      <c r="BU86" s="331">
        <f t="shared" ref="BU86:CZ86" si="141">-BU46</f>
        <v>0</v>
      </c>
      <c r="BV86" s="331">
        <f t="shared" si="141"/>
        <v>0</v>
      </c>
      <c r="BW86" s="331">
        <f t="shared" si="141"/>
        <v>-42.1</v>
      </c>
      <c r="BX86" s="331">
        <f t="shared" si="141"/>
        <v>-0.39999999999999858</v>
      </c>
      <c r="BY86" s="392">
        <f t="shared" si="141"/>
        <v>-42.5</v>
      </c>
      <c r="BZ86" s="331">
        <f t="shared" si="141"/>
        <v>10.6</v>
      </c>
      <c r="CA86" s="331">
        <f t="shared" si="141"/>
        <v>0</v>
      </c>
      <c r="CB86" s="331">
        <f t="shared" si="141"/>
        <v>0</v>
      </c>
      <c r="CC86" s="331">
        <f t="shared" si="141"/>
        <v>1.4000000000000004</v>
      </c>
      <c r="CD86" s="392">
        <f t="shared" si="141"/>
        <v>12</v>
      </c>
      <c r="CE86" s="331">
        <f t="shared" si="141"/>
        <v>0.7</v>
      </c>
      <c r="CF86" s="331">
        <f t="shared" si="141"/>
        <v>8.9</v>
      </c>
      <c r="CG86" s="331">
        <f t="shared" si="141"/>
        <v>-1.0000000000000007</v>
      </c>
      <c r="CH86" s="331">
        <f t="shared" si="141"/>
        <v>-70.200000000000017</v>
      </c>
      <c r="CI86" s="392">
        <f t="shared" si="141"/>
        <v>-61.600000000000009</v>
      </c>
      <c r="CJ86" s="111">
        <f t="shared" si="141"/>
        <v>29.7</v>
      </c>
      <c r="CK86" s="397">
        <f t="shared" si="141"/>
        <v>0</v>
      </c>
      <c r="CL86" s="397">
        <f t="shared" si="141"/>
        <v>0</v>
      </c>
      <c r="CM86" s="111">
        <f t="shared" si="141"/>
        <v>94.1</v>
      </c>
      <c r="CN86" s="125">
        <f t="shared" si="141"/>
        <v>123.8</v>
      </c>
      <c r="CO86" s="331">
        <f t="shared" si="141"/>
        <v>0</v>
      </c>
      <c r="CP86" s="331">
        <f t="shared" si="141"/>
        <v>568.79999999999995</v>
      </c>
      <c r="CQ86" s="331">
        <f t="shared" si="141"/>
        <v>8.1000000000000227</v>
      </c>
      <c r="CR86" s="331">
        <f t="shared" si="141"/>
        <v>18.200000000000045</v>
      </c>
      <c r="CS86" s="392">
        <f t="shared" si="141"/>
        <v>595.1</v>
      </c>
      <c r="CT86" s="331">
        <f t="shared" si="141"/>
        <v>0</v>
      </c>
      <c r="CU86" s="331">
        <f t="shared" si="141"/>
        <v>0</v>
      </c>
      <c r="CV86" s="552">
        <f t="shared" si="141"/>
        <v>0</v>
      </c>
      <c r="CW86" s="666">
        <f t="shared" si="141"/>
        <v>0</v>
      </c>
      <c r="CX86" s="726">
        <f t="shared" si="141"/>
        <v>0</v>
      </c>
      <c r="CY86" s="331">
        <f t="shared" si="141"/>
        <v>284.3</v>
      </c>
      <c r="CZ86" s="331">
        <f t="shared" si="141"/>
        <v>0</v>
      </c>
      <c r="DA86" s="331">
        <f t="shared" ref="DA86:EB86" si="142">-DA46</f>
        <v>0</v>
      </c>
      <c r="DB86" s="331">
        <f t="shared" si="142"/>
        <v>0</v>
      </c>
      <c r="DC86" s="392">
        <f t="shared" si="142"/>
        <v>284.3</v>
      </c>
      <c r="DD86" s="331">
        <f t="shared" si="142"/>
        <v>0</v>
      </c>
      <c r="DE86" s="331">
        <f t="shared" si="142"/>
        <v>0</v>
      </c>
      <c r="DF86" s="331">
        <f t="shared" si="142"/>
        <v>0</v>
      </c>
      <c r="DG86" s="331">
        <f t="shared" ref="DG86:DJ86" si="143">-DG46</f>
        <v>0</v>
      </c>
      <c r="DH86" s="392">
        <f t="shared" si="143"/>
        <v>0</v>
      </c>
      <c r="DI86" s="331">
        <f t="shared" si="143"/>
        <v>0</v>
      </c>
      <c r="DJ86" s="331">
        <f t="shared" si="143"/>
        <v>0</v>
      </c>
      <c r="DK86" s="331">
        <f t="shared" si="142"/>
        <v>0</v>
      </c>
      <c r="DL86" s="331">
        <f t="shared" si="142"/>
        <v>0</v>
      </c>
      <c r="DM86" s="392">
        <f t="shared" si="142"/>
        <v>0</v>
      </c>
      <c r="DN86" s="331">
        <f t="shared" si="142"/>
        <v>0</v>
      </c>
      <c r="DO86" s="331">
        <f t="shared" si="142"/>
        <v>0</v>
      </c>
      <c r="DP86" s="331">
        <f t="shared" si="142"/>
        <v>0</v>
      </c>
      <c r="DQ86" s="331">
        <f t="shared" si="142"/>
        <v>0</v>
      </c>
      <c r="DR86" s="392">
        <f t="shared" si="142"/>
        <v>0</v>
      </c>
      <c r="DS86" s="331">
        <f t="shared" si="142"/>
        <v>0</v>
      </c>
      <c r="DT86" s="331">
        <f t="shared" si="142"/>
        <v>0</v>
      </c>
      <c r="DU86" s="331">
        <f t="shared" si="142"/>
        <v>0</v>
      </c>
      <c r="DV86" s="331">
        <f t="shared" si="142"/>
        <v>0</v>
      </c>
      <c r="DW86" s="392">
        <f t="shared" si="142"/>
        <v>0</v>
      </c>
      <c r="DX86" s="331">
        <f t="shared" si="142"/>
        <v>0</v>
      </c>
      <c r="DY86" s="331">
        <f t="shared" si="142"/>
        <v>0</v>
      </c>
      <c r="DZ86" s="331">
        <f t="shared" si="142"/>
        <v>0</v>
      </c>
      <c r="EA86" s="331">
        <f t="shared" si="142"/>
        <v>0</v>
      </c>
      <c r="EB86" s="392">
        <f t="shared" si="142"/>
        <v>0</v>
      </c>
      <c r="EE86" s="125"/>
      <c r="EF86" s="125"/>
      <c r="EG86" s="125"/>
      <c r="EH86" s="125"/>
      <c r="EI86" s="125"/>
      <c r="EJ86" s="125"/>
      <c r="EK86" s="125"/>
      <c r="EL86" s="125"/>
      <c r="EM86" s="125"/>
      <c r="EN86" s="125"/>
      <c r="EO86" s="125"/>
      <c r="EP86" s="125"/>
      <c r="EQ86" s="125"/>
      <c r="ER86" s="125"/>
      <c r="FC86"/>
      <c r="FD86"/>
      <c r="FE86"/>
      <c r="FF86"/>
      <c r="FG86"/>
      <c r="FH86"/>
      <c r="FI86" s="396"/>
      <c r="FJ86" s="419"/>
      <c r="FK86" s="419"/>
      <c r="FL86" s="419"/>
      <c r="FM86" s="419"/>
      <c r="FN86" s="419"/>
      <c r="FO86" s="419"/>
      <c r="FP86" s="419"/>
      <c r="FQ86" s="419"/>
      <c r="FR86" s="419"/>
      <c r="FS86" s="419"/>
      <c r="FT86" s="419"/>
      <c r="FU86" s="419"/>
      <c r="FV86" s="419"/>
      <c r="FW86" s="419"/>
      <c r="FX86" s="419"/>
      <c r="FY86" s="419"/>
      <c r="FZ86" s="419"/>
      <c r="GA86" s="419"/>
      <c r="GB86" s="419"/>
      <c r="GC86" s="419"/>
      <c r="GD86" s="419"/>
      <c r="GE86" s="419"/>
      <c r="GF86" s="419"/>
      <c r="GG86" s="419"/>
      <c r="GH86" s="419"/>
      <c r="GI86" s="419"/>
      <c r="GJ86" s="419"/>
      <c r="GK86" s="419"/>
      <c r="GL86" s="419"/>
      <c r="GM86" s="419"/>
      <c r="GN86" s="419"/>
      <c r="GO86" s="419"/>
      <c r="GP86" s="419"/>
      <c r="GQ86" s="419"/>
      <c r="GR86" s="419"/>
      <c r="GS86" s="419"/>
      <c r="GT86" s="419"/>
      <c r="GU86" s="419"/>
      <c r="GV86" s="419"/>
      <c r="GW86" s="418"/>
      <c r="GX86" s="418"/>
      <c r="GY86" s="418"/>
      <c r="GZ86" s="418"/>
      <c r="HA86" s="418"/>
      <c r="HB86" s="418"/>
      <c r="HC86" s="418"/>
      <c r="HD86" s="418"/>
      <c r="HE86" s="418"/>
      <c r="HF86" s="418"/>
      <c r="HG86" s="418"/>
      <c r="HH86" s="418"/>
      <c r="HI86" s="418"/>
      <c r="HJ86" s="418"/>
      <c r="HK86" s="418"/>
      <c r="HL86" s="418"/>
      <c r="HM86" s="418"/>
      <c r="HN86" s="418"/>
      <c r="HO86" s="418"/>
      <c r="HP86" s="418"/>
      <c r="HQ86" s="418"/>
      <c r="HR86" s="418"/>
      <c r="HS86" s="418"/>
      <c r="HT86" s="418"/>
      <c r="HU86" s="418"/>
      <c r="HV86" s="418"/>
      <c r="HW86" s="418"/>
      <c r="HX86" s="418"/>
      <c r="HY86" s="418"/>
      <c r="HZ86" s="418"/>
      <c r="IA86" s="418"/>
      <c r="IB86" s="418"/>
      <c r="IC86" s="418"/>
      <c r="ID86" s="418"/>
      <c r="IE86" s="418"/>
      <c r="IF86" s="418"/>
      <c r="IG86" s="418"/>
      <c r="IH86" s="418"/>
      <c r="II86" s="418"/>
      <c r="IJ86" s="418"/>
      <c r="IK86" s="418"/>
      <c r="IL86" s="418"/>
      <c r="IM86" s="418"/>
      <c r="IN86" s="418"/>
      <c r="IO86" s="418"/>
      <c r="IP86" s="418"/>
      <c r="IQ86" s="418"/>
      <c r="IR86" s="418"/>
      <c r="IS86" s="418"/>
      <c r="IT86" s="418"/>
      <c r="IU86" s="418"/>
      <c r="IV86" s="418"/>
    </row>
    <row r="87" spans="1:256" s="1" customFormat="1" x14ac:dyDescent="0.2">
      <c r="A87" s="1" t="s">
        <v>383</v>
      </c>
      <c r="B87" s="125"/>
      <c r="C87" s="111"/>
      <c r="D87" s="111"/>
      <c r="E87" s="111"/>
      <c r="F87" s="111"/>
      <c r="G87" s="125"/>
      <c r="H87" s="111"/>
      <c r="I87" s="111"/>
      <c r="J87" s="111"/>
      <c r="K87" s="111"/>
      <c r="L87" s="125"/>
      <c r="M87" s="111"/>
      <c r="N87" s="111"/>
      <c r="O87" s="111"/>
      <c r="P87" s="111"/>
      <c r="Q87" s="125"/>
      <c r="R87" s="111"/>
      <c r="S87" s="111"/>
      <c r="T87" s="111"/>
      <c r="U87" s="111"/>
      <c r="V87" s="125"/>
      <c r="W87" s="111"/>
      <c r="X87" s="111"/>
      <c r="Y87" s="111"/>
      <c r="Z87" s="111"/>
      <c r="AA87" s="125"/>
      <c r="AB87" s="111"/>
      <c r="AC87" s="111"/>
      <c r="AD87" s="111"/>
      <c r="AE87" s="111"/>
      <c r="AF87" s="125"/>
      <c r="AG87" s="111"/>
      <c r="AH87" s="111"/>
      <c r="AI87" s="111"/>
      <c r="AJ87" s="111"/>
      <c r="AK87" s="125"/>
      <c r="AL87" s="111"/>
      <c r="AM87" s="111"/>
      <c r="AN87" s="111"/>
      <c r="AO87" s="111"/>
      <c r="AP87" s="125"/>
      <c r="AQ87" s="111"/>
      <c r="AR87" s="111"/>
      <c r="AS87" s="111"/>
      <c r="AT87" s="111"/>
      <c r="AU87" s="125"/>
      <c r="AV87" s="111"/>
      <c r="AW87" s="111"/>
      <c r="AX87" s="111"/>
      <c r="AY87" s="111"/>
      <c r="AZ87" s="125"/>
      <c r="BA87" s="111"/>
      <c r="BB87" s="111"/>
      <c r="BC87" s="111"/>
      <c r="BD87" s="111"/>
      <c r="BE87" s="125"/>
      <c r="BF87" s="111"/>
      <c r="BG87" s="111"/>
      <c r="BH87" s="111"/>
      <c r="BI87" s="111"/>
      <c r="BJ87" s="125"/>
      <c r="BK87" s="111"/>
      <c r="BL87" s="111"/>
      <c r="BM87" s="111"/>
      <c r="BN87" s="111"/>
      <c r="BO87" s="125"/>
      <c r="BP87" s="111"/>
      <c r="BQ87" s="111"/>
      <c r="BR87" s="111"/>
      <c r="BS87" s="111"/>
      <c r="BT87" s="125"/>
      <c r="BU87" s="331"/>
      <c r="BV87" s="331"/>
      <c r="BW87" s="331"/>
      <c r="BX87" s="331"/>
      <c r="BY87" s="392"/>
      <c r="BZ87" s="331"/>
      <c r="CA87" s="331"/>
      <c r="CB87" s="331"/>
      <c r="CC87" s="331"/>
      <c r="CD87" s="392"/>
      <c r="CE87" s="331"/>
      <c r="CF87" s="331"/>
      <c r="CG87" s="331"/>
      <c r="CH87" s="331"/>
      <c r="CI87" s="392"/>
      <c r="CJ87" s="111"/>
      <c r="CK87" s="397"/>
      <c r="CL87" s="397"/>
      <c r="CM87" s="111"/>
      <c r="CN87" s="125"/>
      <c r="CO87" s="331"/>
      <c r="CP87" s="331"/>
      <c r="CQ87" s="331"/>
      <c r="CR87" s="331"/>
      <c r="CS87" s="392"/>
      <c r="CT87" s="331">
        <f>-CT36</f>
        <v>2703</v>
      </c>
      <c r="CU87" s="331"/>
      <c r="CV87" s="552"/>
      <c r="CW87" s="666"/>
      <c r="CX87" s="726"/>
      <c r="CY87" s="331"/>
      <c r="CZ87" s="331"/>
      <c r="DA87" s="331"/>
      <c r="DB87" s="331"/>
      <c r="DC87" s="392"/>
      <c r="DD87" s="331"/>
      <c r="DE87" s="331"/>
      <c r="DF87" s="331"/>
      <c r="DG87" s="331"/>
      <c r="DH87" s="392"/>
      <c r="DI87" s="331"/>
      <c r="DJ87" s="331"/>
      <c r="DK87" s="331"/>
      <c r="DL87" s="331"/>
      <c r="DM87" s="392"/>
      <c r="DN87" s="331"/>
      <c r="DO87" s="331"/>
      <c r="DP87" s="331"/>
      <c r="DQ87" s="331"/>
      <c r="DR87" s="392"/>
      <c r="DS87" s="331"/>
      <c r="DT87" s="331"/>
      <c r="DU87" s="331"/>
      <c r="DV87" s="331"/>
      <c r="DW87" s="392"/>
      <c r="DX87" s="331"/>
      <c r="DY87" s="331"/>
      <c r="DZ87" s="331"/>
      <c r="EA87" s="331"/>
      <c r="EB87" s="392"/>
      <c r="EE87" s="125"/>
      <c r="EF87" s="125"/>
      <c r="EG87" s="125"/>
      <c r="EH87" s="125"/>
      <c r="EI87" s="125"/>
      <c r="EJ87" s="125"/>
      <c r="EK87" s="125"/>
      <c r="EL87" s="125"/>
      <c r="EM87" s="125"/>
      <c r="EN87" s="125"/>
      <c r="EO87" s="125"/>
      <c r="EP87" s="125"/>
      <c r="EQ87" s="125"/>
      <c r="ER87" s="125"/>
      <c r="FC87"/>
      <c r="FD87"/>
      <c r="FE87"/>
      <c r="FF87"/>
      <c r="FG87"/>
      <c r="FH87"/>
      <c r="FI87" s="396"/>
      <c r="FJ87" s="419"/>
      <c r="FK87" s="419"/>
      <c r="FL87" s="419"/>
      <c r="FM87" s="419"/>
      <c r="FN87" s="419"/>
      <c r="FO87" s="419"/>
      <c r="FP87" s="419"/>
      <c r="FQ87" s="419"/>
      <c r="FR87" s="419"/>
      <c r="FS87" s="419"/>
      <c r="FT87" s="419"/>
      <c r="FU87" s="419"/>
      <c r="FV87" s="419"/>
      <c r="FW87" s="419"/>
      <c r="FX87" s="419"/>
      <c r="FY87" s="419"/>
      <c r="FZ87" s="419"/>
      <c r="GA87" s="419"/>
      <c r="GB87" s="419"/>
      <c r="GC87" s="419"/>
      <c r="GD87" s="419"/>
      <c r="GE87" s="419"/>
      <c r="GF87" s="419"/>
      <c r="GG87" s="419"/>
      <c r="GH87" s="419"/>
      <c r="GI87" s="419"/>
      <c r="GJ87" s="419"/>
      <c r="GK87" s="419"/>
      <c r="GL87" s="419"/>
      <c r="GM87" s="419"/>
      <c r="GN87" s="419"/>
      <c r="GO87" s="419"/>
      <c r="GP87" s="419"/>
      <c r="GQ87" s="419"/>
      <c r="GR87" s="419"/>
      <c r="GS87" s="419"/>
      <c r="GT87" s="419"/>
      <c r="GU87" s="419"/>
      <c r="GV87" s="419"/>
      <c r="GW87" s="418"/>
      <c r="GX87" s="418"/>
      <c r="GY87" s="418"/>
      <c r="GZ87" s="418"/>
      <c r="HA87" s="418"/>
      <c r="HB87" s="418"/>
      <c r="HC87" s="418"/>
      <c r="HD87" s="418"/>
      <c r="HE87" s="418"/>
      <c r="HF87" s="418"/>
      <c r="HG87" s="418"/>
      <c r="HH87" s="418"/>
      <c r="HI87" s="418"/>
      <c r="HJ87" s="418"/>
      <c r="HK87" s="418"/>
      <c r="HL87" s="418"/>
      <c r="HM87" s="418"/>
      <c r="HN87" s="418"/>
      <c r="HO87" s="418"/>
      <c r="HP87" s="418"/>
      <c r="HQ87" s="418"/>
      <c r="HR87" s="418"/>
      <c r="HS87" s="418"/>
      <c r="HT87" s="418"/>
      <c r="HU87" s="418"/>
      <c r="HV87" s="418"/>
      <c r="HW87" s="418"/>
      <c r="HX87" s="418"/>
      <c r="HY87" s="418"/>
      <c r="HZ87" s="418"/>
      <c r="IA87" s="418"/>
      <c r="IB87" s="418"/>
      <c r="IC87" s="418"/>
      <c r="ID87" s="418"/>
      <c r="IE87" s="418"/>
      <c r="IF87" s="418"/>
      <c r="IG87" s="418"/>
      <c r="IH87" s="418"/>
      <c r="II87" s="418"/>
      <c r="IJ87" s="418"/>
      <c r="IK87" s="418"/>
      <c r="IL87" s="418"/>
      <c r="IM87" s="418"/>
      <c r="IN87" s="418"/>
      <c r="IO87" s="418"/>
      <c r="IP87" s="418"/>
      <c r="IQ87" s="418"/>
      <c r="IR87" s="418"/>
      <c r="IS87" s="418"/>
      <c r="IT87" s="418"/>
      <c r="IU87" s="418"/>
      <c r="IV87" s="418"/>
    </row>
    <row r="88" spans="1:256" s="1" customFormat="1" x14ac:dyDescent="0.2">
      <c r="A88" s="1" t="s">
        <v>170</v>
      </c>
      <c r="B88" s="125"/>
      <c r="C88" s="111"/>
      <c r="D88" s="111"/>
      <c r="E88" s="111"/>
      <c r="F88" s="111"/>
      <c r="G88" s="125"/>
      <c r="H88" s="111"/>
      <c r="I88" s="111"/>
      <c r="J88" s="111"/>
      <c r="K88" s="111"/>
      <c r="L88" s="125"/>
      <c r="M88" s="111"/>
      <c r="N88" s="111"/>
      <c r="O88" s="111"/>
      <c r="P88" s="111"/>
      <c r="Q88" s="125"/>
      <c r="R88" s="111"/>
      <c r="S88" s="111"/>
      <c r="T88" s="111"/>
      <c r="U88" s="111"/>
      <c r="V88" s="125"/>
      <c r="W88" s="111"/>
      <c r="X88" s="111"/>
      <c r="Y88" s="111"/>
      <c r="Z88" s="111"/>
      <c r="AA88" s="125"/>
      <c r="AB88" s="111"/>
      <c r="AC88" s="111"/>
      <c r="AD88" s="111"/>
      <c r="AE88" s="111"/>
      <c r="AF88" s="125"/>
      <c r="AG88" s="111"/>
      <c r="AH88" s="111"/>
      <c r="AI88" s="111"/>
      <c r="AJ88" s="111"/>
      <c r="AK88" s="125"/>
      <c r="AL88" s="111"/>
      <c r="AM88" s="111"/>
      <c r="AN88" s="111"/>
      <c r="AO88" s="111"/>
      <c r="AP88" s="125"/>
      <c r="AQ88" s="111"/>
      <c r="AR88" s="111"/>
      <c r="AS88" s="111"/>
      <c r="AT88" s="111"/>
      <c r="AU88" s="125"/>
      <c r="AV88" s="111"/>
      <c r="AW88" s="111"/>
      <c r="AX88" s="111"/>
      <c r="AY88" s="111"/>
      <c r="AZ88" s="125"/>
      <c r="BA88" s="111"/>
      <c r="BB88" s="111"/>
      <c r="BC88" s="111"/>
      <c r="BD88" s="111"/>
      <c r="BE88" s="125"/>
      <c r="BF88" s="111"/>
      <c r="BG88" s="111"/>
      <c r="BH88" s="111"/>
      <c r="BI88" s="111"/>
      <c r="BJ88" s="125"/>
      <c r="BK88" s="111"/>
      <c r="BL88" s="111"/>
      <c r="BM88" s="111"/>
      <c r="BN88" s="111"/>
      <c r="BO88" s="125"/>
      <c r="BP88" s="111"/>
      <c r="BQ88" s="111"/>
      <c r="BR88" s="111"/>
      <c r="BS88" s="111"/>
      <c r="BT88" s="125"/>
      <c r="BU88" s="111"/>
      <c r="BV88" s="111"/>
      <c r="BW88" s="111"/>
      <c r="BX88" s="111"/>
      <c r="BY88" s="125"/>
      <c r="BZ88" s="111"/>
      <c r="CA88" s="111"/>
      <c r="CB88" s="111"/>
      <c r="CC88" s="111"/>
      <c r="CD88" s="125"/>
      <c r="CE88" s="111"/>
      <c r="CF88" s="111"/>
      <c r="CG88" s="111"/>
      <c r="CH88" s="111"/>
      <c r="CI88" s="125"/>
      <c r="CJ88" s="111"/>
      <c r="CK88" s="111"/>
      <c r="CL88" s="111"/>
      <c r="CM88" s="111"/>
      <c r="CN88" s="125"/>
      <c r="CO88" s="111"/>
      <c r="CP88" s="111"/>
      <c r="CQ88" s="111"/>
      <c r="CR88" s="117"/>
      <c r="CS88" s="131"/>
      <c r="CT88" s="111"/>
      <c r="CU88" s="117"/>
      <c r="CV88" s="117"/>
      <c r="CW88" s="659"/>
      <c r="CX88" s="719"/>
      <c r="CY88" s="111"/>
      <c r="CZ88" s="111"/>
      <c r="DA88" s="111"/>
      <c r="DB88" s="111"/>
      <c r="DC88" s="125"/>
      <c r="DD88" s="127"/>
      <c r="DE88" s="127"/>
      <c r="DF88" s="127"/>
      <c r="DG88" s="127"/>
      <c r="DH88" s="126"/>
      <c r="DI88" s="127"/>
      <c r="DJ88" s="127"/>
      <c r="DK88" s="111"/>
      <c r="DL88" s="111"/>
      <c r="DM88" s="125"/>
      <c r="DN88" s="127"/>
      <c r="DO88" s="127"/>
      <c r="DP88" s="127"/>
      <c r="DQ88" s="127"/>
      <c r="DR88" s="126"/>
      <c r="DS88" s="127"/>
      <c r="DT88" s="127"/>
      <c r="DU88" s="127"/>
      <c r="DV88" s="127"/>
      <c r="DW88" s="126"/>
      <c r="DX88" s="127"/>
      <c r="DY88" s="127"/>
      <c r="DZ88" s="127"/>
      <c r="EA88" s="127"/>
      <c r="EB88" s="126"/>
      <c r="EE88" s="125"/>
      <c r="EF88" s="125"/>
      <c r="EG88" s="125"/>
      <c r="EH88" s="125"/>
      <c r="EI88" s="125"/>
      <c r="EJ88" s="125"/>
      <c r="EK88" s="125"/>
      <c r="EL88" s="125"/>
      <c r="EM88" s="125"/>
      <c r="EN88" s="125"/>
      <c r="EO88" s="125"/>
      <c r="EP88" s="125"/>
      <c r="EQ88" s="125"/>
      <c r="ER88" s="125"/>
      <c r="FC88"/>
      <c r="FD88"/>
      <c r="FE88"/>
      <c r="FF88"/>
      <c r="FG88"/>
      <c r="FH88"/>
      <c r="FI88" s="396"/>
      <c r="FJ88" s="419"/>
      <c r="FK88" s="419"/>
      <c r="FL88" s="419"/>
      <c r="FM88" s="419"/>
      <c r="FN88" s="419"/>
      <c r="FO88" s="419"/>
      <c r="FP88" s="419"/>
      <c r="FQ88" s="419"/>
      <c r="FR88" s="419"/>
      <c r="FS88" s="419"/>
      <c r="FT88" s="419"/>
      <c r="FU88" s="419"/>
      <c r="FV88" s="419"/>
      <c r="FW88" s="419"/>
      <c r="FX88" s="419"/>
      <c r="FY88" s="419"/>
      <c r="FZ88" s="419"/>
      <c r="GA88" s="419"/>
      <c r="GB88" s="419"/>
      <c r="GC88" s="419"/>
      <c r="GD88" s="419"/>
      <c r="GE88" s="419"/>
      <c r="GF88" s="419"/>
      <c r="GG88" s="419"/>
      <c r="GH88" s="419"/>
      <c r="GI88" s="419"/>
      <c r="GJ88" s="419"/>
      <c r="GK88" s="419"/>
      <c r="GL88" s="419"/>
      <c r="GM88" s="419"/>
      <c r="GN88" s="419"/>
      <c r="GO88" s="419"/>
      <c r="GP88" s="419"/>
      <c r="GQ88" s="419"/>
      <c r="GR88" s="419"/>
      <c r="GS88" s="419"/>
      <c r="GT88" s="419"/>
      <c r="GU88" s="419"/>
      <c r="GV88" s="419"/>
      <c r="GW88" s="418"/>
      <c r="GX88" s="418"/>
      <c r="GY88" s="418"/>
      <c r="GZ88" s="418"/>
      <c r="HA88" s="418"/>
      <c r="HB88" s="418"/>
      <c r="HC88" s="418"/>
      <c r="HD88" s="418"/>
      <c r="HE88" s="418"/>
      <c r="HF88" s="418"/>
      <c r="HG88" s="418"/>
      <c r="HH88" s="418"/>
      <c r="HI88" s="418"/>
      <c r="HJ88" s="418"/>
      <c r="HK88" s="418"/>
      <c r="HL88" s="418"/>
      <c r="HM88" s="418"/>
      <c r="HN88" s="418"/>
      <c r="HO88" s="418"/>
      <c r="HP88" s="418"/>
      <c r="HQ88" s="418"/>
      <c r="HR88" s="418"/>
      <c r="HS88" s="418"/>
      <c r="HT88" s="418"/>
      <c r="HU88" s="418"/>
      <c r="HV88" s="418"/>
      <c r="HW88" s="418"/>
      <c r="HX88" s="418"/>
      <c r="HY88" s="418"/>
      <c r="HZ88" s="418"/>
      <c r="IA88" s="418"/>
      <c r="IB88" s="418"/>
      <c r="IC88" s="418"/>
      <c r="ID88" s="418"/>
      <c r="IE88" s="418"/>
      <c r="IF88" s="418"/>
      <c r="IG88" s="418"/>
      <c r="IH88" s="418"/>
      <c r="II88" s="418"/>
      <c r="IJ88" s="418"/>
      <c r="IK88" s="418"/>
      <c r="IL88" s="418"/>
      <c r="IM88" s="418"/>
      <c r="IN88" s="418"/>
      <c r="IO88" s="418"/>
      <c r="IP88" s="418"/>
      <c r="IQ88" s="418"/>
      <c r="IR88" s="418"/>
      <c r="IS88" s="418"/>
      <c r="IT88" s="418"/>
      <c r="IU88" s="418"/>
      <c r="IV88" s="418"/>
    </row>
    <row r="89" spans="1:256" s="1" customFormat="1" x14ac:dyDescent="0.2">
      <c r="A89" s="1" t="s">
        <v>169</v>
      </c>
      <c r="B89" s="125"/>
      <c r="C89" s="111"/>
      <c r="D89" s="111"/>
      <c r="E89" s="111"/>
      <c r="F89" s="111"/>
      <c r="G89" s="125"/>
      <c r="H89" s="111"/>
      <c r="I89" s="111"/>
      <c r="J89" s="111"/>
      <c r="K89" s="111"/>
      <c r="L89" s="125"/>
      <c r="M89" s="111"/>
      <c r="N89" s="111"/>
      <c r="O89" s="111"/>
      <c r="P89" s="111"/>
      <c r="Q89" s="125"/>
      <c r="R89" s="111"/>
      <c r="S89" s="111"/>
      <c r="T89" s="111"/>
      <c r="U89" s="111"/>
      <c r="V89" s="125"/>
      <c r="W89" s="111"/>
      <c r="X89" s="111"/>
      <c r="Y89" s="111"/>
      <c r="Z89" s="111"/>
      <c r="AA89" s="125">
        <f>AA60+AA61+AA63</f>
        <v>0</v>
      </c>
      <c r="AB89" s="111">
        <f t="shared" ref="AB89:AK89" si="144">AB63</f>
        <v>4.1440000000000001</v>
      </c>
      <c r="AC89" s="111">
        <f t="shared" si="144"/>
        <v>28.709000000000003</v>
      </c>
      <c r="AD89" s="111">
        <f t="shared" si="144"/>
        <v>5.3579999999999952</v>
      </c>
      <c r="AE89" s="111">
        <f t="shared" si="144"/>
        <v>20.252000000000002</v>
      </c>
      <c r="AF89" s="125">
        <f t="shared" si="144"/>
        <v>58.463000000000001</v>
      </c>
      <c r="AG89" s="111">
        <f t="shared" si="144"/>
        <v>15.494</v>
      </c>
      <c r="AH89" s="111">
        <f t="shared" si="144"/>
        <v>20.960999999999999</v>
      </c>
      <c r="AI89" s="111">
        <f t="shared" si="144"/>
        <v>7.6990000000000052</v>
      </c>
      <c r="AJ89" s="111">
        <f t="shared" si="144"/>
        <v>-44.154000000000003</v>
      </c>
      <c r="AK89" s="125">
        <f t="shared" si="144"/>
        <v>0</v>
      </c>
      <c r="AL89" s="111">
        <f t="shared" ref="AL89:AZ89" si="145">AL63</f>
        <v>19.007999999999999</v>
      </c>
      <c r="AM89" s="111">
        <f t="shared" si="145"/>
        <v>33.525999999999996</v>
      </c>
      <c r="AN89" s="111">
        <f t="shared" si="145"/>
        <v>35.834000000000003</v>
      </c>
      <c r="AO89" s="111">
        <f t="shared" si="145"/>
        <v>-88.367999999999995</v>
      </c>
      <c r="AP89" s="125">
        <f t="shared" si="145"/>
        <v>0</v>
      </c>
      <c r="AQ89" s="111">
        <f t="shared" si="145"/>
        <v>11.8</v>
      </c>
      <c r="AR89" s="111">
        <f t="shared" si="145"/>
        <v>40.337999999999994</v>
      </c>
      <c r="AS89" s="111">
        <f t="shared" si="145"/>
        <v>20.160000000000007</v>
      </c>
      <c r="AT89" s="111">
        <f t="shared" si="145"/>
        <v>34.902000000000001</v>
      </c>
      <c r="AU89" s="125">
        <f t="shared" si="145"/>
        <v>107.18300000000001</v>
      </c>
      <c r="AV89" s="111">
        <f t="shared" si="145"/>
        <v>30.7</v>
      </c>
      <c r="AW89" s="111">
        <f t="shared" si="145"/>
        <v>42.417999999999992</v>
      </c>
      <c r="AX89" s="111">
        <f t="shared" si="145"/>
        <v>30.227000000000004</v>
      </c>
      <c r="AY89" s="111">
        <f t="shared" si="145"/>
        <v>-103.345</v>
      </c>
      <c r="AZ89" s="125">
        <f t="shared" si="145"/>
        <v>0</v>
      </c>
      <c r="BA89" s="111">
        <f>BA60+BA61+BA63</f>
        <v>91.423000000000002</v>
      </c>
      <c r="BB89" s="111">
        <f>BB60+BB61+BB63</f>
        <v>30.111000000000004</v>
      </c>
      <c r="BC89" s="111">
        <f>BC60+BC61+BC63</f>
        <v>24.335999999999999</v>
      </c>
      <c r="BD89" s="111">
        <f>BD60+BD61+BD63</f>
        <v>17.684999999999988</v>
      </c>
      <c r="BE89" s="125">
        <f>BE63</f>
        <v>0</v>
      </c>
      <c r="BF89" s="111">
        <f>BF60+BF61</f>
        <v>68.135999999999996</v>
      </c>
      <c r="BG89" s="111">
        <f t="shared" ref="BG89:BO89" si="146">BG60+BG61</f>
        <v>78.353999999999999</v>
      </c>
      <c r="BH89" s="111">
        <f t="shared" si="146"/>
        <v>78.66100000000003</v>
      </c>
      <c r="BI89" s="111">
        <f t="shared" si="146"/>
        <v>51.465999999999994</v>
      </c>
      <c r="BJ89" s="125">
        <f t="shared" si="146"/>
        <v>276.61699999999996</v>
      </c>
      <c r="BK89" s="111">
        <f t="shared" si="146"/>
        <v>95.147999999999996</v>
      </c>
      <c r="BL89" s="111">
        <f t="shared" si="146"/>
        <v>59.400999999999996</v>
      </c>
      <c r="BM89" s="111">
        <f t="shared" si="146"/>
        <v>34.088000000000008</v>
      </c>
      <c r="BN89" s="111">
        <f t="shared" si="146"/>
        <v>81.355000000000018</v>
      </c>
      <c r="BO89" s="125">
        <f t="shared" si="146"/>
        <v>269.99200000000002</v>
      </c>
      <c r="BP89" s="111">
        <f>SUM(BP60:BP63)</f>
        <v>24.6</v>
      </c>
      <c r="BQ89" s="111">
        <f>SUM(BQ60:BQ63)</f>
        <v>42.4</v>
      </c>
      <c r="BR89" s="111">
        <f>SUM(BR60:BR63)</f>
        <v>33.70000000000001</v>
      </c>
      <c r="BS89" s="111">
        <f>SUM(BS60:BS63)</f>
        <v>26.29999999999999</v>
      </c>
      <c r="BT89" s="125">
        <f>BT60+BT61</f>
        <v>127</v>
      </c>
      <c r="BU89" s="111">
        <f t="shared" ref="BU89:CZ89" si="147">BU60+BU61+BU63</f>
        <v>13.2</v>
      </c>
      <c r="BV89" s="111">
        <f t="shared" si="147"/>
        <v>9.8000000000000025</v>
      </c>
      <c r="BW89" s="111">
        <f t="shared" si="147"/>
        <v>10.3</v>
      </c>
      <c r="BX89" s="111">
        <f t="shared" si="147"/>
        <v>39.9</v>
      </c>
      <c r="BY89" s="125">
        <f t="shared" si="147"/>
        <v>73.2</v>
      </c>
      <c r="BZ89" s="111">
        <f t="shared" si="147"/>
        <v>46.7</v>
      </c>
      <c r="CA89" s="111">
        <f t="shared" si="147"/>
        <v>29.800000000000004</v>
      </c>
      <c r="CB89" s="111">
        <f t="shared" si="147"/>
        <v>34.799999999999997</v>
      </c>
      <c r="CC89" s="111">
        <f t="shared" si="147"/>
        <v>53.5</v>
      </c>
      <c r="CD89" s="125">
        <f t="shared" si="147"/>
        <v>164.8</v>
      </c>
      <c r="CE89" s="111">
        <f t="shared" si="147"/>
        <v>98.9</v>
      </c>
      <c r="CF89" s="111">
        <f t="shared" si="147"/>
        <v>95.1</v>
      </c>
      <c r="CG89" s="111">
        <f t="shared" si="147"/>
        <v>80.7</v>
      </c>
      <c r="CH89" s="111">
        <f t="shared" si="147"/>
        <v>64.600000000000009</v>
      </c>
      <c r="CI89" s="125">
        <f t="shared" si="147"/>
        <v>339.3</v>
      </c>
      <c r="CJ89" s="111">
        <f t="shared" si="147"/>
        <v>116</v>
      </c>
      <c r="CK89" s="111">
        <f t="shared" si="147"/>
        <v>143</v>
      </c>
      <c r="CL89" s="111">
        <f t="shared" si="147"/>
        <v>52.7</v>
      </c>
      <c r="CM89" s="111">
        <f t="shared" si="147"/>
        <v>36.200000000000003</v>
      </c>
      <c r="CN89" s="125">
        <f t="shared" si="147"/>
        <v>347.9</v>
      </c>
      <c r="CO89" s="111">
        <f t="shared" si="147"/>
        <v>146.89999999999998</v>
      </c>
      <c r="CP89" s="111">
        <f t="shared" si="147"/>
        <v>187.3</v>
      </c>
      <c r="CQ89" s="111">
        <f t="shared" si="147"/>
        <v>94.5</v>
      </c>
      <c r="CR89" s="117">
        <f t="shared" si="147"/>
        <v>76.600000000000023</v>
      </c>
      <c r="CS89" s="131">
        <f t="shared" si="147"/>
        <v>505.3</v>
      </c>
      <c r="CT89" s="111">
        <f t="shared" si="147"/>
        <v>59.79999999999999</v>
      </c>
      <c r="CU89" s="117">
        <f t="shared" si="147"/>
        <v>117</v>
      </c>
      <c r="CV89" s="117">
        <f t="shared" si="147"/>
        <v>42.399999999999984</v>
      </c>
      <c r="CW89" s="659">
        <f t="shared" si="147"/>
        <v>34.9</v>
      </c>
      <c r="CX89" s="719">
        <f t="shared" si="147"/>
        <v>254.1</v>
      </c>
      <c r="CY89" s="111">
        <f t="shared" si="147"/>
        <v>117.39999999999999</v>
      </c>
      <c r="CZ89" s="111">
        <f t="shared" si="147"/>
        <v>71.7</v>
      </c>
      <c r="DA89" s="111">
        <f t="shared" ref="DA89:DR89" si="148">DA60+DA61+DA63</f>
        <v>55.700000000000017</v>
      </c>
      <c r="DB89" s="111">
        <f t="shared" si="148"/>
        <v>79.400000000000006</v>
      </c>
      <c r="DC89" s="125">
        <f t="shared" si="148"/>
        <v>324.20000000000005</v>
      </c>
      <c r="DD89" s="111">
        <f>DD60+DD61+DD63</f>
        <v>115.6</v>
      </c>
      <c r="DE89" s="111">
        <f t="shared" ref="DE89" si="149">DE60+DE61+DE63</f>
        <v>53.29999999999999</v>
      </c>
      <c r="DF89" s="111">
        <f t="shared" si="148"/>
        <v>62.900000000000027</v>
      </c>
      <c r="DG89" s="111">
        <f t="shared" ref="DG89:DH89" si="150">DG60+DG61+DG63</f>
        <v>51.699999999999982</v>
      </c>
      <c r="DH89" s="125">
        <f t="shared" si="150"/>
        <v>283.5</v>
      </c>
      <c r="DI89" s="111">
        <f>DI60+DI61+DI63</f>
        <v>85.300000000000011</v>
      </c>
      <c r="DJ89" s="111">
        <f t="shared" ref="DJ89" si="151">DJ60+DJ61+DJ63</f>
        <v>64.900000000000006</v>
      </c>
      <c r="DK89" s="111">
        <f t="shared" si="148"/>
        <v>50.7</v>
      </c>
      <c r="DL89" s="111">
        <f t="shared" si="148"/>
        <v>27.400000000000006</v>
      </c>
      <c r="DM89" s="125">
        <f t="shared" si="148"/>
        <v>228.3</v>
      </c>
      <c r="DN89" s="127">
        <f t="shared" si="148"/>
        <v>58</v>
      </c>
      <c r="DO89" s="127">
        <f t="shared" si="148"/>
        <v>48</v>
      </c>
      <c r="DP89" s="127">
        <f t="shared" si="148"/>
        <v>43</v>
      </c>
      <c r="DQ89" s="127">
        <f t="shared" si="148"/>
        <v>53</v>
      </c>
      <c r="DR89" s="126">
        <f t="shared" si="148"/>
        <v>202</v>
      </c>
      <c r="DS89" s="127">
        <f t="shared" ref="DS89:EB89" si="152">DS60+DS61+DS63</f>
        <v>63</v>
      </c>
      <c r="DT89" s="127">
        <f t="shared" si="152"/>
        <v>53</v>
      </c>
      <c r="DU89" s="127">
        <f t="shared" si="152"/>
        <v>43</v>
      </c>
      <c r="DV89" s="127">
        <f t="shared" si="152"/>
        <v>58</v>
      </c>
      <c r="DW89" s="126">
        <f t="shared" si="152"/>
        <v>217</v>
      </c>
      <c r="DX89" s="127">
        <f t="shared" si="152"/>
        <v>65</v>
      </c>
      <c r="DY89" s="127">
        <f t="shared" si="152"/>
        <v>55</v>
      </c>
      <c r="DZ89" s="127">
        <f t="shared" si="152"/>
        <v>45</v>
      </c>
      <c r="EA89" s="127">
        <f t="shared" si="152"/>
        <v>61</v>
      </c>
      <c r="EB89" s="126">
        <f t="shared" si="152"/>
        <v>226</v>
      </c>
      <c r="EE89" s="125"/>
      <c r="EF89" s="125"/>
      <c r="EG89" s="125"/>
      <c r="EH89" s="125"/>
      <c r="EI89" s="125"/>
      <c r="EJ89" s="125"/>
      <c r="EK89" s="125"/>
      <c r="EL89" s="125"/>
      <c r="EM89" s="125"/>
      <c r="EN89" s="125"/>
      <c r="EO89" s="125"/>
      <c r="EP89" s="125"/>
      <c r="EQ89" s="125"/>
      <c r="ER89" s="125"/>
      <c r="FC89"/>
      <c r="FD89"/>
      <c r="FE89"/>
      <c r="FF89"/>
      <c r="FG89"/>
      <c r="FH89"/>
      <c r="FI89" s="396"/>
      <c r="FJ89" s="419"/>
      <c r="FK89" s="419"/>
      <c r="FL89" s="419"/>
      <c r="FM89" s="419"/>
      <c r="FN89" s="419"/>
      <c r="FO89" s="419"/>
      <c r="FP89" s="419"/>
      <c r="FQ89" s="419"/>
      <c r="FR89" s="419"/>
      <c r="FS89" s="419"/>
      <c r="FT89" s="419"/>
      <c r="FU89" s="419"/>
      <c r="FV89" s="419"/>
      <c r="FW89" s="419"/>
      <c r="FX89" s="419"/>
      <c r="FY89" s="419"/>
      <c r="FZ89" s="419"/>
      <c r="GA89" s="419"/>
      <c r="GB89" s="419"/>
      <c r="GC89" s="419"/>
      <c r="GD89" s="419"/>
      <c r="GE89" s="419"/>
      <c r="GF89" s="419"/>
      <c r="GG89" s="419"/>
      <c r="GH89" s="419"/>
      <c r="GI89" s="419"/>
      <c r="GJ89" s="419"/>
      <c r="GK89" s="419"/>
      <c r="GL89" s="419"/>
      <c r="GM89" s="419"/>
      <c r="GN89" s="419"/>
      <c r="GO89" s="419"/>
      <c r="GP89" s="419"/>
      <c r="GQ89" s="419"/>
      <c r="GR89" s="419"/>
      <c r="GS89" s="419"/>
      <c r="GT89" s="419"/>
      <c r="GU89" s="419"/>
      <c r="GV89" s="419"/>
      <c r="GW89" s="418"/>
      <c r="GX89" s="418"/>
      <c r="GY89" s="418"/>
      <c r="GZ89" s="418"/>
      <c r="HA89" s="418"/>
      <c r="HB89" s="418"/>
      <c r="HC89" s="418"/>
      <c r="HD89" s="418"/>
      <c r="HE89" s="418"/>
      <c r="HF89" s="418"/>
      <c r="HG89" s="418"/>
      <c r="HH89" s="418"/>
      <c r="HI89" s="418"/>
      <c r="HJ89" s="418"/>
      <c r="HK89" s="418"/>
      <c r="HL89" s="418"/>
      <c r="HM89" s="418"/>
      <c r="HN89" s="418"/>
      <c r="HO89" s="418"/>
      <c r="HP89" s="418"/>
      <c r="HQ89" s="418"/>
      <c r="HR89" s="418"/>
      <c r="HS89" s="418"/>
      <c r="HT89" s="418"/>
      <c r="HU89" s="418"/>
      <c r="HV89" s="418"/>
      <c r="HW89" s="418"/>
      <c r="HX89" s="418"/>
      <c r="HY89" s="418"/>
      <c r="HZ89" s="418"/>
      <c r="IA89" s="418"/>
      <c r="IB89" s="418"/>
      <c r="IC89" s="418"/>
      <c r="ID89" s="418"/>
      <c r="IE89" s="418"/>
      <c r="IF89" s="418"/>
      <c r="IG89" s="418"/>
      <c r="IH89" s="418"/>
      <c r="II89" s="418"/>
      <c r="IJ89" s="418"/>
      <c r="IK89" s="418"/>
      <c r="IL89" s="418"/>
      <c r="IM89" s="418"/>
      <c r="IN89" s="418"/>
      <c r="IO89" s="418"/>
      <c r="IP89" s="418"/>
      <c r="IQ89" s="418"/>
      <c r="IR89" s="418"/>
      <c r="IS89" s="418"/>
      <c r="IT89" s="418"/>
      <c r="IU89" s="418"/>
      <c r="IV89" s="418"/>
    </row>
    <row r="90" spans="1:256" s="16" customFormat="1" x14ac:dyDescent="0.2">
      <c r="A90" s="33" t="s">
        <v>168</v>
      </c>
      <c r="B90" s="124"/>
      <c r="C90" s="123"/>
      <c r="D90" s="123"/>
      <c r="E90" s="123"/>
      <c r="F90" s="123"/>
      <c r="G90" s="124"/>
      <c r="H90" s="123"/>
      <c r="I90" s="123"/>
      <c r="J90" s="123"/>
      <c r="K90" s="123"/>
      <c r="L90" s="124"/>
      <c r="M90" s="123"/>
      <c r="N90" s="123"/>
      <c r="O90" s="123"/>
      <c r="P90" s="123"/>
      <c r="Q90" s="124"/>
      <c r="R90" s="123"/>
      <c r="S90" s="123"/>
      <c r="T90" s="123"/>
      <c r="U90" s="123"/>
      <c r="V90" s="124"/>
      <c r="W90" s="123"/>
      <c r="X90" s="123"/>
      <c r="Y90" s="123"/>
      <c r="Z90" s="123"/>
      <c r="AA90" s="124">
        <f t="shared" ref="AA90:BF90" si="153">AA85+SUM(AA86:AA89)</f>
        <v>-51.207000000000022</v>
      </c>
      <c r="AB90" s="123">
        <f t="shared" si="153"/>
        <v>52.905999999999999</v>
      </c>
      <c r="AC90" s="123">
        <f t="shared" si="153"/>
        <v>13.677999999999997</v>
      </c>
      <c r="AD90" s="123">
        <f t="shared" si="153"/>
        <v>-1.003000000000009</v>
      </c>
      <c r="AE90" s="123">
        <f t="shared" si="153"/>
        <v>-1.7719999999999985</v>
      </c>
      <c r="AF90" s="124">
        <f t="shared" si="153"/>
        <v>63.809000000000005</v>
      </c>
      <c r="AG90" s="123">
        <f t="shared" si="153"/>
        <v>99.289000000000001</v>
      </c>
      <c r="AH90" s="123">
        <f t="shared" si="153"/>
        <v>42.745999999999981</v>
      </c>
      <c r="AI90" s="123">
        <f t="shared" si="153"/>
        <v>-14.297999999999952</v>
      </c>
      <c r="AJ90" s="123">
        <f t="shared" si="153"/>
        <v>-55.646999999999998</v>
      </c>
      <c r="AK90" s="124">
        <f t="shared" si="153"/>
        <v>72.090000000000032</v>
      </c>
      <c r="AL90" s="123">
        <f t="shared" si="153"/>
        <v>76.683999999999983</v>
      </c>
      <c r="AM90" s="123">
        <f t="shared" si="153"/>
        <v>24.337000000000003</v>
      </c>
      <c r="AN90" s="123">
        <f t="shared" si="153"/>
        <v>87.974999999999966</v>
      </c>
      <c r="AO90" s="123">
        <f t="shared" si="153"/>
        <v>-86.784999999999926</v>
      </c>
      <c r="AP90" s="124">
        <f t="shared" si="153"/>
        <v>102.21099999999996</v>
      </c>
      <c r="AQ90" s="123">
        <f t="shared" si="153"/>
        <v>151.797</v>
      </c>
      <c r="AR90" s="123">
        <f t="shared" si="153"/>
        <v>34.580000000000013</v>
      </c>
      <c r="AS90" s="123">
        <f t="shared" si="153"/>
        <v>95.217000000000027</v>
      </c>
      <c r="AT90" s="123">
        <f t="shared" si="153"/>
        <v>34.769999999999982</v>
      </c>
      <c r="AU90" s="124">
        <f t="shared" si="153"/>
        <v>316.34700000000004</v>
      </c>
      <c r="AV90" s="123">
        <f t="shared" si="153"/>
        <v>341.40300000000002</v>
      </c>
      <c r="AW90" s="123">
        <f t="shared" si="153"/>
        <v>67.263999999999967</v>
      </c>
      <c r="AX90" s="123">
        <f t="shared" si="153"/>
        <v>74.230000000000032</v>
      </c>
      <c r="AY90" s="123">
        <f t="shared" si="153"/>
        <v>-75.224999999999881</v>
      </c>
      <c r="AZ90" s="124">
        <f t="shared" si="153"/>
        <v>445.99999999999983</v>
      </c>
      <c r="BA90" s="123">
        <f t="shared" si="153"/>
        <v>337.20600000000002</v>
      </c>
      <c r="BB90" s="123">
        <f t="shared" si="153"/>
        <v>39.131000000000014</v>
      </c>
      <c r="BC90" s="123">
        <f t="shared" si="153"/>
        <v>68.500999999999962</v>
      </c>
      <c r="BD90" s="123">
        <f t="shared" si="153"/>
        <v>-1.6640000000000583</v>
      </c>
      <c r="BE90" s="124">
        <f t="shared" si="153"/>
        <v>279.6189999999998</v>
      </c>
      <c r="BF90" s="123">
        <f t="shared" si="153"/>
        <v>529.67499999999995</v>
      </c>
      <c r="BG90" s="123">
        <f t="shared" ref="BG90:CH90" si="154">BG85+SUM(BG86:BG89)</f>
        <v>-21.743000000000066</v>
      </c>
      <c r="BH90" s="123">
        <f t="shared" si="154"/>
        <v>40.067000000000093</v>
      </c>
      <c r="BI90" s="123">
        <f t="shared" si="154"/>
        <v>-2.7130000000000507</v>
      </c>
      <c r="BJ90" s="124">
        <f t="shared" si="154"/>
        <v>545.28600000000006</v>
      </c>
      <c r="BK90" s="123">
        <f t="shared" si="154"/>
        <v>503.0100000000001</v>
      </c>
      <c r="BL90" s="123">
        <f t="shared" si="154"/>
        <v>-117.84399999999998</v>
      </c>
      <c r="BM90" s="123">
        <f t="shared" si="154"/>
        <v>71.17800000000004</v>
      </c>
      <c r="BN90" s="123">
        <f t="shared" si="154"/>
        <v>64.521000000000129</v>
      </c>
      <c r="BO90" s="124">
        <f t="shared" si="154"/>
        <v>520.86499999999978</v>
      </c>
      <c r="BP90" s="123">
        <f t="shared" si="154"/>
        <v>568.59999999999991</v>
      </c>
      <c r="BQ90" s="123">
        <f t="shared" si="154"/>
        <v>-241.29999999999993</v>
      </c>
      <c r="BR90" s="123">
        <f t="shared" si="154"/>
        <v>118.20000000000019</v>
      </c>
      <c r="BS90" s="123">
        <f t="shared" si="154"/>
        <v>-44.30000000000009</v>
      </c>
      <c r="BT90" s="124">
        <f t="shared" si="154"/>
        <v>401.20000000000005</v>
      </c>
      <c r="BU90" s="123">
        <f t="shared" si="154"/>
        <v>534.10000000000014</v>
      </c>
      <c r="BV90" s="123">
        <f t="shared" si="154"/>
        <v>-32.600000000000058</v>
      </c>
      <c r="BW90" s="123">
        <f t="shared" si="154"/>
        <v>162.20000000000002</v>
      </c>
      <c r="BX90" s="123">
        <f t="shared" si="154"/>
        <v>310.39999999999986</v>
      </c>
      <c r="BY90" s="124">
        <f t="shared" si="154"/>
        <v>974.1</v>
      </c>
      <c r="BZ90" s="123">
        <f t="shared" si="154"/>
        <v>726.3</v>
      </c>
      <c r="CA90" s="123">
        <f t="shared" si="154"/>
        <v>134.10000000000008</v>
      </c>
      <c r="CB90" s="123">
        <f t="shared" si="154"/>
        <v>351.3</v>
      </c>
      <c r="CC90" s="123">
        <f t="shared" si="154"/>
        <v>229.30000000000004</v>
      </c>
      <c r="CD90" s="124">
        <f t="shared" si="154"/>
        <v>1441</v>
      </c>
      <c r="CE90" s="123">
        <f t="shared" si="154"/>
        <v>644.30000000000018</v>
      </c>
      <c r="CF90" s="123">
        <f t="shared" si="154"/>
        <v>-10.300000000000125</v>
      </c>
      <c r="CG90" s="123">
        <f t="shared" si="154"/>
        <v>403.59999999999997</v>
      </c>
      <c r="CH90" s="123">
        <f t="shared" si="154"/>
        <v>320.59999999999991</v>
      </c>
      <c r="CI90" s="124">
        <f t="shared" ref="CI90:DF90" si="155">CI85-CI86+CI89</f>
        <v>1481.3999999999999</v>
      </c>
      <c r="CJ90" s="123">
        <f t="shared" si="155"/>
        <v>399.09999999999997</v>
      </c>
      <c r="CK90" s="123">
        <f t="shared" si="155"/>
        <v>91.999999999999886</v>
      </c>
      <c r="CL90" s="123">
        <f t="shared" si="155"/>
        <v>401.30000000000018</v>
      </c>
      <c r="CM90" s="123">
        <f t="shared" si="155"/>
        <v>195.00000000000006</v>
      </c>
      <c r="CN90" s="124">
        <f t="shared" si="155"/>
        <v>1087.4000000000001</v>
      </c>
      <c r="CO90" s="123">
        <f t="shared" si="155"/>
        <v>971.9000000000002</v>
      </c>
      <c r="CP90" s="123">
        <f t="shared" si="155"/>
        <v>-318.89999999999992</v>
      </c>
      <c r="CQ90" s="123">
        <f t="shared" si="155"/>
        <v>454.39999999999986</v>
      </c>
      <c r="CR90" s="123">
        <f t="shared" si="155"/>
        <v>559.89999999999634</v>
      </c>
      <c r="CS90" s="124">
        <f t="shared" si="155"/>
        <v>1667.2999999999963</v>
      </c>
      <c r="CT90" s="123">
        <f>CT85-CT86+CT89</f>
        <v>-1598.2</v>
      </c>
      <c r="CU90" s="123">
        <f t="shared" si="155"/>
        <v>287.89999999999975</v>
      </c>
      <c r="CV90" s="123">
        <f t="shared" si="155"/>
        <v>584.90000000000032</v>
      </c>
      <c r="CW90" s="692">
        <f t="shared" si="155"/>
        <v>426.40000000000225</v>
      </c>
      <c r="CX90" s="728">
        <f t="shared" si="155"/>
        <v>-298.99999999999807</v>
      </c>
      <c r="CY90" s="203">
        <f t="shared" si="155"/>
        <v>966.49999999999989</v>
      </c>
      <c r="CZ90" s="203">
        <f t="shared" si="155"/>
        <v>332.6</v>
      </c>
      <c r="DA90" s="203">
        <f t="shared" si="155"/>
        <v>497.1</v>
      </c>
      <c r="DB90" s="203">
        <f t="shared" si="155"/>
        <v>689.1</v>
      </c>
      <c r="DC90" s="120">
        <f t="shared" si="155"/>
        <v>2485.3000000000002</v>
      </c>
      <c r="DD90" s="123">
        <f>DD85-DD86+DD89</f>
        <v>1419.7999999999997</v>
      </c>
      <c r="DE90" s="123">
        <f t="shared" si="155"/>
        <v>266.39999999999975</v>
      </c>
      <c r="DF90" s="123">
        <f t="shared" si="155"/>
        <v>782.80000000000007</v>
      </c>
      <c r="DG90" s="203">
        <f t="shared" ref="DG90:DH90" si="156">DG85-DG86+DG89</f>
        <v>949.29999999999984</v>
      </c>
      <c r="DH90" s="120">
        <f t="shared" si="156"/>
        <v>3418.3000000000011</v>
      </c>
      <c r="DI90" s="123">
        <f>DI85-DI86+DI89</f>
        <v>1273.6000000000001</v>
      </c>
      <c r="DJ90" s="123">
        <f t="shared" ref="DJ90" si="157">DJ85-DJ86+DJ89</f>
        <v>177.69999999999968</v>
      </c>
      <c r="DK90" s="203">
        <f t="shared" ref="DK90:DR90" si="158">DK85+SUM(DK86:DK89)</f>
        <v>813.9</v>
      </c>
      <c r="DL90" s="203">
        <f t="shared" si="158"/>
        <v>617.99999999999966</v>
      </c>
      <c r="DM90" s="120">
        <f t="shared" si="158"/>
        <v>2883.2000000000003</v>
      </c>
      <c r="DN90" s="122">
        <f t="shared" si="158"/>
        <v>2323.1602831135679</v>
      </c>
      <c r="DO90" s="122">
        <f t="shared" si="158"/>
        <v>379.27353885356769</v>
      </c>
      <c r="DP90" s="122">
        <f t="shared" si="158"/>
        <v>782.4817257634835</v>
      </c>
      <c r="DQ90" s="122">
        <f t="shared" si="158"/>
        <v>688.77723079487384</v>
      </c>
      <c r="DR90" s="121">
        <f t="shared" si="158"/>
        <v>4173.692778525492</v>
      </c>
      <c r="DS90" s="122">
        <f t="shared" ref="DS90:EB90" si="159">DS85+SUM(DS86:DS89)</f>
        <v>1026.1285246013808</v>
      </c>
      <c r="DT90" s="122">
        <f t="shared" si="159"/>
        <v>518.14722883048876</v>
      </c>
      <c r="DU90" s="122">
        <f t="shared" si="159"/>
        <v>901.7749050964992</v>
      </c>
      <c r="DV90" s="122">
        <f t="shared" si="159"/>
        <v>839.02850530544765</v>
      </c>
      <c r="DW90" s="121">
        <f t="shared" si="159"/>
        <v>3285.0791638338169</v>
      </c>
      <c r="DX90" s="122">
        <f t="shared" si="159"/>
        <v>1143.1773630926152</v>
      </c>
      <c r="DY90" s="122">
        <f t="shared" si="159"/>
        <v>635.37062182605587</v>
      </c>
      <c r="DZ90" s="122">
        <f t="shared" si="159"/>
        <v>1044.2344676664318</v>
      </c>
      <c r="EA90" s="122">
        <f t="shared" si="159"/>
        <v>1012.7656005163424</v>
      </c>
      <c r="EB90" s="121">
        <f t="shared" si="159"/>
        <v>3835.5480531014464</v>
      </c>
      <c r="EE90" s="120"/>
      <c r="EF90" s="120"/>
      <c r="EG90" s="120"/>
      <c r="EH90" s="120"/>
      <c r="EI90" s="120"/>
      <c r="EJ90" s="120"/>
      <c r="EK90" s="120"/>
      <c r="EL90" s="120"/>
      <c r="EM90" s="120"/>
      <c r="EN90" s="120"/>
      <c r="EO90" s="120"/>
      <c r="EP90" s="120"/>
      <c r="EQ90" s="120"/>
      <c r="ER90" s="120"/>
      <c r="FC90"/>
      <c r="FD90"/>
      <c r="FE90"/>
      <c r="FF90"/>
      <c r="FG90"/>
      <c r="FH90"/>
      <c r="FI90" s="396"/>
      <c r="FJ90" s="419"/>
      <c r="FK90" s="419"/>
      <c r="FL90" s="419"/>
      <c r="FM90" s="419"/>
      <c r="FN90" s="419"/>
      <c r="FO90" s="419"/>
      <c r="FP90" s="419"/>
      <c r="FQ90" s="419"/>
      <c r="FR90" s="419"/>
      <c r="FS90" s="419"/>
      <c r="FT90" s="419"/>
      <c r="FU90" s="419"/>
      <c r="FV90" s="419"/>
      <c r="FW90" s="419"/>
      <c r="FX90" s="419"/>
      <c r="FY90" s="419"/>
      <c r="FZ90" s="419"/>
      <c r="GA90" s="419"/>
      <c r="GB90" s="419"/>
      <c r="GC90" s="419"/>
      <c r="GD90" s="419"/>
      <c r="GE90" s="419"/>
      <c r="GF90" s="419"/>
      <c r="GG90" s="419"/>
      <c r="GH90" s="419"/>
      <c r="GI90" s="419"/>
      <c r="GJ90" s="419"/>
      <c r="GK90" s="419"/>
      <c r="GL90" s="419"/>
      <c r="GM90" s="419"/>
      <c r="GN90" s="419"/>
      <c r="GO90" s="419"/>
      <c r="GP90" s="419"/>
      <c r="GQ90" s="419"/>
      <c r="GR90" s="419"/>
      <c r="GS90" s="419"/>
      <c r="GT90" s="419"/>
      <c r="GU90" s="419"/>
      <c r="GV90" s="419"/>
      <c r="GW90" s="418"/>
      <c r="GX90" s="418"/>
      <c r="GY90" s="418"/>
      <c r="GZ90" s="418"/>
      <c r="HA90" s="418"/>
      <c r="HB90" s="418"/>
      <c r="HC90" s="418"/>
      <c r="HD90" s="418"/>
      <c r="HE90" s="418"/>
      <c r="HF90" s="418"/>
      <c r="HG90" s="418"/>
      <c r="HH90" s="418"/>
      <c r="HI90" s="418"/>
      <c r="HJ90" s="418"/>
      <c r="HK90" s="418"/>
      <c r="HL90" s="418"/>
      <c r="HM90" s="418"/>
      <c r="HN90" s="418"/>
      <c r="HO90" s="418"/>
      <c r="HP90" s="418"/>
      <c r="HQ90" s="418"/>
      <c r="HR90" s="418"/>
      <c r="HS90" s="418"/>
      <c r="HT90" s="418"/>
      <c r="HU90" s="418"/>
      <c r="HV90" s="418"/>
      <c r="HW90" s="418"/>
      <c r="HX90" s="418"/>
      <c r="HY90" s="418"/>
      <c r="HZ90" s="418"/>
      <c r="IA90" s="418"/>
      <c r="IB90" s="418"/>
      <c r="IC90" s="418"/>
      <c r="ID90" s="418"/>
      <c r="IE90" s="418"/>
      <c r="IF90" s="418"/>
      <c r="IG90" s="418"/>
      <c r="IH90" s="418"/>
      <c r="II90" s="418"/>
      <c r="IJ90" s="418"/>
      <c r="IK90" s="418"/>
      <c r="IL90" s="418"/>
      <c r="IM90" s="418"/>
      <c r="IN90" s="418"/>
      <c r="IO90" s="418"/>
      <c r="IP90" s="418"/>
      <c r="IQ90" s="418"/>
      <c r="IR90" s="418"/>
      <c r="IS90" s="418"/>
      <c r="IT90" s="418"/>
      <c r="IU90" s="418"/>
      <c r="IV90" s="418"/>
    </row>
    <row r="91" spans="1:256" s="1" customFormat="1" ht="7.5" customHeight="1" x14ac:dyDescent="0.2">
      <c r="A91" s="620"/>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18"/>
      <c r="CJ91" s="25"/>
      <c r="CK91" s="25"/>
      <c r="CL91" s="25"/>
      <c r="CM91" s="25"/>
      <c r="CN91" s="388"/>
      <c r="CO91" s="25"/>
      <c r="CP91" s="25"/>
      <c r="CQ91" s="25"/>
      <c r="CR91" s="25"/>
      <c r="CS91" s="388"/>
      <c r="CT91" s="25"/>
      <c r="CU91" s="25"/>
      <c r="CV91" s="25"/>
      <c r="CW91" s="654"/>
      <c r="CX91" s="731"/>
      <c r="CY91" s="25"/>
      <c r="CZ91" s="25"/>
      <c r="DA91" s="25"/>
      <c r="DB91" s="25"/>
      <c r="DC91" s="388"/>
      <c r="DD91" s="25"/>
      <c r="DE91" s="25"/>
      <c r="DF91" s="25"/>
      <c r="DG91" s="25"/>
      <c r="DH91" s="18"/>
      <c r="DI91" s="25"/>
      <c r="DJ91" s="25"/>
      <c r="DK91" s="25"/>
      <c r="DL91" s="25"/>
      <c r="DM91" s="18"/>
      <c r="DN91" s="25"/>
      <c r="DO91" s="25"/>
      <c r="DP91" s="25"/>
      <c r="DQ91" s="25"/>
      <c r="DR91" s="18"/>
      <c r="DS91" s="25"/>
      <c r="DT91" s="25"/>
      <c r="DU91" s="25"/>
      <c r="DV91" s="25"/>
      <c r="DW91" s="18"/>
      <c r="DX91" s="25"/>
      <c r="DY91" s="25"/>
      <c r="DZ91" s="25"/>
      <c r="EA91" s="25"/>
      <c r="EB91" s="18"/>
      <c r="FC91"/>
      <c r="FD91"/>
      <c r="FE91"/>
      <c r="FF91"/>
      <c r="FG91"/>
      <c r="FH91"/>
      <c r="FI91" s="396"/>
      <c r="FJ91" s="418"/>
      <c r="FK91" s="418"/>
      <c r="FL91" s="418"/>
      <c r="FM91" s="418"/>
      <c r="FN91" s="418"/>
      <c r="FO91" s="418"/>
      <c r="FP91" s="418"/>
      <c r="FQ91" s="418"/>
      <c r="FR91" s="418"/>
      <c r="FS91" s="418"/>
      <c r="FT91" s="418"/>
      <c r="FU91" s="418"/>
      <c r="FV91" s="418"/>
      <c r="FW91" s="418"/>
      <c r="FX91" s="418"/>
      <c r="FY91" s="418"/>
      <c r="FZ91" s="418"/>
      <c r="GA91" s="418"/>
      <c r="GB91" s="418"/>
      <c r="GC91" s="418"/>
      <c r="GD91" s="418"/>
      <c r="GE91" s="418"/>
      <c r="GF91" s="418"/>
      <c r="GG91" s="418"/>
      <c r="GH91" s="418"/>
      <c r="GI91" s="418"/>
      <c r="GJ91" s="418"/>
      <c r="GK91" s="418"/>
      <c r="GL91" s="418"/>
      <c r="GM91" s="418"/>
      <c r="GN91" s="418"/>
      <c r="GO91" s="418"/>
      <c r="GP91" s="418"/>
      <c r="GQ91" s="418"/>
      <c r="GR91" s="418"/>
      <c r="GS91" s="418"/>
      <c r="GT91" s="418"/>
      <c r="GU91" s="418"/>
      <c r="GV91" s="418"/>
      <c r="GW91" s="418"/>
      <c r="GX91" s="418"/>
      <c r="GY91" s="418"/>
      <c r="GZ91" s="418"/>
      <c r="HA91" s="418"/>
      <c r="HB91" s="418"/>
      <c r="HC91" s="418"/>
      <c r="HD91" s="418"/>
      <c r="HE91" s="418"/>
      <c r="HF91" s="418"/>
      <c r="HG91" s="418"/>
      <c r="HH91" s="418"/>
      <c r="HI91" s="418"/>
      <c r="HJ91" s="418"/>
      <c r="HK91" s="418"/>
      <c r="HL91" s="418"/>
      <c r="HM91" s="418"/>
      <c r="HN91" s="418"/>
      <c r="HO91" s="418"/>
      <c r="HP91" s="418"/>
      <c r="HQ91" s="418"/>
      <c r="HR91" s="418"/>
      <c r="HS91" s="418"/>
      <c r="HT91" s="418"/>
      <c r="HU91" s="418"/>
      <c r="HV91" s="418"/>
      <c r="HW91" s="418"/>
      <c r="HX91" s="418"/>
      <c r="HY91" s="418"/>
      <c r="HZ91" s="418"/>
      <c r="IA91" s="418"/>
      <c r="IB91" s="418"/>
      <c r="IC91" s="418"/>
      <c r="ID91" s="418"/>
      <c r="IE91" s="418"/>
      <c r="IF91" s="418"/>
      <c r="IG91" s="418"/>
      <c r="IH91" s="418"/>
      <c r="II91" s="418"/>
      <c r="IJ91" s="418"/>
      <c r="IK91" s="418"/>
      <c r="IL91" s="418"/>
      <c r="IM91" s="418"/>
      <c r="IN91" s="418"/>
      <c r="IO91" s="418"/>
      <c r="IP91" s="418"/>
      <c r="IQ91" s="418"/>
      <c r="IR91" s="418"/>
      <c r="IS91" s="418"/>
      <c r="IT91" s="418"/>
      <c r="IU91" s="418"/>
      <c r="IV91" s="418"/>
    </row>
    <row r="92" spans="1:256" s="1" customFormat="1" x14ac:dyDescent="0.2">
      <c r="A92" s="621" t="s">
        <v>212</v>
      </c>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0"/>
      <c r="CJ92" s="28"/>
      <c r="CK92" s="28"/>
      <c r="CL92" s="28"/>
      <c r="CM92" s="28"/>
      <c r="CN92" s="125"/>
      <c r="CO92" s="28"/>
      <c r="CP92" s="28"/>
      <c r="CQ92" s="28"/>
      <c r="CR92" s="28"/>
      <c r="CS92" s="125"/>
      <c r="CT92" s="28"/>
      <c r="CU92" s="28"/>
      <c r="CV92" s="28"/>
      <c r="CW92" s="732"/>
      <c r="CX92" s="719"/>
      <c r="CY92" s="28"/>
      <c r="CZ92" s="28"/>
      <c r="DA92" s="28"/>
      <c r="DB92" s="28"/>
      <c r="DC92" s="125"/>
      <c r="DD92" s="28"/>
      <c r="DE92" s="28"/>
      <c r="DF92" s="28"/>
      <c r="DG92" s="28"/>
      <c r="DH92" s="20"/>
      <c r="DI92" s="28"/>
      <c r="DJ92" s="28"/>
      <c r="DK92" s="28"/>
      <c r="DL92" s="28"/>
      <c r="DM92" s="20"/>
      <c r="DN92" s="28"/>
      <c r="DO92" s="28"/>
      <c r="DP92" s="28"/>
      <c r="DQ92" s="28"/>
      <c r="DR92" s="20"/>
      <c r="DS92" s="28"/>
      <c r="DT92" s="28"/>
      <c r="DU92" s="28"/>
      <c r="DV92" s="28"/>
      <c r="DW92" s="20"/>
      <c r="DX92" s="28"/>
      <c r="DY92" s="28"/>
      <c r="DZ92" s="28"/>
      <c r="EA92" s="28"/>
      <c r="EB92" s="20"/>
      <c r="FC92"/>
      <c r="FD92"/>
      <c r="FE92"/>
      <c r="FF92"/>
      <c r="FG92"/>
      <c r="FH92"/>
      <c r="FI92" s="396"/>
      <c r="FJ92" s="418"/>
      <c r="FK92" s="418"/>
      <c r="FL92" s="418"/>
      <c r="FM92" s="418"/>
      <c r="FN92" s="418"/>
      <c r="FO92" s="418"/>
      <c r="FP92" s="418"/>
      <c r="FQ92" s="418"/>
      <c r="FR92" s="418"/>
      <c r="FS92" s="418"/>
      <c r="FT92" s="418"/>
      <c r="FU92" s="418"/>
      <c r="FV92" s="418"/>
      <c r="FW92" s="418"/>
      <c r="FX92" s="418"/>
      <c r="FY92" s="418"/>
      <c r="FZ92" s="418"/>
      <c r="GA92" s="418"/>
      <c r="GB92" s="418"/>
      <c r="GC92" s="418"/>
      <c r="GD92" s="418"/>
      <c r="GE92" s="418"/>
      <c r="GF92" s="418"/>
      <c r="GG92" s="418"/>
      <c r="GH92" s="418"/>
      <c r="GI92" s="418"/>
      <c r="GJ92" s="418"/>
      <c r="GK92" s="418"/>
      <c r="GL92" s="418"/>
      <c r="GM92" s="418"/>
      <c r="GN92" s="418"/>
      <c r="GO92" s="418"/>
      <c r="GP92" s="418"/>
      <c r="GQ92" s="418"/>
      <c r="GR92" s="418"/>
      <c r="GS92" s="418"/>
      <c r="GT92" s="418"/>
      <c r="GU92" s="418"/>
      <c r="GV92" s="418"/>
      <c r="GW92" s="418"/>
      <c r="GX92" s="418"/>
      <c r="GY92" s="418"/>
      <c r="GZ92" s="418"/>
      <c r="HA92" s="418"/>
      <c r="HB92" s="418"/>
      <c r="HC92" s="418"/>
      <c r="HD92" s="418"/>
      <c r="HE92" s="418"/>
      <c r="HF92" s="418"/>
      <c r="HG92" s="418"/>
      <c r="HH92" s="418"/>
      <c r="HI92" s="418"/>
      <c r="HJ92" s="418"/>
      <c r="HK92" s="418"/>
      <c r="HL92" s="418"/>
      <c r="HM92" s="418"/>
      <c r="HN92" s="418"/>
      <c r="HO92" s="418"/>
      <c r="HP92" s="418"/>
      <c r="HQ92" s="418"/>
      <c r="HR92" s="418"/>
      <c r="HS92" s="418"/>
      <c r="HT92" s="418"/>
      <c r="HU92" s="418"/>
      <c r="HV92" s="418"/>
      <c r="HW92" s="418"/>
      <c r="HX92" s="418"/>
      <c r="HY92" s="418"/>
      <c r="HZ92" s="418"/>
      <c r="IA92" s="418"/>
      <c r="IB92" s="418"/>
      <c r="IC92" s="418"/>
      <c r="ID92" s="418"/>
      <c r="IE92" s="418"/>
      <c r="IF92" s="418"/>
      <c r="IG92" s="418"/>
      <c r="IH92" s="418"/>
      <c r="II92" s="418"/>
      <c r="IJ92" s="418"/>
      <c r="IK92" s="418"/>
      <c r="IL92" s="418"/>
      <c r="IM92" s="418"/>
      <c r="IN92" s="418"/>
      <c r="IO92" s="418"/>
      <c r="IP92" s="418"/>
      <c r="IQ92" s="418"/>
      <c r="IR92" s="418"/>
      <c r="IS92" s="418"/>
      <c r="IT92" s="418"/>
      <c r="IU92" s="418"/>
      <c r="IV92" s="418"/>
    </row>
    <row r="93" spans="1:256" s="1" customFormat="1" x14ac:dyDescent="0.2">
      <c r="A93" s="622" t="s">
        <v>213</v>
      </c>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125">
        <f>-CI67</f>
        <v>389.5</v>
      </c>
      <c r="CJ93" s="28"/>
      <c r="CK93" s="28"/>
      <c r="CL93" s="28"/>
      <c r="CM93" s="28"/>
      <c r="CN93" s="125">
        <f t="shared" ref="CN93:CS94" si="160">-CN67</f>
        <v>513</v>
      </c>
      <c r="CO93" s="113">
        <f t="shared" si="160"/>
        <v>156.1</v>
      </c>
      <c r="CP93" s="113">
        <f t="shared" si="160"/>
        <v>157.4</v>
      </c>
      <c r="CQ93" s="113">
        <f t="shared" si="160"/>
        <v>157.39999999999998</v>
      </c>
      <c r="CR93" s="113">
        <f t="shared" si="160"/>
        <v>158</v>
      </c>
      <c r="CS93" s="125">
        <f t="shared" si="160"/>
        <v>628.9</v>
      </c>
      <c r="CT93" s="113">
        <f t="shared" ref="CT93:DR94" si="161">-CT67</f>
        <v>195.9</v>
      </c>
      <c r="CU93" s="113">
        <f t="shared" si="161"/>
        <v>196.4</v>
      </c>
      <c r="CV93" s="113">
        <f t="shared" si="161"/>
        <v>195.49999999999997</v>
      </c>
      <c r="CW93" s="670">
        <f t="shared" si="161"/>
        <v>195.30000000000004</v>
      </c>
      <c r="CX93" s="719">
        <f t="shared" si="161"/>
        <v>783.1</v>
      </c>
      <c r="CY93" s="113">
        <f t="shared" si="161"/>
        <v>239.5</v>
      </c>
      <c r="CZ93" s="113">
        <f t="shared" si="161"/>
        <v>240.10000000000002</v>
      </c>
      <c r="DA93" s="113">
        <f t="shared" si="161"/>
        <v>240.10000000000002</v>
      </c>
      <c r="DB93" s="113">
        <f t="shared" si="161"/>
        <v>208.89999999999998</v>
      </c>
      <c r="DC93" s="125">
        <f t="shared" si="161"/>
        <v>928.6</v>
      </c>
      <c r="DD93" s="113">
        <f t="shared" si="161"/>
        <v>297</v>
      </c>
      <c r="DE93" s="113">
        <f t="shared" ref="DE93" si="162">-DE67</f>
        <v>294.79999999999995</v>
      </c>
      <c r="DF93" s="113">
        <f t="shared" si="161"/>
        <v>293</v>
      </c>
      <c r="DG93" s="113">
        <f t="shared" si="161"/>
        <v>293.20000000000005</v>
      </c>
      <c r="DH93" s="125">
        <f t="shared" si="161"/>
        <v>1178</v>
      </c>
      <c r="DI93" s="113">
        <f t="shared" si="161"/>
        <v>364</v>
      </c>
      <c r="DJ93" s="113">
        <f t="shared" si="161"/>
        <v>363.79999999999995</v>
      </c>
      <c r="DK93" s="113">
        <f t="shared" si="161"/>
        <v>362</v>
      </c>
      <c r="DL93" s="113">
        <f t="shared" si="161"/>
        <v>360.60000000000014</v>
      </c>
      <c r="DM93" s="125">
        <f t="shared" si="161"/>
        <v>1450.4</v>
      </c>
      <c r="DN93" s="113">
        <f t="shared" si="161"/>
        <v>426.13619857191429</v>
      </c>
      <c r="DO93" s="113">
        <f t="shared" si="161"/>
        <v>423.77075485334831</v>
      </c>
      <c r="DP93" s="113">
        <f t="shared" si="161"/>
        <v>420.26416962460343</v>
      </c>
      <c r="DQ93" s="113">
        <f t="shared" si="161"/>
        <v>418.10488390725669</v>
      </c>
      <c r="DR93" s="125">
        <f t="shared" si="161"/>
        <v>1688.2760069571227</v>
      </c>
      <c r="DS93" s="113">
        <f t="shared" ref="DS93:EB93" si="163">-DS67</f>
        <v>496.93541789429662</v>
      </c>
      <c r="DT93" s="113">
        <f t="shared" si="163"/>
        <v>495.94333160783913</v>
      </c>
      <c r="DU93" s="113">
        <f t="shared" si="163"/>
        <v>492.38989905773735</v>
      </c>
      <c r="DV93" s="113">
        <f t="shared" si="163"/>
        <v>490.40487416832923</v>
      </c>
      <c r="DW93" s="125">
        <f t="shared" si="163"/>
        <v>1975.6735227282024</v>
      </c>
      <c r="DX93" s="113">
        <f t="shared" si="163"/>
        <v>583.99883935305809</v>
      </c>
      <c r="DY93" s="113">
        <f t="shared" si="163"/>
        <v>584.43328832352495</v>
      </c>
      <c r="DZ93" s="113">
        <f t="shared" si="163"/>
        <v>580.56053165080039</v>
      </c>
      <c r="EA93" s="113">
        <f t="shared" si="163"/>
        <v>577.27564802939605</v>
      </c>
      <c r="EB93" s="125">
        <f t="shared" si="163"/>
        <v>2326.2683073567796</v>
      </c>
      <c r="FC93"/>
      <c r="FD93"/>
      <c r="FE93"/>
      <c r="FF93"/>
      <c r="FG93"/>
      <c r="FH93"/>
      <c r="FI93" s="396"/>
      <c r="FJ93" s="418"/>
      <c r="FK93" s="418"/>
      <c r="FL93" s="418"/>
      <c r="FM93" s="418"/>
      <c r="FN93" s="418"/>
      <c r="FO93" s="418"/>
      <c r="FP93" s="418"/>
      <c r="FQ93" s="418"/>
      <c r="FR93" s="418"/>
      <c r="FS93" s="418"/>
      <c r="FT93" s="418"/>
      <c r="FU93" s="418"/>
      <c r="FV93" s="418"/>
      <c r="FW93" s="418"/>
      <c r="FX93" s="418"/>
      <c r="FY93" s="418"/>
      <c r="FZ93" s="418"/>
      <c r="GA93" s="418"/>
      <c r="GB93" s="418"/>
      <c r="GC93" s="418"/>
      <c r="GD93" s="418"/>
      <c r="GE93" s="418"/>
      <c r="GF93" s="418"/>
      <c r="GG93" s="418"/>
      <c r="GH93" s="418"/>
      <c r="GI93" s="418"/>
      <c r="GJ93" s="418"/>
      <c r="GK93" s="418"/>
      <c r="GL93" s="418"/>
      <c r="GM93" s="418"/>
      <c r="GN93" s="418"/>
      <c r="GO93" s="418"/>
      <c r="GP93" s="418"/>
      <c r="GQ93" s="418"/>
      <c r="GR93" s="418"/>
      <c r="GS93" s="418"/>
      <c r="GT93" s="418"/>
      <c r="GU93" s="418"/>
      <c r="GV93" s="418"/>
      <c r="GW93" s="418"/>
      <c r="GX93" s="418"/>
      <c r="GY93" s="418"/>
      <c r="GZ93" s="418"/>
      <c r="HA93" s="418"/>
      <c r="HB93" s="418"/>
      <c r="HC93" s="418"/>
      <c r="HD93" s="418"/>
      <c r="HE93" s="418"/>
      <c r="HF93" s="418"/>
      <c r="HG93" s="418"/>
      <c r="HH93" s="418"/>
      <c r="HI93" s="418"/>
      <c r="HJ93" s="418"/>
      <c r="HK93" s="418"/>
      <c r="HL93" s="418"/>
      <c r="HM93" s="418"/>
      <c r="HN93" s="418"/>
      <c r="HO93" s="418"/>
      <c r="HP93" s="418"/>
      <c r="HQ93" s="418"/>
      <c r="HR93" s="418"/>
      <c r="HS93" s="418"/>
      <c r="HT93" s="418"/>
      <c r="HU93" s="418"/>
      <c r="HV93" s="418"/>
      <c r="HW93" s="418"/>
      <c r="HX93" s="418"/>
      <c r="HY93" s="418"/>
      <c r="HZ93" s="418"/>
      <c r="IA93" s="418"/>
      <c r="IB93" s="418"/>
      <c r="IC93" s="418"/>
      <c r="ID93" s="418"/>
      <c r="IE93" s="418"/>
      <c r="IF93" s="418"/>
      <c r="IG93" s="418"/>
      <c r="IH93" s="418"/>
      <c r="II93" s="418"/>
      <c r="IJ93" s="418"/>
      <c r="IK93" s="418"/>
      <c r="IL93" s="418"/>
      <c r="IM93" s="418"/>
      <c r="IN93" s="418"/>
      <c r="IO93" s="418"/>
      <c r="IP93" s="418"/>
      <c r="IQ93" s="418"/>
      <c r="IR93" s="418"/>
      <c r="IS93" s="418"/>
      <c r="IT93" s="418"/>
      <c r="IU93" s="418"/>
      <c r="IV93" s="418"/>
    </row>
    <row r="94" spans="1:256" s="1" customFormat="1" x14ac:dyDescent="0.2">
      <c r="A94" s="622" t="s">
        <v>381</v>
      </c>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125">
        <f>-CI68</f>
        <v>555.9</v>
      </c>
      <c r="CJ94" s="28"/>
      <c r="CK94" s="28"/>
      <c r="CL94" s="28"/>
      <c r="CM94" s="28"/>
      <c r="CN94" s="125">
        <f t="shared" si="160"/>
        <v>549.1</v>
      </c>
      <c r="CO94" s="113">
        <f t="shared" si="160"/>
        <v>424.8</v>
      </c>
      <c r="CP94" s="113">
        <f t="shared" si="160"/>
        <v>163.30000000000001</v>
      </c>
      <c r="CQ94" s="113">
        <f t="shared" si="160"/>
        <v>0</v>
      </c>
      <c r="CR94" s="113">
        <f t="shared" si="160"/>
        <v>0</v>
      </c>
      <c r="CS94" s="125">
        <f t="shared" si="160"/>
        <v>588.1</v>
      </c>
      <c r="CT94" s="113">
        <f t="shared" ref="CT94:DR94" si="164">-CT68</f>
        <v>38.5</v>
      </c>
      <c r="CU94" s="113">
        <f t="shared" si="164"/>
        <v>251.60000000000002</v>
      </c>
      <c r="CV94" s="113">
        <f t="shared" si="164"/>
        <v>305.10000000000002</v>
      </c>
      <c r="CW94" s="670">
        <f t="shared" si="164"/>
        <v>163.39999999999998</v>
      </c>
      <c r="CX94" s="719">
        <f t="shared" si="164"/>
        <v>758.6</v>
      </c>
      <c r="CY94" s="113">
        <f t="shared" si="164"/>
        <v>215</v>
      </c>
      <c r="CZ94" s="113">
        <f t="shared" si="164"/>
        <v>131.39999999999998</v>
      </c>
      <c r="DA94" s="113">
        <f t="shared" si="164"/>
        <v>574.70000000000005</v>
      </c>
      <c r="DB94" s="113">
        <f t="shared" si="164"/>
        <v>514.99999999999989</v>
      </c>
      <c r="DC94" s="125">
        <f t="shared" si="164"/>
        <v>1436.1</v>
      </c>
      <c r="DD94" s="113">
        <f t="shared" si="161"/>
        <v>245.8</v>
      </c>
      <c r="DE94" s="113">
        <f t="shared" si="161"/>
        <v>1338.7</v>
      </c>
      <c r="DF94" s="113">
        <f t="shared" si="164"/>
        <v>5.9000000000000341</v>
      </c>
      <c r="DG94" s="113">
        <f t="shared" si="164"/>
        <v>405.19999999999976</v>
      </c>
      <c r="DH94" s="125">
        <f t="shared" si="164"/>
        <v>1995.6</v>
      </c>
      <c r="DI94" s="113">
        <f t="shared" si="164"/>
        <v>408.1</v>
      </c>
      <c r="DJ94" s="113">
        <f t="shared" si="164"/>
        <v>637.99999999999989</v>
      </c>
      <c r="DK94" s="113">
        <f t="shared" si="164"/>
        <v>168</v>
      </c>
      <c r="DL94" s="113">
        <f t="shared" si="164"/>
        <v>828.40000000000009</v>
      </c>
      <c r="DM94" s="125">
        <f t="shared" si="164"/>
        <v>2042.5</v>
      </c>
      <c r="DN94" s="113">
        <f t="shared" si="164"/>
        <v>1000</v>
      </c>
      <c r="DO94" s="113">
        <f t="shared" si="164"/>
        <v>750</v>
      </c>
      <c r="DP94" s="113">
        <f t="shared" si="164"/>
        <v>750</v>
      </c>
      <c r="DQ94" s="113">
        <f t="shared" si="164"/>
        <v>750</v>
      </c>
      <c r="DR94" s="125">
        <f t="shared" si="164"/>
        <v>3250</v>
      </c>
      <c r="DS94" s="113">
        <f t="shared" ref="DS94:EB94" si="165">-DS68</f>
        <v>700</v>
      </c>
      <c r="DT94" s="113">
        <f t="shared" si="165"/>
        <v>700</v>
      </c>
      <c r="DU94" s="113">
        <f t="shared" si="165"/>
        <v>700</v>
      </c>
      <c r="DV94" s="113">
        <f t="shared" si="165"/>
        <v>700</v>
      </c>
      <c r="DW94" s="125">
        <f t="shared" si="165"/>
        <v>2800</v>
      </c>
      <c r="DX94" s="113">
        <f t="shared" si="165"/>
        <v>500</v>
      </c>
      <c r="DY94" s="113">
        <f t="shared" si="165"/>
        <v>500</v>
      </c>
      <c r="DZ94" s="113">
        <f t="shared" si="165"/>
        <v>900</v>
      </c>
      <c r="EA94" s="113">
        <f t="shared" si="165"/>
        <v>900</v>
      </c>
      <c r="EB94" s="125">
        <f t="shared" si="165"/>
        <v>2800</v>
      </c>
      <c r="FC94"/>
      <c r="FD94"/>
      <c r="FE94"/>
      <c r="FF94"/>
      <c r="FG94"/>
      <c r="FH94"/>
      <c r="FI94" s="396"/>
      <c r="FJ94" s="418"/>
      <c r="FK94" s="418"/>
      <c r="FL94" s="418"/>
      <c r="FM94" s="418"/>
      <c r="FN94" s="418"/>
      <c r="FO94" s="418"/>
      <c r="FP94" s="418"/>
      <c r="FQ94" s="418"/>
      <c r="FR94" s="418"/>
      <c r="FS94" s="418"/>
      <c r="FT94" s="418"/>
      <c r="FU94" s="418"/>
      <c r="FV94" s="418"/>
      <c r="FW94" s="418"/>
      <c r="FX94" s="418"/>
      <c r="FY94" s="418"/>
      <c r="FZ94" s="418"/>
      <c r="GA94" s="418"/>
      <c r="GB94" s="418"/>
      <c r="GC94" s="418"/>
      <c r="GD94" s="418"/>
      <c r="GE94" s="418"/>
      <c r="GF94" s="418"/>
      <c r="GG94" s="418"/>
      <c r="GH94" s="418"/>
      <c r="GI94" s="418"/>
      <c r="GJ94" s="418"/>
      <c r="GK94" s="418"/>
      <c r="GL94" s="418"/>
      <c r="GM94" s="418"/>
      <c r="GN94" s="418"/>
      <c r="GO94" s="418"/>
      <c r="GP94" s="418"/>
      <c r="GQ94" s="418"/>
      <c r="GR94" s="418"/>
      <c r="GS94" s="418"/>
      <c r="GT94" s="418"/>
      <c r="GU94" s="418"/>
      <c r="GV94" s="418"/>
      <c r="GW94" s="418"/>
      <c r="GX94" s="418"/>
      <c r="GY94" s="418"/>
      <c r="GZ94" s="418"/>
      <c r="HA94" s="418"/>
      <c r="HB94" s="418"/>
      <c r="HC94" s="418"/>
      <c r="HD94" s="418"/>
      <c r="HE94" s="418"/>
      <c r="HF94" s="418"/>
      <c r="HG94" s="418"/>
      <c r="HH94" s="418"/>
      <c r="HI94" s="418"/>
      <c r="HJ94" s="418"/>
      <c r="HK94" s="418"/>
      <c r="HL94" s="418"/>
      <c r="HM94" s="418"/>
      <c r="HN94" s="418"/>
      <c r="HO94" s="418"/>
      <c r="HP94" s="418"/>
      <c r="HQ94" s="418"/>
      <c r="HR94" s="418"/>
      <c r="HS94" s="418"/>
      <c r="HT94" s="418"/>
      <c r="HU94" s="418"/>
      <c r="HV94" s="418"/>
      <c r="HW94" s="418"/>
      <c r="HX94" s="418"/>
      <c r="HY94" s="418"/>
      <c r="HZ94" s="418"/>
      <c r="IA94" s="418"/>
      <c r="IB94" s="418"/>
      <c r="IC94" s="418"/>
      <c r="ID94" s="418"/>
      <c r="IE94" s="418"/>
      <c r="IF94" s="418"/>
      <c r="IG94" s="418"/>
      <c r="IH94" s="418"/>
      <c r="II94" s="418"/>
      <c r="IJ94" s="418"/>
      <c r="IK94" s="418"/>
      <c r="IL94" s="418"/>
      <c r="IM94" s="418"/>
      <c r="IN94" s="418"/>
      <c r="IO94" s="418"/>
      <c r="IP94" s="418"/>
      <c r="IQ94" s="418"/>
      <c r="IR94" s="418"/>
      <c r="IS94" s="418"/>
      <c r="IT94" s="418"/>
      <c r="IU94" s="418"/>
      <c r="IV94" s="418"/>
    </row>
    <row r="95" spans="1:256" s="1" customFormat="1" x14ac:dyDescent="0.2">
      <c r="A95" s="623" t="s">
        <v>382</v>
      </c>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625">
        <f>-CI62</f>
        <v>0</v>
      </c>
      <c r="CJ95" s="2"/>
      <c r="CK95" s="2"/>
      <c r="CL95" s="2"/>
      <c r="CM95" s="2"/>
      <c r="CN95" s="625">
        <f t="shared" ref="CN95:CS95" si="166">-CN62-CN65</f>
        <v>0</v>
      </c>
      <c r="CO95" s="624">
        <f t="shared" si="166"/>
        <v>0</v>
      </c>
      <c r="CP95" s="624">
        <f t="shared" si="166"/>
        <v>35.200000000000003</v>
      </c>
      <c r="CQ95" s="624">
        <f t="shared" si="166"/>
        <v>0</v>
      </c>
      <c r="CR95" s="624">
        <f t="shared" si="166"/>
        <v>0</v>
      </c>
      <c r="CS95" s="625">
        <f t="shared" si="166"/>
        <v>35.200000000000003</v>
      </c>
      <c r="CT95" s="624">
        <f t="shared" ref="CT95:DR95" si="167">-CT62-CT65</f>
        <v>0</v>
      </c>
      <c r="CU95" s="624">
        <f t="shared" si="167"/>
        <v>0</v>
      </c>
      <c r="CV95" s="624">
        <f t="shared" si="167"/>
        <v>0</v>
      </c>
      <c r="CW95" s="733">
        <f t="shared" si="167"/>
        <v>0</v>
      </c>
      <c r="CX95" s="734">
        <f t="shared" si="167"/>
        <v>0</v>
      </c>
      <c r="CY95" s="624">
        <f t="shared" si="167"/>
        <v>0</v>
      </c>
      <c r="CZ95" s="624">
        <f t="shared" si="167"/>
        <v>0</v>
      </c>
      <c r="DA95" s="624">
        <f t="shared" si="167"/>
        <v>0</v>
      </c>
      <c r="DB95" s="624">
        <f t="shared" si="167"/>
        <v>610.1</v>
      </c>
      <c r="DC95" s="625">
        <f t="shared" si="167"/>
        <v>610.1</v>
      </c>
      <c r="DD95" s="624">
        <f t="shared" si="167"/>
        <v>0</v>
      </c>
      <c r="DE95" s="624">
        <f t="shared" ref="DE95" si="168">-DE62-DE65</f>
        <v>0</v>
      </c>
      <c r="DF95" s="624">
        <f t="shared" si="167"/>
        <v>0</v>
      </c>
      <c r="DG95" s="624">
        <f t="shared" si="167"/>
        <v>0</v>
      </c>
      <c r="DH95" s="625">
        <f t="shared" si="167"/>
        <v>0</v>
      </c>
      <c r="DI95" s="624">
        <f t="shared" si="167"/>
        <v>0</v>
      </c>
      <c r="DJ95" s="624">
        <f t="shared" si="167"/>
        <v>0</v>
      </c>
      <c r="DK95" s="624">
        <f t="shared" si="167"/>
        <v>0</v>
      </c>
      <c r="DL95" s="624">
        <f t="shared" si="167"/>
        <v>400</v>
      </c>
      <c r="DM95" s="625">
        <f t="shared" si="167"/>
        <v>400</v>
      </c>
      <c r="DN95" s="624">
        <f t="shared" si="167"/>
        <v>0</v>
      </c>
      <c r="DO95" s="624">
        <f t="shared" si="167"/>
        <v>0</v>
      </c>
      <c r="DP95" s="624">
        <f t="shared" si="167"/>
        <v>0</v>
      </c>
      <c r="DQ95" s="624">
        <f t="shared" si="167"/>
        <v>0</v>
      </c>
      <c r="DR95" s="625">
        <f t="shared" si="167"/>
        <v>0</v>
      </c>
      <c r="DS95" s="624">
        <f t="shared" ref="DS95:EB95" si="169">-DS62-DS65</f>
        <v>0</v>
      </c>
      <c r="DT95" s="624">
        <f t="shared" si="169"/>
        <v>0</v>
      </c>
      <c r="DU95" s="624">
        <f t="shared" si="169"/>
        <v>0</v>
      </c>
      <c r="DV95" s="624">
        <f t="shared" si="169"/>
        <v>0</v>
      </c>
      <c r="DW95" s="625">
        <f t="shared" si="169"/>
        <v>0</v>
      </c>
      <c r="DX95" s="624">
        <f t="shared" si="169"/>
        <v>0</v>
      </c>
      <c r="DY95" s="624">
        <f t="shared" si="169"/>
        <v>0</v>
      </c>
      <c r="DZ95" s="624">
        <f t="shared" si="169"/>
        <v>0</v>
      </c>
      <c r="EA95" s="624">
        <f t="shared" si="169"/>
        <v>0</v>
      </c>
      <c r="EB95" s="625">
        <f t="shared" si="169"/>
        <v>0</v>
      </c>
      <c r="FC95"/>
      <c r="FD95"/>
      <c r="FE95"/>
      <c r="FF95"/>
      <c r="FG95"/>
      <c r="FH95"/>
      <c r="FI95" s="396"/>
      <c r="FJ95" s="418"/>
      <c r="FK95" s="418"/>
      <c r="FL95" s="418"/>
      <c r="FM95" s="418"/>
      <c r="FN95" s="418"/>
      <c r="FO95" s="418"/>
      <c r="FP95" s="418"/>
      <c r="FQ95" s="418"/>
      <c r="FR95" s="418"/>
      <c r="FS95" s="418"/>
      <c r="FT95" s="418"/>
      <c r="FU95" s="418"/>
      <c r="FV95" s="418"/>
      <c r="FW95" s="418"/>
      <c r="FX95" s="418"/>
      <c r="FY95" s="418"/>
      <c r="FZ95" s="418"/>
      <c r="GA95" s="418"/>
      <c r="GB95" s="418"/>
      <c r="GC95" s="418"/>
      <c r="GD95" s="418"/>
      <c r="GE95" s="418"/>
      <c r="GF95" s="418"/>
      <c r="GG95" s="418"/>
      <c r="GH95" s="418"/>
      <c r="GI95" s="418"/>
      <c r="GJ95" s="418"/>
      <c r="GK95" s="418"/>
      <c r="GL95" s="418"/>
      <c r="GM95" s="418"/>
      <c r="GN95" s="418"/>
      <c r="GO95" s="418"/>
      <c r="GP95" s="418"/>
      <c r="GQ95" s="418"/>
      <c r="GR95" s="418"/>
      <c r="GS95" s="418"/>
      <c r="GT95" s="418"/>
      <c r="GU95" s="418"/>
      <c r="GV95" s="418"/>
      <c r="GW95" s="418"/>
      <c r="GX95" s="418"/>
      <c r="GY95" s="418"/>
      <c r="GZ95" s="418"/>
      <c r="HA95" s="418"/>
      <c r="HB95" s="418"/>
      <c r="HC95" s="418"/>
      <c r="HD95" s="418"/>
      <c r="HE95" s="418"/>
      <c r="HF95" s="418"/>
      <c r="HG95" s="418"/>
      <c r="HH95" s="418"/>
      <c r="HI95" s="418"/>
      <c r="HJ95" s="418"/>
      <c r="HK95" s="418"/>
      <c r="HL95" s="418"/>
      <c r="HM95" s="418"/>
      <c r="HN95" s="418"/>
      <c r="HO95" s="418"/>
      <c r="HP95" s="418"/>
      <c r="HQ95" s="418"/>
      <c r="HR95" s="418"/>
      <c r="HS95" s="418"/>
      <c r="HT95" s="418"/>
      <c r="HU95" s="418"/>
      <c r="HV95" s="418"/>
      <c r="HW95" s="418"/>
      <c r="HX95" s="418"/>
      <c r="HY95" s="418"/>
      <c r="HZ95" s="418"/>
      <c r="IA95" s="418"/>
      <c r="IB95" s="418"/>
      <c r="IC95" s="418"/>
      <c r="ID95" s="418"/>
      <c r="IE95" s="418"/>
      <c r="IF95" s="418"/>
      <c r="IG95" s="418"/>
      <c r="IH95" s="418"/>
      <c r="II95" s="418"/>
      <c r="IJ95" s="418"/>
      <c r="IK95" s="418"/>
      <c r="IL95" s="418"/>
      <c r="IM95" s="418"/>
      <c r="IN95" s="418"/>
      <c r="IO95" s="418"/>
      <c r="IP95" s="418"/>
      <c r="IQ95" s="418"/>
      <c r="IR95" s="418"/>
      <c r="IS95" s="418"/>
      <c r="IT95" s="418"/>
      <c r="IU95" s="418"/>
      <c r="IV95" s="418"/>
    </row>
    <row r="96" spans="1:256" s="28" customFormat="1" x14ac:dyDescent="0.2">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c r="AO96" s="113"/>
      <c r="AP96" s="113"/>
      <c r="AQ96" s="113"/>
      <c r="AR96" s="113"/>
      <c r="AS96" s="113"/>
      <c r="AT96" s="113"/>
      <c r="AU96" s="113"/>
      <c r="AV96" s="113"/>
      <c r="AW96" s="113"/>
      <c r="AX96" s="113"/>
      <c r="AY96" s="113"/>
      <c r="AZ96" s="113"/>
      <c r="BA96" s="113"/>
      <c r="BB96" s="113"/>
      <c r="BC96" s="113"/>
      <c r="BD96" s="113"/>
      <c r="BE96" s="113"/>
      <c r="BF96" s="113"/>
      <c r="BG96" s="113"/>
      <c r="BH96" s="113"/>
      <c r="BI96" s="113"/>
      <c r="BJ96" s="113"/>
      <c r="BK96" s="113"/>
      <c r="BL96" s="113"/>
      <c r="BM96" s="113"/>
      <c r="BN96" s="113"/>
      <c r="BO96" s="113"/>
      <c r="BP96" s="113"/>
      <c r="BQ96" s="113"/>
      <c r="BR96" s="113"/>
      <c r="BS96" s="113"/>
      <c r="BT96" s="113"/>
      <c r="BU96" s="113"/>
      <c r="BV96" s="113"/>
      <c r="BW96" s="113"/>
      <c r="BX96" s="113"/>
      <c r="BY96" s="113"/>
      <c r="BZ96" s="113"/>
      <c r="CA96" s="113"/>
      <c r="CB96" s="113"/>
      <c r="CC96" s="113"/>
      <c r="CD96" s="113"/>
      <c r="CE96" s="113"/>
      <c r="CF96" s="113"/>
      <c r="CG96" s="113"/>
      <c r="CH96" s="113"/>
      <c r="CI96" s="113"/>
      <c r="CJ96" s="113"/>
      <c r="CK96" s="113"/>
      <c r="CL96" s="113"/>
      <c r="CM96" s="113"/>
      <c r="CN96" s="113"/>
      <c r="CO96" s="113"/>
      <c r="CP96" s="113"/>
      <c r="CQ96" s="114"/>
      <c r="CR96" s="114"/>
      <c r="CS96" s="114"/>
      <c r="CT96" s="114"/>
      <c r="CU96" s="114"/>
      <c r="CV96" s="114"/>
      <c r="CW96" s="670"/>
      <c r="CX96" s="670"/>
      <c r="CY96" s="113"/>
      <c r="CZ96" s="113"/>
      <c r="DA96" s="113"/>
      <c r="DB96" s="113"/>
      <c r="DC96" s="113"/>
      <c r="DD96" s="114"/>
      <c r="DE96" s="114"/>
      <c r="DF96" s="114"/>
      <c r="DG96" s="114"/>
      <c r="DH96" s="114"/>
      <c r="DI96" s="114"/>
      <c r="DJ96" s="114"/>
      <c r="DK96" s="113"/>
      <c r="DL96" s="113"/>
      <c r="DM96" s="113"/>
      <c r="DN96" s="114"/>
      <c r="DO96" s="114"/>
      <c r="DP96" s="114"/>
      <c r="DQ96" s="114"/>
      <c r="DR96" s="114"/>
      <c r="DS96" s="114"/>
      <c r="DT96" s="114"/>
      <c r="DU96" s="114"/>
      <c r="DV96" s="114"/>
      <c r="DW96" s="114"/>
      <c r="DX96" s="114"/>
      <c r="DY96" s="114"/>
      <c r="DZ96" s="114"/>
      <c r="EA96" s="114"/>
      <c r="EB96" s="114"/>
      <c r="FC96"/>
      <c r="FD96"/>
      <c r="FE96"/>
      <c r="FF96"/>
      <c r="FG96"/>
      <c r="FH96"/>
      <c r="FI96" s="396"/>
      <c r="FJ96" s="418"/>
      <c r="FK96" s="418"/>
      <c r="FL96" s="418"/>
      <c r="FM96" s="418"/>
      <c r="FN96" s="418"/>
      <c r="FO96" s="418"/>
      <c r="FP96" s="418"/>
      <c r="FQ96" s="418"/>
      <c r="FR96" s="418"/>
      <c r="FS96" s="418"/>
      <c r="FT96" s="418"/>
      <c r="FU96" s="418"/>
      <c r="FV96" s="418"/>
      <c r="FW96" s="418"/>
      <c r="FX96" s="418"/>
      <c r="FY96" s="418"/>
      <c r="FZ96" s="418"/>
      <c r="GA96" s="418"/>
      <c r="GB96" s="418"/>
      <c r="GC96" s="418"/>
      <c r="GD96" s="418"/>
      <c r="GE96" s="418"/>
      <c r="GF96" s="418"/>
      <c r="GG96" s="418"/>
      <c r="GH96" s="418"/>
      <c r="GI96" s="418"/>
      <c r="GJ96" s="418"/>
      <c r="GK96" s="418"/>
      <c r="GL96" s="418"/>
      <c r="GM96" s="418"/>
      <c r="GN96" s="418"/>
      <c r="GO96" s="418"/>
      <c r="GP96" s="418"/>
      <c r="GQ96" s="418"/>
      <c r="GR96" s="418"/>
      <c r="GS96" s="418"/>
      <c r="GT96" s="418"/>
      <c r="GU96" s="418"/>
      <c r="GV96" s="418"/>
      <c r="GW96" s="418"/>
      <c r="GX96" s="418"/>
      <c r="GY96" s="418"/>
      <c r="GZ96" s="418"/>
      <c r="HA96" s="418"/>
      <c r="HB96" s="418"/>
      <c r="HC96" s="418"/>
      <c r="HD96" s="418"/>
      <c r="HE96" s="418"/>
      <c r="HF96" s="418"/>
      <c r="HG96" s="418"/>
      <c r="HH96" s="418"/>
      <c r="HI96" s="418"/>
      <c r="HJ96" s="418"/>
      <c r="HK96" s="418"/>
      <c r="HL96" s="418"/>
      <c r="HM96" s="418"/>
      <c r="HN96" s="418"/>
      <c r="HO96" s="418"/>
      <c r="HP96" s="418"/>
      <c r="HQ96" s="418"/>
      <c r="HR96" s="418"/>
      <c r="HS96" s="418"/>
      <c r="HT96" s="418"/>
      <c r="HU96" s="418"/>
      <c r="HV96" s="418"/>
      <c r="HW96" s="418"/>
      <c r="HX96" s="418"/>
      <c r="HY96" s="418"/>
      <c r="HZ96" s="418"/>
      <c r="IA96" s="418"/>
      <c r="IB96" s="418"/>
      <c r="IC96" s="418"/>
      <c r="ID96" s="418"/>
      <c r="IE96" s="418"/>
      <c r="IF96" s="418"/>
      <c r="IG96" s="418"/>
      <c r="IH96" s="418"/>
      <c r="II96" s="418"/>
      <c r="IJ96" s="418"/>
      <c r="IK96" s="418"/>
      <c r="IL96" s="418"/>
      <c r="IM96" s="418"/>
      <c r="IN96" s="418"/>
      <c r="IO96" s="418"/>
      <c r="IP96" s="418"/>
      <c r="IQ96" s="418"/>
      <c r="IR96" s="418"/>
      <c r="IS96" s="418"/>
      <c r="IT96" s="418"/>
      <c r="IU96" s="418"/>
      <c r="IV96" s="418"/>
    </row>
    <row r="97" spans="1:256" s="1" customFormat="1" x14ac:dyDescent="0.2">
      <c r="A97" s="91" t="s">
        <v>105</v>
      </c>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729"/>
      <c r="CX97" s="729"/>
      <c r="CY97" s="10"/>
      <c r="CZ97" s="10"/>
      <c r="DA97" s="10"/>
      <c r="DB97" s="10"/>
      <c r="DC97" s="10"/>
      <c r="DD97" s="10"/>
      <c r="DE97" s="10"/>
      <c r="DF97" s="10"/>
      <c r="DG97" s="10"/>
      <c r="DH97" s="10"/>
      <c r="DI97" s="10"/>
      <c r="DJ97" s="10"/>
      <c r="DK97" s="10"/>
      <c r="DL97" s="10"/>
      <c r="DM97" s="10"/>
      <c r="DN97" s="10"/>
      <c r="DO97" s="10"/>
      <c r="DP97" s="10"/>
      <c r="DQ97" s="10"/>
      <c r="DR97" s="11"/>
      <c r="DS97" s="10"/>
      <c r="DT97" s="10"/>
      <c r="DU97" s="10"/>
      <c r="DV97" s="10"/>
      <c r="DW97" s="11"/>
      <c r="DX97" s="10"/>
      <c r="DY97" s="10"/>
      <c r="DZ97" s="10"/>
      <c r="EA97" s="10"/>
      <c r="EB97" s="11"/>
      <c r="FC97"/>
      <c r="FD97"/>
      <c r="FE97"/>
      <c r="FF97"/>
      <c r="FG97"/>
      <c r="FH97"/>
      <c r="FI97" s="396"/>
      <c r="FJ97" s="418"/>
      <c r="FK97" s="418"/>
      <c r="FL97" s="418"/>
      <c r="FM97" s="418"/>
      <c r="FN97" s="418"/>
      <c r="FO97" s="418"/>
      <c r="FP97" s="418"/>
      <c r="FQ97" s="418"/>
      <c r="FR97" s="418"/>
      <c r="FS97" s="418"/>
      <c r="FT97" s="418"/>
      <c r="FU97" s="418"/>
      <c r="FV97" s="418"/>
      <c r="FW97" s="418"/>
      <c r="FX97" s="418"/>
      <c r="FY97" s="418"/>
      <c r="FZ97" s="418"/>
      <c r="GA97" s="418"/>
      <c r="GB97" s="418"/>
      <c r="GC97" s="418"/>
      <c r="GD97" s="418"/>
      <c r="GE97" s="418"/>
      <c r="GF97" s="418"/>
      <c r="GG97" s="418"/>
      <c r="GH97" s="418"/>
      <c r="GI97" s="418"/>
      <c r="GJ97" s="418"/>
      <c r="GK97" s="418"/>
      <c r="GL97" s="418"/>
      <c r="GM97" s="418"/>
      <c r="GN97" s="418"/>
      <c r="GO97" s="418"/>
      <c r="GP97" s="418"/>
      <c r="GQ97" s="418"/>
      <c r="GR97" s="418"/>
      <c r="GS97" s="418"/>
      <c r="GT97" s="418"/>
      <c r="GU97" s="418"/>
      <c r="GV97" s="418"/>
      <c r="GW97" s="418"/>
      <c r="GX97" s="418"/>
      <c r="GY97" s="418"/>
      <c r="GZ97" s="418"/>
      <c r="HA97" s="418"/>
      <c r="HB97" s="418"/>
      <c r="HC97" s="418"/>
      <c r="HD97" s="418"/>
      <c r="HE97" s="418"/>
      <c r="HF97" s="418"/>
      <c r="HG97" s="418"/>
      <c r="HH97" s="418"/>
      <c r="HI97" s="418"/>
      <c r="HJ97" s="418"/>
      <c r="HK97" s="418"/>
      <c r="HL97" s="418"/>
      <c r="HM97" s="418"/>
      <c r="HN97" s="418"/>
      <c r="HO97" s="418"/>
      <c r="HP97" s="418"/>
      <c r="HQ97" s="418"/>
      <c r="HR97" s="418"/>
      <c r="HS97" s="418"/>
      <c r="HT97" s="418"/>
      <c r="HU97" s="418"/>
      <c r="HV97" s="418"/>
      <c r="HW97" s="418"/>
      <c r="HX97" s="418"/>
      <c r="HY97" s="418"/>
      <c r="HZ97" s="418"/>
      <c r="IA97" s="418"/>
      <c r="IB97" s="418"/>
      <c r="IC97" s="418"/>
      <c r="ID97" s="418"/>
      <c r="IE97" s="418"/>
      <c r="IF97" s="418"/>
      <c r="IG97" s="418"/>
      <c r="IH97" s="418"/>
      <c r="II97" s="418"/>
      <c r="IJ97" s="418"/>
      <c r="IK97" s="418"/>
      <c r="IL97" s="418"/>
      <c r="IM97" s="418"/>
      <c r="IN97" s="418"/>
      <c r="IO97" s="418"/>
      <c r="IP97" s="418"/>
      <c r="IQ97" s="418"/>
      <c r="IR97" s="418"/>
      <c r="IS97" s="418"/>
      <c r="IT97" s="418"/>
      <c r="IU97" s="418"/>
      <c r="IV97" s="418"/>
    </row>
    <row r="98" spans="1:256" s="28" customFormat="1" x14ac:dyDescent="0.2">
      <c r="A98" s="118"/>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c r="AO98" s="113"/>
      <c r="AP98" s="113"/>
      <c r="AQ98" s="113"/>
      <c r="AR98" s="113"/>
      <c r="AS98" s="113"/>
      <c r="AT98" s="113"/>
      <c r="AU98" s="113"/>
      <c r="AV98" s="113"/>
      <c r="AW98" s="113"/>
      <c r="AX98" s="113"/>
      <c r="AY98" s="113"/>
      <c r="AZ98" s="113"/>
      <c r="BA98" s="113"/>
      <c r="BB98" s="113"/>
      <c r="BC98" s="113"/>
      <c r="BD98" s="113"/>
      <c r="BE98" s="113"/>
      <c r="BF98" s="113"/>
      <c r="BG98" s="113"/>
      <c r="BH98" s="113"/>
      <c r="BI98" s="113"/>
      <c r="BJ98" s="113"/>
      <c r="BK98" s="113"/>
      <c r="BL98" s="113"/>
      <c r="BM98" s="113"/>
      <c r="BN98" s="113"/>
      <c r="BO98" s="113"/>
      <c r="BP98" s="113"/>
      <c r="BQ98" s="113"/>
      <c r="BR98" s="113"/>
      <c r="BS98" s="113"/>
      <c r="BT98" s="113"/>
      <c r="BU98" s="113"/>
      <c r="BV98" s="113"/>
      <c r="BW98" s="113"/>
      <c r="BX98" s="113"/>
      <c r="BY98" s="113"/>
      <c r="BZ98" s="113"/>
      <c r="CA98" s="113"/>
      <c r="CB98" s="113"/>
      <c r="CC98" s="113"/>
      <c r="CD98" s="113"/>
      <c r="CE98" s="113"/>
      <c r="CF98" s="113"/>
      <c r="CG98" s="113"/>
      <c r="CH98" s="113"/>
      <c r="CI98" s="113"/>
      <c r="CJ98" s="113"/>
      <c r="CK98" s="113"/>
      <c r="CL98" s="113"/>
      <c r="CM98" s="113"/>
      <c r="CN98" s="113"/>
      <c r="CO98" s="113"/>
      <c r="CP98" s="113"/>
      <c r="CQ98" s="114"/>
      <c r="CR98" s="114"/>
      <c r="CS98" s="114"/>
      <c r="CT98" s="114"/>
      <c r="CU98" s="114"/>
      <c r="CV98" s="114"/>
      <c r="CW98" s="670"/>
      <c r="CX98" s="670"/>
      <c r="CY98" s="113"/>
      <c r="CZ98" s="113"/>
      <c r="DA98" s="113"/>
      <c r="DB98" s="113"/>
      <c r="DC98" s="113"/>
      <c r="DD98" s="114"/>
      <c r="DE98" s="114"/>
      <c r="DF98" s="114"/>
      <c r="DG98" s="114"/>
      <c r="DH98" s="114"/>
      <c r="DI98" s="114"/>
      <c r="DJ98" s="114"/>
      <c r="DK98" s="113"/>
      <c r="DL98" s="113"/>
      <c r="DM98" s="113"/>
      <c r="DN98" s="114"/>
      <c r="DO98" s="114"/>
      <c r="DP98" s="114"/>
      <c r="DQ98" s="114"/>
      <c r="DR98" s="114"/>
      <c r="DS98" s="114"/>
      <c r="DT98" s="114"/>
      <c r="DU98" s="114"/>
      <c r="DV98" s="114"/>
      <c r="DW98" s="114"/>
      <c r="DX98" s="114"/>
      <c r="DY98" s="114"/>
      <c r="DZ98" s="114"/>
      <c r="EA98" s="114"/>
      <c r="EB98" s="114"/>
      <c r="FC98"/>
      <c r="FD98"/>
      <c r="FE98"/>
      <c r="FF98"/>
      <c r="FG98"/>
      <c r="FH98"/>
      <c r="FI98" s="396"/>
      <c r="FJ98" s="418"/>
      <c r="FK98" s="418"/>
      <c r="FL98" s="418"/>
      <c r="FM98" s="418"/>
      <c r="FN98" s="418"/>
      <c r="FO98" s="418"/>
      <c r="FP98" s="418"/>
      <c r="FQ98" s="418"/>
      <c r="FR98" s="418"/>
      <c r="FS98" s="418"/>
      <c r="FT98" s="418"/>
      <c r="FU98" s="418"/>
      <c r="FV98" s="418"/>
      <c r="FW98" s="418"/>
      <c r="FX98" s="418"/>
      <c r="FY98" s="418"/>
      <c r="FZ98" s="418"/>
      <c r="GA98" s="418"/>
      <c r="GB98" s="418"/>
      <c r="GC98" s="418"/>
      <c r="GD98" s="418"/>
      <c r="GE98" s="418"/>
      <c r="GF98" s="418"/>
      <c r="GG98" s="418"/>
      <c r="GH98" s="418"/>
      <c r="GI98" s="418"/>
      <c r="GJ98" s="418"/>
      <c r="GK98" s="418"/>
      <c r="GL98" s="418"/>
      <c r="GM98" s="418"/>
      <c r="GN98" s="418"/>
      <c r="GO98" s="418"/>
      <c r="GP98" s="418"/>
      <c r="GQ98" s="418"/>
      <c r="GR98" s="418"/>
      <c r="GS98" s="418"/>
      <c r="GT98" s="418"/>
      <c r="GU98" s="418"/>
      <c r="GV98" s="418"/>
      <c r="GW98" s="418"/>
      <c r="GX98" s="418"/>
      <c r="GY98" s="418"/>
      <c r="GZ98" s="418"/>
      <c r="HA98" s="418"/>
      <c r="HB98" s="418"/>
      <c r="HC98" s="418"/>
      <c r="HD98" s="418"/>
      <c r="HE98" s="418"/>
      <c r="HF98" s="418"/>
      <c r="HG98" s="418"/>
      <c r="HH98" s="418"/>
      <c r="HI98" s="418"/>
      <c r="HJ98" s="418"/>
      <c r="HK98" s="418"/>
      <c r="HL98" s="418"/>
      <c r="HM98" s="418"/>
      <c r="HN98" s="418"/>
      <c r="HO98" s="418"/>
      <c r="HP98" s="418"/>
      <c r="HQ98" s="418"/>
      <c r="HR98" s="418"/>
      <c r="HS98" s="418"/>
      <c r="HT98" s="418"/>
      <c r="HU98" s="418"/>
      <c r="HV98" s="418"/>
      <c r="HW98" s="418"/>
      <c r="HX98" s="418"/>
      <c r="HY98" s="418"/>
      <c r="HZ98" s="418"/>
      <c r="IA98" s="418"/>
      <c r="IB98" s="418"/>
      <c r="IC98" s="418"/>
      <c r="ID98" s="418"/>
      <c r="IE98" s="418"/>
      <c r="IF98" s="418"/>
      <c r="IG98" s="418"/>
      <c r="IH98" s="418"/>
      <c r="II98" s="418"/>
      <c r="IJ98" s="418"/>
      <c r="IK98" s="418"/>
      <c r="IL98" s="418"/>
      <c r="IM98" s="418"/>
      <c r="IN98" s="418"/>
      <c r="IO98" s="418"/>
      <c r="IP98" s="418"/>
      <c r="IQ98" s="418"/>
      <c r="IR98" s="418"/>
      <c r="IS98" s="418"/>
      <c r="IT98" s="418"/>
      <c r="IU98" s="418"/>
      <c r="IV98" s="418"/>
    </row>
    <row r="99" spans="1:256" s="65" customFormat="1" x14ac:dyDescent="0.2">
      <c r="A99" s="842" t="s">
        <v>167</v>
      </c>
      <c r="AA99" s="65">
        <f>-AA50/IS!AA17</f>
        <v>0.15581070898422855</v>
      </c>
      <c r="AB99" s="65">
        <f>-AB50/IS!AB17</f>
        <v>0.12466278252590057</v>
      </c>
      <c r="AC99" s="65">
        <f>-AC50/IS!AC17</f>
        <v>0.16187523190728445</v>
      </c>
      <c r="AD99" s="65">
        <f>-AD50/IS!AD17</f>
        <v>0.13971514162197068</v>
      </c>
      <c r="AE99" s="65">
        <f>-AE50/IS!AE17</f>
        <v>0.15503905166598755</v>
      </c>
      <c r="AF99" s="65">
        <f>-AF50/IS!AF17</f>
        <v>0.14532267189819098</v>
      </c>
      <c r="AG99" s="65">
        <f>-AG50/IS!AG17</f>
        <v>0.1183301442791064</v>
      </c>
      <c r="AH99" s="65">
        <f>-AH50/IS!AH17</f>
        <v>0.13145809232020952</v>
      </c>
      <c r="AI99" s="65">
        <f>-AI50/IS!AI17</f>
        <v>0.14152894900033039</v>
      </c>
      <c r="AJ99" s="65">
        <f>-AJ50/IS!AJ17</f>
        <v>0.18667190690551325</v>
      </c>
      <c r="AK99" s="65">
        <f>-AK50/IS!AK17</f>
        <v>0.14504262017833275</v>
      </c>
      <c r="AL99" s="65">
        <f>-AL50/IS!AL17</f>
        <v>0.11046831442815722</v>
      </c>
      <c r="AM99" s="65">
        <f>-AM50/IS!AM17</f>
        <v>0.12083879691069016</v>
      </c>
      <c r="AN99" s="65">
        <f>-AN50/IS!AN17</f>
        <v>0.10238781164761641</v>
      </c>
      <c r="AO99" s="65">
        <f>-AO50/IS!AO17</f>
        <v>0.12292793094759806</v>
      </c>
      <c r="AP99" s="65">
        <f>-AP50/IS!AP17</f>
        <v>0.11416372850806407</v>
      </c>
      <c r="AQ99" s="65">
        <f>-AQ50/IS!AQ17</f>
        <v>9.34215954544277E-2</v>
      </c>
      <c r="AR99" s="65">
        <f>-AR50/IS!AR17</f>
        <v>9.2495750393520884E-2</v>
      </c>
      <c r="AS99" s="65">
        <f>-AS50/IS!AS17</f>
        <v>7.4430735279366014E-2</v>
      </c>
      <c r="AT99" s="65">
        <f>-AT50/IS!AT17</f>
        <v>9.0750990043598032E-2</v>
      </c>
      <c r="AU99" s="65">
        <f>-AU50/IS!AU17</f>
        <v>8.7665356159372015E-2</v>
      </c>
      <c r="AV99" s="65">
        <f>-AV50/IS!AV17</f>
        <v>5.0601354520910628E-2</v>
      </c>
      <c r="AW99" s="65">
        <f>-AW50/IS!AW17</f>
        <v>5.1498386873241431E-2</v>
      </c>
      <c r="AX99" s="65">
        <f>-AX50/IS!AX17</f>
        <v>7.0045219084683225E-2</v>
      </c>
      <c r="AY99" s="65">
        <f>-AY50/IS!AY17</f>
        <v>0.13171843057544327</v>
      </c>
      <c r="AZ99" s="65">
        <f>-AZ50/IS!AZ17</f>
        <v>7.7921751667423156E-2</v>
      </c>
      <c r="BA99" s="65">
        <f>-BA50/IS!BA17</f>
        <v>0.10199906388247196</v>
      </c>
      <c r="BB99" s="65">
        <f>-BB50/IS!BB17</f>
        <v>9.8476607871386096E-2</v>
      </c>
      <c r="BC99" s="65">
        <f>-BC50/IS!BC17</f>
        <v>9.2565921192359332E-2</v>
      </c>
      <c r="BD99" s="65">
        <f>-BD50/IS!BD17</f>
        <v>0.11091034997327094</v>
      </c>
      <c r="BE99" s="65">
        <f>-BE50/IS!BE17</f>
        <v>0.10110828505487261</v>
      </c>
      <c r="BF99" s="115">
        <f>-BF50/IS!BF17</f>
        <v>7.6406913425007703E-2</v>
      </c>
      <c r="BG99" s="115">
        <f>-BG50/IS!BG17</f>
        <v>8.6197424783463136E-2</v>
      </c>
      <c r="BH99" s="115">
        <f>-BH50/IS!BH17</f>
        <v>0.10796960593744474</v>
      </c>
      <c r="BI99" s="115">
        <f>-BI50/IS!BI17</f>
        <v>0.12423259981381238</v>
      </c>
      <c r="BJ99" s="65">
        <f>-BJ50/IS!BJ17</f>
        <v>9.9041446565288405E-2</v>
      </c>
      <c r="BK99" s="65">
        <f>-BK50/IS!BK17</f>
        <v>0.11484669462411329</v>
      </c>
      <c r="BL99" s="65">
        <f>-BL50/IS!BL17</f>
        <v>0.10491914768349267</v>
      </c>
      <c r="BM99" s="65">
        <f>-BM50/IS!BM17</f>
        <v>0.11229482313197657</v>
      </c>
      <c r="BN99" s="65">
        <f>-BN50/IS!BN17</f>
        <v>0.12626923699320133</v>
      </c>
      <c r="BO99" s="65">
        <f>-BO50/IS!BO17</f>
        <v>0.11479024006489084</v>
      </c>
      <c r="BP99" s="65">
        <f>-BP50/IS!BP17</f>
        <v>9.5244977597918792E-2</v>
      </c>
      <c r="BQ99" s="65">
        <f>-BQ50/IS!BQ17</f>
        <v>9.5605700712589073E-2</v>
      </c>
      <c r="BR99" s="65">
        <f>-BR50/IS!BR17</f>
        <v>8.889234235984303E-2</v>
      </c>
      <c r="BS99" s="65">
        <f>-BS50/IS!BS17</f>
        <v>9.9622341482806603E-2</v>
      </c>
      <c r="BT99" s="65">
        <f>-BT50/IS!BT17</f>
        <v>9.4818453240874512E-2</v>
      </c>
      <c r="BU99" s="65">
        <f>-BU50/IS!BU17</f>
        <v>6.5998776384215363E-2</v>
      </c>
      <c r="BV99" s="65">
        <f>-BV50/IS!BV17</f>
        <v>2.7557536536236233E-2</v>
      </c>
      <c r="BW99" s="65">
        <f>-BW50/IS!BW17</f>
        <v>4.4635800158076451E-2</v>
      </c>
      <c r="BX99" s="65">
        <f>-BX50/IS!BX17</f>
        <v>4.1862769383205371E-2</v>
      </c>
      <c r="BY99" s="65">
        <f>-BY50/IS!BY17</f>
        <v>4.5587543224275162E-2</v>
      </c>
      <c r="BZ99" s="65">
        <f>-BZ50/IS!BZ17</f>
        <v>3.6618062952216549E-2</v>
      </c>
      <c r="CA99" s="65">
        <f>-CA50/IS!CA17</f>
        <v>3.3455635775436927E-2</v>
      </c>
      <c r="CB99" s="65">
        <f>-CB50/IS!CB17</f>
        <v>3.8705972434915775E-2</v>
      </c>
      <c r="CC99" s="65">
        <f>-CC50/IS!CC17</f>
        <v>5.4651162790697663E-2</v>
      </c>
      <c r="CD99" s="240">
        <f>-CD50/IS!CD17</f>
        <v>4.1158451164615126E-2</v>
      </c>
      <c r="CE99" s="65">
        <f>-CE50/IS!CE17</f>
        <v>4.3683068998237762E-2</v>
      </c>
      <c r="CF99" s="65">
        <f>-CF50/IS!CF17</f>
        <v>3.9559177226549877E-2</v>
      </c>
      <c r="CG99" s="65">
        <f>-CG50/IS!CG17</f>
        <v>4.5460746197394437E-2</v>
      </c>
      <c r="CH99" s="65">
        <f>-CH50/IS!CH17</f>
        <v>5.2607275965566157E-2</v>
      </c>
      <c r="CI99" s="240">
        <f>-CI50/IS!CI17</f>
        <v>4.5459207220142551E-2</v>
      </c>
      <c r="CJ99" s="65">
        <f>-CJ50/IS!CJ17</f>
        <v>4.4752186588921286E-2</v>
      </c>
      <c r="CK99" s="65">
        <f>-CK50/IS!CK17</f>
        <v>5.0247633377217736E-2</v>
      </c>
      <c r="CL99" s="65">
        <f>-CL50/IS!CL17</f>
        <v>6.1457764841428661E-2</v>
      </c>
      <c r="CM99" s="65">
        <f>-CM50/IS!CM17</f>
        <v>0.10114634509453625</v>
      </c>
      <c r="CN99" s="240">
        <f>-CN50/IS!CN17</f>
        <v>6.4487945228178273E-2</v>
      </c>
      <c r="CO99" s="65">
        <f>-CO50/IS!CO17</f>
        <v>6.3877464937256143E-2</v>
      </c>
      <c r="CP99" s="65">
        <f>-CP50/IS!CP17</f>
        <v>6.8345729096236194E-2</v>
      </c>
      <c r="CQ99" s="65">
        <f>-CQ50/IS!CQ17</f>
        <v>7.9592000642518687E-2</v>
      </c>
      <c r="CR99" s="65">
        <f>-CR50/IS!CR17</f>
        <v>9.7392314189189186E-2</v>
      </c>
      <c r="CS99" s="240">
        <f>-CS50/IS!CS17</f>
        <v>7.7433762250368285E-2</v>
      </c>
      <c r="CT99" s="240">
        <f>-CT50/IS!CT17</f>
        <v>6.040664213605057E-2</v>
      </c>
      <c r="CU99" s="240">
        <f>-CU50/IS!CU17</f>
        <v>6.3890753265527386E-2</v>
      </c>
      <c r="CV99" s="240">
        <f>-CV50/IS!CV17</f>
        <v>7.4054457471651791E-2</v>
      </c>
      <c r="CW99" s="240">
        <f>-CW50/IS!CW17</f>
        <v>8.3644278606965175E-2</v>
      </c>
      <c r="CX99" s="240">
        <f>-CX50/IS!CX17</f>
        <v>7.0580438840216683E-2</v>
      </c>
      <c r="CY99" s="240">
        <f>-CY50/IS!CY17</f>
        <v>6.0751165889407058E-2</v>
      </c>
      <c r="CZ99" s="240">
        <f>-CZ50/IS!CZ17</f>
        <v>6.8982140900624517E-2</v>
      </c>
      <c r="DA99" s="240">
        <f>-DA50/IS!DA17</f>
        <v>6.9019913136114081E-2</v>
      </c>
      <c r="DB99" s="240">
        <v>9.7000000000000003E-2</v>
      </c>
      <c r="DC99" s="240">
        <f>-DC50/IS!DC17</f>
        <v>6.8033210351359674E-2</v>
      </c>
      <c r="DD99" s="238">
        <f>-DD50/IS!DD17</f>
        <v>6.1747464408672188E-2</v>
      </c>
      <c r="DE99" s="238">
        <f>-DE50/IS!DE17</f>
        <v>6.737162541055837E-2</v>
      </c>
      <c r="DF99" s="238">
        <f>-DF50/IS!DF17</f>
        <v>6.9014891179839624E-2</v>
      </c>
      <c r="DG99" s="238">
        <f>-DG50/IS!DG17</f>
        <v>7.189382266423866E-2</v>
      </c>
      <c r="DH99" s="240">
        <f>-DH50/IS!DH17</f>
        <v>6.7569279270403779E-2</v>
      </c>
      <c r="DI99" s="238">
        <f>-DI50/IS!DI17</f>
        <v>5.3620331769261627E-2</v>
      </c>
      <c r="DJ99" s="238">
        <f>-DJ50/IS!DJ17</f>
        <v>6.2429165092557609E-2</v>
      </c>
      <c r="DK99" s="238">
        <f>-DK50/IS!DK17</f>
        <v>6.8427095292766929E-2</v>
      </c>
      <c r="DL99" s="65">
        <v>9.8000000000000004E-2</v>
      </c>
      <c r="DM99" s="240">
        <f>-DM50/IS!DM17</f>
        <v>6.7870655344467928E-2</v>
      </c>
      <c r="DN99" s="115">
        <v>7.4999999999999997E-2</v>
      </c>
      <c r="DO99" s="115">
        <v>7.4999999999999997E-2</v>
      </c>
      <c r="DP99" s="115">
        <v>7.4999999999999997E-2</v>
      </c>
      <c r="DQ99" s="115">
        <v>0.1</v>
      </c>
      <c r="DR99" s="240">
        <f>-DR50/IS!DR17</f>
        <v>8.1468104503702787E-2</v>
      </c>
      <c r="DS99" s="115">
        <v>7.0000000000000007E-2</v>
      </c>
      <c r="DT99" s="115">
        <v>7.0000000000000007E-2</v>
      </c>
      <c r="DU99" s="115">
        <v>7.0000000000000007E-2</v>
      </c>
      <c r="DV99" s="115">
        <v>0.09</v>
      </c>
      <c r="DW99" s="240">
        <f>-DW50/IS!DW17</f>
        <v>7.5162988270248768E-2</v>
      </c>
      <c r="DX99" s="115">
        <v>6.5000000000000002E-2</v>
      </c>
      <c r="DY99" s="115">
        <v>6.5000000000000002E-2</v>
      </c>
      <c r="DZ99" s="115">
        <v>6.5000000000000002E-2</v>
      </c>
      <c r="EA99" s="115">
        <v>0.08</v>
      </c>
      <c r="EB99" s="240">
        <f>-EB50/IS!EB17</f>
        <v>6.8868823661206266E-2</v>
      </c>
      <c r="FC99"/>
      <c r="FD99"/>
      <c r="FE99"/>
      <c r="FF99"/>
      <c r="FG99"/>
      <c r="FH99"/>
      <c r="FI99" s="396"/>
      <c r="FJ99" s="419"/>
      <c r="FK99" s="419"/>
      <c r="FL99" s="419"/>
      <c r="FM99" s="419"/>
      <c r="FN99" s="419"/>
      <c r="FO99" s="419"/>
      <c r="FP99" s="419"/>
      <c r="FQ99" s="419"/>
      <c r="FR99" s="419"/>
      <c r="FS99" s="419"/>
      <c r="FT99" s="419"/>
      <c r="FU99" s="419"/>
      <c r="FV99" s="419"/>
      <c r="FW99" s="419"/>
      <c r="FX99" s="419"/>
      <c r="FY99" s="419"/>
      <c r="FZ99" s="419"/>
      <c r="GA99" s="419"/>
      <c r="GB99" s="419"/>
      <c r="GC99" s="419"/>
      <c r="GD99" s="419"/>
      <c r="GE99" s="419"/>
      <c r="GF99" s="419"/>
      <c r="GG99" s="419"/>
      <c r="GH99" s="419"/>
      <c r="GI99" s="419"/>
      <c r="GJ99" s="419"/>
      <c r="GK99" s="419"/>
      <c r="GL99" s="419"/>
      <c r="GM99" s="419"/>
      <c r="GN99" s="419"/>
      <c r="GO99" s="419"/>
      <c r="GP99" s="419"/>
      <c r="GQ99" s="419"/>
      <c r="GR99" s="419"/>
      <c r="GS99" s="419"/>
      <c r="GT99" s="419"/>
      <c r="GU99" s="419"/>
      <c r="GV99" s="419"/>
      <c r="GW99" s="418"/>
      <c r="GX99" s="418"/>
      <c r="GY99" s="418"/>
      <c r="GZ99" s="418"/>
      <c r="HA99" s="418"/>
      <c r="HB99" s="418"/>
      <c r="HC99" s="418"/>
      <c r="HD99" s="418"/>
      <c r="HE99" s="418"/>
      <c r="HF99" s="418"/>
      <c r="HG99" s="418"/>
      <c r="HH99" s="418"/>
      <c r="HI99" s="418"/>
      <c r="HJ99" s="418"/>
      <c r="HK99" s="418"/>
      <c r="HL99" s="418"/>
      <c r="HM99" s="418"/>
      <c r="HN99" s="418"/>
      <c r="HO99" s="418"/>
      <c r="HP99" s="418"/>
      <c r="HQ99" s="418"/>
      <c r="HR99" s="418"/>
      <c r="HS99" s="418"/>
      <c r="HT99" s="418"/>
      <c r="HU99" s="418"/>
      <c r="HV99" s="418"/>
      <c r="HW99" s="418"/>
      <c r="HX99" s="418"/>
      <c r="HY99" s="418"/>
      <c r="HZ99" s="418"/>
      <c r="IA99" s="418"/>
      <c r="IB99" s="418"/>
      <c r="IC99" s="418"/>
      <c r="ID99" s="418"/>
      <c r="IE99" s="418"/>
      <c r="IF99" s="418"/>
      <c r="IG99" s="418"/>
      <c r="IH99" s="418"/>
      <c r="II99" s="418"/>
      <c r="IJ99" s="418"/>
      <c r="IK99" s="418"/>
      <c r="IL99" s="418"/>
      <c r="IM99" s="418"/>
      <c r="IN99" s="418"/>
      <c r="IO99" s="418"/>
      <c r="IP99" s="418"/>
      <c r="IQ99" s="418"/>
      <c r="IR99" s="418"/>
      <c r="IS99" s="418"/>
      <c r="IT99" s="418"/>
      <c r="IU99" s="418"/>
      <c r="IV99" s="418"/>
    </row>
    <row r="100" spans="1:256" s="114" customFormat="1" x14ac:dyDescent="0.2">
      <c r="A100" s="843" t="s">
        <v>166</v>
      </c>
      <c r="AP100" s="114">
        <f>IS!AP31-(-CF!AP50)</f>
        <v>162.00499999999994</v>
      </c>
      <c r="AU100" s="114">
        <f>IS!AU31-(-CF!AU50)</f>
        <v>326.70099999999974</v>
      </c>
      <c r="AZ100" s="114">
        <f>IS!AZ31-(-CF!AZ50)</f>
        <v>508.32699999999994</v>
      </c>
      <c r="BE100" s="389">
        <f>IS!BE31-(-CF!BE50)</f>
        <v>503.8329999999994</v>
      </c>
      <c r="BJ100" s="114">
        <f>IS!BJ31-(-CF!BJ50)</f>
        <v>535.38100000000031</v>
      </c>
      <c r="BO100" s="114">
        <f>IS!BO31-(-CF!BO50)</f>
        <v>464.83500000000004</v>
      </c>
      <c r="BT100" s="114">
        <f>IS!BT31-(-CF!BT50)</f>
        <v>123.85999999999967</v>
      </c>
      <c r="BY100" s="114">
        <f>IS!BY31-(-CF!BY50)</f>
        <v>651.0999999999998</v>
      </c>
      <c r="CD100" s="131">
        <f>IS!CD31-(-CF!CD50)</f>
        <v>1489.0999999999992</v>
      </c>
      <c r="CI100" s="131">
        <f>IS!CI31-(-CF!CI50)</f>
        <v>1720</v>
      </c>
      <c r="CN100" s="131">
        <f>IS!CN31-(-CF!CN50)</f>
        <v>1691.6999999999996</v>
      </c>
      <c r="CQ100" s="389"/>
      <c r="CR100" s="389"/>
      <c r="CS100" s="131">
        <f>IS!CS31-(-CF!CS50)</f>
        <v>-855.10000000000343</v>
      </c>
      <c r="CT100" s="126"/>
      <c r="CU100" s="126"/>
      <c r="CV100" s="126"/>
      <c r="CW100" s="719"/>
      <c r="CX100" s="719">
        <f>IS!CX31-(-CF!CX50)</f>
        <v>2629.7000000000021</v>
      </c>
      <c r="CY100" s="719">
        <f>IS!CY31-(-CF!CY50)</f>
        <v>829.70000000000095</v>
      </c>
      <c r="CZ100" s="719">
        <f>IS!CZ31-(-CF!CZ50)</f>
        <v>679.8</v>
      </c>
      <c r="DA100" s="719">
        <f>IS!DA31-(-CF!DA50)</f>
        <v>838.19999999999959</v>
      </c>
      <c r="DB100" s="719">
        <f>IS!DB31-(-CF!DB50)</f>
        <v>843.49999999999932</v>
      </c>
      <c r="DC100" s="125">
        <f>IS!DC31-(-CF!DC50)</f>
        <v>3191.2000000000016</v>
      </c>
      <c r="DD100" s="113">
        <f>IS!DD31-(-CF!DD50)</f>
        <v>961.7</v>
      </c>
      <c r="DE100" s="670">
        <f>IS!DE31-(-CF!DE50)</f>
        <v>775.59999999999968</v>
      </c>
      <c r="DF100" s="670">
        <f>IS!DF31-(-CF!DF50)</f>
        <v>908.39999999999986</v>
      </c>
      <c r="DG100" s="670">
        <f>IS!DG31-(-CF!DG50)</f>
        <v>1066.8000000000011</v>
      </c>
      <c r="DH100" s="131">
        <f>IS!DH31-(-CF!DH50)</f>
        <v>3712.5000000000018</v>
      </c>
      <c r="DI100" s="113">
        <f>IS!DI31-(-CF!DI50)</f>
        <v>1074.8999999999996</v>
      </c>
      <c r="DJ100" s="670">
        <f>IS!DJ31-(-CF!DJ50)</f>
        <v>858.50000000000023</v>
      </c>
      <c r="DK100" s="670">
        <f>IS!DK31-(-CF!DK50)</f>
        <v>909.4</v>
      </c>
      <c r="DL100" s="113"/>
      <c r="DM100" s="125"/>
      <c r="DN100" s="389"/>
      <c r="DO100" s="389"/>
      <c r="DP100" s="389"/>
      <c r="DQ100" s="389"/>
      <c r="DR100" s="131"/>
      <c r="DS100" s="389"/>
      <c r="DT100" s="389"/>
      <c r="DU100" s="389"/>
      <c r="DV100" s="389"/>
      <c r="DW100" s="131"/>
      <c r="DX100" s="389"/>
      <c r="DY100" s="389"/>
      <c r="DZ100" s="389"/>
      <c r="EA100" s="389"/>
      <c r="EB100" s="131"/>
      <c r="EE100" s="113"/>
      <c r="EF100" s="113"/>
      <c r="EG100" s="113"/>
      <c r="EH100" s="113"/>
      <c r="EI100" s="113"/>
      <c r="EJ100" s="113"/>
      <c r="EK100" s="113"/>
      <c r="EL100" s="113"/>
      <c r="EM100" s="113"/>
      <c r="EN100" s="113"/>
      <c r="EO100" s="113"/>
      <c r="EP100" s="113"/>
      <c r="EQ100" s="113"/>
      <c r="ER100" s="113"/>
      <c r="FC100"/>
      <c r="FD100"/>
      <c r="FE100"/>
      <c r="FF100"/>
      <c r="FG100"/>
      <c r="FH100"/>
      <c r="FI100" s="396"/>
      <c r="FJ100" s="419"/>
      <c r="FK100" s="419"/>
      <c r="FL100" s="419"/>
      <c r="FM100" s="419"/>
      <c r="FN100" s="419"/>
      <c r="FO100" s="419"/>
      <c r="FP100" s="419"/>
      <c r="FQ100" s="419"/>
      <c r="FR100" s="419"/>
      <c r="FS100" s="419"/>
      <c r="FT100" s="419"/>
      <c r="FU100" s="419"/>
      <c r="FV100" s="419"/>
      <c r="FW100" s="419"/>
      <c r="FX100" s="419"/>
      <c r="FY100" s="419"/>
      <c r="FZ100" s="419"/>
      <c r="GA100" s="419"/>
      <c r="GB100" s="419"/>
      <c r="GC100" s="419"/>
      <c r="GD100" s="419"/>
      <c r="GE100" s="419"/>
      <c r="GF100" s="419"/>
      <c r="GG100" s="419"/>
      <c r="GH100" s="419"/>
      <c r="GI100" s="419"/>
      <c r="GJ100" s="419"/>
      <c r="GK100" s="419"/>
      <c r="GL100" s="419"/>
      <c r="GM100" s="419"/>
      <c r="GN100" s="419"/>
      <c r="GO100" s="419"/>
      <c r="GP100" s="419"/>
      <c r="GQ100" s="419"/>
      <c r="GR100" s="419"/>
      <c r="GS100" s="419"/>
      <c r="GT100" s="419"/>
      <c r="GU100" s="419"/>
      <c r="GV100" s="419"/>
      <c r="GW100" s="418"/>
      <c r="GX100" s="418"/>
      <c r="GY100" s="418"/>
      <c r="GZ100" s="418"/>
      <c r="HA100" s="418"/>
      <c r="HB100" s="418"/>
      <c r="HC100" s="418"/>
      <c r="HD100" s="418"/>
      <c r="HE100" s="418"/>
      <c r="HF100" s="418"/>
      <c r="HG100" s="418"/>
      <c r="HH100" s="418"/>
      <c r="HI100" s="418"/>
      <c r="HJ100" s="418"/>
      <c r="HK100" s="418"/>
      <c r="HL100" s="418"/>
      <c r="HM100" s="418"/>
      <c r="HN100" s="418"/>
      <c r="HO100" s="418"/>
      <c r="HP100" s="418"/>
      <c r="HQ100" s="418"/>
      <c r="HR100" s="418"/>
      <c r="HS100" s="418"/>
      <c r="HT100" s="418"/>
      <c r="HU100" s="418"/>
      <c r="HV100" s="418"/>
      <c r="HW100" s="418"/>
      <c r="HX100" s="418"/>
      <c r="HY100" s="418"/>
      <c r="HZ100" s="418"/>
      <c r="IA100" s="418"/>
      <c r="IB100" s="418"/>
      <c r="IC100" s="418"/>
      <c r="ID100" s="418"/>
      <c r="IE100" s="418"/>
      <c r="IF100" s="418"/>
      <c r="IG100" s="418"/>
      <c r="IH100" s="418"/>
      <c r="II100" s="418"/>
      <c r="IJ100" s="418"/>
      <c r="IK100" s="418"/>
      <c r="IL100" s="418"/>
      <c r="IM100" s="418"/>
      <c r="IN100" s="418"/>
      <c r="IO100" s="418"/>
      <c r="IP100" s="418"/>
      <c r="IQ100" s="418"/>
      <c r="IR100" s="418"/>
      <c r="IS100" s="418"/>
      <c r="IT100" s="418"/>
      <c r="IU100" s="418"/>
      <c r="IV100" s="418"/>
    </row>
    <row r="101" spans="1:256" s="100" customFormat="1" x14ac:dyDescent="0.2">
      <c r="A101" s="844" t="s">
        <v>163</v>
      </c>
      <c r="BK101" s="162">
        <f>BK61/BK60</f>
        <v>0.45197619410956813</v>
      </c>
      <c r="BL101" s="162">
        <f>BL61/BL60</f>
        <v>0.39203693288338964</v>
      </c>
      <c r="BM101" s="162">
        <f>BM61/BM60</f>
        <v>0.200239428189148</v>
      </c>
      <c r="BN101" s="162">
        <f>BN61/BN60</f>
        <v>1.0170327763177471</v>
      </c>
      <c r="CB101" s="100">
        <v>0.1</v>
      </c>
      <c r="CC101" s="100">
        <v>0.13</v>
      </c>
      <c r="CD101" s="167">
        <f>SUM(BZ101:CC101)</f>
        <v>0.23</v>
      </c>
      <c r="CE101" s="100">
        <f>CC101</f>
        <v>0.13</v>
      </c>
      <c r="CF101" s="100">
        <f>CE101</f>
        <v>0.13</v>
      </c>
      <c r="CG101" s="100">
        <f>CF101</f>
        <v>0.13</v>
      </c>
      <c r="CH101" s="100">
        <v>0.13300000000000001</v>
      </c>
      <c r="CI101" s="167">
        <f>SUM(CE101:CH101)</f>
        <v>0.52300000000000002</v>
      </c>
      <c r="CJ101" s="100">
        <v>0.17</v>
      </c>
      <c r="CK101" s="100">
        <v>0.17</v>
      </c>
      <c r="CL101" s="100">
        <v>0.17</v>
      </c>
      <c r="CM101" s="100">
        <v>0.17</v>
      </c>
      <c r="CN101" s="167">
        <f>SUM(CJ101:CM101)</f>
        <v>0.68</v>
      </c>
      <c r="CO101" s="100">
        <v>0.21</v>
      </c>
      <c r="CP101" s="100">
        <v>0.21</v>
      </c>
      <c r="CQ101" s="100">
        <v>0.21</v>
      </c>
      <c r="CR101" s="100">
        <v>0.26</v>
      </c>
      <c r="CS101" s="167">
        <f>SUM(CO101:CR101)</f>
        <v>0.89</v>
      </c>
      <c r="CT101" s="167">
        <v>0.26</v>
      </c>
      <c r="CU101" s="167">
        <v>0.26</v>
      </c>
      <c r="CV101" s="167">
        <v>0.26</v>
      </c>
      <c r="CW101" s="736">
        <v>0.28000000000000003</v>
      </c>
      <c r="CX101" s="736">
        <f>SUM(CT101:CW101)</f>
        <v>1.06</v>
      </c>
      <c r="CY101" s="167">
        <f>-CY67/IS!CY54</f>
        <v>0.15789820675105487</v>
      </c>
      <c r="CZ101" s="167">
        <f>-CZ67/IS!CZ54</f>
        <v>0.15832509066930434</v>
      </c>
      <c r="DA101" s="167">
        <f>-DA67/IS!DA54</f>
        <v>0.15840865606650392</v>
      </c>
      <c r="DB101" s="846">
        <v>0.2</v>
      </c>
      <c r="DC101" s="167">
        <f>SUM(CY101:DB101)</f>
        <v>0.67463195348686322</v>
      </c>
      <c r="DD101" s="164">
        <f>-DD67/IS!DD54</f>
        <v>0.1975653562163241</v>
      </c>
      <c r="DE101" s="164">
        <f>-DE67/IS!DE54</f>
        <v>0.19830485672003226</v>
      </c>
      <c r="DF101" s="164">
        <f>-DF67/IS!DF54</f>
        <v>0.19806665314675861</v>
      </c>
      <c r="DG101" s="164">
        <f>-DG67/IS!DG54</f>
        <v>0.19832251082251084</v>
      </c>
      <c r="DH101" s="167">
        <f>SUM(DD101:DG101)</f>
        <v>0.79225937690562587</v>
      </c>
      <c r="DI101" s="164">
        <f>-DI67/IS!DI54</f>
        <v>0.24753485209112547</v>
      </c>
      <c r="DJ101" s="164">
        <f>-DJ67/IS!DJ54</f>
        <v>0.24836155106499178</v>
      </c>
      <c r="DK101" s="164">
        <f>-DK67/IS!DK54</f>
        <v>0.24804714266136768</v>
      </c>
      <c r="DL101" s="164">
        <f>-DL67/IS!DL54</f>
        <v>0.24848401323043007</v>
      </c>
      <c r="DM101" s="167">
        <f>SUM(DI101:DL101)</f>
        <v>0.99242755904791502</v>
      </c>
      <c r="DN101" s="100">
        <f>DI101*(1+DN102)</f>
        <v>0.29704182250935057</v>
      </c>
      <c r="DO101" s="100">
        <f>DJ101*(1+DO102)</f>
        <v>0.29803386127799014</v>
      </c>
      <c r="DP101" s="100">
        <f>DK101*(1+DP102)</f>
        <v>0.2976565711936412</v>
      </c>
      <c r="DQ101" s="100">
        <f>DL101*(1+DQ102)</f>
        <v>0.29818081587651607</v>
      </c>
      <c r="DR101" s="167">
        <f>SUM(DN101:DQ101)</f>
        <v>1.190913070857498</v>
      </c>
      <c r="DS101" s="100">
        <f>DN101*(1+DS102)</f>
        <v>0.35645018701122066</v>
      </c>
      <c r="DT101" s="100">
        <f>DO101*(1+DT102)</f>
        <v>0.35764063353358816</v>
      </c>
      <c r="DU101" s="100">
        <f>DP101*(1+DU102)</f>
        <v>0.3571878854323694</v>
      </c>
      <c r="DV101" s="100">
        <f>DQ101*(1+DV102)</f>
        <v>0.35781697905181925</v>
      </c>
      <c r="DW101" s="167">
        <f>SUM(DS101:DV101)</f>
        <v>1.4290956850289975</v>
      </c>
      <c r="DX101" s="100">
        <f>DS101*(1+DX102)</f>
        <v>0.42774022441346476</v>
      </c>
      <c r="DY101" s="100">
        <f>DT101*(1+DY102)</f>
        <v>0.42916876024030576</v>
      </c>
      <c r="DZ101" s="100">
        <f>DU101*(1+DZ102)</f>
        <v>0.42862546251884326</v>
      </c>
      <c r="EA101" s="100">
        <f>DV101*(1+EA102)</f>
        <v>0.42938037486218311</v>
      </c>
      <c r="EB101" s="167">
        <f>SUM(DX101:EA101)</f>
        <v>1.7149148220347969</v>
      </c>
      <c r="FC101"/>
      <c r="FD101"/>
      <c r="FE101"/>
      <c r="FF101"/>
      <c r="FG101"/>
      <c r="FH101"/>
      <c r="FI101" s="396"/>
      <c r="FJ101" s="419"/>
      <c r="FK101" s="419"/>
      <c r="FL101" s="419"/>
      <c r="FM101" s="419"/>
      <c r="FN101" s="419"/>
      <c r="FO101" s="419"/>
      <c r="FP101" s="419"/>
      <c r="FQ101" s="419"/>
      <c r="FR101" s="419"/>
      <c r="FS101" s="419"/>
      <c r="FT101" s="419"/>
      <c r="FU101" s="419"/>
      <c r="FV101" s="419"/>
      <c r="FW101" s="419"/>
      <c r="FX101" s="419"/>
      <c r="FY101" s="419"/>
      <c r="FZ101" s="419"/>
      <c r="GA101" s="419"/>
      <c r="GB101" s="419"/>
      <c r="GC101" s="419"/>
      <c r="GD101" s="419"/>
      <c r="GE101" s="419"/>
      <c r="GF101" s="419"/>
      <c r="GG101" s="419"/>
      <c r="GH101" s="419"/>
      <c r="GI101" s="419"/>
      <c r="GJ101" s="419"/>
      <c r="GK101" s="419"/>
      <c r="GL101" s="419"/>
      <c r="GM101" s="419"/>
      <c r="GN101" s="419"/>
      <c r="GO101" s="419"/>
      <c r="GP101" s="419"/>
      <c r="GQ101" s="419"/>
      <c r="GR101" s="419"/>
      <c r="GS101" s="419"/>
      <c r="GT101" s="419"/>
      <c r="GU101" s="419"/>
      <c r="GV101" s="419"/>
      <c r="GW101" s="418"/>
      <c r="GX101" s="418"/>
      <c r="GY101" s="418"/>
      <c r="GZ101" s="418"/>
      <c r="HA101" s="418"/>
      <c r="HB101" s="418"/>
      <c r="HC101" s="418"/>
      <c r="HD101" s="418"/>
      <c r="HE101" s="418"/>
      <c r="HF101" s="418"/>
      <c r="HG101" s="418"/>
      <c r="HH101" s="418"/>
      <c r="HI101" s="418"/>
      <c r="HJ101" s="418"/>
      <c r="HK101" s="418"/>
      <c r="HL101" s="418"/>
      <c r="HM101" s="418"/>
      <c r="HN101" s="418"/>
      <c r="HO101" s="418"/>
      <c r="HP101" s="418"/>
      <c r="HQ101" s="418"/>
      <c r="HR101" s="418"/>
      <c r="HS101" s="418"/>
      <c r="HT101" s="418"/>
      <c r="HU101" s="418"/>
      <c r="HV101" s="418"/>
      <c r="HW101" s="418"/>
      <c r="HX101" s="418"/>
      <c r="HY101" s="418"/>
      <c r="HZ101" s="418"/>
      <c r="IA101" s="418"/>
      <c r="IB101" s="418"/>
      <c r="IC101" s="418"/>
      <c r="ID101" s="418"/>
      <c r="IE101" s="418"/>
      <c r="IF101" s="418"/>
      <c r="IG101" s="418"/>
      <c r="IH101" s="418"/>
      <c r="II101" s="418"/>
      <c r="IJ101" s="418"/>
      <c r="IK101" s="418"/>
      <c r="IL101" s="418"/>
      <c r="IM101" s="418"/>
      <c r="IN101" s="418"/>
      <c r="IO101" s="418"/>
      <c r="IP101" s="418"/>
      <c r="IQ101" s="418"/>
      <c r="IR101" s="418"/>
      <c r="IS101" s="418"/>
      <c r="IT101" s="418"/>
      <c r="IU101" s="418"/>
      <c r="IV101" s="418"/>
    </row>
    <row r="102" spans="1:256" s="1" customFormat="1" x14ac:dyDescent="0.2">
      <c r="A102" s="845" t="s">
        <v>541</v>
      </c>
      <c r="CD102" s="20"/>
      <c r="CI102" s="20"/>
      <c r="CJ102" s="65">
        <f>CJ101/CE101-1</f>
        <v>0.30769230769230771</v>
      </c>
      <c r="CK102" s="65">
        <f>CK101/CF101-1</f>
        <v>0.30769230769230771</v>
      </c>
      <c r="CL102" s="65">
        <f>CL101/CG101-1</f>
        <v>0.30769230769230771</v>
      </c>
      <c r="CM102" s="65">
        <v>0.31</v>
      </c>
      <c r="CN102" s="20"/>
      <c r="CO102" s="65">
        <f>CO101/CJ101-1</f>
        <v>0.23529411764705865</v>
      </c>
      <c r="CP102" s="65">
        <f>CP101/CK101-1</f>
        <v>0.23529411764705865</v>
      </c>
      <c r="CQ102" s="65">
        <f>CQ101/CL101-1</f>
        <v>0.23529411764705865</v>
      </c>
      <c r="CR102" s="65">
        <f>CR101/CM101-1</f>
        <v>0.52941176470588225</v>
      </c>
      <c r="CS102" s="20"/>
      <c r="CT102" s="61">
        <f>CT101/CO101-1</f>
        <v>0.23809523809523814</v>
      </c>
      <c r="CU102" s="61">
        <f>CU101/CP101-1</f>
        <v>0.23809523809523814</v>
      </c>
      <c r="CV102" s="61">
        <f>CV101/CQ101-1</f>
        <v>0.23809523809523814</v>
      </c>
      <c r="CW102" s="753">
        <f>CW101/CR101-1</f>
        <v>7.6923076923077094E-2</v>
      </c>
      <c r="CX102" s="717"/>
      <c r="CY102" s="61">
        <f>CY101/CT101-1</f>
        <v>-0.39269920480363518</v>
      </c>
      <c r="CZ102" s="61">
        <f>CZ101/CU101-1</f>
        <v>-0.39105734357959876</v>
      </c>
      <c r="DA102" s="61">
        <f>DA101/CV101-1</f>
        <v>-0.39073593820575414</v>
      </c>
      <c r="DB102" s="61">
        <v>0.16</v>
      </c>
      <c r="DC102" s="61"/>
      <c r="DD102" s="238">
        <f>DD101/CY101-1</f>
        <v>0.25121975911866534</v>
      </c>
      <c r="DE102" s="238">
        <f>DE101/CZ101-1</f>
        <v>0.25251693134497666</v>
      </c>
      <c r="DF102" s="238">
        <f>DF101/DA101-1</f>
        <v>0.25035246220134133</v>
      </c>
      <c r="DG102" s="238">
        <f>DG101/DB101-1</f>
        <v>-8.3874458874457769E-3</v>
      </c>
      <c r="DH102" s="20"/>
      <c r="DI102" s="238">
        <f>DI101/DD101-1</f>
        <v>0.25292640790770671</v>
      </c>
      <c r="DJ102" s="238">
        <f>DJ101/DE101-1</f>
        <v>0.25242293695121032</v>
      </c>
      <c r="DK102" s="238">
        <f>DK101/DF101-1</f>
        <v>0.252341768392359</v>
      </c>
      <c r="DL102" s="238">
        <f>DL101/DG101-1</f>
        <v>0.25292893983583831</v>
      </c>
      <c r="DM102" s="20"/>
      <c r="DN102" s="115">
        <v>0.2</v>
      </c>
      <c r="DO102" s="115">
        <v>0.2</v>
      </c>
      <c r="DP102" s="115">
        <v>0.2</v>
      </c>
      <c r="DQ102" s="115">
        <v>0.2</v>
      </c>
      <c r="DR102" s="20"/>
      <c r="DS102" s="115">
        <v>0.2</v>
      </c>
      <c r="DT102" s="115">
        <v>0.2</v>
      </c>
      <c r="DU102" s="115">
        <v>0.2</v>
      </c>
      <c r="DV102" s="115">
        <v>0.2</v>
      </c>
      <c r="DW102" s="20"/>
      <c r="DX102" s="115">
        <v>0.2</v>
      </c>
      <c r="DY102" s="115">
        <v>0.2</v>
      </c>
      <c r="DZ102" s="115">
        <v>0.2</v>
      </c>
      <c r="EA102" s="115">
        <v>0.2</v>
      </c>
      <c r="EB102" s="20"/>
      <c r="FC102"/>
      <c r="FD102"/>
      <c r="FE102"/>
      <c r="FF102"/>
      <c r="FG102"/>
      <c r="FH102"/>
      <c r="FI102" s="396"/>
      <c r="FJ102" s="419"/>
      <c r="FK102" s="419"/>
      <c r="FL102" s="419"/>
      <c r="FM102" s="419"/>
      <c r="FN102" s="419"/>
      <c r="FO102" s="419"/>
      <c r="FP102" s="419"/>
      <c r="FQ102" s="419"/>
      <c r="FR102" s="419"/>
      <c r="FS102" s="419"/>
      <c r="FT102" s="419"/>
      <c r="FU102" s="419"/>
      <c r="FV102" s="419"/>
      <c r="FW102" s="419"/>
      <c r="FX102" s="419"/>
      <c r="FY102" s="419"/>
      <c r="FZ102" s="419"/>
      <c r="GA102" s="419"/>
      <c r="GB102" s="419"/>
      <c r="GC102" s="419"/>
      <c r="GD102" s="419"/>
      <c r="GE102" s="419"/>
      <c r="GF102" s="419"/>
      <c r="GG102" s="419"/>
      <c r="GH102" s="419"/>
      <c r="GI102" s="419"/>
      <c r="GJ102" s="419"/>
      <c r="GK102" s="419"/>
      <c r="GL102" s="419"/>
      <c r="GM102" s="419"/>
      <c r="GN102" s="419"/>
      <c r="GO102" s="419"/>
      <c r="GP102" s="419"/>
      <c r="GQ102" s="419"/>
      <c r="GR102" s="419"/>
      <c r="GS102" s="419"/>
      <c r="GT102" s="419"/>
      <c r="GU102" s="419"/>
      <c r="GV102" s="419"/>
      <c r="GW102" s="418"/>
      <c r="GX102" s="418"/>
      <c r="GY102" s="418"/>
      <c r="GZ102" s="418"/>
      <c r="HA102" s="418"/>
      <c r="HB102" s="418"/>
      <c r="HC102" s="418"/>
      <c r="HD102" s="418"/>
      <c r="HE102" s="418"/>
      <c r="HF102" s="418"/>
      <c r="HG102" s="418"/>
      <c r="HH102" s="418"/>
      <c r="HI102" s="418"/>
      <c r="HJ102" s="418"/>
      <c r="HK102" s="418"/>
      <c r="HL102" s="418"/>
      <c r="HM102" s="418"/>
      <c r="HN102" s="418"/>
      <c r="HO102" s="418"/>
      <c r="HP102" s="418"/>
      <c r="HQ102" s="418"/>
      <c r="HR102" s="418"/>
      <c r="HS102" s="418"/>
      <c r="HT102" s="418"/>
      <c r="HU102" s="418"/>
      <c r="HV102" s="418"/>
      <c r="HW102" s="418"/>
      <c r="HX102" s="418"/>
      <c r="HY102" s="418"/>
      <c r="HZ102" s="418"/>
      <c r="IA102" s="418"/>
      <c r="IB102" s="418"/>
      <c r="IC102" s="418"/>
      <c r="ID102" s="418"/>
      <c r="IE102" s="418"/>
      <c r="IF102" s="418"/>
      <c r="IG102" s="418"/>
      <c r="IH102" s="418"/>
      <c r="II102" s="418"/>
      <c r="IJ102" s="418"/>
      <c r="IK102" s="418"/>
      <c r="IL102" s="418"/>
      <c r="IM102" s="418"/>
      <c r="IN102" s="418"/>
      <c r="IO102" s="418"/>
      <c r="IP102" s="418"/>
      <c r="IQ102" s="418"/>
      <c r="IR102" s="418"/>
      <c r="IS102" s="418"/>
      <c r="IT102" s="418"/>
      <c r="IU102" s="418"/>
      <c r="IV102" s="418"/>
    </row>
    <row r="103" spans="1:256" s="1" customFormat="1" x14ac:dyDescent="0.2">
      <c r="A103" s="845" t="s">
        <v>106</v>
      </c>
      <c r="BY103" s="65">
        <f>-BY67/BY10</f>
        <v>0</v>
      </c>
      <c r="BZ103" s="65"/>
      <c r="CA103" s="65"/>
      <c r="CB103" s="65"/>
      <c r="CC103" s="65"/>
      <c r="CD103" s="236">
        <f>-CD67/CD10</f>
        <v>0.1803226826953496</v>
      </c>
      <c r="CE103" s="65"/>
      <c r="CF103" s="65"/>
      <c r="CG103" s="65"/>
      <c r="CH103" s="65"/>
      <c r="CI103" s="236">
        <f>-CI67/(CI10-IS!CI45)</f>
        <v>0.33257908892968446</v>
      </c>
      <c r="CJ103" s="65"/>
      <c r="CK103" s="65"/>
      <c r="CL103" s="65"/>
      <c r="CM103" s="65"/>
      <c r="CN103" s="236">
        <f>-CN67/(CN10-IS!CN45)</f>
        <v>0.37047735971690615</v>
      </c>
      <c r="CO103" s="65"/>
      <c r="CP103" s="65"/>
      <c r="CQ103" s="65"/>
      <c r="CR103" s="65"/>
      <c r="CS103" s="236">
        <f>-CS67/(CS10-IS!CS45)</f>
        <v>0.37615886117590841</v>
      </c>
      <c r="CT103" s="236"/>
      <c r="CU103" s="236"/>
      <c r="CV103" s="236"/>
      <c r="CW103" s="737"/>
      <c r="CX103" s="737">
        <f>-CX67/(CX10-IS!CX45)</f>
        <v>0.3898516509913319</v>
      </c>
      <c r="CY103" s="236"/>
      <c r="CZ103" s="236"/>
      <c r="DA103" s="236"/>
      <c r="DB103" s="236"/>
      <c r="DC103" s="236">
        <f>-DC67/(DC10-IS!DC45)</f>
        <v>0.38743903538946778</v>
      </c>
      <c r="DD103" s="238"/>
      <c r="DE103" s="238"/>
      <c r="DF103" s="238"/>
      <c r="DG103" s="238"/>
      <c r="DH103" s="236">
        <f>-DH67/DH10</f>
        <v>0.4178935045585157</v>
      </c>
      <c r="DI103" s="238"/>
      <c r="DJ103" s="238"/>
      <c r="DK103" s="65"/>
      <c r="DL103" s="65"/>
      <c r="DM103" s="236">
        <f>-DM67/DM10</f>
        <v>0.50275572810149405</v>
      </c>
      <c r="DN103" s="65"/>
      <c r="DO103" s="65"/>
      <c r="DP103" s="65"/>
      <c r="DQ103" s="65"/>
      <c r="DR103" s="236">
        <f>-DR67/DR10</f>
        <v>0.35131992228736358</v>
      </c>
      <c r="DS103" s="65"/>
      <c r="DT103" s="65"/>
      <c r="DU103" s="65"/>
      <c r="DV103" s="65"/>
      <c r="DW103" s="236">
        <f>-DW67/DW10</f>
        <v>0.51660378527648432</v>
      </c>
      <c r="DX103" s="65"/>
      <c r="DY103" s="65"/>
      <c r="DZ103" s="65"/>
      <c r="EA103" s="65"/>
      <c r="EB103" s="236">
        <f>-EB67/EB10</f>
        <v>0.54315149476239621</v>
      </c>
      <c r="FC103"/>
      <c r="FD103"/>
      <c r="FE103"/>
      <c r="FF103"/>
      <c r="FG103"/>
      <c r="FH103"/>
      <c r="FI103" s="396"/>
      <c r="FJ103" s="419"/>
      <c r="FK103" s="419"/>
      <c r="FL103" s="419"/>
      <c r="FM103" s="419"/>
      <c r="FN103" s="419"/>
      <c r="FO103" s="419"/>
      <c r="FP103" s="419"/>
      <c r="FQ103" s="419"/>
      <c r="FR103" s="419"/>
      <c r="FS103" s="419"/>
      <c r="FT103" s="419"/>
      <c r="FU103" s="419"/>
      <c r="FV103" s="419"/>
      <c r="FW103" s="419"/>
      <c r="FX103" s="419"/>
      <c r="FY103" s="419"/>
      <c r="FZ103" s="419"/>
      <c r="GA103" s="419"/>
      <c r="GB103" s="419"/>
      <c r="GC103" s="419"/>
      <c r="GD103" s="419"/>
      <c r="GE103" s="419"/>
      <c r="GF103" s="419"/>
      <c r="GG103" s="419"/>
      <c r="GH103" s="419"/>
      <c r="GI103" s="419"/>
      <c r="GJ103" s="419"/>
      <c r="GK103" s="419"/>
      <c r="GL103" s="419"/>
      <c r="GM103" s="419"/>
      <c r="GN103" s="419"/>
      <c r="GO103" s="419"/>
      <c r="GP103" s="419"/>
      <c r="GQ103" s="419"/>
      <c r="GR103" s="419"/>
      <c r="GS103" s="419"/>
      <c r="GT103" s="419"/>
      <c r="GU103" s="419"/>
      <c r="GV103" s="419"/>
      <c r="GW103" s="418"/>
      <c r="GX103" s="418"/>
      <c r="GY103" s="418"/>
      <c r="GZ103" s="418"/>
      <c r="HA103" s="418"/>
      <c r="HB103" s="418"/>
      <c r="HC103" s="418"/>
      <c r="HD103" s="418"/>
      <c r="HE103" s="418"/>
      <c r="HF103" s="418"/>
      <c r="HG103" s="418"/>
      <c r="HH103" s="418"/>
      <c r="HI103" s="418"/>
      <c r="HJ103" s="418"/>
      <c r="HK103" s="418"/>
      <c r="HL103" s="418"/>
      <c r="HM103" s="418"/>
      <c r="HN103" s="418"/>
      <c r="HO103" s="418"/>
      <c r="HP103" s="418"/>
      <c r="HQ103" s="418"/>
      <c r="HR103" s="418"/>
      <c r="HS103" s="418"/>
      <c r="HT103" s="418"/>
      <c r="HU103" s="418"/>
      <c r="HV103" s="418"/>
      <c r="HW103" s="418"/>
      <c r="HX103" s="418"/>
      <c r="HY103" s="418"/>
      <c r="HZ103" s="418"/>
      <c r="IA103" s="418"/>
      <c r="IB103" s="418"/>
      <c r="IC103" s="418"/>
      <c r="ID103" s="418"/>
      <c r="IE103" s="418"/>
      <c r="IF103" s="418"/>
      <c r="IG103" s="418"/>
      <c r="IH103" s="418"/>
      <c r="II103" s="418"/>
      <c r="IJ103" s="418"/>
      <c r="IK103" s="418"/>
      <c r="IL103" s="418"/>
      <c r="IM103" s="418"/>
      <c r="IN103" s="418"/>
      <c r="IO103" s="418"/>
      <c r="IP103" s="418"/>
      <c r="IQ103" s="418"/>
      <c r="IR103" s="418"/>
      <c r="IS103" s="418"/>
      <c r="IT103" s="418"/>
      <c r="IU103" s="418"/>
      <c r="IV103" s="418"/>
    </row>
    <row r="104" spans="1:256" s="1" customFormat="1" x14ac:dyDescent="0.2">
      <c r="CW104" s="657"/>
      <c r="CX104" s="657"/>
      <c r="FC104"/>
      <c r="FD104"/>
      <c r="FE104"/>
      <c r="FF104"/>
      <c r="FG104"/>
      <c r="FH104"/>
      <c r="FI104" s="396"/>
      <c r="FJ104" s="419"/>
      <c r="FK104" s="419"/>
      <c r="FL104" s="419"/>
      <c r="FM104" s="419"/>
      <c r="FN104" s="419"/>
      <c r="FO104" s="419"/>
      <c r="FP104" s="419"/>
      <c r="FQ104" s="419"/>
      <c r="FR104" s="419"/>
      <c r="FS104" s="419"/>
      <c r="FT104" s="419"/>
      <c r="FU104" s="419"/>
      <c r="FV104" s="419"/>
      <c r="FW104" s="419"/>
      <c r="FX104" s="419"/>
      <c r="FY104" s="419"/>
      <c r="FZ104" s="419"/>
      <c r="GA104" s="419"/>
      <c r="GB104" s="419"/>
      <c r="GC104" s="419"/>
      <c r="GD104" s="419"/>
      <c r="GE104" s="419"/>
      <c r="GF104" s="419"/>
      <c r="GG104" s="419"/>
      <c r="GH104" s="419"/>
      <c r="GI104" s="419"/>
      <c r="GJ104" s="419"/>
      <c r="GK104" s="419"/>
      <c r="GL104" s="419"/>
      <c r="GM104" s="419"/>
      <c r="GN104" s="419"/>
      <c r="GO104" s="419"/>
      <c r="GP104" s="419"/>
      <c r="GQ104" s="419"/>
      <c r="GR104" s="419"/>
      <c r="GS104" s="419"/>
      <c r="GT104" s="419"/>
      <c r="GU104" s="419"/>
      <c r="GV104" s="419"/>
      <c r="GW104" s="418"/>
      <c r="GX104" s="418"/>
      <c r="GY104" s="418"/>
      <c r="GZ104" s="418"/>
      <c r="HA104" s="418"/>
      <c r="HB104" s="418"/>
      <c r="HC104" s="418"/>
      <c r="HD104" s="418"/>
      <c r="HE104" s="418"/>
      <c r="HF104" s="418"/>
      <c r="HG104" s="418"/>
      <c r="HH104" s="418"/>
      <c r="HI104" s="418"/>
      <c r="HJ104" s="418"/>
      <c r="HK104" s="418"/>
      <c r="HL104" s="418"/>
      <c r="HM104" s="418"/>
      <c r="HN104" s="418"/>
      <c r="HO104" s="418"/>
      <c r="HP104" s="418"/>
      <c r="HQ104" s="418"/>
      <c r="HR104" s="418"/>
      <c r="HS104" s="418"/>
      <c r="HT104" s="418"/>
      <c r="HU104" s="418"/>
      <c r="HV104" s="418"/>
      <c r="HW104" s="418"/>
      <c r="HX104" s="418"/>
      <c r="HY104" s="418"/>
      <c r="HZ104" s="418"/>
      <c r="IA104" s="418"/>
      <c r="IB104" s="418"/>
      <c r="IC104" s="418"/>
      <c r="ID104" s="418"/>
      <c r="IE104" s="418"/>
      <c r="IF104" s="418"/>
      <c r="IG104" s="418"/>
      <c r="IH104" s="418"/>
      <c r="II104" s="418"/>
      <c r="IJ104" s="418"/>
      <c r="IK104" s="418"/>
      <c r="IL104" s="418"/>
      <c r="IM104" s="418"/>
      <c r="IN104" s="418"/>
      <c r="IO104" s="418"/>
      <c r="IP104" s="418"/>
      <c r="IQ104" s="418"/>
      <c r="IR104" s="418"/>
      <c r="IS104" s="418"/>
      <c r="IT104" s="418"/>
      <c r="IU104" s="418"/>
      <c r="IV104" s="418"/>
    </row>
    <row r="105" spans="1:256" s="1" customForma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655"/>
      <c r="CX105" s="655"/>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FC105"/>
      <c r="FD105"/>
      <c r="FE105"/>
      <c r="FF105"/>
      <c r="FG105"/>
      <c r="FH105"/>
      <c r="FI105" s="396"/>
      <c r="FJ105" s="419"/>
      <c r="FK105" s="419"/>
      <c r="FL105" s="419"/>
      <c r="FM105" s="419"/>
      <c r="FN105" s="419"/>
      <c r="FO105" s="419"/>
      <c r="FP105" s="419"/>
      <c r="FQ105" s="419"/>
      <c r="FR105" s="419"/>
      <c r="FS105" s="419"/>
      <c r="FT105" s="419"/>
      <c r="FU105" s="419"/>
      <c r="FV105" s="419"/>
      <c r="FW105" s="419"/>
      <c r="FX105" s="419"/>
      <c r="FY105" s="419"/>
      <c r="FZ105" s="419"/>
      <c r="GA105" s="419"/>
      <c r="GB105" s="419"/>
      <c r="GC105" s="419"/>
      <c r="GD105" s="419"/>
      <c r="GE105" s="419"/>
      <c r="GF105" s="419"/>
      <c r="GG105" s="419"/>
      <c r="GH105" s="419"/>
      <c r="GI105" s="419"/>
      <c r="GJ105" s="419"/>
      <c r="GK105" s="419"/>
      <c r="GL105" s="419"/>
      <c r="GM105" s="419"/>
      <c r="GN105" s="419"/>
      <c r="GO105" s="419"/>
      <c r="GP105" s="419"/>
      <c r="GQ105" s="419"/>
      <c r="GR105" s="419"/>
      <c r="GS105" s="419"/>
      <c r="GT105" s="419"/>
      <c r="GU105" s="419"/>
      <c r="GV105" s="419"/>
      <c r="GW105" s="418"/>
      <c r="GX105" s="418"/>
      <c r="GY105" s="418"/>
      <c r="GZ105" s="418"/>
      <c r="HA105" s="418"/>
      <c r="HB105" s="418"/>
      <c r="HC105" s="418"/>
      <c r="HD105" s="418"/>
      <c r="HE105" s="418"/>
      <c r="HF105" s="418"/>
      <c r="HG105" s="418"/>
      <c r="HH105" s="418"/>
      <c r="HI105" s="418"/>
      <c r="HJ105" s="418"/>
      <c r="HK105" s="418"/>
      <c r="HL105" s="418"/>
      <c r="HM105" s="418"/>
      <c r="HN105" s="418"/>
      <c r="HO105" s="418"/>
      <c r="HP105" s="418"/>
      <c r="HQ105" s="418"/>
      <c r="HR105" s="418"/>
      <c r="HS105" s="418"/>
      <c r="HT105" s="418"/>
      <c r="HU105" s="418"/>
      <c r="HV105" s="418"/>
      <c r="HW105" s="418"/>
      <c r="HX105" s="418"/>
      <c r="HY105" s="418"/>
      <c r="HZ105" s="418"/>
      <c r="IA105" s="418"/>
      <c r="IB105" s="418"/>
      <c r="IC105" s="418"/>
      <c r="ID105" s="418"/>
      <c r="IE105" s="418"/>
      <c r="IF105" s="418"/>
      <c r="IG105" s="418"/>
      <c r="IH105" s="418"/>
      <c r="II105" s="418"/>
      <c r="IJ105" s="418"/>
      <c r="IK105" s="418"/>
      <c r="IL105" s="418"/>
      <c r="IM105" s="418"/>
      <c r="IN105" s="418"/>
      <c r="IO105" s="418"/>
      <c r="IP105" s="418"/>
      <c r="IQ105" s="418"/>
      <c r="IR105" s="418"/>
      <c r="IS105" s="418"/>
      <c r="IT105" s="418"/>
      <c r="IU105" s="418"/>
      <c r="IV105" s="418"/>
    </row>
    <row r="106" spans="1:256" s="28" customFormat="1" x14ac:dyDescent="0.2">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c r="AO106" s="113"/>
      <c r="AP106" s="113"/>
      <c r="AQ106" s="113"/>
      <c r="AR106" s="113"/>
      <c r="AS106" s="113"/>
      <c r="AT106" s="113"/>
      <c r="AU106" s="113"/>
      <c r="AV106" s="113"/>
      <c r="AW106" s="113"/>
      <c r="AX106" s="113"/>
      <c r="AY106" s="113"/>
      <c r="AZ106" s="113"/>
      <c r="BA106" s="113"/>
      <c r="BB106" s="113"/>
      <c r="BC106" s="113"/>
      <c r="BD106" s="113"/>
      <c r="BE106" s="113"/>
      <c r="BF106" s="113"/>
      <c r="BG106" s="113"/>
      <c r="BH106" s="113"/>
      <c r="BI106" s="113"/>
      <c r="BJ106" s="113"/>
      <c r="BK106" s="113"/>
      <c r="BL106" s="113"/>
      <c r="BM106" s="113"/>
      <c r="BN106" s="113"/>
      <c r="BO106" s="113"/>
      <c r="BP106" s="113"/>
      <c r="BQ106" s="113"/>
      <c r="BR106" s="113"/>
      <c r="BS106" s="113"/>
      <c r="BT106" s="113"/>
      <c r="BU106" s="113"/>
      <c r="BV106" s="113"/>
      <c r="BW106" s="113"/>
      <c r="BX106" s="113"/>
      <c r="BY106" s="113"/>
      <c r="BZ106" s="113"/>
      <c r="CA106" s="113"/>
      <c r="CB106" s="113"/>
      <c r="CC106" s="113"/>
      <c r="CD106" s="113"/>
      <c r="CE106" s="113"/>
      <c r="CF106" s="113"/>
      <c r="CG106" s="113"/>
      <c r="CH106" s="113"/>
      <c r="CI106" s="113"/>
      <c r="CJ106" s="113"/>
      <c r="CK106" s="113"/>
      <c r="CL106" s="113"/>
      <c r="CM106" s="113"/>
      <c r="CN106" s="113"/>
      <c r="CO106" s="113"/>
      <c r="CP106" s="113"/>
      <c r="CQ106" s="114"/>
      <c r="CR106" s="114"/>
      <c r="CS106" s="114"/>
      <c r="CT106" s="114"/>
      <c r="CU106" s="114"/>
      <c r="CV106" s="114"/>
      <c r="CW106" s="670"/>
      <c r="CX106" s="670"/>
      <c r="CY106" s="113"/>
      <c r="CZ106" s="113"/>
      <c r="DA106" s="113"/>
      <c r="DB106" s="113"/>
      <c r="DC106" s="113"/>
      <c r="DD106" s="114"/>
      <c r="DE106" s="114"/>
      <c r="DF106" s="114"/>
      <c r="DG106" s="114"/>
      <c r="DH106" s="114"/>
      <c r="DI106" s="114"/>
      <c r="DJ106" s="114"/>
      <c r="DK106" s="113"/>
      <c r="DL106" s="113"/>
      <c r="DM106" s="113"/>
      <c r="DN106" s="114"/>
      <c r="DO106" s="114"/>
      <c r="DP106" s="114"/>
      <c r="DQ106" s="114"/>
      <c r="DR106" s="114"/>
      <c r="DS106" s="114"/>
      <c r="DT106" s="114"/>
      <c r="DU106" s="114"/>
      <c r="DV106" s="114"/>
      <c r="DW106" s="114"/>
      <c r="DX106" s="114"/>
      <c r="DY106" s="114"/>
      <c r="DZ106" s="114"/>
      <c r="EA106" s="114"/>
      <c r="EB106" s="114"/>
      <c r="FC106"/>
      <c r="FD106"/>
      <c r="FE106"/>
      <c r="FF106"/>
      <c r="FG106"/>
      <c r="FH106"/>
      <c r="FI106" s="396"/>
      <c r="FJ106" s="419"/>
      <c r="FK106" s="419"/>
      <c r="FL106" s="419"/>
      <c r="FM106" s="419"/>
      <c r="FN106" s="419"/>
      <c r="FO106" s="419"/>
      <c r="FP106" s="419"/>
      <c r="FQ106" s="419"/>
      <c r="FR106" s="419"/>
      <c r="FS106" s="419"/>
      <c r="FT106" s="419"/>
      <c r="FU106" s="419"/>
      <c r="FV106" s="419"/>
      <c r="FW106" s="419"/>
      <c r="FX106" s="419"/>
      <c r="FY106" s="419"/>
      <c r="FZ106" s="419"/>
      <c r="GA106" s="419"/>
      <c r="GB106" s="419"/>
      <c r="GC106" s="419"/>
      <c r="GD106" s="419"/>
      <c r="GE106" s="419"/>
      <c r="GF106" s="419"/>
      <c r="GG106" s="419"/>
      <c r="GH106" s="419"/>
      <c r="GI106" s="419"/>
      <c r="GJ106" s="419"/>
      <c r="GK106" s="419"/>
      <c r="GL106" s="419"/>
      <c r="GM106" s="419"/>
      <c r="GN106" s="419"/>
      <c r="GO106" s="419"/>
      <c r="GP106" s="419"/>
      <c r="GQ106" s="419"/>
      <c r="GR106" s="419"/>
      <c r="GS106" s="419"/>
      <c r="GT106" s="419"/>
      <c r="GU106" s="419"/>
      <c r="GV106" s="419"/>
      <c r="GW106" s="418"/>
      <c r="GX106" s="418"/>
      <c r="GY106" s="418"/>
      <c r="GZ106" s="418"/>
      <c r="HA106" s="418"/>
      <c r="HB106" s="418"/>
      <c r="HC106" s="418"/>
      <c r="HD106" s="418"/>
      <c r="HE106" s="418"/>
      <c r="HF106" s="418"/>
      <c r="HG106" s="418"/>
      <c r="HH106" s="418"/>
      <c r="HI106" s="418"/>
      <c r="HJ106" s="418"/>
      <c r="HK106" s="418"/>
      <c r="HL106" s="418"/>
      <c r="HM106" s="418"/>
      <c r="HN106" s="418"/>
      <c r="HO106" s="418"/>
      <c r="HP106" s="418"/>
      <c r="HQ106" s="418"/>
      <c r="HR106" s="418"/>
      <c r="HS106" s="418"/>
      <c r="HT106" s="418"/>
      <c r="HU106" s="418"/>
      <c r="HV106" s="418"/>
      <c r="HW106" s="418"/>
      <c r="HX106" s="418"/>
      <c r="HY106" s="418"/>
      <c r="HZ106" s="418"/>
      <c r="IA106" s="418"/>
      <c r="IB106" s="418"/>
      <c r="IC106" s="418"/>
      <c r="ID106" s="418"/>
      <c r="IE106" s="418"/>
      <c r="IF106" s="418"/>
      <c r="IG106" s="418"/>
      <c r="IH106" s="418"/>
      <c r="II106" s="418"/>
      <c r="IJ106" s="418"/>
      <c r="IK106" s="418"/>
      <c r="IL106" s="418"/>
      <c r="IM106" s="418"/>
      <c r="IN106" s="418"/>
      <c r="IO106" s="418"/>
      <c r="IP106" s="418"/>
      <c r="IQ106" s="418"/>
      <c r="IR106" s="418"/>
      <c r="IS106" s="418"/>
      <c r="IT106" s="418"/>
      <c r="IU106" s="418"/>
      <c r="IV106" s="418"/>
    </row>
    <row r="107" spans="1:256" s="1" customFormat="1" x14ac:dyDescent="0.2">
      <c r="A107" s="1" t="s">
        <v>165</v>
      </c>
      <c r="BA107" s="104">
        <f>BA39+AY39+AX39+AW39</f>
        <v>852.59100000000012</v>
      </c>
      <c r="BB107" s="104">
        <f>BB39+BA39+AY39+AX39</f>
        <v>922.41000000000031</v>
      </c>
      <c r="BC107" s="104">
        <f>BC39+BB39+BA39+AY39</f>
        <v>978.47600000000011</v>
      </c>
      <c r="BD107" s="104">
        <f>BD39+BC39+BB39+BA39</f>
        <v>923.60799999999995</v>
      </c>
      <c r="BE107" s="104">
        <f>BD107</f>
        <v>923.60799999999995</v>
      </c>
      <c r="BF107" s="104">
        <f>BF39+BD39+BC39+BB39</f>
        <v>1125.01</v>
      </c>
      <c r="BG107" s="104">
        <f>BG39+BF39+BD39+BC39</f>
        <v>1119.107</v>
      </c>
      <c r="BH107" s="104">
        <f>BH39+BG39+BF39+BD39</f>
        <v>1100.452</v>
      </c>
      <c r="BI107" s="104">
        <f>BI39+BH39+BG39+BF39</f>
        <v>1131.633</v>
      </c>
      <c r="BJ107" s="104">
        <f>BI107</f>
        <v>1131.633</v>
      </c>
      <c r="BK107" s="104">
        <f>BK39+BI39+BH39+BG39</f>
        <v>1200.7250000000001</v>
      </c>
      <c r="BL107" s="104">
        <f>BL39+BK39+BI39+BH39</f>
        <v>1107.46</v>
      </c>
      <c r="BM107" s="104">
        <f>BM39+BL39+BK39+BI39</f>
        <v>1235.6990000000001</v>
      </c>
      <c r="BN107" s="104">
        <f>BN39+BM39+BL39+BK39</f>
        <v>1331.221</v>
      </c>
      <c r="BO107" s="104">
        <f>BN107</f>
        <v>1331.221</v>
      </c>
      <c r="BP107" s="104">
        <f>BP39+BN39+BM39+BL39</f>
        <v>1460.412</v>
      </c>
      <c r="BQ107" s="104">
        <f>BQ39+BP39+BN39+BM39</f>
        <v>1358.8020000000001</v>
      </c>
      <c r="BR107" s="104">
        <f>BR39+BQ39+BP39+BN39</f>
        <v>1370.0810000000001</v>
      </c>
      <c r="BS107" s="104">
        <f>BS39+BR39+BQ39+BP39</f>
        <v>1258.7</v>
      </c>
      <c r="BT107" s="104">
        <f>BS107</f>
        <v>1258.7</v>
      </c>
      <c r="BU107" s="104">
        <f>BU39+BS39+BR39+BQ39</f>
        <v>1144.6000000000004</v>
      </c>
      <c r="BV107" s="104">
        <f>BV39+BU39+BS39+BR39</f>
        <v>1208.7000000000003</v>
      </c>
      <c r="BW107" s="104">
        <f>BW39+BV39+BU39+BS39</f>
        <v>1196.7</v>
      </c>
      <c r="BX107" s="104">
        <f>BX39+BW39+BV39+BU39</f>
        <v>1389</v>
      </c>
      <c r="BY107" s="104">
        <f>BX107</f>
        <v>1389</v>
      </c>
      <c r="BZ107" s="104">
        <f>BZ39+BX39+BW39+BV39</f>
        <v>1464.1999999999998</v>
      </c>
      <c r="CA107" s="104">
        <f>CA39+BZ39+BX39+BW39</f>
        <v>1631.4</v>
      </c>
      <c r="CB107" s="104">
        <f>CB39+CA39+BZ39+BX39</f>
        <v>1747.7</v>
      </c>
      <c r="CC107" s="104">
        <f>CC39+CB39+CA39+BZ39</f>
        <v>1704.9</v>
      </c>
      <c r="CD107" s="104">
        <f>CC107</f>
        <v>1704.9</v>
      </c>
      <c r="CE107" s="104">
        <f>CE39+CC39+CB39+CA39</f>
        <v>1609.8000000000004</v>
      </c>
      <c r="CF107" s="104">
        <f>CF39+CE39+CC39+CB39</f>
        <v>1416.6</v>
      </c>
      <c r="CG107" s="104">
        <f>CG39+CF39+CE39+CC39</f>
        <v>1456.1999999999998</v>
      </c>
      <c r="CH107" s="104">
        <f>CH39+CG39+CF39+CE39</f>
        <v>1612.3999999999999</v>
      </c>
      <c r="CI107" s="104">
        <f>CH107</f>
        <v>1612.3999999999999</v>
      </c>
      <c r="CJ107" s="104">
        <f>CJ39+CH39+CG39+CF39</f>
        <v>1405.0999999999997</v>
      </c>
      <c r="CK107" s="104">
        <f>CK39+CJ39+CH39+CG39</f>
        <v>1518.4999999999995</v>
      </c>
      <c r="CL107" s="104">
        <f>CL39+CK39+CJ39+CH39</f>
        <v>1612.6</v>
      </c>
      <c r="CM107" s="104">
        <f>CM39+CL39+CK39+CJ39</f>
        <v>1719.5</v>
      </c>
      <c r="CN107" s="104">
        <f>CM107</f>
        <v>1719.5</v>
      </c>
      <c r="CO107" s="104">
        <f>CO39+CM39+CL39+CK39</f>
        <v>2320.5</v>
      </c>
      <c r="CP107" s="104">
        <f>CP39+CO39+CM39+CL39</f>
        <v>2516.4000000000005</v>
      </c>
      <c r="CQ107" s="104">
        <f>CQ39+CP39+CO39+CM39</f>
        <v>2630.4</v>
      </c>
      <c r="CR107" s="104">
        <f>CR39+CQ39+CP39+CO39</f>
        <v>2908.2999999999965</v>
      </c>
      <c r="CS107" s="104">
        <f>CR107</f>
        <v>2908.2999999999965</v>
      </c>
      <c r="CT107" s="104">
        <f>CT39+CR39+CQ39+CP39</f>
        <v>439.09999999999644</v>
      </c>
      <c r="CU107" s="104">
        <f>CU39+CT39+CR39+CQ39</f>
        <v>552.2999999999962</v>
      </c>
      <c r="CV107" s="104">
        <f>CV39+CU39+CT39+CR39</f>
        <v>737.0999999999965</v>
      </c>
      <c r="CW107" s="658">
        <f>CW39+CV39+CU39+CT39</f>
        <v>607.80000000000268</v>
      </c>
      <c r="CX107" s="658">
        <f>CW107</f>
        <v>607.80000000000268</v>
      </c>
      <c r="CY107" s="104">
        <f>CY39+CW39+CV39+CU39</f>
        <v>3434.9000000000024</v>
      </c>
      <c r="CZ107" s="104">
        <f>CZ39+CY39+CW39+CV39</f>
        <v>3592.2000000000025</v>
      </c>
      <c r="DA107" s="104">
        <f>DA39+CZ39+CY39+CW39</f>
        <v>3520.4000000000024</v>
      </c>
      <c r="DB107" s="104">
        <f>DB39+DA39+CZ39+CY39</f>
        <v>3749.1000000000004</v>
      </c>
      <c r="DC107" s="104">
        <f>DB107</f>
        <v>3749.1000000000004</v>
      </c>
      <c r="DD107" s="104">
        <f>DD39+DB39+DA39+CZ39</f>
        <v>3959.8999999999996</v>
      </c>
      <c r="DE107" s="823">
        <f>DE39+DD39+DB39+DA39</f>
        <v>3933.7</v>
      </c>
      <c r="DF107" s="104">
        <f>DF39+DE39+DD39+DB39</f>
        <v>4236.7999999999993</v>
      </c>
      <c r="DG107" s="104">
        <f>DG39+DF39+DE39+DD39</f>
        <v>4575.0999999999995</v>
      </c>
      <c r="DH107" s="104">
        <f>DG107</f>
        <v>4575.0999999999995</v>
      </c>
      <c r="DI107" s="104">
        <f>DI39+DG39+DF39+DE39</f>
        <v>4434.8</v>
      </c>
      <c r="DJ107" s="104">
        <f>DJ39+DI39+DG39+DF39</f>
        <v>4328.6000000000004</v>
      </c>
      <c r="DK107" s="104">
        <f>DK39+DJ39+DI39+DG39</f>
        <v>4397.7999999999993</v>
      </c>
      <c r="DL107" s="104">
        <f>DL39+DK39+DJ39+DI39</f>
        <v>4174.2999999999993</v>
      </c>
      <c r="DM107" s="104">
        <f>DL107</f>
        <v>4174.2999999999993</v>
      </c>
      <c r="DN107" s="104">
        <f>DN39+DL39+DK39+DJ39</f>
        <v>5399.2877831135665</v>
      </c>
      <c r="DO107" s="104">
        <f>DO39+DN39+DL39+DK39</f>
        <v>5733.5741684758304</v>
      </c>
      <c r="DP107" s="104">
        <f>DP39+DO39+DN39+DL39</f>
        <v>5797.4820371727237</v>
      </c>
      <c r="DQ107" s="104">
        <f>DQ39+DP39+DO39+DN39</f>
        <v>5989.3079953450251</v>
      </c>
      <c r="DR107" s="104">
        <f>DQ107</f>
        <v>5989.3079953450251</v>
      </c>
      <c r="DS107" s="104">
        <f>DS39+DQ39+DP39+DO39</f>
        <v>4703.2775256093919</v>
      </c>
      <c r="DT107" s="104">
        <f>DT39+DS39+DQ39+DP39</f>
        <v>4846.9207707860951</v>
      </c>
      <c r="DU107" s="104">
        <f>DU39+DT39+DS39+DQ39</f>
        <v>4977.3385025631142</v>
      </c>
      <c r="DV107" s="104">
        <f>DV39+DU39+DT39+DS39</f>
        <v>5114.3627605488273</v>
      </c>
      <c r="DW107" s="104">
        <f>DV107</f>
        <v>5114.3627605488273</v>
      </c>
      <c r="DX107" s="104">
        <f>DX39+DV39+DU39+DT39</f>
        <v>5237.146989310605</v>
      </c>
      <c r="DY107" s="104">
        <f>DY39+DX39+DV39+DU39</f>
        <v>5360.2250178231698</v>
      </c>
      <c r="DZ107" s="104">
        <f>DZ39+DY39+DX39+DV39</f>
        <v>5508.7203020396228</v>
      </c>
      <c r="EA107" s="104">
        <f>EA39+DZ39+DY39+DX39</f>
        <v>5661.8129109832034</v>
      </c>
      <c r="EB107" s="104">
        <f>EA107</f>
        <v>5661.8129109832034</v>
      </c>
      <c r="FC107"/>
      <c r="FD107"/>
      <c r="FE107"/>
      <c r="FF107"/>
      <c r="FG107"/>
      <c r="FH107"/>
      <c r="FI107" s="396"/>
      <c r="FJ107" s="419"/>
      <c r="FK107" s="419"/>
      <c r="FL107" s="419"/>
      <c r="FM107" s="419"/>
      <c r="FN107" s="419"/>
      <c r="FO107" s="419"/>
      <c r="FP107" s="419"/>
      <c r="FQ107" s="419"/>
      <c r="FR107" s="419"/>
      <c r="FS107" s="419"/>
      <c r="FT107" s="419"/>
      <c r="FU107" s="419"/>
      <c r="FV107" s="419"/>
      <c r="FW107" s="419"/>
      <c r="FX107" s="419"/>
      <c r="FY107" s="419"/>
      <c r="FZ107" s="419"/>
      <c r="GA107" s="419"/>
      <c r="GB107" s="419"/>
      <c r="GC107" s="419"/>
      <c r="GD107" s="419"/>
      <c r="GE107" s="419"/>
      <c r="GF107" s="419"/>
      <c r="GG107" s="419"/>
      <c r="GH107" s="419"/>
      <c r="GI107" s="419"/>
      <c r="GJ107" s="419"/>
      <c r="GK107" s="419"/>
      <c r="GL107" s="419"/>
      <c r="GM107" s="419"/>
      <c r="GN107" s="419"/>
      <c r="GO107" s="419"/>
      <c r="GP107" s="419"/>
      <c r="GQ107" s="419"/>
      <c r="GR107" s="419"/>
      <c r="GS107" s="419"/>
      <c r="GT107" s="419"/>
      <c r="GU107" s="419"/>
      <c r="GV107" s="419"/>
      <c r="GW107" s="418"/>
      <c r="GX107" s="418"/>
      <c r="GY107" s="418"/>
      <c r="GZ107" s="418"/>
      <c r="HA107" s="418"/>
      <c r="HB107" s="418"/>
      <c r="HC107" s="418"/>
      <c r="HD107" s="418"/>
      <c r="HE107" s="418"/>
      <c r="HF107" s="418"/>
      <c r="HG107" s="418"/>
      <c r="HH107" s="418"/>
      <c r="HI107" s="418"/>
      <c r="HJ107" s="418"/>
      <c r="HK107" s="418"/>
      <c r="HL107" s="418"/>
      <c r="HM107" s="418"/>
      <c r="HN107" s="418"/>
      <c r="HO107" s="418"/>
      <c r="HP107" s="418"/>
      <c r="HQ107" s="418"/>
      <c r="HR107" s="418"/>
      <c r="HS107" s="418"/>
      <c r="HT107" s="418"/>
      <c r="HU107" s="418"/>
      <c r="HV107" s="418"/>
      <c r="HW107" s="418"/>
      <c r="HX107" s="418"/>
      <c r="HY107" s="418"/>
      <c r="HZ107" s="418"/>
      <c r="IA107" s="418"/>
      <c r="IB107" s="418"/>
      <c r="IC107" s="418"/>
      <c r="ID107" s="418"/>
      <c r="IE107" s="418"/>
      <c r="IF107" s="418"/>
      <c r="IG107" s="418"/>
      <c r="IH107" s="418"/>
      <c r="II107" s="418"/>
      <c r="IJ107" s="418"/>
      <c r="IK107" s="418"/>
      <c r="IL107" s="418"/>
      <c r="IM107" s="418"/>
      <c r="IN107" s="418"/>
      <c r="IO107" s="418"/>
      <c r="IP107" s="418"/>
      <c r="IQ107" s="418"/>
      <c r="IR107" s="418"/>
      <c r="IS107" s="418"/>
      <c r="IT107" s="418"/>
      <c r="IU107" s="418"/>
      <c r="IV107" s="418"/>
    </row>
    <row r="108" spans="1:256" s="28" customFormat="1" x14ac:dyDescent="0.2">
      <c r="A108" s="28" t="s">
        <v>164</v>
      </c>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c r="AO108" s="113"/>
      <c r="AP108" s="113"/>
      <c r="AQ108" s="113"/>
      <c r="AR108" s="113"/>
      <c r="AS108" s="113"/>
      <c r="AT108" s="113"/>
      <c r="AU108" s="113"/>
      <c r="AV108" s="113"/>
      <c r="AW108" s="113"/>
      <c r="AX108" s="113"/>
      <c r="AY108" s="113"/>
      <c r="AZ108" s="113"/>
      <c r="BA108" s="113">
        <f>-(BA50+AY50+AX50+AW50)</f>
        <v>509.839</v>
      </c>
      <c r="BB108" s="113">
        <f>-(BB50+BA50+AY50+AX50)</f>
        <v>595.48400000000004</v>
      </c>
      <c r="BC108" s="113">
        <f>-(BC50+BB50+BA50+AY50)</f>
        <v>651.38799999999992</v>
      </c>
      <c r="BD108" s="113">
        <f>-(BD50+BC50+BB50+BA50)</f>
        <v>643.98900000000003</v>
      </c>
      <c r="BE108" s="113">
        <f>BD108</f>
        <v>643.98900000000003</v>
      </c>
      <c r="BF108" s="113">
        <f>-(BF50+BD50+BC50+BB50)</f>
        <v>629.63499999999999</v>
      </c>
      <c r="BG108" s="113">
        <f>-(BG50+BF50+BD50+BC50)</f>
        <v>642.63000000000011</v>
      </c>
      <c r="BH108" s="113">
        <f>-(BH50+BG50+BF50+BD50)</f>
        <v>706.375</v>
      </c>
      <c r="BI108" s="113">
        <f>-(BI50+BH50+BG50+BF50)</f>
        <v>771.23000000000013</v>
      </c>
      <c r="BJ108" s="113">
        <f>BI108</f>
        <v>771.23000000000013</v>
      </c>
      <c r="BK108" s="113">
        <f>-(BK50+BI50+BH50+BG50)</f>
        <v>893.99900000000002</v>
      </c>
      <c r="BL108" s="113">
        <f>-(BL50+BK50+BI50+BH50)</f>
        <v>968.101</v>
      </c>
      <c r="BM108" s="113">
        <f>-(BM50+BL50+BK50+BI50)</f>
        <v>1021.0150000000001</v>
      </c>
      <c r="BN108" s="113">
        <f>-(BN50+BM50+BL50+BK50)</f>
        <v>1080.348</v>
      </c>
      <c r="BO108" s="113">
        <f>BN108</f>
        <v>1080.348</v>
      </c>
      <c r="BP108" s="113">
        <f>-(BP50+BN50+BM50+BL50)</f>
        <v>1073.4009999999998</v>
      </c>
      <c r="BQ108" s="113">
        <f>-(BQ50+BP50+BN50+BM50)</f>
        <v>1078.2460000000001</v>
      </c>
      <c r="BR108" s="113">
        <f>-(BR50+BQ50+BP50+BN50)</f>
        <v>1042.1149999999998</v>
      </c>
      <c r="BS108" s="113">
        <f>-(BS50+BR50+BQ50+BP50)</f>
        <v>984.5</v>
      </c>
      <c r="BT108" s="113">
        <f>BS108</f>
        <v>984.5</v>
      </c>
      <c r="BU108" s="113">
        <f>-(BU50+BS50+BR50+BQ50)</f>
        <v>893.5</v>
      </c>
      <c r="BV108" s="113">
        <f>-(BV50+BU50+BS50+BR50)</f>
        <v>716.3</v>
      </c>
      <c r="BW108" s="113">
        <f>-(BW50+BV50+BU50+BS50)</f>
        <v>594.79999999999995</v>
      </c>
      <c r="BX108" s="113">
        <f>-(BX50+BW50+BV50+BU50)</f>
        <v>445.6</v>
      </c>
      <c r="BY108" s="113">
        <f>BX108</f>
        <v>445.6</v>
      </c>
      <c r="BZ108" s="113">
        <f>-(BZ50+BX50+BW50+BV50)</f>
        <v>372.7000000000001</v>
      </c>
      <c r="CA108" s="113">
        <f>-(CA50+BZ50+BX50+BW50)</f>
        <v>393.20000000000005</v>
      </c>
      <c r="CB108" s="113">
        <f>-(CB50+CA50+BZ50+BX50)</f>
        <v>387.00000000000011</v>
      </c>
      <c r="CC108" s="113">
        <f>-(CC50+CB50+CA50+BZ50)</f>
        <v>440.7</v>
      </c>
      <c r="CD108" s="113">
        <f>CC108</f>
        <v>440.7</v>
      </c>
      <c r="CE108" s="113">
        <f>-(CE50+CC50+CB50+CA50)</f>
        <v>469.90000000000003</v>
      </c>
      <c r="CF108" s="113">
        <f>-(CF50+CE50+CC50+CB50)</f>
        <v>495.29999999999995</v>
      </c>
      <c r="CG108" s="113">
        <f>-(CG50+CF50+CE50+CC50)</f>
        <v>527.5</v>
      </c>
      <c r="CH108" s="113">
        <f>-(CH50+CG50+CF50+CE50)</f>
        <v>531.9</v>
      </c>
      <c r="CI108" s="113">
        <f>CH108</f>
        <v>531.9</v>
      </c>
      <c r="CJ108" s="113">
        <f>-(CJ50+CH50+CG50+CF50)</f>
        <v>556.5</v>
      </c>
      <c r="CK108" s="113">
        <f>-(CK50+CJ50+CH50+CG50)</f>
        <v>606.6</v>
      </c>
      <c r="CL108" s="113">
        <f>-(CL50+CK50+CJ50+CH50)</f>
        <v>676</v>
      </c>
      <c r="CM108" s="113">
        <f>-(CM50+CL50+CK50+CJ50)</f>
        <v>856.2</v>
      </c>
      <c r="CN108" s="113">
        <f>CM108</f>
        <v>856.2</v>
      </c>
      <c r="CO108" s="113">
        <f>-(CO50+CM50+CL50+CK50)</f>
        <v>945</v>
      </c>
      <c r="CP108" s="113">
        <f>-(CP50+CO50+CM50+CL50)</f>
        <v>1027.3</v>
      </c>
      <c r="CQ108" s="114">
        <f>-(CQ50+CP50+CO50+CM50)</f>
        <v>1121.9000000000001</v>
      </c>
      <c r="CR108" s="114">
        <f>-(CR50+CQ50+CP50+CO50)</f>
        <v>1151.2</v>
      </c>
      <c r="CS108" s="114">
        <f>CR108</f>
        <v>1151.2</v>
      </c>
      <c r="CT108" s="114">
        <f>-(CT50+CR50+CQ50+CP50)</f>
        <v>1165</v>
      </c>
      <c r="CU108" s="114">
        <f>-(CU50+CT50+CR50+CQ50)</f>
        <v>1169.9000000000001</v>
      </c>
      <c r="CV108" s="114">
        <f>-(CV50+CU50+CT50+CR50)</f>
        <v>1180.2</v>
      </c>
      <c r="CW108" s="670">
        <f>-(CW50+CV50+CU50+CT50)</f>
        <v>1160.9000000000001</v>
      </c>
      <c r="CX108" s="670">
        <f>CW108</f>
        <v>1160.9000000000001</v>
      </c>
      <c r="CY108" s="113">
        <f>-(CY50+CW50+CV50+CU50)</f>
        <v>1196.5999999999999</v>
      </c>
      <c r="CZ108" s="113">
        <f>-(CZ50+CY50+CW50+CV50)</f>
        <v>1263.9000000000001</v>
      </c>
      <c r="DA108" s="113">
        <f>-(DA50+CZ50+CY50+CW50)</f>
        <v>1293.2</v>
      </c>
      <c r="DB108" s="113">
        <f>-(DB50+DA50+CZ50+CY50)</f>
        <v>1303.7</v>
      </c>
      <c r="DC108" s="113">
        <f>DB108</f>
        <v>1303.7</v>
      </c>
      <c r="DD108" s="114">
        <f>-(DD50+DB50+DA50+CZ50)</f>
        <v>1343.7</v>
      </c>
      <c r="DE108" s="871">
        <f>-(DE50+DD50+DB50+DA50)</f>
        <v>1365.3000000000002</v>
      </c>
      <c r="DF108" s="114">
        <f>-(DF50+DE50+DD50+DB50)</f>
        <v>1389.9</v>
      </c>
      <c r="DG108" s="114">
        <f>-(DG50+DF50+DE50+DD50)</f>
        <v>1440.2999999999997</v>
      </c>
      <c r="DH108" s="114">
        <f>DG108</f>
        <v>1440.2999999999997</v>
      </c>
      <c r="DI108" s="114">
        <f>-(DI50+DG50+DF50+DE50)</f>
        <v>1415.8999999999999</v>
      </c>
      <c r="DJ108" s="114">
        <f>-(DJ50+DI50+DG50+DF50)</f>
        <v>1409.9999999999998</v>
      </c>
      <c r="DK108" s="113">
        <f>-(DK50+DJ50+DI50+DG50)</f>
        <v>1435.8999999999999</v>
      </c>
      <c r="DL108" s="113">
        <f>-(DL50+DK50+DJ50+DI50)</f>
        <v>1519.4</v>
      </c>
      <c r="DM108" s="113">
        <f>DL108</f>
        <v>1519.4</v>
      </c>
      <c r="DN108" s="114">
        <f>-(DN50+DL50+DK50+DJ50)</f>
        <v>1667.5275000000001</v>
      </c>
      <c r="DO108" s="114">
        <f>-(DO50+DN50+DL50+DK50)</f>
        <v>1783.3403465086958</v>
      </c>
      <c r="DP108" s="114">
        <f>-(DP50+DO50+DN50+DL50)</f>
        <v>1870.9664894421046</v>
      </c>
      <c r="DQ108" s="114">
        <f>-(DQ50+DP50+DO50+DN50)</f>
        <v>2017.6152168195322</v>
      </c>
      <c r="DR108" s="114">
        <f>DQ108</f>
        <v>2017.6152168195322</v>
      </c>
      <c r="DS108" s="114">
        <f>-(DS50+DQ50+DP50+DO50)</f>
        <v>2033.6165055960857</v>
      </c>
      <c r="DT108" s="114">
        <f>-(DT50+DS50+DQ50+DP50)</f>
        <v>2043.3860607958686</v>
      </c>
      <c r="DU108" s="114">
        <f>-(DU50+DT50+DS50+DQ50)</f>
        <v>2054.510613239871</v>
      </c>
      <c r="DV108" s="114">
        <f>-(DV50+DU50+DT50+DS50)</f>
        <v>2046.2835967150113</v>
      </c>
      <c r="DW108" s="114">
        <f>DV108</f>
        <v>2046.2835967150113</v>
      </c>
      <c r="DX108" s="114">
        <f>-(DX50+DV50+DU50+DT50)</f>
        <v>2054.0189869855544</v>
      </c>
      <c r="DY108" s="114">
        <f>-(DY50+DX50+DV50+DU50)</f>
        <v>2061.8736225025518</v>
      </c>
      <c r="DZ108" s="114">
        <f>-(DZ50+DY50+DX50+DV50)</f>
        <v>2069.9093441490722</v>
      </c>
      <c r="EA108" s="114">
        <f>-(EA50+DZ50+DY50+DX50)</f>
        <v>2052.264857881758</v>
      </c>
      <c r="EB108" s="114">
        <f>EA108</f>
        <v>2052.264857881758</v>
      </c>
      <c r="FC108"/>
      <c r="FD108"/>
      <c r="FE108"/>
      <c r="FF108"/>
      <c r="FG108"/>
      <c r="FH108"/>
      <c r="FI108" s="396"/>
      <c r="FJ108" s="419"/>
      <c r="FK108" s="419"/>
      <c r="FL108" s="419"/>
      <c r="FM108" s="419"/>
      <c r="FN108" s="419"/>
      <c r="FO108" s="419"/>
      <c r="FP108" s="419"/>
      <c r="FQ108" s="419"/>
      <c r="FR108" s="419"/>
      <c r="FS108" s="419"/>
      <c r="FT108" s="419"/>
      <c r="FU108" s="419"/>
      <c r="FV108" s="419"/>
      <c r="FW108" s="419"/>
      <c r="FX108" s="419"/>
      <c r="FY108" s="419"/>
      <c r="FZ108" s="419"/>
      <c r="GA108" s="419"/>
      <c r="GB108" s="419"/>
      <c r="GC108" s="419"/>
      <c r="GD108" s="419"/>
      <c r="GE108" s="419"/>
      <c r="GF108" s="419"/>
      <c r="GG108" s="419"/>
      <c r="GH108" s="419"/>
      <c r="GI108" s="419"/>
      <c r="GJ108" s="419"/>
      <c r="GK108" s="419"/>
      <c r="GL108" s="419"/>
      <c r="GM108" s="419"/>
      <c r="GN108" s="419"/>
      <c r="GO108" s="419"/>
      <c r="GP108" s="419"/>
      <c r="GQ108" s="419"/>
      <c r="GR108" s="419"/>
      <c r="GS108" s="419"/>
      <c r="GT108" s="419"/>
      <c r="GU108" s="419"/>
      <c r="GV108" s="419"/>
      <c r="GW108" s="418"/>
      <c r="GX108" s="418"/>
      <c r="GY108" s="418"/>
      <c r="GZ108" s="418"/>
      <c r="HA108" s="418"/>
      <c r="HB108" s="418"/>
      <c r="HC108" s="418"/>
      <c r="HD108" s="418"/>
      <c r="HE108" s="418"/>
      <c r="HF108" s="418"/>
      <c r="HG108" s="418"/>
      <c r="HH108" s="418"/>
      <c r="HI108" s="418"/>
      <c r="HJ108" s="418"/>
      <c r="HK108" s="418"/>
      <c r="HL108" s="418"/>
      <c r="HM108" s="418"/>
      <c r="HN108" s="418"/>
      <c r="HO108" s="418"/>
      <c r="HP108" s="418"/>
      <c r="HQ108" s="418"/>
      <c r="HR108" s="418"/>
      <c r="HS108" s="418"/>
      <c r="HT108" s="418"/>
      <c r="HU108" s="418"/>
      <c r="HV108" s="418"/>
      <c r="HW108" s="418"/>
      <c r="HX108" s="418"/>
      <c r="HY108" s="418"/>
      <c r="HZ108" s="418"/>
      <c r="IA108" s="418"/>
      <c r="IB108" s="418"/>
      <c r="IC108" s="418"/>
      <c r="ID108" s="418"/>
      <c r="IE108" s="418"/>
      <c r="IF108" s="418"/>
      <c r="IG108" s="418"/>
      <c r="IH108" s="418"/>
      <c r="II108" s="418"/>
      <c r="IJ108" s="418"/>
      <c r="IK108" s="418"/>
      <c r="IL108" s="418"/>
      <c r="IM108" s="418"/>
      <c r="IN108" s="418"/>
      <c r="IO108" s="418"/>
      <c r="IP108" s="418"/>
      <c r="IQ108" s="418"/>
      <c r="IR108" s="418"/>
      <c r="IS108" s="418"/>
      <c r="IT108" s="418"/>
      <c r="IU108" s="418"/>
      <c r="IV108" s="418"/>
    </row>
    <row r="109" spans="1:256" s="1" customFormat="1" x14ac:dyDescent="0.2">
      <c r="BN109" s="65">
        <f>BN107/BI107-1</f>
        <v>0.17637166819984929</v>
      </c>
      <c r="BO109" s="65"/>
      <c r="BP109" s="65">
        <f>BP107/BK107-1</f>
        <v>0.2162751670865517</v>
      </c>
      <c r="BQ109" s="65">
        <f>BQ107/BL107-1</f>
        <v>0.22695356942914424</v>
      </c>
      <c r="BR109" s="65">
        <f>BR107/BM107-1</f>
        <v>0.10874978453490702</v>
      </c>
      <c r="BS109" s="65">
        <f>BS107/BN107-1</f>
        <v>-5.4477055274819053E-2</v>
      </c>
      <c r="BT109" s="65"/>
      <c r="BU109" s="65">
        <f>BU107/BP107-1</f>
        <v>-0.21624856547330451</v>
      </c>
      <c r="BV109" s="65">
        <f>BV107/BQ107-1</f>
        <v>-0.11046642557193753</v>
      </c>
      <c r="BW109" s="65">
        <f>BW107/BR107-1</f>
        <v>-0.12654799241796655</v>
      </c>
      <c r="BX109" s="65">
        <f>BX107/BS107-1</f>
        <v>0.10351950425041712</v>
      </c>
      <c r="BY109" s="65"/>
      <c r="BZ109" s="65">
        <f>BZ107/BU107-1</f>
        <v>0.27922418312074027</v>
      </c>
      <c r="CA109" s="65">
        <f>CA107/BV107-1</f>
        <v>0.34971456937205248</v>
      </c>
      <c r="CB109" s="65">
        <f>CB107/BW107-1</f>
        <v>0.46043285702348125</v>
      </c>
      <c r="CC109" s="65">
        <f>CC107/BX107-1</f>
        <v>0.22742980561555082</v>
      </c>
      <c r="CD109" s="65"/>
      <c r="CE109" s="65">
        <f>CE107/BZ107-1</f>
        <v>9.9439967217593628E-2</v>
      </c>
      <c r="CF109" s="65">
        <f>CF107/CA107-1</f>
        <v>-0.13166605369621198</v>
      </c>
      <c r="CG109" s="65">
        <f>CG107/CB107-1</f>
        <v>-0.16679063912570824</v>
      </c>
      <c r="CH109" s="65">
        <f>CH107/CC107-1</f>
        <v>-5.4255381547304915E-2</v>
      </c>
      <c r="CI109" s="65"/>
      <c r="CJ109" s="65">
        <f>CJ107/CE107-1</f>
        <v>-0.12715865324885123</v>
      </c>
      <c r="CK109" s="65">
        <f>CK107/CF107-1</f>
        <v>7.1932796837498092E-2</v>
      </c>
      <c r="CL109" s="65">
        <f>CL107/CG107-1</f>
        <v>0.1074028292816922</v>
      </c>
      <c r="CM109" s="65">
        <f>CM107/CH107-1</f>
        <v>6.6422723889853819E-2</v>
      </c>
      <c r="CN109" s="65"/>
      <c r="CO109" s="65">
        <f>CO107/CJ107-1</f>
        <v>0.65148388015087932</v>
      </c>
      <c r="CP109" s="65">
        <f>CP107/CK107-1</f>
        <v>0.65716167270332648</v>
      </c>
      <c r="CQ109" s="65">
        <f>CQ107/CL107-1</f>
        <v>0.63115465707553042</v>
      </c>
      <c r="CR109" s="65">
        <f>CR107/CM107-1</f>
        <v>0.69136376853736348</v>
      </c>
      <c r="CS109" s="65"/>
      <c r="CT109" s="65">
        <f>CT107/CO107-1</f>
        <v>-0.81077354018530645</v>
      </c>
      <c r="CU109" s="65">
        <f>CU107/CP107-1</f>
        <v>-0.78051979017644413</v>
      </c>
      <c r="CV109" s="65">
        <f>CV107/CQ107-1</f>
        <v>-0.71977645985401595</v>
      </c>
      <c r="CW109" s="708">
        <f>CW107/CR107-1</f>
        <v>-0.79101193136883974</v>
      </c>
      <c r="CX109" s="708"/>
      <c r="CY109" s="65">
        <f>CY107/CT107-1</f>
        <v>6.8225916647689138</v>
      </c>
      <c r="CZ109" s="65">
        <f>CZ107/CU107-1</f>
        <v>5.5040738728952148</v>
      </c>
      <c r="DA109" s="65">
        <f>DA107/CV107-1</f>
        <v>3.7760141093474688</v>
      </c>
      <c r="DB109" s="65">
        <f>DB107/CW107-1</f>
        <v>5.1683119447186305</v>
      </c>
      <c r="DC109" s="65"/>
      <c r="DD109" s="65">
        <f>DD107/CY107-1</f>
        <v>0.15284287752190662</v>
      </c>
      <c r="DE109" s="890">
        <f>DE107/CZ107-1</f>
        <v>9.5067089805689342E-2</v>
      </c>
      <c r="DF109" s="65">
        <f>DF107/DA107-1</f>
        <v>0.20349960231791742</v>
      </c>
      <c r="DG109" s="65">
        <f>DG107/DB107-1</f>
        <v>0.22031954335707216</v>
      </c>
      <c r="DH109" s="65"/>
      <c r="DI109" s="65">
        <f>DI107/DD107-1</f>
        <v>0.11992727089067912</v>
      </c>
      <c r="DJ109" s="65">
        <f>DJ107/DE107-1</f>
        <v>0.10038894679309562</v>
      </c>
      <c r="DK109" s="65">
        <f>DK107/DF107-1</f>
        <v>3.8000377643504502E-2</v>
      </c>
      <c r="DL109" s="65">
        <f>DL107/DG107-1</f>
        <v>-8.760464252147504E-2</v>
      </c>
      <c r="DM109" s="65"/>
      <c r="DN109" s="65">
        <f>DN107/DI107-1</f>
        <v>0.21748168646017096</v>
      </c>
      <c r="DO109" s="65">
        <f>DO107/DJ107-1</f>
        <v>0.32457934862907867</v>
      </c>
      <c r="DP109" s="65">
        <f>DP107/DK107-1</f>
        <v>0.31826868824701537</v>
      </c>
      <c r="DQ109" s="65">
        <f>DQ107/DL107-1</f>
        <v>0.43480535547158228</v>
      </c>
      <c r="DS109" s="65">
        <f>DS107/DN107-1</f>
        <v>-0.12890779033504518</v>
      </c>
      <c r="DT109" s="65">
        <f>DT107/DO107-1</f>
        <v>-0.15464235250756975</v>
      </c>
      <c r="DU109" s="65">
        <f>DU107/DP107-1</f>
        <v>-0.14146547231210937</v>
      </c>
      <c r="DV109" s="65">
        <f>DV107/DQ107-1</f>
        <v>-0.14608452854256582</v>
      </c>
      <c r="DX109" s="65">
        <f>DX107/DS107-1</f>
        <v>0.11351009180178906</v>
      </c>
      <c r="DY109" s="65">
        <f>DY107/DT107-1</f>
        <v>0.10590316436177782</v>
      </c>
      <c r="DZ109" s="65">
        <f>DZ107/DU107-1</f>
        <v>0.10676022922750183</v>
      </c>
      <c r="EA109" s="65">
        <f>EA107/DV107-1</f>
        <v>0.10704171292996612</v>
      </c>
      <c r="FC109"/>
      <c r="FD109"/>
      <c r="FE109"/>
      <c r="FF109"/>
      <c r="FG109"/>
      <c r="FH109"/>
      <c r="FI109" s="288"/>
      <c r="FJ109" s="416"/>
      <c r="FK109" s="416"/>
      <c r="FL109" s="416"/>
      <c r="FM109" s="416"/>
      <c r="FN109" s="416"/>
      <c r="FO109" s="416"/>
      <c r="FP109" s="416"/>
      <c r="FQ109" s="416"/>
      <c r="FR109" s="416"/>
      <c r="FS109" s="416"/>
      <c r="FT109" s="416"/>
      <c r="FU109" s="416"/>
      <c r="FV109" s="416"/>
      <c r="FW109" s="416"/>
      <c r="FX109" s="416"/>
      <c r="FY109" s="416"/>
      <c r="FZ109" s="416"/>
      <c r="GA109" s="416"/>
      <c r="GB109" s="416"/>
      <c r="GC109" s="416"/>
      <c r="GD109" s="416"/>
      <c r="GE109" s="416"/>
      <c r="GF109" s="416"/>
      <c r="GG109" s="416"/>
      <c r="GH109" s="416"/>
      <c r="GI109" s="416"/>
      <c r="GJ109" s="416"/>
      <c r="GK109" s="416"/>
      <c r="GL109" s="416"/>
      <c r="GM109" s="416"/>
      <c r="GN109" s="416"/>
      <c r="GO109" s="416"/>
      <c r="GP109" s="416"/>
      <c r="GQ109" s="416"/>
      <c r="GR109" s="416"/>
      <c r="GS109" s="416"/>
      <c r="GT109" s="416"/>
      <c r="GU109" s="416"/>
      <c r="GV109" s="416"/>
      <c r="GW109" s="416"/>
      <c r="GX109" s="416"/>
      <c r="GY109" s="416"/>
      <c r="GZ109" s="416"/>
      <c r="HA109" s="416"/>
      <c r="HB109" s="416"/>
      <c r="HC109" s="416"/>
      <c r="HD109" s="416"/>
      <c r="HE109" s="416"/>
      <c r="HF109" s="416"/>
      <c r="HG109" s="416"/>
      <c r="HH109" s="416"/>
      <c r="HI109" s="416"/>
      <c r="HJ109" s="416"/>
      <c r="HK109" s="416"/>
      <c r="HL109" s="416"/>
      <c r="HM109" s="416"/>
      <c r="HN109" s="416"/>
      <c r="HO109" s="416"/>
      <c r="HP109" s="416"/>
      <c r="HQ109" s="416"/>
      <c r="HR109" s="416"/>
      <c r="HS109" s="416"/>
      <c r="HT109" s="416"/>
      <c r="HU109" s="416"/>
      <c r="HV109" s="416"/>
      <c r="HW109" s="416"/>
      <c r="HX109" s="416"/>
      <c r="HY109" s="416"/>
      <c r="HZ109" s="416"/>
      <c r="IA109" s="416"/>
      <c r="IB109" s="416"/>
      <c r="IC109" s="416"/>
      <c r="ID109" s="416"/>
      <c r="IE109" s="416"/>
      <c r="IF109" s="416"/>
      <c r="IG109" s="416"/>
      <c r="IH109" s="416"/>
      <c r="II109" s="416"/>
      <c r="IJ109" s="416"/>
      <c r="IK109" s="416"/>
      <c r="IL109" s="416"/>
      <c r="IM109" s="416"/>
      <c r="IN109" s="416"/>
      <c r="IO109" s="416"/>
      <c r="IP109" s="416"/>
      <c r="IQ109" s="416"/>
      <c r="IR109" s="416"/>
      <c r="IS109" s="416"/>
      <c r="IT109" s="416"/>
      <c r="IU109" s="416"/>
      <c r="IV109" s="416"/>
    </row>
    <row r="110" spans="1:256" s="1" customFormat="1" x14ac:dyDescent="0.2">
      <c r="BE110" s="65">
        <f>BE12/AZ12-1</f>
        <v>0.16927402586237084</v>
      </c>
      <c r="BF110" s="65"/>
      <c r="BG110" s="65"/>
      <c r="BH110" s="65"/>
      <c r="BI110" s="65"/>
      <c r="BJ110" s="65">
        <f>BJ12/BE12-1</f>
        <v>0.1236850060047876</v>
      </c>
      <c r="BK110" s="65"/>
      <c r="BL110" s="65"/>
      <c r="BM110" s="65"/>
      <c r="BN110" s="65"/>
      <c r="BO110" s="65">
        <f>BO12/BJ12-1</f>
        <v>0.19051923659497128</v>
      </c>
      <c r="BP110" s="65"/>
      <c r="BQ110" s="65"/>
      <c r="BR110" s="65"/>
      <c r="BS110" s="65"/>
      <c r="BT110" s="65">
        <f>BT12/BO12-1</f>
        <v>0.23056441073369727</v>
      </c>
      <c r="BU110" s="65"/>
      <c r="BV110" s="65"/>
      <c r="BW110" s="65"/>
      <c r="BX110" s="65"/>
      <c r="BY110" s="65">
        <f>BY12/BT12-1</f>
        <v>-6.8155500413564996E-2</v>
      </c>
      <c r="CW110" s="657"/>
      <c r="CX110" s="657"/>
      <c r="FC110"/>
      <c r="FD110"/>
      <c r="FE110"/>
      <c r="FF110"/>
      <c r="FG110"/>
      <c r="FH110"/>
      <c r="FI110" s="288"/>
      <c r="FJ110" s="416"/>
      <c r="FK110" s="416"/>
      <c r="FL110" s="416"/>
      <c r="FM110" s="416"/>
      <c r="FN110" s="416"/>
      <c r="FO110" s="416"/>
      <c r="FP110" s="416"/>
      <c r="FQ110" s="416"/>
      <c r="FR110" s="416"/>
      <c r="FS110" s="416"/>
      <c r="FT110" s="416"/>
      <c r="FU110" s="416"/>
      <c r="FV110" s="416"/>
      <c r="FW110" s="416"/>
      <c r="FX110" s="416"/>
      <c r="FY110" s="416"/>
      <c r="FZ110" s="416"/>
      <c r="GA110" s="416"/>
      <c r="GB110" s="416"/>
      <c r="GC110" s="416"/>
      <c r="GD110" s="416"/>
      <c r="GE110" s="416"/>
      <c r="GF110" s="416"/>
      <c r="GG110" s="416"/>
      <c r="GH110" s="416"/>
      <c r="GI110" s="416"/>
      <c r="GJ110" s="416"/>
      <c r="GK110" s="416"/>
      <c r="GL110" s="416"/>
      <c r="GM110" s="416"/>
      <c r="GN110" s="416"/>
      <c r="GO110" s="416"/>
      <c r="GP110" s="416"/>
      <c r="GQ110" s="416"/>
      <c r="GR110" s="416"/>
      <c r="GS110" s="416"/>
      <c r="GT110" s="416"/>
      <c r="GU110" s="416"/>
      <c r="GV110" s="416"/>
      <c r="GW110" s="416"/>
      <c r="GX110" s="416"/>
      <c r="GY110" s="416"/>
      <c r="GZ110" s="416"/>
      <c r="HA110" s="416"/>
      <c r="HB110" s="416"/>
      <c r="HC110" s="416"/>
      <c r="HD110" s="416"/>
      <c r="HE110" s="416"/>
      <c r="HF110" s="416"/>
      <c r="HG110" s="416"/>
      <c r="HH110" s="416"/>
      <c r="HI110" s="416"/>
      <c r="HJ110" s="416"/>
      <c r="HK110" s="416"/>
      <c r="HL110" s="416"/>
      <c r="HM110" s="416"/>
      <c r="HN110" s="416"/>
      <c r="HO110" s="416"/>
      <c r="HP110" s="416"/>
      <c r="HQ110" s="416"/>
      <c r="HR110" s="416"/>
      <c r="HS110" s="416"/>
      <c r="HT110" s="416"/>
      <c r="HU110" s="416"/>
      <c r="HV110" s="416"/>
      <c r="HW110" s="416"/>
      <c r="HX110" s="416"/>
      <c r="HY110" s="416"/>
      <c r="HZ110" s="416"/>
      <c r="IA110" s="416"/>
      <c r="IB110" s="416"/>
      <c r="IC110" s="416"/>
      <c r="ID110" s="416"/>
      <c r="IE110" s="416"/>
      <c r="IF110" s="416"/>
      <c r="IG110" s="416"/>
      <c r="IH110" s="416"/>
      <c r="II110" s="416"/>
      <c r="IJ110" s="416"/>
      <c r="IK110" s="416"/>
      <c r="IL110" s="416"/>
      <c r="IM110" s="416"/>
      <c r="IN110" s="416"/>
      <c r="IO110" s="416"/>
      <c r="IP110" s="416"/>
      <c r="IQ110" s="416"/>
      <c r="IR110" s="416"/>
      <c r="IS110" s="416"/>
      <c r="IT110" s="416"/>
      <c r="IU110" s="416"/>
      <c r="IV110" s="416"/>
    </row>
    <row r="111" spans="1:256" hidden="1" outlineLevel="1" x14ac:dyDescent="0.2">
      <c r="A111" s="982" t="s">
        <v>216</v>
      </c>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c r="AK111" s="292"/>
      <c r="AL111" s="292"/>
      <c r="AM111" s="292"/>
      <c r="AN111" s="292"/>
      <c r="AO111" s="292"/>
      <c r="AP111" s="292"/>
      <c r="AQ111" s="292"/>
      <c r="AR111" s="292"/>
      <c r="AS111" s="292"/>
      <c r="AT111" s="292"/>
      <c r="AU111" s="292"/>
      <c r="AV111" s="292"/>
      <c r="AW111" s="292"/>
      <c r="AX111" s="292"/>
      <c r="AY111" s="292"/>
      <c r="AZ111" s="292"/>
      <c r="BA111" s="292"/>
      <c r="BB111" s="292"/>
      <c r="BC111" s="292"/>
      <c r="BD111" s="292"/>
      <c r="BE111" s="292"/>
      <c r="BF111" s="292"/>
      <c r="BG111" s="292"/>
      <c r="BH111" s="292"/>
      <c r="BI111" s="292"/>
      <c r="BJ111" s="292"/>
      <c r="BK111" s="292"/>
      <c r="BL111" s="292"/>
      <c r="BM111" s="292"/>
      <c r="BN111" s="292"/>
      <c r="BO111" s="292"/>
      <c r="BP111" s="292"/>
      <c r="BQ111" s="292"/>
      <c r="BR111" s="292"/>
      <c r="BS111" s="292"/>
      <c r="BT111" s="292"/>
      <c r="BU111" s="292"/>
      <c r="BV111" s="292"/>
      <c r="BW111" s="292"/>
      <c r="BX111" s="292"/>
      <c r="BY111" s="292"/>
      <c r="BZ111" s="292"/>
      <c r="CA111" s="292"/>
      <c r="CB111" s="292"/>
      <c r="CC111" s="292"/>
      <c r="CD111" s="292"/>
      <c r="CE111" s="292"/>
      <c r="CF111" s="292"/>
      <c r="CG111" s="292"/>
      <c r="CH111" s="292"/>
      <c r="CI111" s="292"/>
      <c r="CJ111" s="292"/>
      <c r="CK111" s="292"/>
      <c r="CL111" s="292"/>
      <c r="CM111" s="292"/>
      <c r="CN111" s="292"/>
      <c r="CO111" s="292"/>
      <c r="CP111" s="292"/>
      <c r="CQ111" s="292"/>
      <c r="CR111" s="292"/>
      <c r="CS111" s="292"/>
      <c r="CT111" s="292"/>
      <c r="CU111" s="292"/>
      <c r="CV111" s="292"/>
      <c r="CW111" s="671"/>
      <c r="CX111" s="671"/>
      <c r="CY111" s="774"/>
      <c r="CZ111" s="774"/>
      <c r="DA111" s="774"/>
      <c r="DB111" s="774"/>
      <c r="DC111" s="774"/>
      <c r="DD111" s="774"/>
      <c r="DE111" s="774"/>
      <c r="DF111" s="774"/>
      <c r="DG111" s="774"/>
      <c r="DH111" s="774"/>
      <c r="DI111" s="774"/>
      <c r="DJ111" s="774"/>
      <c r="DK111" s="774"/>
      <c r="DL111" s="774"/>
      <c r="DM111" s="774"/>
      <c r="DN111" s="776"/>
      <c r="DO111" s="776"/>
      <c r="DP111" s="776"/>
      <c r="DQ111" s="776"/>
      <c r="DR111" s="776"/>
      <c r="DS111" s="776"/>
      <c r="DT111" s="776"/>
      <c r="DU111" s="776"/>
      <c r="DV111" s="776"/>
      <c r="DW111" s="776"/>
      <c r="DX111" s="776"/>
      <c r="DY111" s="776"/>
      <c r="DZ111" s="776"/>
      <c r="EA111" s="776"/>
      <c r="EB111" s="983"/>
    </row>
    <row r="112" spans="1:256" hidden="1" outlineLevel="1" x14ac:dyDescent="0.2">
      <c r="A112" s="27" t="s">
        <v>217</v>
      </c>
      <c r="B112" s="628"/>
      <c r="C112" s="628"/>
      <c r="D112" s="628"/>
      <c r="E112" s="628"/>
      <c r="F112" s="628"/>
      <c r="G112" s="628"/>
      <c r="H112" s="628"/>
      <c r="I112" s="628"/>
      <c r="J112" s="628"/>
      <c r="K112" s="628"/>
      <c r="L112" s="628"/>
      <c r="M112" s="628"/>
      <c r="N112" s="628"/>
      <c r="O112" s="628"/>
      <c r="P112" s="628"/>
      <c r="Q112" s="628"/>
      <c r="R112" s="628"/>
      <c r="S112" s="628"/>
      <c r="T112" s="628"/>
      <c r="U112" s="628"/>
      <c r="V112" s="628"/>
      <c r="W112" s="628"/>
      <c r="X112" s="628"/>
      <c r="Y112" s="628"/>
      <c r="Z112" s="628"/>
      <c r="AA112" s="628"/>
      <c r="AB112" s="628"/>
      <c r="AC112" s="628"/>
      <c r="AD112" s="628"/>
      <c r="AE112" s="628"/>
      <c r="AF112" s="628"/>
      <c r="AG112" s="628"/>
      <c r="AH112" s="628"/>
      <c r="AI112" s="628"/>
      <c r="AJ112" s="628"/>
      <c r="AK112" s="628"/>
      <c r="AL112" s="628"/>
      <c r="AM112" s="628"/>
      <c r="AN112" s="628"/>
      <c r="AO112" s="628"/>
      <c r="AP112" s="628"/>
      <c r="AQ112" s="628"/>
      <c r="AR112" s="628"/>
      <c r="AS112" s="628"/>
      <c r="AT112" s="628"/>
      <c r="AU112" s="628"/>
      <c r="AV112" s="628"/>
      <c r="AW112" s="628"/>
      <c r="AX112" s="628"/>
      <c r="AY112" s="628"/>
      <c r="AZ112" s="92">
        <v>0.61</v>
      </c>
      <c r="BA112" s="28"/>
      <c r="BB112" s="28"/>
      <c r="BC112" s="28"/>
      <c r="BD112" s="28"/>
      <c r="BE112" s="92">
        <v>0.51</v>
      </c>
      <c r="BF112" s="28"/>
      <c r="BG112" s="28"/>
      <c r="BH112" s="28"/>
      <c r="BI112" s="28"/>
      <c r="BJ112" s="92">
        <v>0.64</v>
      </c>
      <c r="BK112" s="28"/>
      <c r="BL112" s="28"/>
      <c r="BM112" s="28"/>
      <c r="BN112" s="28"/>
      <c r="BO112" s="92">
        <v>0.68</v>
      </c>
      <c r="BP112" s="28"/>
      <c r="BQ112" s="28"/>
      <c r="BR112" s="28"/>
      <c r="BS112" s="28"/>
      <c r="BT112" s="92">
        <v>0.52</v>
      </c>
      <c r="BU112" s="28"/>
      <c r="BV112" s="28"/>
      <c r="BW112" s="28"/>
      <c r="BX112" s="28"/>
      <c r="BY112" s="92">
        <v>0.24</v>
      </c>
      <c r="BZ112" s="628"/>
      <c r="CA112" s="628"/>
      <c r="CB112" s="628"/>
      <c r="CC112" s="628"/>
      <c r="CD112" s="628"/>
      <c r="CE112" s="628"/>
      <c r="CF112" s="628"/>
      <c r="CG112" s="628"/>
      <c r="CH112" s="628"/>
      <c r="CI112" s="628"/>
      <c r="CJ112" s="628"/>
      <c r="CK112" s="628"/>
      <c r="CL112" s="628"/>
      <c r="CM112" s="628"/>
      <c r="CN112" s="628"/>
      <c r="CO112" s="628"/>
      <c r="CP112" s="628"/>
      <c r="CQ112" s="628"/>
      <c r="CR112" s="628"/>
      <c r="CS112" s="628"/>
      <c r="CT112" s="628"/>
      <c r="CU112" s="628"/>
      <c r="CV112" s="628"/>
      <c r="CW112" s="909"/>
      <c r="CX112" s="909"/>
      <c r="CY112" s="910"/>
      <c r="CZ112" s="910"/>
      <c r="DA112" s="910"/>
      <c r="DB112" s="910"/>
      <c r="DC112" s="910"/>
      <c r="DD112" s="628"/>
      <c r="DE112" s="628"/>
      <c r="DF112" s="628"/>
      <c r="DG112" s="628"/>
      <c r="DH112" s="628"/>
      <c r="DI112" s="628"/>
      <c r="DJ112" s="628"/>
      <c r="DK112" s="910"/>
      <c r="DL112" s="910"/>
      <c r="DM112" s="910"/>
      <c r="DN112" s="628"/>
      <c r="DO112" s="628"/>
      <c r="DP112" s="628"/>
      <c r="DQ112" s="628"/>
      <c r="DR112" s="628"/>
      <c r="DS112" s="628"/>
      <c r="DT112" s="628"/>
      <c r="DU112" s="628"/>
      <c r="DV112" s="628"/>
      <c r="DW112" s="628"/>
      <c r="DX112" s="628"/>
      <c r="DY112" s="628"/>
      <c r="DZ112" s="628"/>
      <c r="EA112" s="628"/>
      <c r="EB112" s="984"/>
    </row>
    <row r="113" spans="1:132" hidden="1" outlineLevel="1" x14ac:dyDescent="0.2">
      <c r="A113" s="27" t="s">
        <v>218</v>
      </c>
      <c r="B113" s="628"/>
      <c r="C113" s="628"/>
      <c r="D113" s="628"/>
      <c r="E113" s="628"/>
      <c r="F113" s="628"/>
      <c r="G113" s="628"/>
      <c r="H113" s="628"/>
      <c r="I113" s="628"/>
      <c r="J113" s="628"/>
      <c r="K113" s="628"/>
      <c r="L113" s="628"/>
      <c r="M113" s="628"/>
      <c r="N113" s="628"/>
      <c r="O113" s="628"/>
      <c r="P113" s="628"/>
      <c r="Q113" s="628"/>
      <c r="R113" s="628"/>
      <c r="S113" s="628"/>
      <c r="T113" s="628"/>
      <c r="U113" s="628"/>
      <c r="V113" s="628"/>
      <c r="W113" s="628"/>
      <c r="X113" s="628"/>
      <c r="Y113" s="628"/>
      <c r="Z113" s="628"/>
      <c r="AA113" s="628"/>
      <c r="AB113" s="628"/>
      <c r="AC113" s="628"/>
      <c r="AD113" s="628"/>
      <c r="AE113" s="628"/>
      <c r="AF113" s="628"/>
      <c r="AG113" s="628"/>
      <c r="AH113" s="628"/>
      <c r="AI113" s="628"/>
      <c r="AJ113" s="628"/>
      <c r="AK113" s="628"/>
      <c r="AL113" s="628"/>
      <c r="AM113" s="628"/>
      <c r="AN113" s="628"/>
      <c r="AO113" s="628"/>
      <c r="AP113" s="628"/>
      <c r="AQ113" s="628"/>
      <c r="AR113" s="628"/>
      <c r="AS113" s="628"/>
      <c r="AT113" s="628"/>
      <c r="AU113" s="628"/>
      <c r="AV113" s="628"/>
      <c r="AW113" s="628"/>
      <c r="AX113" s="628"/>
      <c r="AY113" s="628"/>
      <c r="AZ113" s="92">
        <v>0.26</v>
      </c>
      <c r="BA113" s="28"/>
      <c r="BB113" s="28"/>
      <c r="BC113" s="28"/>
      <c r="BD113" s="28"/>
      <c r="BE113" s="92">
        <v>0.31</v>
      </c>
      <c r="BF113" s="28"/>
      <c r="BG113" s="28"/>
      <c r="BH113" s="28"/>
      <c r="BI113" s="28"/>
      <c r="BJ113" s="92">
        <v>0.2</v>
      </c>
      <c r="BK113" s="28"/>
      <c r="BL113" s="28"/>
      <c r="BM113" s="28"/>
      <c r="BN113" s="28"/>
      <c r="BO113" s="92">
        <v>0.19</v>
      </c>
      <c r="BP113" s="28"/>
      <c r="BQ113" s="28"/>
      <c r="BR113" s="28"/>
      <c r="BS113" s="28"/>
      <c r="BT113" s="92">
        <v>0.25</v>
      </c>
      <c r="BU113" s="28"/>
      <c r="BV113" s="28"/>
      <c r="BW113" s="28"/>
      <c r="BX113" s="28"/>
      <c r="BY113" s="92">
        <v>0.44</v>
      </c>
      <c r="BZ113" s="628"/>
      <c r="CA113" s="628"/>
      <c r="CB113" s="628"/>
      <c r="CC113" s="628"/>
      <c r="CD113" s="628"/>
      <c r="CE113" s="628"/>
      <c r="CF113" s="628"/>
      <c r="CG113" s="628"/>
      <c r="CH113" s="628"/>
      <c r="CI113" s="628"/>
      <c r="CJ113" s="628"/>
      <c r="CK113" s="628"/>
      <c r="CL113" s="628"/>
      <c r="CM113" s="628"/>
      <c r="CN113" s="628"/>
      <c r="CO113" s="628"/>
      <c r="CP113" s="628"/>
      <c r="CQ113" s="628"/>
      <c r="CR113" s="628"/>
      <c r="CS113" s="628"/>
      <c r="CT113" s="628"/>
      <c r="CU113" s="628"/>
      <c r="CV113" s="628"/>
      <c r="CW113" s="909"/>
      <c r="CX113" s="909"/>
      <c r="CY113" s="910"/>
      <c r="CZ113" s="910"/>
      <c r="DA113" s="910"/>
      <c r="DB113" s="910"/>
      <c r="DC113" s="910"/>
      <c r="DD113" s="628"/>
      <c r="DE113" s="628"/>
      <c r="DF113" s="628"/>
      <c r="DG113" s="628"/>
      <c r="DH113" s="628"/>
      <c r="DI113" s="628"/>
      <c r="DJ113" s="628"/>
      <c r="DK113" s="910"/>
      <c r="DL113" s="910"/>
      <c r="DM113" s="910"/>
      <c r="DN113" s="628"/>
      <c r="DO113" s="628"/>
      <c r="DP113" s="628"/>
      <c r="DQ113" s="628"/>
      <c r="DR113" s="628"/>
      <c r="DS113" s="628"/>
      <c r="DT113" s="628"/>
      <c r="DU113" s="628"/>
      <c r="DV113" s="628"/>
      <c r="DW113" s="628"/>
      <c r="DX113" s="628"/>
      <c r="DY113" s="628"/>
      <c r="DZ113" s="628"/>
      <c r="EA113" s="628"/>
      <c r="EB113" s="984"/>
    </row>
    <row r="114" spans="1:132" hidden="1" outlineLevel="1" x14ac:dyDescent="0.2">
      <c r="A114" s="27" t="s">
        <v>219</v>
      </c>
      <c r="B114" s="628"/>
      <c r="C114" s="628"/>
      <c r="D114" s="628"/>
      <c r="E114" s="628"/>
      <c r="F114" s="628"/>
      <c r="G114" s="628"/>
      <c r="H114" s="628"/>
      <c r="I114" s="628"/>
      <c r="J114" s="628"/>
      <c r="K114" s="628"/>
      <c r="L114" s="628"/>
      <c r="M114" s="628"/>
      <c r="N114" s="628"/>
      <c r="O114" s="628"/>
      <c r="P114" s="628"/>
      <c r="Q114" s="628"/>
      <c r="R114" s="628"/>
      <c r="S114" s="628"/>
      <c r="T114" s="628"/>
      <c r="U114" s="628"/>
      <c r="V114" s="628"/>
      <c r="W114" s="628"/>
      <c r="X114" s="628"/>
      <c r="Y114" s="628"/>
      <c r="Z114" s="628"/>
      <c r="AA114" s="628"/>
      <c r="AB114" s="628"/>
      <c r="AC114" s="628"/>
      <c r="AD114" s="628"/>
      <c r="AE114" s="628"/>
      <c r="AF114" s="628"/>
      <c r="AG114" s="628"/>
      <c r="AH114" s="628"/>
      <c r="AI114" s="628"/>
      <c r="AJ114" s="628"/>
      <c r="AK114" s="628"/>
      <c r="AL114" s="628"/>
      <c r="AM114" s="628"/>
      <c r="AN114" s="628"/>
      <c r="AO114" s="628"/>
      <c r="AP114" s="628"/>
      <c r="AQ114" s="628"/>
      <c r="AR114" s="628"/>
      <c r="AS114" s="628"/>
      <c r="AT114" s="628"/>
      <c r="AU114" s="628"/>
      <c r="AV114" s="628"/>
      <c r="AW114" s="628"/>
      <c r="AX114" s="628"/>
      <c r="AY114" s="628"/>
      <c r="AZ114" s="92">
        <v>0.04</v>
      </c>
      <c r="BA114" s="28"/>
      <c r="BB114" s="28"/>
      <c r="BC114" s="28"/>
      <c r="BD114" s="28"/>
      <c r="BE114" s="92">
        <v>0.04</v>
      </c>
      <c r="BF114" s="28"/>
      <c r="BG114" s="28"/>
      <c r="BH114" s="28"/>
      <c r="BI114" s="28"/>
      <c r="BJ114" s="92">
        <v>0.03</v>
      </c>
      <c r="BK114" s="28"/>
      <c r="BL114" s="28"/>
      <c r="BM114" s="28"/>
      <c r="BN114" s="28"/>
      <c r="BO114" s="92">
        <v>0.02</v>
      </c>
      <c r="BP114" s="28"/>
      <c r="BQ114" s="28"/>
      <c r="BR114" s="28"/>
      <c r="BS114" s="28"/>
      <c r="BT114" s="92">
        <v>0.08</v>
      </c>
      <c r="BU114" s="28"/>
      <c r="BV114" s="28"/>
      <c r="BW114" s="28"/>
      <c r="BX114" s="28"/>
      <c r="BY114" s="92">
        <v>7.0000000000000007E-2</v>
      </c>
      <c r="BZ114" s="628"/>
      <c r="CA114" s="628"/>
      <c r="CB114" s="628"/>
      <c r="CC114" s="628"/>
      <c r="CD114" s="628"/>
      <c r="CE114" s="628"/>
      <c r="CF114" s="628"/>
      <c r="CG114" s="628"/>
      <c r="CH114" s="628"/>
      <c r="CI114" s="628"/>
      <c r="CJ114" s="628"/>
      <c r="CK114" s="628"/>
      <c r="CL114" s="628"/>
      <c r="CM114" s="628"/>
      <c r="CN114" s="628"/>
      <c r="CO114" s="628"/>
      <c r="CP114" s="628"/>
      <c r="CQ114" s="628"/>
      <c r="CR114" s="628"/>
      <c r="CS114" s="628"/>
      <c r="CT114" s="628"/>
      <c r="CU114" s="628"/>
      <c r="CV114" s="628"/>
      <c r="CW114" s="909"/>
      <c r="CX114" s="909"/>
      <c r="CY114" s="910"/>
      <c r="CZ114" s="910"/>
      <c r="DA114" s="910"/>
      <c r="DB114" s="910"/>
      <c r="DC114" s="910"/>
      <c r="DD114" s="628"/>
      <c r="DE114" s="628"/>
      <c r="DF114" s="628"/>
      <c r="DG114" s="628"/>
      <c r="DH114" s="628"/>
      <c r="DI114" s="628"/>
      <c r="DJ114" s="628"/>
      <c r="DK114" s="910"/>
      <c r="DL114" s="910"/>
      <c r="DM114" s="910"/>
      <c r="DN114" s="628"/>
      <c r="DO114" s="628"/>
      <c r="DP114" s="628"/>
      <c r="DQ114" s="628"/>
      <c r="DR114" s="628"/>
      <c r="DS114" s="628"/>
      <c r="DT114" s="628"/>
      <c r="DU114" s="628"/>
      <c r="DV114" s="628"/>
      <c r="DW114" s="628"/>
      <c r="DX114" s="628"/>
      <c r="DY114" s="628"/>
      <c r="DZ114" s="628"/>
      <c r="EA114" s="628"/>
      <c r="EB114" s="984"/>
    </row>
    <row r="115" spans="1:132" hidden="1" outlineLevel="1" x14ac:dyDescent="0.2">
      <c r="A115" s="30" t="s">
        <v>584</v>
      </c>
      <c r="B115" s="296"/>
      <c r="C115" s="296"/>
      <c r="D115" s="296"/>
      <c r="E115" s="296"/>
      <c r="F115" s="296"/>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93">
        <v>0.09</v>
      </c>
      <c r="BA115" s="2"/>
      <c r="BB115" s="2"/>
      <c r="BC115" s="2"/>
      <c r="BD115" s="2"/>
      <c r="BE115" s="93">
        <v>0.14000000000000001</v>
      </c>
      <c r="BF115" s="2"/>
      <c r="BG115" s="2"/>
      <c r="BH115" s="2"/>
      <c r="BI115" s="2"/>
      <c r="BJ115" s="93">
        <v>0.13</v>
      </c>
      <c r="BK115" s="2"/>
      <c r="BL115" s="2"/>
      <c r="BM115" s="2"/>
      <c r="BN115" s="2"/>
      <c r="BO115" s="93">
        <v>0.11</v>
      </c>
      <c r="BP115" s="2"/>
      <c r="BQ115" s="2"/>
      <c r="BR115" s="2"/>
      <c r="BS115" s="2"/>
      <c r="BT115" s="93">
        <v>0.15</v>
      </c>
      <c r="BU115" s="2"/>
      <c r="BV115" s="2"/>
      <c r="BW115" s="2"/>
      <c r="BX115" s="2"/>
      <c r="BY115" s="93">
        <v>0.28000000000000003</v>
      </c>
      <c r="BZ115" s="296"/>
      <c r="CA115" s="296"/>
      <c r="CB115" s="296"/>
      <c r="CC115" s="296"/>
      <c r="CD115" s="296"/>
      <c r="CE115" s="296"/>
      <c r="CF115" s="296"/>
      <c r="CG115" s="296"/>
      <c r="CH115" s="296"/>
      <c r="CI115" s="296"/>
      <c r="CJ115" s="296"/>
      <c r="CK115" s="296"/>
      <c r="CL115" s="296"/>
      <c r="CM115" s="296"/>
      <c r="CN115" s="296"/>
      <c r="CO115" s="296"/>
      <c r="CP115" s="296"/>
      <c r="CQ115" s="296"/>
      <c r="CR115" s="296"/>
      <c r="CS115" s="627"/>
      <c r="CT115" s="296"/>
      <c r="CU115" s="296"/>
      <c r="CV115" s="296"/>
      <c r="CW115" s="738"/>
      <c r="CX115" s="738"/>
      <c r="CY115" s="794"/>
      <c r="CZ115" s="794"/>
      <c r="DA115" s="794"/>
      <c r="DB115" s="794"/>
      <c r="DC115" s="794"/>
      <c r="DD115" s="794"/>
      <c r="DE115" s="794"/>
      <c r="DF115" s="794"/>
      <c r="DG115" s="794"/>
      <c r="DH115" s="794"/>
      <c r="DI115" s="794"/>
      <c r="DJ115" s="794"/>
      <c r="DK115" s="794"/>
      <c r="DL115" s="794"/>
      <c r="DM115" s="794"/>
      <c r="DN115" s="794"/>
      <c r="DO115" s="794"/>
      <c r="DP115" s="794"/>
      <c r="DQ115" s="794"/>
      <c r="DR115" s="794"/>
      <c r="DS115" s="794"/>
      <c r="DT115" s="794"/>
      <c r="DU115" s="794"/>
      <c r="DV115" s="794"/>
      <c r="DW115" s="794"/>
      <c r="DX115" s="794"/>
      <c r="DY115" s="794"/>
      <c r="DZ115" s="794"/>
      <c r="EA115" s="794"/>
      <c r="EB115" s="985"/>
    </row>
    <row r="116" spans="1:132" collapsed="1" x14ac:dyDescent="0.2"/>
    <row r="117" spans="1:132" hidden="1" outlineLevel="1" x14ac:dyDescent="0.2">
      <c r="CS117" s="629" t="s">
        <v>589</v>
      </c>
    </row>
    <row r="118" spans="1:132" hidden="1" outlineLevel="1" x14ac:dyDescent="0.2">
      <c r="BH118" s="587" t="str">
        <f>AZ7</f>
        <v>FY 2004A</v>
      </c>
      <c r="BI118" s="587" t="str">
        <f>BE7</f>
        <v>FY 2005A</v>
      </c>
      <c r="BJ118" s="587" t="str">
        <f>BJ7</f>
        <v>FY 2006A</v>
      </c>
      <c r="BK118" s="587" t="str">
        <f>BO7</f>
        <v>FY 2007A</v>
      </c>
      <c r="BL118" s="587" t="str">
        <f>BT7</f>
        <v>FY 2008A</v>
      </c>
      <c r="BM118" s="587" t="str">
        <f>BY7</f>
        <v>FY 2009A</v>
      </c>
      <c r="BN118" s="587" t="str">
        <f>CD7</f>
        <v>FY 2010A</v>
      </c>
      <c r="BO118" s="587" t="str">
        <f>CI7</f>
        <v>FY 2011A</v>
      </c>
      <c r="BP118" s="587" t="str">
        <f>CN7</f>
        <v>FY 2012A</v>
      </c>
      <c r="BQ118" s="587" t="str">
        <f>CS7</f>
        <v>FY 2013A</v>
      </c>
      <c r="BR118" s="587" t="str">
        <f>CX7</f>
        <v>FY 2014A</v>
      </c>
      <c r="CQ118" s="1" t="s">
        <v>217</v>
      </c>
      <c r="CS118" s="76">
        <v>0.24</v>
      </c>
    </row>
    <row r="119" spans="1:132" hidden="1" outlineLevel="1" x14ac:dyDescent="0.2">
      <c r="BG119" s="1" t="s">
        <v>217</v>
      </c>
      <c r="BH119" s="76">
        <f>AZ112</f>
        <v>0.61</v>
      </c>
      <c r="BI119" s="76">
        <f>BE112</f>
        <v>0.51</v>
      </c>
      <c r="BJ119" s="76">
        <f>BJ112</f>
        <v>0.64</v>
      </c>
      <c r="BK119" s="76">
        <f>BO112</f>
        <v>0.68</v>
      </c>
      <c r="BL119" s="76">
        <f>BT112</f>
        <v>0.52</v>
      </c>
      <c r="BM119" s="76">
        <f>BY112</f>
        <v>0.24</v>
      </c>
      <c r="BN119" s="76"/>
      <c r="BQ119" s="76"/>
      <c r="BR119" s="76"/>
      <c r="CI119" s="76"/>
      <c r="CN119" s="76"/>
      <c r="CQ119" s="1" t="s">
        <v>218</v>
      </c>
      <c r="CS119" s="76">
        <v>0.17</v>
      </c>
    </row>
    <row r="120" spans="1:132" hidden="1" outlineLevel="1" x14ac:dyDescent="0.2">
      <c r="BG120" s="1" t="s">
        <v>218</v>
      </c>
      <c r="BH120" s="76">
        <f>AZ113</f>
        <v>0.26</v>
      </c>
      <c r="BI120" s="76">
        <f>BE113</f>
        <v>0.31</v>
      </c>
      <c r="BJ120" s="76">
        <f>BJ113</f>
        <v>0.2</v>
      </c>
      <c r="BK120" s="76">
        <f>BO113</f>
        <v>0.19</v>
      </c>
      <c r="BL120" s="76">
        <f>BT113</f>
        <v>0.25</v>
      </c>
      <c r="BM120" s="76">
        <f>BY113</f>
        <v>0.44</v>
      </c>
      <c r="BN120" s="76"/>
      <c r="BQ120" s="76"/>
      <c r="BR120" s="76"/>
      <c r="CI120" s="76"/>
      <c r="CN120" s="76"/>
      <c r="CQ120" s="1" t="s">
        <v>219</v>
      </c>
      <c r="CS120" s="76">
        <v>0.39</v>
      </c>
    </row>
    <row r="121" spans="1:132" hidden="1" outlineLevel="1" x14ac:dyDescent="0.2">
      <c r="BG121" s="1" t="s">
        <v>219</v>
      </c>
      <c r="BH121" s="76">
        <f>AZ114</f>
        <v>0.04</v>
      </c>
      <c r="BI121" s="76">
        <f>BE114</f>
        <v>0.04</v>
      </c>
      <c r="BJ121" s="76">
        <f>BJ114</f>
        <v>0.03</v>
      </c>
      <c r="BK121" s="76">
        <f>BO114</f>
        <v>0.02</v>
      </c>
      <c r="BL121" s="76">
        <f>BT114</f>
        <v>0.08</v>
      </c>
      <c r="BM121" s="76">
        <f>BY114</f>
        <v>7.0000000000000007E-2</v>
      </c>
      <c r="BN121" s="76"/>
      <c r="BQ121" s="76"/>
      <c r="BR121" s="76"/>
      <c r="CI121" s="76"/>
      <c r="CN121" s="76"/>
      <c r="CQ121" s="28" t="s">
        <v>584</v>
      </c>
      <c r="CR121" s="628"/>
      <c r="CS121" s="92">
        <v>0.2</v>
      </c>
    </row>
    <row r="122" spans="1:132" collapsed="1" x14ac:dyDescent="0.2">
      <c r="BG122" s="1" t="s">
        <v>584</v>
      </c>
      <c r="BH122" s="76">
        <f>AZ115</f>
        <v>0.09</v>
      </c>
      <c r="BI122" s="76">
        <f>BE115</f>
        <v>0.14000000000000001</v>
      </c>
      <c r="BJ122" s="76">
        <f>BJ115</f>
        <v>0.13</v>
      </c>
      <c r="BK122" s="76">
        <f>BO115</f>
        <v>0.11</v>
      </c>
      <c r="BL122" s="76">
        <f>BT115</f>
        <v>0.15</v>
      </c>
      <c r="BM122" s="76">
        <f>BY115</f>
        <v>0.28000000000000003</v>
      </c>
      <c r="BN122" s="76"/>
      <c r="BQ122" s="76"/>
      <c r="BR122" s="76"/>
      <c r="CI122" s="76"/>
      <c r="CN122" s="76"/>
    </row>
    <row r="123" spans="1:132" x14ac:dyDescent="0.2">
      <c r="BR123" s="617"/>
    </row>
    <row r="124" spans="1:132" x14ac:dyDescent="0.2">
      <c r="BG124" s="1" t="s">
        <v>550</v>
      </c>
      <c r="BH124" s="331">
        <f>-AZ84</f>
        <v>412.53699999999998</v>
      </c>
      <c r="BI124" s="331">
        <f>-BE84</f>
        <v>643.98900000000003</v>
      </c>
      <c r="BJ124" s="331">
        <f>-BJ84</f>
        <v>771.23</v>
      </c>
      <c r="BK124" s="331">
        <f>-BO84</f>
        <v>1080.348</v>
      </c>
      <c r="BL124" s="331">
        <f>-BT84</f>
        <v>984.5</v>
      </c>
      <c r="BM124" s="331">
        <f>-BY84</f>
        <v>445.6</v>
      </c>
      <c r="BN124" s="331">
        <f>-CD84</f>
        <v>440.7</v>
      </c>
      <c r="BO124" s="331">
        <f>-CI84</f>
        <v>531.9</v>
      </c>
      <c r="BP124" s="331">
        <f>-CN84</f>
        <v>856.2</v>
      </c>
      <c r="BQ124" s="331">
        <f>-CS84</f>
        <v>1151.2</v>
      </c>
      <c r="BR124" s="331">
        <f>-CX84</f>
        <v>1160.9000000000001</v>
      </c>
    </row>
    <row r="126" spans="1:132" x14ac:dyDescent="0.2">
      <c r="BG126" s="1" t="s">
        <v>217</v>
      </c>
      <c r="BH126" s="331">
        <f t="shared" ref="BH126:BM126" si="170">BH119*BH$124</f>
        <v>251.64756999999997</v>
      </c>
      <c r="BI126" s="331">
        <f t="shared" si="170"/>
        <v>328.43439000000001</v>
      </c>
      <c r="BJ126" s="331">
        <f t="shared" si="170"/>
        <v>493.5872</v>
      </c>
      <c r="BK126" s="331">
        <f t="shared" si="170"/>
        <v>734.63664000000006</v>
      </c>
      <c r="BL126" s="331">
        <f t="shared" si="170"/>
        <v>511.94</v>
      </c>
      <c r="BM126" s="331">
        <f t="shared" si="170"/>
        <v>106.944</v>
      </c>
      <c r="BN126" s="331"/>
      <c r="BO126" s="331"/>
      <c r="BP126" s="331"/>
      <c r="BQ126" s="331"/>
      <c r="BR126" s="331"/>
    </row>
    <row r="127" spans="1:132" x14ac:dyDescent="0.2">
      <c r="BG127" s="1" t="s">
        <v>218</v>
      </c>
      <c r="BH127" s="331">
        <f t="shared" ref="BH127:BM129" si="171">BH120*BH$124</f>
        <v>107.25962</v>
      </c>
      <c r="BI127" s="331">
        <f t="shared" si="171"/>
        <v>199.63659000000001</v>
      </c>
      <c r="BJ127" s="331">
        <f t="shared" si="171"/>
        <v>154.24600000000001</v>
      </c>
      <c r="BK127" s="331">
        <f t="shared" si="171"/>
        <v>205.26612</v>
      </c>
      <c r="BL127" s="331">
        <f t="shared" si="171"/>
        <v>246.125</v>
      </c>
      <c r="BM127" s="331">
        <f t="shared" si="171"/>
        <v>196.06400000000002</v>
      </c>
      <c r="BN127" s="331"/>
      <c r="BO127" s="331"/>
      <c r="BP127" s="331"/>
      <c r="BQ127" s="331"/>
      <c r="BR127" s="331"/>
    </row>
    <row r="128" spans="1:132" x14ac:dyDescent="0.2">
      <c r="BG128" s="1" t="s">
        <v>219</v>
      </c>
      <c r="BH128" s="331">
        <f t="shared" si="171"/>
        <v>16.501480000000001</v>
      </c>
      <c r="BI128" s="331">
        <f t="shared" si="171"/>
        <v>25.75956</v>
      </c>
      <c r="BJ128" s="331">
        <f t="shared" si="171"/>
        <v>23.136900000000001</v>
      </c>
      <c r="BK128" s="331">
        <f t="shared" si="171"/>
        <v>21.606960000000001</v>
      </c>
      <c r="BL128" s="331">
        <f t="shared" si="171"/>
        <v>78.760000000000005</v>
      </c>
      <c r="BM128" s="331">
        <f t="shared" si="171"/>
        <v>31.192000000000004</v>
      </c>
      <c r="BN128" s="331"/>
      <c r="BO128" s="331"/>
      <c r="BP128" s="331"/>
      <c r="BQ128" s="331"/>
      <c r="BR128" s="331"/>
    </row>
    <row r="129" spans="59:70" x14ac:dyDescent="0.2">
      <c r="BG129" s="1" t="s">
        <v>584</v>
      </c>
      <c r="BH129" s="331">
        <f t="shared" si="171"/>
        <v>37.128329999999998</v>
      </c>
      <c r="BI129" s="331">
        <f t="shared" si="171"/>
        <v>90.158460000000019</v>
      </c>
      <c r="BJ129" s="331">
        <f t="shared" si="171"/>
        <v>100.2599</v>
      </c>
      <c r="BK129" s="331">
        <f t="shared" si="171"/>
        <v>118.83828</v>
      </c>
      <c r="BL129" s="331">
        <f t="shared" si="171"/>
        <v>147.67499999999998</v>
      </c>
      <c r="BM129" s="331">
        <f t="shared" si="171"/>
        <v>124.76800000000001</v>
      </c>
      <c r="BN129" s="331"/>
      <c r="BO129" s="331"/>
      <c r="BP129" s="331"/>
      <c r="BQ129" s="331"/>
      <c r="BR129" s="331"/>
    </row>
  </sheetData>
  <phoneticPr fontId="3" type="noConversion"/>
  <pageMargins left="0" right="0" top="0" bottom="0" header="0" footer="0"/>
  <pageSetup paperSize="5" scale="13" orientation="landscape" r:id="rId1"/>
  <headerFooter alignWithMargins="0"/>
  <ignoredErrors>
    <ignoredError sqref="CX101 CS37:CS38 CD76:DC76 CT25:CW25 CW16 CT31:CW34 CW26 CT38:CW39 DI16 CY16:DA16 CX34 CX38:DA38 CY37:DA37 CT37:CV37 CW22 CW19 CY19:DA19 CY25:DA26 CY22:DA22 CX31:CX32 DC31:DC32 CZ34:DA34 CX39:CZ39 DB39:DC39 DH101 DC38:DD38 DC37 DH37:DJ37 DI76 DG38:DJ39 DM12:DR12 DI26 DI19 DI22 DM14:DR14 DI25:DJ25 DM101:DR101 DM16:DR16 DM30:DR30 DG76:DH76 DJ76:DR76 DM37:DR37 DL38:DR39 DL25:DR25 DL22:DR22 DM21 DR21 DL19:DR19 DM17:DR17 DM18:DR18 DM20:DR20 DM24:DR24 DM23:DR23 DM36:DR36 DM31:DR31 DM32:DR32 DM33:DR33 DM34:DR34 DM26:DR26 DM27:DR27 DM28:DR28 DM29:DR29 DM35:DR35" formula="1"/>
    <ignoredError sqref="CW56 CW57 CW58 CW59:DC59 CY56:DC56 CY57:DC57 CY58:DC58 DM60:DR60 DM61:DR61 DL56:DR56 DL57:DR57 DL58:DR58 DJ59 DL59:DM59 DO59:DR59" formula="1" formulaRange="1"/>
    <ignoredError sqref="CT45:CT49 CS52:CT55 CV45:DA45 CU52:CU53 CV63:CY63 CT62:CU63 CT65:CU65 CV53:DC53 DI55 CW65 CV48:DA48 CV47 CY47:DA47 CY51:DA51 CY64:CZ64 CY65 CV62:CW62 CY62:DC62 CV46:CX46 CV44:CX44 CV49:CX49 DA63:DC63 DA65 CV52:DA52 DC52:DD52 DI52 DL62:DR63 DG52:DH53 DI53 DI54 CU55:DH55 CW54:DH54 DM44:DR44 DJ54:DR55 DM50:DR50 DM51:DR51 DM67:DR67 DM66:DR66 DL45:DR46 DJ52:DJ53 DL52:DR53 DM65 DM64 DL48:DR49 DM47:DR47 DO65:DR65 DO64:DR64" formulaRange="1"/>
  </ignoredError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D43"/>
  <sheetViews>
    <sheetView workbookViewId="0">
      <selection activeCell="B42" sqref="B42"/>
    </sheetView>
  </sheetViews>
  <sheetFormatPr defaultRowHeight="12.75" x14ac:dyDescent="0.2"/>
  <cols>
    <col min="1" max="1" width="29.5703125" style="949" bestFit="1" customWidth="1"/>
    <col min="2" max="2" width="19.85546875" style="1021" customWidth="1"/>
    <col min="3" max="3" width="12" style="949" bestFit="1" customWidth="1"/>
    <col min="4" max="256" width="9.140625" style="949"/>
    <col min="257" max="257" width="29.5703125" style="949" bestFit="1" customWidth="1"/>
    <col min="258" max="258" width="19.85546875" style="949" customWidth="1"/>
    <col min="259" max="259" width="12" style="949" bestFit="1" customWidth="1"/>
    <col min="260" max="512" width="9.140625" style="949"/>
    <col min="513" max="513" width="29.5703125" style="949" bestFit="1" customWidth="1"/>
    <col min="514" max="514" width="19.85546875" style="949" customWidth="1"/>
    <col min="515" max="515" width="12" style="949" bestFit="1" customWidth="1"/>
    <col min="516" max="768" width="9.140625" style="949"/>
    <col min="769" max="769" width="29.5703125" style="949" bestFit="1" customWidth="1"/>
    <col min="770" max="770" width="19.85546875" style="949" customWidth="1"/>
    <col min="771" max="771" width="12" style="949" bestFit="1" customWidth="1"/>
    <col min="772" max="1024" width="9.140625" style="949"/>
    <col min="1025" max="1025" width="29.5703125" style="949" bestFit="1" customWidth="1"/>
    <col min="1026" max="1026" width="19.85546875" style="949" customWidth="1"/>
    <col min="1027" max="1027" width="12" style="949" bestFit="1" customWidth="1"/>
    <col min="1028" max="1280" width="9.140625" style="949"/>
    <col min="1281" max="1281" width="29.5703125" style="949" bestFit="1" customWidth="1"/>
    <col min="1282" max="1282" width="19.85546875" style="949" customWidth="1"/>
    <col min="1283" max="1283" width="12" style="949" bestFit="1" customWidth="1"/>
    <col min="1284" max="1536" width="9.140625" style="949"/>
    <col min="1537" max="1537" width="29.5703125" style="949" bestFit="1" customWidth="1"/>
    <col min="1538" max="1538" width="19.85546875" style="949" customWidth="1"/>
    <col min="1539" max="1539" width="12" style="949" bestFit="1" customWidth="1"/>
    <col min="1540" max="1792" width="9.140625" style="949"/>
    <col min="1793" max="1793" width="29.5703125" style="949" bestFit="1" customWidth="1"/>
    <col min="1794" max="1794" width="19.85546875" style="949" customWidth="1"/>
    <col min="1795" max="1795" width="12" style="949" bestFit="1" customWidth="1"/>
    <col min="1796" max="2048" width="9.140625" style="949"/>
    <col min="2049" max="2049" width="29.5703125" style="949" bestFit="1" customWidth="1"/>
    <col min="2050" max="2050" width="19.85546875" style="949" customWidth="1"/>
    <col min="2051" max="2051" width="12" style="949" bestFit="1" customWidth="1"/>
    <col min="2052" max="2304" width="9.140625" style="949"/>
    <col min="2305" max="2305" width="29.5703125" style="949" bestFit="1" customWidth="1"/>
    <col min="2306" max="2306" width="19.85546875" style="949" customWidth="1"/>
    <col min="2307" max="2307" width="12" style="949" bestFit="1" customWidth="1"/>
    <col min="2308" max="2560" width="9.140625" style="949"/>
    <col min="2561" max="2561" width="29.5703125" style="949" bestFit="1" customWidth="1"/>
    <col min="2562" max="2562" width="19.85546875" style="949" customWidth="1"/>
    <col min="2563" max="2563" width="12" style="949" bestFit="1" customWidth="1"/>
    <col min="2564" max="2816" width="9.140625" style="949"/>
    <col min="2817" max="2817" width="29.5703125" style="949" bestFit="1" customWidth="1"/>
    <col min="2818" max="2818" width="19.85546875" style="949" customWidth="1"/>
    <col min="2819" max="2819" width="12" style="949" bestFit="1" customWidth="1"/>
    <col min="2820" max="3072" width="9.140625" style="949"/>
    <col min="3073" max="3073" width="29.5703125" style="949" bestFit="1" customWidth="1"/>
    <col min="3074" max="3074" width="19.85546875" style="949" customWidth="1"/>
    <col min="3075" max="3075" width="12" style="949" bestFit="1" customWidth="1"/>
    <col min="3076" max="3328" width="9.140625" style="949"/>
    <col min="3329" max="3329" width="29.5703125" style="949" bestFit="1" customWidth="1"/>
    <col min="3330" max="3330" width="19.85546875" style="949" customWidth="1"/>
    <col min="3331" max="3331" width="12" style="949" bestFit="1" customWidth="1"/>
    <col min="3332" max="3584" width="9.140625" style="949"/>
    <col min="3585" max="3585" width="29.5703125" style="949" bestFit="1" customWidth="1"/>
    <col min="3586" max="3586" width="19.85546875" style="949" customWidth="1"/>
    <col min="3587" max="3587" width="12" style="949" bestFit="1" customWidth="1"/>
    <col min="3588" max="3840" width="9.140625" style="949"/>
    <col min="3841" max="3841" width="29.5703125" style="949" bestFit="1" customWidth="1"/>
    <col min="3842" max="3842" width="19.85546875" style="949" customWidth="1"/>
    <col min="3843" max="3843" width="12" style="949" bestFit="1" customWidth="1"/>
    <col min="3844" max="4096" width="9.140625" style="949"/>
    <col min="4097" max="4097" width="29.5703125" style="949" bestFit="1" customWidth="1"/>
    <col min="4098" max="4098" width="19.85546875" style="949" customWidth="1"/>
    <col min="4099" max="4099" width="12" style="949" bestFit="1" customWidth="1"/>
    <col min="4100" max="4352" width="9.140625" style="949"/>
    <col min="4353" max="4353" width="29.5703125" style="949" bestFit="1" customWidth="1"/>
    <col min="4354" max="4354" width="19.85546875" style="949" customWidth="1"/>
    <col min="4355" max="4355" width="12" style="949" bestFit="1" customWidth="1"/>
    <col min="4356" max="4608" width="9.140625" style="949"/>
    <col min="4609" max="4609" width="29.5703125" style="949" bestFit="1" customWidth="1"/>
    <col min="4610" max="4610" width="19.85546875" style="949" customWidth="1"/>
    <col min="4611" max="4611" width="12" style="949" bestFit="1" customWidth="1"/>
    <col min="4612" max="4864" width="9.140625" style="949"/>
    <col min="4865" max="4865" width="29.5703125" style="949" bestFit="1" customWidth="1"/>
    <col min="4866" max="4866" width="19.85546875" style="949" customWidth="1"/>
    <col min="4867" max="4867" width="12" style="949" bestFit="1" customWidth="1"/>
    <col min="4868" max="5120" width="9.140625" style="949"/>
    <col min="5121" max="5121" width="29.5703125" style="949" bestFit="1" customWidth="1"/>
    <col min="5122" max="5122" width="19.85546875" style="949" customWidth="1"/>
    <col min="5123" max="5123" width="12" style="949" bestFit="1" customWidth="1"/>
    <col min="5124" max="5376" width="9.140625" style="949"/>
    <col min="5377" max="5377" width="29.5703125" style="949" bestFit="1" customWidth="1"/>
    <col min="5378" max="5378" width="19.85546875" style="949" customWidth="1"/>
    <col min="5379" max="5379" width="12" style="949" bestFit="1" customWidth="1"/>
    <col min="5380" max="5632" width="9.140625" style="949"/>
    <col min="5633" max="5633" width="29.5703125" style="949" bestFit="1" customWidth="1"/>
    <col min="5634" max="5634" width="19.85546875" style="949" customWidth="1"/>
    <col min="5635" max="5635" width="12" style="949" bestFit="1" customWidth="1"/>
    <col min="5636" max="5888" width="9.140625" style="949"/>
    <col min="5889" max="5889" width="29.5703125" style="949" bestFit="1" customWidth="1"/>
    <col min="5890" max="5890" width="19.85546875" style="949" customWidth="1"/>
    <col min="5891" max="5891" width="12" style="949" bestFit="1" customWidth="1"/>
    <col min="5892" max="6144" width="9.140625" style="949"/>
    <col min="6145" max="6145" width="29.5703125" style="949" bestFit="1" customWidth="1"/>
    <col min="6146" max="6146" width="19.85546875" style="949" customWidth="1"/>
    <col min="6147" max="6147" width="12" style="949" bestFit="1" customWidth="1"/>
    <col min="6148" max="6400" width="9.140625" style="949"/>
    <col min="6401" max="6401" width="29.5703125" style="949" bestFit="1" customWidth="1"/>
    <col min="6402" max="6402" width="19.85546875" style="949" customWidth="1"/>
    <col min="6403" max="6403" width="12" style="949" bestFit="1" customWidth="1"/>
    <col min="6404" max="6656" width="9.140625" style="949"/>
    <col min="6657" max="6657" width="29.5703125" style="949" bestFit="1" customWidth="1"/>
    <col min="6658" max="6658" width="19.85546875" style="949" customWidth="1"/>
    <col min="6659" max="6659" width="12" style="949" bestFit="1" customWidth="1"/>
    <col min="6660" max="6912" width="9.140625" style="949"/>
    <col min="6913" max="6913" width="29.5703125" style="949" bestFit="1" customWidth="1"/>
    <col min="6914" max="6914" width="19.85546875" style="949" customWidth="1"/>
    <col min="6915" max="6915" width="12" style="949" bestFit="1" customWidth="1"/>
    <col min="6916" max="7168" width="9.140625" style="949"/>
    <col min="7169" max="7169" width="29.5703125" style="949" bestFit="1" customWidth="1"/>
    <col min="7170" max="7170" width="19.85546875" style="949" customWidth="1"/>
    <col min="7171" max="7171" width="12" style="949" bestFit="1" customWidth="1"/>
    <col min="7172" max="7424" width="9.140625" style="949"/>
    <col min="7425" max="7425" width="29.5703125" style="949" bestFit="1" customWidth="1"/>
    <col min="7426" max="7426" width="19.85546875" style="949" customWidth="1"/>
    <col min="7427" max="7427" width="12" style="949" bestFit="1" customWidth="1"/>
    <col min="7428" max="7680" width="9.140625" style="949"/>
    <col min="7681" max="7681" width="29.5703125" style="949" bestFit="1" customWidth="1"/>
    <col min="7682" max="7682" width="19.85546875" style="949" customWidth="1"/>
    <col min="7683" max="7683" width="12" style="949" bestFit="1" customWidth="1"/>
    <col min="7684" max="7936" width="9.140625" style="949"/>
    <col min="7937" max="7937" width="29.5703125" style="949" bestFit="1" customWidth="1"/>
    <col min="7938" max="7938" width="19.85546875" style="949" customWidth="1"/>
    <col min="7939" max="7939" width="12" style="949" bestFit="1" customWidth="1"/>
    <col min="7940" max="8192" width="9.140625" style="949"/>
    <col min="8193" max="8193" width="29.5703125" style="949" bestFit="1" customWidth="1"/>
    <col min="8194" max="8194" width="19.85546875" style="949" customWidth="1"/>
    <col min="8195" max="8195" width="12" style="949" bestFit="1" customWidth="1"/>
    <col min="8196" max="8448" width="9.140625" style="949"/>
    <col min="8449" max="8449" width="29.5703125" style="949" bestFit="1" customWidth="1"/>
    <col min="8450" max="8450" width="19.85546875" style="949" customWidth="1"/>
    <col min="8451" max="8451" width="12" style="949" bestFit="1" customWidth="1"/>
    <col min="8452" max="8704" width="9.140625" style="949"/>
    <col min="8705" max="8705" width="29.5703125" style="949" bestFit="1" customWidth="1"/>
    <col min="8706" max="8706" width="19.85546875" style="949" customWidth="1"/>
    <col min="8707" max="8707" width="12" style="949" bestFit="1" customWidth="1"/>
    <col min="8708" max="8960" width="9.140625" style="949"/>
    <col min="8961" max="8961" width="29.5703125" style="949" bestFit="1" customWidth="1"/>
    <col min="8962" max="8962" width="19.85546875" style="949" customWidth="1"/>
    <col min="8963" max="8963" width="12" style="949" bestFit="1" customWidth="1"/>
    <col min="8964" max="9216" width="9.140625" style="949"/>
    <col min="9217" max="9217" width="29.5703125" style="949" bestFit="1" customWidth="1"/>
    <col min="9218" max="9218" width="19.85546875" style="949" customWidth="1"/>
    <col min="9219" max="9219" width="12" style="949" bestFit="1" customWidth="1"/>
    <col min="9220" max="9472" width="9.140625" style="949"/>
    <col min="9473" max="9473" width="29.5703125" style="949" bestFit="1" customWidth="1"/>
    <col min="9474" max="9474" width="19.85546875" style="949" customWidth="1"/>
    <col min="9475" max="9475" width="12" style="949" bestFit="1" customWidth="1"/>
    <col min="9476" max="9728" width="9.140625" style="949"/>
    <col min="9729" max="9729" width="29.5703125" style="949" bestFit="1" customWidth="1"/>
    <col min="9730" max="9730" width="19.85546875" style="949" customWidth="1"/>
    <col min="9731" max="9731" width="12" style="949" bestFit="1" customWidth="1"/>
    <col min="9732" max="9984" width="9.140625" style="949"/>
    <col min="9985" max="9985" width="29.5703125" style="949" bestFit="1" customWidth="1"/>
    <col min="9986" max="9986" width="19.85546875" style="949" customWidth="1"/>
    <col min="9987" max="9987" width="12" style="949" bestFit="1" customWidth="1"/>
    <col min="9988" max="10240" width="9.140625" style="949"/>
    <col min="10241" max="10241" width="29.5703125" style="949" bestFit="1" customWidth="1"/>
    <col min="10242" max="10242" width="19.85546875" style="949" customWidth="1"/>
    <col min="10243" max="10243" width="12" style="949" bestFit="1" customWidth="1"/>
    <col min="10244" max="10496" width="9.140625" style="949"/>
    <col min="10497" max="10497" width="29.5703125" style="949" bestFit="1" customWidth="1"/>
    <col min="10498" max="10498" width="19.85546875" style="949" customWidth="1"/>
    <col min="10499" max="10499" width="12" style="949" bestFit="1" customWidth="1"/>
    <col min="10500" max="10752" width="9.140625" style="949"/>
    <col min="10753" max="10753" width="29.5703125" style="949" bestFit="1" customWidth="1"/>
    <col min="10754" max="10754" width="19.85546875" style="949" customWidth="1"/>
    <col min="10755" max="10755" width="12" style="949" bestFit="1" customWidth="1"/>
    <col min="10756" max="11008" width="9.140625" style="949"/>
    <col min="11009" max="11009" width="29.5703125" style="949" bestFit="1" customWidth="1"/>
    <col min="11010" max="11010" width="19.85546875" style="949" customWidth="1"/>
    <col min="11011" max="11011" width="12" style="949" bestFit="1" customWidth="1"/>
    <col min="11012" max="11264" width="9.140625" style="949"/>
    <col min="11265" max="11265" width="29.5703125" style="949" bestFit="1" customWidth="1"/>
    <col min="11266" max="11266" width="19.85546875" style="949" customWidth="1"/>
    <col min="11267" max="11267" width="12" style="949" bestFit="1" customWidth="1"/>
    <col min="11268" max="11520" width="9.140625" style="949"/>
    <col min="11521" max="11521" width="29.5703125" style="949" bestFit="1" customWidth="1"/>
    <col min="11522" max="11522" width="19.85546875" style="949" customWidth="1"/>
    <col min="11523" max="11523" width="12" style="949" bestFit="1" customWidth="1"/>
    <col min="11524" max="11776" width="9.140625" style="949"/>
    <col min="11777" max="11777" width="29.5703125" style="949" bestFit="1" customWidth="1"/>
    <col min="11778" max="11778" width="19.85546875" style="949" customWidth="1"/>
    <col min="11779" max="11779" width="12" style="949" bestFit="1" customWidth="1"/>
    <col min="11780" max="12032" width="9.140625" style="949"/>
    <col min="12033" max="12033" width="29.5703125" style="949" bestFit="1" customWidth="1"/>
    <col min="12034" max="12034" width="19.85546875" style="949" customWidth="1"/>
    <col min="12035" max="12035" width="12" style="949" bestFit="1" customWidth="1"/>
    <col min="12036" max="12288" width="9.140625" style="949"/>
    <col min="12289" max="12289" width="29.5703125" style="949" bestFit="1" customWidth="1"/>
    <col min="12290" max="12290" width="19.85546875" style="949" customWidth="1"/>
    <col min="12291" max="12291" width="12" style="949" bestFit="1" customWidth="1"/>
    <col min="12292" max="12544" width="9.140625" style="949"/>
    <col min="12545" max="12545" width="29.5703125" style="949" bestFit="1" customWidth="1"/>
    <col min="12546" max="12546" width="19.85546875" style="949" customWidth="1"/>
    <col min="12547" max="12547" width="12" style="949" bestFit="1" customWidth="1"/>
    <col min="12548" max="12800" width="9.140625" style="949"/>
    <col min="12801" max="12801" width="29.5703125" style="949" bestFit="1" customWidth="1"/>
    <col min="12802" max="12802" width="19.85546875" style="949" customWidth="1"/>
    <col min="12803" max="12803" width="12" style="949" bestFit="1" customWidth="1"/>
    <col min="12804" max="13056" width="9.140625" style="949"/>
    <col min="13057" max="13057" width="29.5703125" style="949" bestFit="1" customWidth="1"/>
    <col min="13058" max="13058" width="19.85546875" style="949" customWidth="1"/>
    <col min="13059" max="13059" width="12" style="949" bestFit="1" customWidth="1"/>
    <col min="13060" max="13312" width="9.140625" style="949"/>
    <col min="13313" max="13313" width="29.5703125" style="949" bestFit="1" customWidth="1"/>
    <col min="13314" max="13314" width="19.85546875" style="949" customWidth="1"/>
    <col min="13315" max="13315" width="12" style="949" bestFit="1" customWidth="1"/>
    <col min="13316" max="13568" width="9.140625" style="949"/>
    <col min="13569" max="13569" width="29.5703125" style="949" bestFit="1" customWidth="1"/>
    <col min="13570" max="13570" width="19.85546875" style="949" customWidth="1"/>
    <col min="13571" max="13571" width="12" style="949" bestFit="1" customWidth="1"/>
    <col min="13572" max="13824" width="9.140625" style="949"/>
    <col min="13825" max="13825" width="29.5703125" style="949" bestFit="1" customWidth="1"/>
    <col min="13826" max="13826" width="19.85546875" style="949" customWidth="1"/>
    <col min="13827" max="13827" width="12" style="949" bestFit="1" customWidth="1"/>
    <col min="13828" max="14080" width="9.140625" style="949"/>
    <col min="14081" max="14081" width="29.5703125" style="949" bestFit="1" customWidth="1"/>
    <col min="14082" max="14082" width="19.85546875" style="949" customWidth="1"/>
    <col min="14083" max="14083" width="12" style="949" bestFit="1" customWidth="1"/>
    <col min="14084" max="14336" width="9.140625" style="949"/>
    <col min="14337" max="14337" width="29.5703125" style="949" bestFit="1" customWidth="1"/>
    <col min="14338" max="14338" width="19.85546875" style="949" customWidth="1"/>
    <col min="14339" max="14339" width="12" style="949" bestFit="1" customWidth="1"/>
    <col min="14340" max="14592" width="9.140625" style="949"/>
    <col min="14593" max="14593" width="29.5703125" style="949" bestFit="1" customWidth="1"/>
    <col min="14594" max="14594" width="19.85546875" style="949" customWidth="1"/>
    <col min="14595" max="14595" width="12" style="949" bestFit="1" customWidth="1"/>
    <col min="14596" max="14848" width="9.140625" style="949"/>
    <col min="14849" max="14849" width="29.5703125" style="949" bestFit="1" customWidth="1"/>
    <col min="14850" max="14850" width="19.85546875" style="949" customWidth="1"/>
    <col min="14851" max="14851" width="12" style="949" bestFit="1" customWidth="1"/>
    <col min="14852" max="15104" width="9.140625" style="949"/>
    <col min="15105" max="15105" width="29.5703125" style="949" bestFit="1" customWidth="1"/>
    <col min="15106" max="15106" width="19.85546875" style="949" customWidth="1"/>
    <col min="15107" max="15107" width="12" style="949" bestFit="1" customWidth="1"/>
    <col min="15108" max="15360" width="9.140625" style="949"/>
    <col min="15361" max="15361" width="29.5703125" style="949" bestFit="1" customWidth="1"/>
    <col min="15362" max="15362" width="19.85546875" style="949" customWidth="1"/>
    <col min="15363" max="15363" width="12" style="949" bestFit="1" customWidth="1"/>
    <col min="15364" max="15616" width="9.140625" style="949"/>
    <col min="15617" max="15617" width="29.5703125" style="949" bestFit="1" customWidth="1"/>
    <col min="15618" max="15618" width="19.85546875" style="949" customWidth="1"/>
    <col min="15619" max="15619" width="12" style="949" bestFit="1" customWidth="1"/>
    <col min="15620" max="15872" width="9.140625" style="949"/>
    <col min="15873" max="15873" width="29.5703125" style="949" bestFit="1" customWidth="1"/>
    <col min="15874" max="15874" width="19.85546875" style="949" customWidth="1"/>
    <col min="15875" max="15875" width="12" style="949" bestFit="1" customWidth="1"/>
    <col min="15876" max="16128" width="9.140625" style="949"/>
    <col min="16129" max="16129" width="29.5703125" style="949" bestFit="1" customWidth="1"/>
    <col min="16130" max="16130" width="19.85546875" style="949" customWidth="1"/>
    <col min="16131" max="16131" width="12" style="949" bestFit="1" customWidth="1"/>
    <col min="16132" max="16384" width="9.140625" style="949"/>
  </cols>
  <sheetData>
    <row r="1" spans="1:2" x14ac:dyDescent="0.2">
      <c r="A1" s="949" t="s">
        <v>973</v>
      </c>
      <c r="B1" s="1020">
        <v>6.1</v>
      </c>
    </row>
    <row r="2" spans="1:2" x14ac:dyDescent="0.2">
      <c r="A2" s="949" t="s">
        <v>974</v>
      </c>
      <c r="B2" s="1024">
        <v>43206.452905092592</v>
      </c>
    </row>
    <row r="3" spans="1:2" x14ac:dyDescent="0.2">
      <c r="A3" s="949" t="s">
        <v>975</v>
      </c>
      <c r="B3" s="1021" t="s">
        <v>669</v>
      </c>
    </row>
    <row r="4" spans="1:2" x14ac:dyDescent="0.2">
      <c r="A4" s="949" t="s">
        <v>976</v>
      </c>
      <c r="B4" s="1021" t="s">
        <v>220</v>
      </c>
    </row>
    <row r="5" spans="1:2" x14ac:dyDescent="0.2">
      <c r="A5" s="949" t="s">
        <v>977</v>
      </c>
      <c r="B5" s="1021" t="s">
        <v>978</v>
      </c>
    </row>
    <row r="6" spans="1:2" x14ac:dyDescent="0.2">
      <c r="A6" s="949" t="s">
        <v>979</v>
      </c>
    </row>
    <row r="7" spans="1:2" x14ac:dyDescent="0.2">
      <c r="A7" s="949" t="s">
        <v>980</v>
      </c>
      <c r="B7" s="1021" t="s">
        <v>42</v>
      </c>
    </row>
    <row r="8" spans="1:2" x14ac:dyDescent="0.2">
      <c r="A8" s="949" t="s">
        <v>981</v>
      </c>
      <c r="B8" s="1021" t="s">
        <v>982</v>
      </c>
    </row>
    <row r="9" spans="1:2" x14ac:dyDescent="0.2">
      <c r="A9" s="949" t="s">
        <v>983</v>
      </c>
      <c r="B9" s="1021" t="s">
        <v>1020</v>
      </c>
    </row>
    <row r="10" spans="1:2" x14ac:dyDescent="0.2">
      <c r="A10" s="949" t="s">
        <v>984</v>
      </c>
    </row>
    <row r="11" spans="1:2" x14ac:dyDescent="0.2">
      <c r="A11" s="949" t="s">
        <v>985</v>
      </c>
    </row>
    <row r="12" spans="1:2" x14ac:dyDescent="0.2">
      <c r="A12" s="949" t="s">
        <v>986</v>
      </c>
    </row>
    <row r="13" spans="1:2" x14ac:dyDescent="0.2">
      <c r="A13" s="949" t="s">
        <v>987</v>
      </c>
    </row>
    <row r="14" spans="1:2" x14ac:dyDescent="0.2">
      <c r="A14" s="949" t="s">
        <v>988</v>
      </c>
    </row>
    <row r="15" spans="1:2" x14ac:dyDescent="0.2">
      <c r="A15" s="949" t="s">
        <v>989</v>
      </c>
    </row>
    <row r="16" spans="1:2" x14ac:dyDescent="0.2">
      <c r="A16" s="949" t="s">
        <v>990</v>
      </c>
    </row>
    <row r="17" spans="1:4" x14ac:dyDescent="0.2">
      <c r="A17" s="949" t="s">
        <v>991</v>
      </c>
      <c r="B17" s="1021" t="s">
        <v>1021</v>
      </c>
    </row>
    <row r="18" spans="1:4" x14ac:dyDescent="0.2">
      <c r="A18" s="949" t="s">
        <v>992</v>
      </c>
      <c r="B18" s="1021" t="s">
        <v>668</v>
      </c>
    </row>
    <row r="19" spans="1:4" x14ac:dyDescent="0.2">
      <c r="A19" s="949" t="s">
        <v>993</v>
      </c>
      <c r="B19" s="1021" t="s">
        <v>41</v>
      </c>
    </row>
    <row r="20" spans="1:4" x14ac:dyDescent="0.2">
      <c r="A20" s="949" t="s">
        <v>994</v>
      </c>
      <c r="B20" s="1022">
        <v>855244109</v>
      </c>
    </row>
    <row r="21" spans="1:4" x14ac:dyDescent="0.2">
      <c r="A21" s="949" t="s">
        <v>995</v>
      </c>
      <c r="B21" s="1021" t="s">
        <v>41</v>
      </c>
    </row>
    <row r="22" spans="1:4" x14ac:dyDescent="0.2">
      <c r="A22" s="949" t="s">
        <v>996</v>
      </c>
      <c r="B22" s="1022">
        <v>2842255</v>
      </c>
    </row>
    <row r="23" spans="1:4" x14ac:dyDescent="0.2">
      <c r="A23" s="949" t="s">
        <v>104</v>
      </c>
      <c r="B23" s="1020">
        <v>59.36</v>
      </c>
    </row>
    <row r="24" spans="1:4" x14ac:dyDescent="0.2">
      <c r="A24" s="949" t="s">
        <v>103</v>
      </c>
      <c r="B24" s="1021" t="s">
        <v>40</v>
      </c>
      <c r="D24" s="949" t="s">
        <v>210</v>
      </c>
    </row>
    <row r="25" spans="1:4" x14ac:dyDescent="0.2">
      <c r="A25" s="949" t="s">
        <v>997</v>
      </c>
      <c r="B25" s="1021" t="s">
        <v>1024</v>
      </c>
    </row>
    <row r="26" spans="1:4" x14ac:dyDescent="0.2">
      <c r="A26" s="949" t="s">
        <v>998</v>
      </c>
      <c r="B26" s="1021">
        <v>0</v>
      </c>
    </row>
    <row r="27" spans="1:4" x14ac:dyDescent="0.2">
      <c r="A27" s="949" t="s">
        <v>999</v>
      </c>
      <c r="B27" s="1021" t="s">
        <v>1000</v>
      </c>
    </row>
    <row r="28" spans="1:4" x14ac:dyDescent="0.2">
      <c r="A28" s="949" t="s">
        <v>1001</v>
      </c>
      <c r="B28" s="1021" t="s">
        <v>1002</v>
      </c>
    </row>
    <row r="29" spans="1:4" x14ac:dyDescent="0.2">
      <c r="A29" s="949" t="s">
        <v>1003</v>
      </c>
    </row>
    <row r="30" spans="1:4" x14ac:dyDescent="0.2">
      <c r="A30" s="949" t="s">
        <v>1004</v>
      </c>
    </row>
    <row r="31" spans="1:4" x14ac:dyDescent="0.2">
      <c r="A31" s="949" t="s">
        <v>1005</v>
      </c>
    </row>
    <row r="32" spans="1:4" x14ac:dyDescent="0.2">
      <c r="A32" s="949" t="s">
        <v>1006</v>
      </c>
      <c r="B32" s="1020"/>
    </row>
    <row r="33" spans="1:2" x14ac:dyDescent="0.2">
      <c r="A33" s="949" t="s">
        <v>1007</v>
      </c>
      <c r="B33" s="1020"/>
    </row>
    <row r="34" spans="1:2" x14ac:dyDescent="0.2">
      <c r="A34" s="949" t="s">
        <v>1008</v>
      </c>
      <c r="B34" s="1020"/>
    </row>
    <row r="35" spans="1:2" x14ac:dyDescent="0.2">
      <c r="A35" s="949" t="s">
        <v>1009</v>
      </c>
      <c r="B35" s="1021">
        <v>1000000</v>
      </c>
    </row>
    <row r="36" spans="1:2" x14ac:dyDescent="0.2">
      <c r="A36" s="949" t="s">
        <v>1010</v>
      </c>
      <c r="B36" s="1021" t="s">
        <v>1022</v>
      </c>
    </row>
    <row r="37" spans="1:2" x14ac:dyDescent="0.2">
      <c r="A37" s="949" t="s">
        <v>1011</v>
      </c>
      <c r="B37" s="1021" t="s">
        <v>1012</v>
      </c>
    </row>
    <row r="38" spans="1:2" x14ac:dyDescent="0.2">
      <c r="A38" s="949" t="s">
        <v>1013</v>
      </c>
      <c r="B38" s="1021" t="s">
        <v>1014</v>
      </c>
    </row>
    <row r="39" spans="1:2" x14ac:dyDescent="0.2">
      <c r="A39" s="949" t="s">
        <v>1015</v>
      </c>
      <c r="B39" s="1021" t="s">
        <v>1023</v>
      </c>
    </row>
    <row r="40" spans="1:2" x14ac:dyDescent="0.2">
      <c r="A40" s="949" t="s">
        <v>1016</v>
      </c>
      <c r="B40" s="1021">
        <v>1500000169</v>
      </c>
    </row>
    <row r="41" spans="1:2" x14ac:dyDescent="0.2">
      <c r="A41" s="949" t="s">
        <v>1017</v>
      </c>
      <c r="B41" s="1021">
        <v>1</v>
      </c>
    </row>
    <row r="42" spans="1:2" x14ac:dyDescent="0.2">
      <c r="A42" s="1023" t="s">
        <v>1018</v>
      </c>
    </row>
    <row r="43" spans="1:2" x14ac:dyDescent="0.2">
      <c r="A43" s="949" t="s">
        <v>1019</v>
      </c>
    </row>
  </sheetData>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13"/>
  <sheetViews>
    <sheetView workbookViewId="0">
      <selection activeCell="E11" sqref="E11"/>
    </sheetView>
  </sheetViews>
  <sheetFormatPr defaultRowHeight="12.75" x14ac:dyDescent="0.2"/>
  <cols>
    <col min="1" max="1" width="28.5703125" style="949" bestFit="1" customWidth="1"/>
    <col min="2" max="256" width="9.140625" style="949"/>
    <col min="257" max="257" width="28.5703125" style="949" bestFit="1" customWidth="1"/>
    <col min="258" max="512" width="9.140625" style="949"/>
    <col min="513" max="513" width="28.5703125" style="949" bestFit="1" customWidth="1"/>
    <col min="514" max="768" width="9.140625" style="949"/>
    <col min="769" max="769" width="28.5703125" style="949" bestFit="1" customWidth="1"/>
    <col min="770" max="1024" width="9.140625" style="949"/>
    <col min="1025" max="1025" width="28.5703125" style="949" bestFit="1" customWidth="1"/>
    <col min="1026" max="1280" width="9.140625" style="949"/>
    <col min="1281" max="1281" width="28.5703125" style="949" bestFit="1" customWidth="1"/>
    <col min="1282" max="1536" width="9.140625" style="949"/>
    <col min="1537" max="1537" width="28.5703125" style="949" bestFit="1" customWidth="1"/>
    <col min="1538" max="1792" width="9.140625" style="949"/>
    <col min="1793" max="1793" width="28.5703125" style="949" bestFit="1" customWidth="1"/>
    <col min="1794" max="2048" width="9.140625" style="949"/>
    <col min="2049" max="2049" width="28.5703125" style="949" bestFit="1" customWidth="1"/>
    <col min="2050" max="2304" width="9.140625" style="949"/>
    <col min="2305" max="2305" width="28.5703125" style="949" bestFit="1" customWidth="1"/>
    <col min="2306" max="2560" width="9.140625" style="949"/>
    <col min="2561" max="2561" width="28.5703125" style="949" bestFit="1" customWidth="1"/>
    <col min="2562" max="2816" width="9.140625" style="949"/>
    <col min="2817" max="2817" width="28.5703125" style="949" bestFit="1" customWidth="1"/>
    <col min="2818" max="3072" width="9.140625" style="949"/>
    <col min="3073" max="3073" width="28.5703125" style="949" bestFit="1" customWidth="1"/>
    <col min="3074" max="3328" width="9.140625" style="949"/>
    <col min="3329" max="3329" width="28.5703125" style="949" bestFit="1" customWidth="1"/>
    <col min="3330" max="3584" width="9.140625" style="949"/>
    <col min="3585" max="3585" width="28.5703125" style="949" bestFit="1" customWidth="1"/>
    <col min="3586" max="3840" width="9.140625" style="949"/>
    <col min="3841" max="3841" width="28.5703125" style="949" bestFit="1" customWidth="1"/>
    <col min="3842" max="4096" width="9.140625" style="949"/>
    <col min="4097" max="4097" width="28.5703125" style="949" bestFit="1" customWidth="1"/>
    <col min="4098" max="4352" width="9.140625" style="949"/>
    <col min="4353" max="4353" width="28.5703125" style="949" bestFit="1" customWidth="1"/>
    <col min="4354" max="4608" width="9.140625" style="949"/>
    <col min="4609" max="4609" width="28.5703125" style="949" bestFit="1" customWidth="1"/>
    <col min="4610" max="4864" width="9.140625" style="949"/>
    <col min="4865" max="4865" width="28.5703125" style="949" bestFit="1" customWidth="1"/>
    <col min="4866" max="5120" width="9.140625" style="949"/>
    <col min="5121" max="5121" width="28.5703125" style="949" bestFit="1" customWidth="1"/>
    <col min="5122" max="5376" width="9.140625" style="949"/>
    <col min="5377" max="5377" width="28.5703125" style="949" bestFit="1" customWidth="1"/>
    <col min="5378" max="5632" width="9.140625" style="949"/>
    <col min="5633" max="5633" width="28.5703125" style="949" bestFit="1" customWidth="1"/>
    <col min="5634" max="5888" width="9.140625" style="949"/>
    <col min="5889" max="5889" width="28.5703125" style="949" bestFit="1" customWidth="1"/>
    <col min="5890" max="6144" width="9.140625" style="949"/>
    <col min="6145" max="6145" width="28.5703125" style="949" bestFit="1" customWidth="1"/>
    <col min="6146" max="6400" width="9.140625" style="949"/>
    <col min="6401" max="6401" width="28.5703125" style="949" bestFit="1" customWidth="1"/>
    <col min="6402" max="6656" width="9.140625" style="949"/>
    <col min="6657" max="6657" width="28.5703125" style="949" bestFit="1" customWidth="1"/>
    <col min="6658" max="6912" width="9.140625" style="949"/>
    <col min="6913" max="6913" width="28.5703125" style="949" bestFit="1" customWidth="1"/>
    <col min="6914" max="7168" width="9.140625" style="949"/>
    <col min="7169" max="7169" width="28.5703125" style="949" bestFit="1" customWidth="1"/>
    <col min="7170" max="7424" width="9.140625" style="949"/>
    <col min="7425" max="7425" width="28.5703125" style="949" bestFit="1" customWidth="1"/>
    <col min="7426" max="7680" width="9.140625" style="949"/>
    <col min="7681" max="7681" width="28.5703125" style="949" bestFit="1" customWidth="1"/>
    <col min="7682" max="7936" width="9.140625" style="949"/>
    <col min="7937" max="7937" width="28.5703125" style="949" bestFit="1" customWidth="1"/>
    <col min="7938" max="8192" width="9.140625" style="949"/>
    <col min="8193" max="8193" width="28.5703125" style="949" bestFit="1" customWidth="1"/>
    <col min="8194" max="8448" width="9.140625" style="949"/>
    <col min="8449" max="8449" width="28.5703125" style="949" bestFit="1" customWidth="1"/>
    <col min="8450" max="8704" width="9.140625" style="949"/>
    <col min="8705" max="8705" width="28.5703125" style="949" bestFit="1" customWidth="1"/>
    <col min="8706" max="8960" width="9.140625" style="949"/>
    <col min="8961" max="8961" width="28.5703125" style="949" bestFit="1" customWidth="1"/>
    <col min="8962" max="9216" width="9.140625" style="949"/>
    <col min="9217" max="9217" width="28.5703125" style="949" bestFit="1" customWidth="1"/>
    <col min="9218" max="9472" width="9.140625" style="949"/>
    <col min="9473" max="9473" width="28.5703125" style="949" bestFit="1" customWidth="1"/>
    <col min="9474" max="9728" width="9.140625" style="949"/>
    <col min="9729" max="9729" width="28.5703125" style="949" bestFit="1" customWidth="1"/>
    <col min="9730" max="9984" width="9.140625" style="949"/>
    <col min="9985" max="9985" width="28.5703125" style="949" bestFit="1" customWidth="1"/>
    <col min="9986" max="10240" width="9.140625" style="949"/>
    <col min="10241" max="10241" width="28.5703125" style="949" bestFit="1" customWidth="1"/>
    <col min="10242" max="10496" width="9.140625" style="949"/>
    <col min="10497" max="10497" width="28.5703125" style="949" bestFit="1" customWidth="1"/>
    <col min="10498" max="10752" width="9.140625" style="949"/>
    <col min="10753" max="10753" width="28.5703125" style="949" bestFit="1" customWidth="1"/>
    <col min="10754" max="11008" width="9.140625" style="949"/>
    <col min="11009" max="11009" width="28.5703125" style="949" bestFit="1" customWidth="1"/>
    <col min="11010" max="11264" width="9.140625" style="949"/>
    <col min="11265" max="11265" width="28.5703125" style="949" bestFit="1" customWidth="1"/>
    <col min="11266" max="11520" width="9.140625" style="949"/>
    <col min="11521" max="11521" width="28.5703125" style="949" bestFit="1" customWidth="1"/>
    <col min="11522" max="11776" width="9.140625" style="949"/>
    <col min="11777" max="11777" width="28.5703125" style="949" bestFit="1" customWidth="1"/>
    <col min="11778" max="12032" width="9.140625" style="949"/>
    <col min="12033" max="12033" width="28.5703125" style="949" bestFit="1" customWidth="1"/>
    <col min="12034" max="12288" width="9.140625" style="949"/>
    <col min="12289" max="12289" width="28.5703125" style="949" bestFit="1" customWidth="1"/>
    <col min="12290" max="12544" width="9.140625" style="949"/>
    <col min="12545" max="12545" width="28.5703125" style="949" bestFit="1" customWidth="1"/>
    <col min="12546" max="12800" width="9.140625" style="949"/>
    <col min="12801" max="12801" width="28.5703125" style="949" bestFit="1" customWidth="1"/>
    <col min="12802" max="13056" width="9.140625" style="949"/>
    <col min="13057" max="13057" width="28.5703125" style="949" bestFit="1" customWidth="1"/>
    <col min="13058" max="13312" width="9.140625" style="949"/>
    <col min="13313" max="13313" width="28.5703125" style="949" bestFit="1" customWidth="1"/>
    <col min="13314" max="13568" width="9.140625" style="949"/>
    <col min="13569" max="13569" width="28.5703125" style="949" bestFit="1" customWidth="1"/>
    <col min="13570" max="13824" width="9.140625" style="949"/>
    <col min="13825" max="13825" width="28.5703125" style="949" bestFit="1" customWidth="1"/>
    <col min="13826" max="14080" width="9.140625" style="949"/>
    <col min="14081" max="14081" width="28.5703125" style="949" bestFit="1" customWidth="1"/>
    <col min="14082" max="14336" width="9.140625" style="949"/>
    <col min="14337" max="14337" width="28.5703125" style="949" bestFit="1" customWidth="1"/>
    <col min="14338" max="14592" width="9.140625" style="949"/>
    <col min="14593" max="14593" width="28.5703125" style="949" bestFit="1" customWidth="1"/>
    <col min="14594" max="14848" width="9.140625" style="949"/>
    <col min="14849" max="14849" width="28.5703125" style="949" bestFit="1" customWidth="1"/>
    <col min="14850" max="15104" width="9.140625" style="949"/>
    <col min="15105" max="15105" width="28.5703125" style="949" bestFit="1" customWidth="1"/>
    <col min="15106" max="15360" width="9.140625" style="949"/>
    <col min="15361" max="15361" width="28.5703125" style="949" bestFit="1" customWidth="1"/>
    <col min="15362" max="15616" width="9.140625" style="949"/>
    <col min="15617" max="15617" width="28.5703125" style="949" bestFit="1" customWidth="1"/>
    <col min="15618" max="15872" width="9.140625" style="949"/>
    <col min="15873" max="15873" width="28.5703125" style="949" bestFit="1" customWidth="1"/>
    <col min="15874" max="16128" width="9.140625" style="949"/>
    <col min="16129" max="16129" width="28.5703125" style="949" bestFit="1" customWidth="1"/>
    <col min="16130" max="16384" width="9.140625" style="949"/>
  </cols>
  <sheetData>
    <row r="1" spans="1:1" x14ac:dyDescent="0.2">
      <c r="A1" s="1025" t="s">
        <v>1025</v>
      </c>
    </row>
    <row r="2" spans="1:1" x14ac:dyDescent="0.2">
      <c r="A2" s="1025" t="s">
        <v>1030</v>
      </c>
    </row>
    <row r="3" spans="1:1" x14ac:dyDescent="0.2">
      <c r="A3" s="1025" t="s">
        <v>1031</v>
      </c>
    </row>
    <row r="4" spans="1:1" x14ac:dyDescent="0.2">
      <c r="A4" s="1025" t="s">
        <v>1032</v>
      </c>
    </row>
    <row r="5" spans="1:1" x14ac:dyDescent="0.2">
      <c r="A5" s="1025" t="s">
        <v>1033</v>
      </c>
    </row>
    <row r="6" spans="1:1" x14ac:dyDescent="0.2">
      <c r="A6" s="1025" t="s">
        <v>1026</v>
      </c>
    </row>
    <row r="7" spans="1:1" x14ac:dyDescent="0.2">
      <c r="A7" s="1025" t="s">
        <v>1034</v>
      </c>
    </row>
    <row r="8" spans="1:1" x14ac:dyDescent="0.2">
      <c r="A8" s="1025" t="s">
        <v>1035</v>
      </c>
    </row>
    <row r="9" spans="1:1" x14ac:dyDescent="0.2">
      <c r="A9" s="1025" t="s">
        <v>1036</v>
      </c>
    </row>
    <row r="10" spans="1:1" x14ac:dyDescent="0.2">
      <c r="A10" s="1025" t="s">
        <v>1027</v>
      </c>
    </row>
    <row r="11" spans="1:1" x14ac:dyDescent="0.2">
      <c r="A11" s="1025" t="s">
        <v>1037</v>
      </c>
    </row>
    <row r="12" spans="1:1" x14ac:dyDescent="0.2">
      <c r="A12" s="1025" t="s">
        <v>1028</v>
      </c>
    </row>
    <row r="13" spans="1:1" x14ac:dyDescent="0.2">
      <c r="A13" s="1025" t="s">
        <v>1029</v>
      </c>
    </row>
  </sheetData>
  <pageMargins left="0.75" right="0.75" top="1" bottom="1" header="0.5" footer="0.5"/>
  <headerFooter alignWithMargins="0"/>
</worksheet>
</file>

<file path=customXml/_rels/item1.xml.rels><?xml version="1.0" encoding="UTF-8" standalone="yes"?>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yes"?>
<Relationships xmlns="http://schemas.openxmlformats.org/package/2006/relationships">
<Relationship Id="rId1" Target="itemProps2.xml" Type="http://schemas.openxmlformats.org/officeDocument/2006/relationships/customXmlProps"/>
</Relationships>

</file>

<file path=customXml/item1.xml><?xml version="1.0" encoding="utf-8"?>
<lk:Links xmlns:lk="thomsonreuters.linking.metadata">
  <Link>
    <GUID>16561001-8a45-40ea-9b07-876271093e7e</GUID>
    <SOURCETYPE>Chart</SOURCETYPE>
    <SOURCE_OBJECTNAME>MWA_Risk_Reward</SOURCE_OBJECTNAME>
    <SOURCE_SHEETCODE>MWRSSData</SOURCE_SHEETCODE>
    <SOURCE_SHEETNAME>MWA RR</SOURCE_SHEETNAME>
    <OBJECTTYPE>Native</OBJECTTYPE>
    <SOURCEAPPLICATION>EXCEL_SOURCE</SOURCEAPPLICATION>
    <UPDATEDAT>4/23/2015 9:15:08 PM</UPDATEDAT>
    <SOURCE_ISOUTOFDATE>False</SOURCE_ISOUTOFDATE>
    <SOURCE_WORKBOOKNAME>SBUX - MS.xlsx</SOURCE_WORKBOOKNAME>
    <SOURCE_WORKBOOKPATH>\\MSAD\ROOT\NA\NY\LIB\ER\RESTAURANTS\Restaurant\MODELS</SOURCE_WORKBOOKPATH>
    <TRANSPARENTBACKGROUND>False</TRANSPARENTBACKGROUND>
    <TRANSPARENTPLOTAREA>False</TRANSPARENTPLOTAREA>
    <TARGETTYPE>Picture</TARGETTYPE>
    <TARGETAPPLICATION>METHODE_TARGET</TARGETAPPLICATION>
    <TABLEBACKGROUND>Existing</TABLEBACKGROUND>
    <EXTRACTSOURCEMODE>CopyToClipboard</EXTRACTSOURCEMODE>
    <TARGET_BINARYFULLNAME>/MSResearch/Content/ExternalAssets/2015-04/Images/7mefrAlbUU25nLoZpFrEBA--.png</TARGET_BINARYFULLNAME>
    <TARGET_STORYFULLNAME>/MSResearch/Content/ExternalAssets/2015-04/Sections/20150423_091503_MWA_Risk_Reward.xml</TARGET_STORYFULLNAME>
    <TARGET_UUID>563ab164-ea1f-11e4-b44c-544b7b2f2e67</TARGET_UUID>
  </Link>
  <Link>
    <GUID>69b32613-86c6-4df7-9282-9af34169faab</GUID>
    <SOURCE_ALTADDRESS>$A$5:$DM$107</SOURCE_ALTADDRESS>
    <SOURCETYPE>Table</SOURCETYPE>
    <SOURCE_OBJECTNAME>Linking_Range_22</SOURCE_OBJECTNAME>
    <OBJECTTYPE>Native</OBJECTTYPE>
    <SOURCE_SHEETCODE>Sheet2</SOURCE_SHEETCODE>
    <SOURCE_SHEETNAME>IS</SOURCE_SHEETNAME>
    <SOURCEAPPLICATION>EXCEL_SOURCE</SOURCEAPPLICATION>
    <UPDATEDAT>4/23/2015 9:21:47 PM</UPDATEDAT>
    <SOURCE_ISOUTOFDATE>False</SOURCE_ISOUTOFDATE>
    <SOURCE_WORKBOOKNAME>SBUX - MS.xlsx</SOURCE_WORKBOOKNAME>
    <SOURCE_WORKBOOKPATH>\\MSAD\ROOT\NA\NY\LIB\ER\RESTAURANTS\Restaurant\MODELS</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/MSResearch/Content/ExternalAssets/2015-04/Images/YFyf8vZX2EelVnZ2iaBR3Q--.png</TARGET_BINARYFULLNAME>
    <TARGET_STORYFULLNAME>/MSResearch/Content/ExternalAssets/2015-04/Sections/20150423_092144_Linking_Range_22.xml</TARGET_STORYFULLNAME>
    <TARGET_UUID>44ccf616-ea20-11e4-b44c-544b7b2f2e67</TARGET_UUID>
  </Link>
  <Link>
    <GUID>68401d01-28cd-4af5-970e-7fa871c70cb0</GUID>
    <SOURCE_ALTADDRESS>$A$5:$DH$57</SOURCE_ALTADDRESS>
    <SOURCETYPE>Table</SOURCETYPE>
    <SOURCE_OBJECTNAME>Linking_Range_16</SOURCE_OBJECTNAME>
    <OBJECTTYPE>Native</OBJECTTYPE>
    <SOURCE_SHEETCODE>Sheet3</SOURCE_SHEETCODE>
    <SOURCE_SHEETNAME>BS</SOURCE_SHEETNAME>
    <SOURCEAPPLICATION>EXCEL_SOURCE</SOURCEAPPLICATION>
    <UPDATEDAT>4/23/2015 9:22:27 PM</UPDATEDAT>
    <SOURCE_ISOUTOFDATE>False</SOURCE_ISOUTOFDATE>
    <SOURCE_WORKBOOKNAME>SBUX - MS.xlsx</SOURCE_WORKBOOKNAME>
    <SOURCE_WORKBOOKPATH>\\MSAD\ROOT\NA\NY\LIB\ER\RESTAURANTS\Restaurant\MODELS</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/MSResearch/Content/ExternalAssets/2015-04/Images/s2oLRY4eLkCFYWAUIMpoJg--.png</TARGET_BINARYFULLNAME>
    <TARGET_STORYFULLNAME>/MSResearch/Content/ExternalAssets/2015-04/Sections/20150423_092224_Linking_Range_16.xml</TARGET_STORYFULLNAME>
    <TARGET_UUID>5cb65efc-ea20-11e4-b44c-544b7b2f2e67</TARGET_UUID>
  </Link>
  <Link>
    <GUID>6000ed50-5c32-4a31-9837-56af34c8176e</GUID>
    <SOURCE_ALTADDRESS>$A$5:$DH$94</SOURCE_ALTADDRESS>
    <SOURCETYPE>Table</SOURCETYPE>
    <SOURCE_OBJECTNAME>Linking_Range_21</SOURCE_OBJECTNAME>
    <OBJECTTYPE>Native</OBJECTTYPE>
    <SOURCE_SHEETCODE>Sheet4</SOURCE_SHEETCODE>
    <SOURCE_SHEETNAME>CF</SOURCE_SHEETNAME>
    <SOURCEAPPLICATION>EXCEL_SOURCE</SOURCEAPPLICATION>
    <UPDATEDAT>4/23/2015 9:23:41 PM</UPDATEDAT>
    <SOURCE_ISOUTOFDATE>False</SOURCE_ISOUTOFDATE>
    <SOURCE_WORKBOOKNAME>SBUX - MS.xlsx</SOURCE_WORKBOOKNAME>
    <SOURCE_WORKBOOKPATH>\\MSAD\ROOT\NA\NY\LIB\ER\RESTAURANTS\Restaurant\MODELS</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/MSResearch/Content/ExternalAssets/2015-04/Images/u4cr6CCez0eUu-V0M46VYw--.png</TARGET_BINARYFULLNAME>
    <TARGET_STORYFULLNAME>/MSResearch/Content/ExternalAssets/2015-04/Sections/20150423_092339_Linking_Range_21.xml</TARGET_STORYFULLNAME>
    <TARGET_UUID>89aef9c8-ea20-11e4-b44c-544b7b2f2e67</TARGET_UUID>
  </Link>
  <Link>
    <GUID>7e744df4-2179-4c9d-a84f-941bdd4fd7e7</GUID>
    <SOURCE_ALTADDRESS>$DL$32</SOURCE_ALTADDRESS>
    <SOURCETYPE>Text</SOURCETYPE>
    <SOURCE_OBJECTNAME>Linking_Text_1</SOURCE_OBJECTNAME>
    <OBJECTTYPE>Native</OBJECTTYPE>
    <SOURCE_SHEETCODE>Sheet12</SOURCE_SHEETCODE>
    <SOURCE_SHEETNAME>Currency</SOURCE_SHEETNAME>
    <SOURCEAPPLICATION>EXCEL_SOURCE</SOURCEAPPLICATION>
    <UPDATEDAT>4/23/2015 9:35:28 PM</UPDATEDAT>
    <SOURCE_ISOUTOFDATE>False</SOURCE_ISOUTOFDATE>
    <SOURCE_WORKBOOKNAME>SBUX - MS.xlsx</SOURCE_WORKBOOKNAME>
    <SOURCE_WORKBOOKPATH>\\MSAD\ROOT\NA\NY\LIB\ER\RESTAURANTS\Restaurant\MODELS</SOURCE_WORKBOOKPATH>
    <IMPORTEXPORTINBLACKANDWHITE>False</IMPORTEXPORTINBLACKANDWHITE>
    <IMPORTEXPORTTABLETEXTINBLACKANDWHITE>False</IMPORTEXPORTTABLETEXTINBLACKANDWHITE>
    <TABLEBACKGROUND>Existing</TABLEBACKGROUND>
    <HIDEGRIDLINES>False</HIDEGRIDLINES>
    <TARGETTYPE>Text</TARGETTYPE>
    <TARGETAPPLICATION>METHODE_TARGET</TARGETAPPLICATION>
    <EXTRACTSOURCEMODE>CopyToClipboard</EXTRACTSOURCEMODE>
    <TARGET_BINARYFULLNAME/>
    <TARGET_STORYFULLNAME>/MSResearch/Content/ExternalAssets/2015-04/Sections/20150423_093527_Linking_Text_1.xml</TARGET_STORYFULLNAME>
    <TARGET_UUID>2f97c6a2-ea22-11e4-b44c-544b7b2f2e67</TARGET_UUID>
  </Link>
</lk:Links>
</file>

<file path=customXml/item2.xml><?xml version="1.0" encoding="utf-8"?>
<lkmtd:Metadata xmlns:lkmtd="thomsonreuters.linking.metadatachange">
  <MetadataChanged>0</MetadataChanged>
</lkmtd:Metadata>
</file>

<file path=customXml/itemProps1.xml><?xml version="1.0" encoding="utf-8"?>
<ds:datastoreItem xmlns:ds="http://schemas.openxmlformats.org/officeDocument/2006/customXml" ds:itemID="{B1003D64-1A92-4FF5-9BFF-E3E868494C93}">
  <ds:schemaRefs>
    <ds:schemaRef ds:uri="thomsonreuters.linking.metadata"/>
  </ds:schemaRefs>
</ds:datastoreItem>
</file>

<file path=customXml/itemProps2.xml><?xml version="1.0" encoding="utf-8"?>
<ds:datastoreItem xmlns:ds="http://schemas.openxmlformats.org/officeDocument/2006/customXml" ds:itemID="{10B43D96-9CBA-4D04-AB6E-12A38A4025FB}">
  <ds:schemaRefs>
    <ds:schemaRef ds:uri="thomsonreuters.linking.metadatachang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99</vt:i4>
      </vt:variant>
    </vt:vector>
  </HeadingPairs>
  <TitlesOfParts>
    <vt:vector size="106" baseType="lpstr">
      <vt:lpstr>ImportantDisclosures</vt:lpstr>
      <vt:lpstr>Intro</vt:lpstr>
      <vt:lpstr>IS</vt:lpstr>
      <vt:lpstr>BS</vt:lpstr>
      <vt:lpstr>CF</vt:lpstr>
      <vt:lpstr>IndexInformation</vt:lpstr>
      <vt:lpstr>ModPubIndex</vt:lpstr>
      <vt:lpstr>AdditionalInstructions</vt:lpstr>
      <vt:lpstr>ImportantDisclosures!Address</vt:lpstr>
      <vt:lpstr>ModPubIndex!ANA</vt:lpstr>
      <vt:lpstr>ImportantDisclosures!Authors</vt:lpstr>
      <vt:lpstr>IndexInformation!Authors</vt:lpstr>
      <vt:lpstr>ModPubIndex!BRO</vt:lpstr>
      <vt:lpstr>CopyrightStamp</vt:lpstr>
      <vt:lpstr>ModPubIndex!COU</vt:lpstr>
      <vt:lpstr>IndexInformation!CQEnd</vt:lpstr>
      <vt:lpstr>IndexInformation!Currency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ModPubIndex!EMAIL_ALERT</vt:lpstr>
      <vt:lpstr>IndexInformation!EmailAlert</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IndustryId</vt:lpstr>
      <vt:lpstr>ImportantDisclosures!IndustryRating</vt:lpstr>
      <vt:lpstr>IndexInformation!KeepVersions</vt:lpstr>
      <vt:lpstr>LanguageCode</vt:lpstr>
      <vt:lpstr>ImportantDisclosures!LastCell</vt:lpstr>
      <vt:lpstr>Linking_1</vt:lpstr>
      <vt:lpstr>Linking_10</vt:lpstr>
      <vt:lpstr>Linking_11</vt:lpstr>
      <vt:lpstr>Linking_12</vt:lpstr>
      <vt:lpstr>Linking_2</vt:lpstr>
      <vt:lpstr>Linking_3</vt:lpstr>
      <vt:lpstr>Linking_4</vt:lpstr>
      <vt:lpstr>Linking_5</vt:lpstr>
      <vt:lpstr>Linking_6</vt:lpstr>
      <vt:lpstr>Linking_7</vt:lpstr>
      <vt:lpstr>Linking_8</vt:lpstr>
      <vt:lpstr>Linking_9</vt:lpstr>
      <vt:lpstr>Linking_Range_1</vt:lpstr>
      <vt:lpstr>Linking_Range_12</vt:lpstr>
      <vt:lpstr>Linking_Range_13</vt:lpstr>
      <vt:lpstr>Linking_Range_15</vt:lpstr>
      <vt:lpstr>Linking_Range_16</vt:lpstr>
      <vt:lpstr>Linking_Range_17</vt:lpstr>
      <vt:lpstr>Linking_Range_18</vt:lpstr>
      <vt:lpstr>Linking_Range_19</vt:lpstr>
      <vt:lpstr>Linking_Range_2</vt:lpstr>
      <vt:lpstr>Linking_Range_20</vt:lpstr>
      <vt:lpstr>Linking_Range_21</vt:lpstr>
      <vt:lpstr>Linking_Range_22</vt:lpstr>
      <vt:lpstr>Linking_Range_3</vt:lpstr>
      <vt:lpstr>Linking_Range_4</vt:lpstr>
      <vt:lpstr>Linking_Range_5</vt:lpstr>
      <vt:lpstr>Linking_Range_6</vt:lpstr>
      <vt:lpstr>Linking_Range_7</vt:lpstr>
      <vt:lpstr>Linking_Range_8</vt:lpstr>
      <vt:lpstr>IndexInformation!MacroVersion</vt:lpstr>
      <vt:lpstr>ImportantDisclosures!ModelPrice</vt:lpstr>
      <vt:lpstr>IndexInformation!Multiplier</vt:lpstr>
      <vt:lpstr>IndexInformation!NextYearEPS</vt:lpstr>
      <vt:lpstr>IndexInformation!NextYearTotalRevenue</vt:lpstr>
      <vt:lpstr>IndexInformation!NextYearTotalRevenueActual</vt:lpstr>
      <vt:lpstr>ObjectType</vt:lpstr>
      <vt:lpstr>ModPubIndex!PANA</vt:lpstr>
      <vt:lpstr>IndexInformation!PathName</vt:lpstr>
      <vt:lpstr>ModPubIndex!PRODUCT</vt:lpstr>
      <vt:lpstr>ModPubIndex!PSYM</vt:lpstr>
      <vt:lpstr>IndexInformation!PublishDate</vt:lpstr>
      <vt:lpstr>IndexInformation!Rating</vt:lpstr>
      <vt:lpstr>ImportantDisclosures!RatingsDefined</vt:lpstr>
      <vt:lpstr>IndexInformation!ResearchTopic</vt:lpstr>
      <vt:lpstr>IndexInformation!RIC</vt:lpstr>
      <vt:lpstr>IndexInformation!SEDOL</vt:lpstr>
      <vt:lpstr>ImportantDisclosures!SourceDefined</vt:lpstr>
      <vt:lpstr>ImportantDisclosures!StockRating</vt:lpstr>
      <vt:lpstr>IndexInformation!SubjectCode</vt:lpstr>
      <vt:lpstr>SubmitterUserId</vt:lpstr>
      <vt:lpstr>ModPubIndex!SUPPRESSED</vt:lpstr>
      <vt:lpstr>ImportantDisclosures!TargetPrice</vt:lpstr>
      <vt:lpstr>TemplateRegion</vt:lpstr>
      <vt:lpstr>ImportantDisclosures!Ticker</vt:lpstr>
      <vt:lpstr>TickerRegion</vt:lpstr>
      <vt:lpstr>IndexInformation!Tickers</vt:lpstr>
      <vt:lpstr>IndexInformation!UpdateReason</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2013-07-04T05:32:55Z</dcterms:created>
  <dc:creator>meneclar</dc:creator>
  <cp:lastModifiedBy>Carril, Christopher E (Research)</cp:lastModifiedBy>
  <cp:lastPrinted>2018-04-13T20:27:48Z</cp:lastPrinted>
  <dcterms:modified xsi:type="dcterms:W3CDTF">2018-04-16T14:52:12Z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LinkingAutoNameNumberLinking_Range_" pid="2">
    <vt:lpwstr>22</vt:lpwstr>
  </property>
  <property fmtid="{D5CDD505-2E9C-101B-9397-08002B2CF9AE}" name="LinkingAutoNameNumberLinking_Text_" pid="3">
    <vt:lpwstr>1</vt:lpwstr>
  </property>
  <property fmtid="{D5CDD505-2E9C-101B-9397-08002B2CF9AE}" name="ERModPubTicket" pid="4">
    <vt:lpwstr>NA</vt:lpwstr>
  </property>
  <property fmtid="{D5CDD505-2E9C-101B-9397-08002B2CF9AE}" name="ERCompanyUploadState" pid="5">
    <vt:lpwstr>P</vt:lpwstr>
  </property>
  <property fmtid="{D5CDD505-2E9C-101B-9397-08002B2CF9AE}" name="ModelId" pid="6">
    <vt:lpwstr>761898</vt:lpwstr>
  </property>
  <property fmtid="{D5CDD505-2E9C-101B-9397-08002B2CF9AE}" name="ERModPubCompanyName" pid="7">
    <vt:lpwstr>Starbucks Corp.</vt:lpwstr>
  </property>
  <property fmtid="{D5CDD505-2E9C-101B-9397-08002B2CF9AE}" name="MSDH34TAG" pid="8">
    <vt:lpwstr>.TEZUF76X5TAHATHESADREYAK-00-INB160+*94600-06=c1fe06b0/-4185/-11e8/-9695/-5e5c95fbb3b1,MD=20180416111538/-0400,ZZ=000Z-dc98.</vt:lpwstr>
  </property>
</Properties>
</file>